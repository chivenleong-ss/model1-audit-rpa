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  <numFmt numFmtId="167" formatCode="_ * #,##0.00_ ;_ * \-#,##0.00_ ;_ * &quot;-&quot;??.00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b val="1"/>
      <color rgb="FFFF0000"/>
      <sz val="10"/>
    </font>
    <font>
      <name val="宋体"/>
      <charset val="134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183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5" borderId="1" applyAlignment="1" pivotButton="0" quotePrefix="0" xfId="1">
      <alignment horizontal="center" vertical="center" wrapText="1"/>
    </xf>
    <xf numFmtId="0" fontId="8" fillId="0" borderId="1" applyAlignment="1" applyProtection="1" pivotButton="0" quotePrefix="0" xfId="1">
      <alignment vertical="center"/>
      <protection locked="0" hidden="0"/>
    </xf>
    <xf numFmtId="4" fontId="7" fillId="0" borderId="1" applyAlignment="1" applyProtection="1" pivotButton="0" quotePrefix="0" xfId="0">
      <alignment horizontal="right" vertical="center" wrapText="1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5" fontId="10" fillId="0" borderId="1" applyProtection="1" pivotButton="0" quotePrefix="0" xfId="1"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10" fillId="0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7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5" fontId="10" fillId="0" borderId="1" applyAlignment="1" applyProtection="1" pivotButton="0" quotePrefix="0" xfId="1">
      <alignment vertical="center"/>
      <protection locked="0" hidden="0"/>
    </xf>
    <xf numFmtId="4" fontId="10" fillId="0" borderId="1" applyAlignment="1" applyProtection="1" pivotButton="0" quotePrefix="0" xfId="1">
      <alignment vertical="center"/>
      <protection locked="0" hidden="0"/>
    </xf>
    <xf numFmtId="165" fontId="10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165" fontId="9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4" fontId="9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59" authorId="1" shapeId="0">
      <text>
        <t xml:space="preserve">**同财务账面合同履约成本/工程施工成本/机械租赁费数据一致**
</t>
      </text>
    </comment>
    <comment ref="M65" authorId="0" shapeId="0">
      <text>
        <t>于:
**同财务账面合同履约成本/工程施工成本其他直接费数据一致**</t>
      </text>
    </comment>
    <comment ref="M103" authorId="1" shapeId="0">
      <text>
        <t>**同财务账面合同履约成本/工程施工成本/间接费数据一致**</t>
      </text>
    </comment>
    <comment ref="D111" authorId="2" shapeId="0">
      <text>
        <t>（在建：房建0.6%，其它0.4%；在保修期间的按0.3~0.5%自行确定;保修期结束为0）</t>
      </text>
    </comment>
    <comment ref="E121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2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0"/>
  <sheetViews>
    <sheetView tabSelected="1" topLeftCell="I32" zoomScale="70" zoomScaleNormal="70" workbookViewId="0">
      <selection activeCell="O76" sqref="O76:R78"/>
    </sheetView>
  </sheetViews>
  <sheetFormatPr baseColWidth="8" defaultColWidth="8.72727272727273" defaultRowHeight="15"/>
  <cols>
    <col width="3.02727272727273" customWidth="1" style="1" min="1" max="1"/>
    <col width="21.8181818181818" customWidth="1" style="1" min="2" max="2"/>
    <col width="16.7636363636364" customWidth="1" style="1" min="3" max="3"/>
    <col width="37.7545454545455" customWidth="1" style="1" min="4" max="4"/>
    <col width="35.0545454545455" customWidth="1" style="1" min="5" max="5"/>
    <col width="20" customWidth="1" style="1" min="6" max="6"/>
    <col width="19.1909090909091" customWidth="1" style="1" min="7" max="7"/>
    <col width="20.9090909090909" customWidth="1" style="1" min="8" max="8"/>
    <col width="25.2545454545455" customWidth="1" style="1" min="9" max="9"/>
    <col width="20.9090909090909" customWidth="1" style="1" min="10" max="11"/>
    <col width="24.0363636363636" customWidth="1" style="115" min="12" max="12"/>
    <col width="26.7636363636364" customWidth="1" style="1" min="13" max="13"/>
    <col width="24.3454545454545" customWidth="1" style="1" min="14" max="14"/>
    <col width="23.4363636363636" customWidth="1" style="1" min="15" max="15"/>
    <col width="18.4818181818182" customWidth="1" style="1" min="16" max="16"/>
    <col width="20.7090909090909" customWidth="1" style="1" min="17" max="17"/>
    <col width="20.8090909090909" customWidth="1" style="1" min="18" max="18"/>
    <col width="19.7" customWidth="1" style="1" min="19" max="25"/>
    <col width="20.4" customWidth="1" style="1" min="26" max="26"/>
    <col width="17.8818181818182" customWidth="1" style="1" min="27" max="27"/>
    <col width="20" customWidth="1" style="1" min="28" max="28"/>
    <col width="18.8909090909091" customWidth="1" style="1" min="29" max="34"/>
    <col width="21.0090909090909" customWidth="1" style="1" min="35" max="35"/>
    <col width="12.3272727272727" customWidth="1" style="1" min="36" max="36"/>
    <col width="18.1818181818182" customWidth="1" style="1" min="37" max="37"/>
    <col width="12.3272727272727" customWidth="1" style="1" min="38" max="38"/>
  </cols>
  <sheetData>
    <row r="1" ht="25.5" customHeight="1" s="116">
      <c r="A1" s="3" t="inlineStr">
        <is>
          <t xml:space="preserve">            项目效益审核表               单位：元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7" t="n"/>
      <c r="M1" s="117" t="n"/>
      <c r="N1" s="117" t="n"/>
      <c r="O1" s="117" t="n"/>
      <c r="P1" s="117" t="n"/>
      <c r="Q1" s="117" t="n"/>
      <c r="R1" s="117" t="n"/>
      <c r="S1" s="117" t="n"/>
      <c r="T1" s="3" t="n"/>
      <c r="U1" s="3" t="n"/>
      <c r="V1" s="3" t="n"/>
      <c r="W1" s="3" t="n"/>
      <c r="X1" s="3" t="n"/>
      <c r="Y1" s="3" t="n"/>
      <c r="Z1" s="3" t="n"/>
      <c r="AA1" s="118" t="n"/>
      <c r="AB1" s="70" t="n"/>
      <c r="AC1" s="70" t="n"/>
      <c r="AD1" s="70" t="n"/>
      <c r="AE1" s="70" t="n"/>
      <c r="AF1" s="70" t="n"/>
      <c r="AG1" s="70" t="n"/>
      <c r="AH1" s="70" t="n"/>
      <c r="AI1" s="70" t="n"/>
      <c r="AJ1" s="70" t="n"/>
      <c r="AK1" s="70" t="n"/>
      <c r="AL1" s="70" t="n"/>
    </row>
    <row r="2" ht="25.5" customHeight="1" s="116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  <c r="S2" s="117" t="n"/>
      <c r="T2" s="3" t="n"/>
      <c r="U2" s="3" t="n"/>
      <c r="V2" s="3" t="n"/>
      <c r="W2" s="3" t="n"/>
      <c r="X2" s="3" t="n"/>
      <c r="Y2" s="3" t="n"/>
      <c r="Z2" s="3" t="n"/>
      <c r="AA2" s="119" t="n"/>
      <c r="AB2" s="70" t="n"/>
      <c r="AC2" s="70" t="n"/>
      <c r="AD2" s="70" t="n"/>
      <c r="AE2" s="70" t="n"/>
      <c r="AF2" s="70" t="n"/>
      <c r="AG2" s="70" t="n"/>
      <c r="AH2" s="70" t="n"/>
      <c r="AI2" s="70" t="n"/>
      <c r="AJ2" s="70" t="n"/>
      <c r="AK2" s="70" t="n"/>
      <c r="AL2" s="70" t="n"/>
    </row>
    <row r="3" ht="25.5" customHeight="1" s="116">
      <c r="A3" s="5" t="inlineStr">
        <is>
          <t>序号</t>
        </is>
      </c>
      <c r="B3" s="6" t="inlineStr">
        <is>
          <t>业主名称：</t>
        </is>
      </c>
      <c r="C3" s="117" t="n"/>
      <c r="D3" s="117" t="n"/>
      <c r="E3" s="6" t="inlineStr">
        <is>
          <t>业主所属集团：</t>
        </is>
      </c>
      <c r="F3" s="117" t="n"/>
      <c r="G3" s="6" t="inlineStr">
        <is>
          <t>我司签约单位：</t>
        </is>
      </c>
      <c r="H3" s="117" t="n"/>
      <c r="I3" s="117" t="n"/>
      <c r="J3" s="6" t="inlineStr">
        <is>
          <t>本表填报时间：</t>
        </is>
      </c>
      <c r="K3" s="117" t="n"/>
      <c r="L3" s="6" t="inlineStr">
        <is>
          <t>数据截止时间：</t>
        </is>
      </c>
      <c r="M3" s="117" t="n"/>
      <c r="N3" s="3" t="n"/>
      <c r="O3" s="3" t="n"/>
      <c r="P3" s="3" t="n"/>
      <c r="Q3" s="3" t="n"/>
      <c r="R3" s="3" t="n"/>
      <c r="S3" s="62" t="n"/>
      <c r="T3" s="62" t="n"/>
      <c r="U3" s="62" t="n"/>
      <c r="V3" s="62" t="n"/>
      <c r="W3" s="62" t="n"/>
      <c r="X3" s="62" t="n"/>
      <c r="Y3" s="62" t="n"/>
      <c r="Z3" s="3" t="n"/>
      <c r="AA3" s="119" t="n"/>
      <c r="AB3" s="70" t="n"/>
      <c r="AC3" s="70" t="n"/>
      <c r="AD3" s="70" t="n"/>
      <c r="AE3" s="70" t="n"/>
      <c r="AF3" s="70" t="n"/>
      <c r="AG3" s="70" t="n"/>
      <c r="AH3" s="70" t="n"/>
      <c r="AI3" s="70" t="n"/>
      <c r="AJ3" s="70" t="n"/>
      <c r="AK3" s="70" t="n"/>
      <c r="AL3" s="70" t="n"/>
    </row>
    <row r="4" ht="14" customHeight="1" s="116">
      <c r="A4" s="120" t="n"/>
      <c r="B4" s="8" t="inlineStr">
        <is>
          <t>利润中心编码</t>
        </is>
      </c>
      <c r="C4" s="8" t="inlineStr">
        <is>
          <t>项目编码</t>
        </is>
      </c>
      <c r="D4" s="9" t="inlineStr">
        <is>
          <t>工程名称（与一体化保持一致）</t>
        </is>
      </c>
      <c r="E4" s="10" t="inlineStr">
        <is>
          <t>项目状态（点选）</t>
        </is>
      </c>
      <c r="F4" s="11" t="inlineStr">
        <is>
          <t>是否办理最终结算</t>
        </is>
      </c>
      <c r="G4" s="12" t="inlineStr">
        <is>
          <t>最终结算时间</t>
        </is>
      </c>
      <c r="H4" s="121" t="inlineStr">
        <is>
          <t>商务/材料确认</t>
        </is>
      </c>
      <c r="I4" s="122" t="n"/>
      <c r="J4" s="122" t="n"/>
      <c r="K4" s="122" t="n"/>
      <c r="L4" s="123" t="n"/>
      <c r="M4" s="124" t="inlineStr">
        <is>
          <t>财务确认</t>
        </is>
      </c>
      <c r="N4" s="122" t="n"/>
      <c r="O4" s="122" t="n"/>
      <c r="P4" s="122" t="n"/>
      <c r="Q4" s="122" t="n"/>
      <c r="R4" s="123" t="n"/>
      <c r="S4" s="125" t="inlineStr">
        <is>
          <t>债权情况</t>
        </is>
      </c>
      <c r="T4" s="122" t="n"/>
      <c r="U4" s="122" t="n"/>
      <c r="V4" s="122" t="n"/>
      <c r="W4" s="122" t="n"/>
      <c r="X4" s="122" t="n"/>
      <c r="Y4" s="123" t="n"/>
      <c r="Z4" s="126" t="inlineStr">
        <is>
          <t>税务情况</t>
        </is>
      </c>
      <c r="AA4" s="122" t="n"/>
      <c r="AB4" s="122" t="n"/>
      <c r="AC4" s="122" t="n"/>
      <c r="AD4" s="122" t="n"/>
      <c r="AE4" s="122" t="n"/>
      <c r="AF4" s="122" t="n"/>
      <c r="AG4" s="122" t="n"/>
      <c r="AH4" s="122" t="n"/>
      <c r="AI4" s="122" t="n"/>
      <c r="AJ4" s="122" t="n"/>
      <c r="AK4" s="123" t="n"/>
      <c r="AL4" s="127" t="inlineStr">
        <is>
          <t>备注</t>
        </is>
      </c>
    </row>
    <row r="5" ht="39" customHeight="1" s="116">
      <c r="A5" s="120" t="n"/>
      <c r="B5" s="128" t="n"/>
      <c r="C5" s="128" t="n"/>
      <c r="D5" s="128" t="n"/>
      <c r="E5" s="128" t="n"/>
      <c r="F5" s="128" t="n"/>
      <c r="G5" s="128" t="n"/>
      <c r="H5" s="121" t="inlineStr">
        <is>
          <t>业主累计确认工程量
(含增值税)</t>
        </is>
      </c>
      <c r="I5" s="121" t="inlineStr">
        <is>
          <t>已完成未确权工程量
(含增值税)</t>
        </is>
      </c>
      <c r="J5" s="121" t="inlineStr">
        <is>
          <t>累计实际完成工作量
(含增值税)</t>
        </is>
      </c>
      <c r="K5" s="129" t="inlineStr">
        <is>
          <t>其中：实际收入应计增值税</t>
        </is>
      </c>
      <c r="L5" s="130" t="inlineStr">
        <is>
          <t>累计实际完成工作量（不含增值税）</t>
        </is>
      </c>
      <c r="M5" s="131" t="inlineStr">
        <is>
          <t>财务累计入账收入
（不含增值税）</t>
        </is>
      </c>
      <c r="N5" s="131" t="inlineStr">
        <is>
          <t>已价税分离的增值税金额(财务账面数据)</t>
        </is>
      </c>
      <c r="O5" s="131" t="inlineStr">
        <is>
          <t>应入未入账收入（商务实际完成不含税产值-财务账面列报收入）</t>
        </is>
      </c>
      <c r="P5" s="131" t="inlineStr">
        <is>
          <t>尚未价税分离的增值税金</t>
        </is>
      </c>
      <c r="Q5" s="131" t="inlineStr">
        <is>
          <t>财务累计应确认收入（不含增值税）</t>
        </is>
      </c>
      <c r="R5" s="131" t="inlineStr">
        <is>
          <t>财务累计应确认收入（含增值税）</t>
        </is>
      </c>
      <c r="S5" s="132" t="inlineStr">
        <is>
          <t>实际收款</t>
        </is>
      </c>
      <c r="T5" s="132" t="inlineStr">
        <is>
          <t>其中：财务账面已列报收款</t>
        </is>
      </c>
      <c r="U5" s="132" t="inlineStr">
        <is>
          <t>其中：已抵债未入账收款</t>
        </is>
      </c>
      <c r="V5" s="132" t="inlineStr">
        <is>
          <t>其中：其他未入账收款</t>
        </is>
      </c>
      <c r="W5" s="132" t="inlineStr">
        <is>
          <t>债权总额</t>
        </is>
      </c>
      <c r="X5" s="132" t="inlineStr">
        <is>
          <t>其中：应收总额</t>
        </is>
      </c>
      <c r="Y5" s="132" t="inlineStr">
        <is>
          <t>是否已取得对账单
（以取得双方用印对账单为准）</t>
        </is>
      </c>
      <c r="Z5" s="133" t="inlineStr">
        <is>
          <t>累计已开发票（含税）</t>
        </is>
      </c>
      <c r="AA5" s="133" t="inlineStr">
        <is>
          <t>其中：分包抵扣发票额
（含税）</t>
        </is>
      </c>
      <c r="AB5" s="133" t="inlineStr">
        <is>
          <t>其中：增值税项下已抵扣税额</t>
        </is>
      </c>
      <c r="AC5" s="133" t="inlineStr">
        <is>
          <t>累计已开具营业税发票</t>
        </is>
      </c>
      <c r="AD5" s="133" t="inlineStr">
        <is>
          <t>其中：分包分供抵扣发票额</t>
        </is>
      </c>
      <c r="AE5" s="133" t="inlineStr">
        <is>
          <t>累计已开具增值税发票
（含税）</t>
        </is>
      </c>
      <c r="AF5" s="133" t="inlineStr">
        <is>
          <t>其中：预缴时分包抵扣发票额</t>
        </is>
      </c>
      <c r="AG5" s="133" t="inlineStr">
        <is>
          <t>其中：增值税项下已抵扣税额</t>
        </is>
      </c>
      <c r="AH5" s="133" t="inlineStr">
        <is>
          <t>按结算未开具发票额</t>
        </is>
      </c>
      <c r="AI5" s="133" t="inlineStr">
        <is>
          <t>按收款未开具发票额</t>
        </is>
      </c>
      <c r="AJ5" s="133" t="inlineStr">
        <is>
          <t>当前适用税率</t>
        </is>
      </c>
      <c r="AK5" s="133" t="inlineStr">
        <is>
          <t>应收账款-待转销税额</t>
        </is>
      </c>
      <c r="AL5" s="120" t="n"/>
    </row>
    <row r="6" ht="14" customHeight="1" s="116">
      <c r="A6" s="120" t="n"/>
      <c r="B6" s="5" t="inlineStr">
        <is>
          <t>L400001831</t>
        </is>
      </c>
      <c r="C6" s="5" t="inlineStr"/>
      <c r="D6" s="5" t="inlineStr"/>
      <c r="E6" s="15" t="n"/>
      <c r="F6" s="15" t="n"/>
      <c r="G6" s="15" t="n"/>
      <c r="H6" s="134" t="n"/>
      <c r="I6" s="134" t="n"/>
      <c r="J6" s="135">
        <f>H6+I6</f>
        <v/>
      </c>
      <c r="K6" s="135" t="n"/>
      <c r="L6" s="136">
        <f>J6-K6</f>
        <v/>
      </c>
      <c r="M6" s="137" t="n">
        <v>289958061.57</v>
      </c>
      <c r="N6" s="137" t="n">
        <v>37816603.93</v>
      </c>
      <c r="O6" s="137">
        <f>L6-M6</f>
        <v/>
      </c>
      <c r="P6" s="137">
        <f>K6-N6</f>
        <v/>
      </c>
      <c r="Q6" s="138">
        <f>M6+O6</f>
        <v/>
      </c>
      <c r="R6" s="138">
        <f>M6+N6+O6+P6</f>
        <v/>
      </c>
      <c r="S6" s="139" t="n"/>
      <c r="T6" s="139" t="n"/>
      <c r="U6" s="139" t="n"/>
      <c r="V6" s="139" t="n"/>
      <c r="W6" s="139" t="n"/>
      <c r="X6" s="139" t="n"/>
      <c r="Y6" s="139" t="n"/>
      <c r="Z6" s="140">
        <f>SUM(AA6:AJ6)</f>
        <v/>
      </c>
      <c r="AA6" s="141" t="n"/>
      <c r="AB6" s="141" t="n"/>
      <c r="AC6" s="141" t="n"/>
      <c r="AD6" s="141" t="n"/>
      <c r="AE6" s="141" t="n"/>
      <c r="AF6" s="141" t="n"/>
      <c r="AG6" s="141" t="n"/>
      <c r="AH6" s="141" t="n"/>
      <c r="AI6" s="141" t="n"/>
      <c r="AJ6" s="141" t="n"/>
      <c r="AK6" s="141">
        <f>AB6/1.17*0.17+AC6/1.16*0.16+AD6/1.11*0.11+AE6/1.1*0.1+AF6/1.09*0.09+AI6/1.03*0.03</f>
        <v/>
      </c>
      <c r="AL6" s="120" t="n"/>
    </row>
    <row r="7" ht="14" customHeight="1" s="116">
      <c r="A7" s="120" t="n"/>
      <c r="B7" s="8" t="inlineStr">
        <is>
          <t>客商编码</t>
        </is>
      </c>
      <c r="C7" s="8" t="inlineStr">
        <is>
          <t>合同编码</t>
        </is>
      </c>
      <c r="D7" s="9" t="inlineStr">
        <is>
          <t>客商名称</t>
        </is>
      </c>
      <c r="E7" s="11" t="inlineStr">
        <is>
          <t>主要工作内容</t>
        </is>
      </c>
      <c r="F7" s="11" t="inlineStr">
        <is>
          <t>是否办理最终结算</t>
        </is>
      </c>
      <c r="G7" s="12" t="inlineStr">
        <is>
          <t>最终结算时间</t>
        </is>
      </c>
      <c r="H7" s="142" t="inlineStr">
        <is>
          <t>商务、物资确认</t>
        </is>
      </c>
      <c r="I7" s="122" t="n"/>
      <c r="J7" s="122" t="n"/>
      <c r="K7" s="122" t="n"/>
      <c r="L7" s="123" t="n"/>
      <c r="M7" s="124" t="inlineStr">
        <is>
          <t>财务确认</t>
        </is>
      </c>
      <c r="N7" s="122" t="n"/>
      <c r="O7" s="122" t="n"/>
      <c r="P7" s="122" t="n"/>
      <c r="Q7" s="122" t="n"/>
      <c r="R7" s="123" t="n"/>
      <c r="S7" s="125" t="inlineStr">
        <is>
          <t>债务情况</t>
        </is>
      </c>
      <c r="T7" s="122" t="n"/>
      <c r="U7" s="122" t="n"/>
      <c r="V7" s="122" t="n"/>
      <c r="W7" s="122" t="n"/>
      <c r="X7" s="122" t="n"/>
      <c r="Y7" s="123" t="n"/>
      <c r="Z7" s="126" t="inlineStr">
        <is>
          <t>税务情况</t>
        </is>
      </c>
      <c r="AA7" s="122" t="n"/>
      <c r="AB7" s="122" t="n"/>
      <c r="AC7" s="122" t="n"/>
      <c r="AD7" s="122" t="n"/>
      <c r="AE7" s="122" t="n"/>
      <c r="AF7" s="122" t="n"/>
      <c r="AG7" s="122" t="n"/>
      <c r="AH7" s="122" t="n"/>
      <c r="AI7" s="122" t="n"/>
      <c r="AJ7" s="122" t="n"/>
      <c r="AK7" s="123" t="n"/>
      <c r="AL7" s="120" t="n"/>
    </row>
    <row r="8" ht="14" customHeight="1" s="116">
      <c r="A8" s="120" t="n"/>
      <c r="B8" s="120" t="n"/>
      <c r="C8" s="120" t="n"/>
      <c r="D8" s="120" t="n"/>
      <c r="E8" s="120" t="n"/>
      <c r="F8" s="120" t="n"/>
      <c r="G8" s="120" t="n"/>
      <c r="H8" s="142" t="inlineStr">
        <is>
          <t>商务已结(含税)</t>
        </is>
      </c>
      <c r="I8" s="142" t="inlineStr">
        <is>
          <t>截止目前应结未结(含税)</t>
        </is>
      </c>
      <c r="J8" s="142" t="inlineStr">
        <is>
          <t>实际诶计成本(含税)</t>
        </is>
      </c>
      <c r="K8" s="143" t="inlineStr">
        <is>
          <t>累计成本可抵扣增值税税金</t>
        </is>
      </c>
      <c r="L8" s="144" t="inlineStr">
        <is>
          <t>实际累计成本
（不含可抵扣税金）</t>
        </is>
      </c>
      <c r="M8" s="131" t="inlineStr">
        <is>
          <t>截止目前财务已入账成本（不含增值税）
**同财务账面合同履约成本/工程施工成本一致**</t>
        </is>
      </c>
      <c r="N8" s="131" t="inlineStr">
        <is>
          <t>已价税分离的增值税金
（财务账面数据）</t>
        </is>
      </c>
      <c r="O8" s="131" t="inlineStr">
        <is>
          <t>应入未入账成本（不含增值税）</t>
        </is>
      </c>
      <c r="P8" s="131" t="inlineStr">
        <is>
          <t>尚未价税分离的增值税金</t>
        </is>
      </c>
      <c r="Q8" s="131" t="inlineStr">
        <is>
          <t>实际成本
（不含增值税）</t>
        </is>
      </c>
      <c r="R8" s="131" t="inlineStr">
        <is>
          <t>实际成本
（含增值税）</t>
        </is>
      </c>
      <c r="S8" s="132" t="inlineStr">
        <is>
          <t>累计付款</t>
        </is>
      </c>
      <c r="T8" s="132" t="inlineStr">
        <is>
          <t>其中：财务账面已列报付款</t>
        </is>
      </c>
      <c r="U8" s="132" t="inlineStr">
        <is>
          <t>其中：已办理供应链或票据背书未入账付款</t>
        </is>
      </c>
      <c r="V8" s="132" t="inlineStr">
        <is>
          <t>其中：其他未入账付款</t>
        </is>
      </c>
      <c r="W8" s="132" t="inlineStr">
        <is>
          <t>债务总额</t>
        </is>
      </c>
      <c r="X8" s="132" t="inlineStr">
        <is>
          <t>其中：应付总额</t>
        </is>
      </c>
      <c r="Y8" s="132" t="inlineStr">
        <is>
          <t>是否已取得对账单
（以取得双方用印对账单为准）</t>
        </is>
      </c>
      <c r="Z8" s="133" t="inlineStr">
        <is>
          <t>累计已收取发票（含税）</t>
        </is>
      </c>
      <c r="AA8" s="133" t="inlineStr">
        <is>
          <t>其中：累计已收取营业税发票额</t>
        </is>
      </c>
      <c r="AB8" s="133" t="inlineStr">
        <is>
          <t>其中：累计已收取增值税发票额</t>
        </is>
      </c>
      <c r="AC8" s="133" t="inlineStr">
        <is>
          <t>其中：营业税及增值税预缴时已抵扣发票额</t>
        </is>
      </c>
      <c r="AD8" s="133" t="inlineStr">
        <is>
          <t>已收取增值税发票对应税额</t>
        </is>
      </c>
      <c r="AE8" s="133" t="inlineStr">
        <is>
          <t>其中：已认证税额</t>
        </is>
      </c>
      <c r="AF8" s="133" t="inlineStr">
        <is>
          <t>已收取待认证税额</t>
        </is>
      </c>
      <c r="AG8" s="133" t="n"/>
      <c r="AH8" s="133" t="inlineStr">
        <is>
          <t>按结算未收取发票额</t>
        </is>
      </c>
      <c r="AI8" s="133" t="inlineStr">
        <is>
          <t>按付款未收取发票额</t>
        </is>
      </c>
      <c r="AJ8" s="133" t="inlineStr">
        <is>
          <t>当前适用税率</t>
        </is>
      </c>
      <c r="AK8" s="133" t="inlineStr">
        <is>
          <t>其他应收-待扣减税额</t>
        </is>
      </c>
      <c r="AL8" s="120" t="n"/>
    </row>
    <row r="9" ht="14" customHeight="1" s="116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8" t="n"/>
      <c r="U9" s="128" t="n"/>
      <c r="V9" s="128" t="n"/>
      <c r="W9" s="128" t="n"/>
      <c r="X9" s="128" t="n"/>
      <c r="Y9" s="128" t="n"/>
      <c r="Z9" s="128" t="n"/>
      <c r="AA9" s="128" t="n"/>
      <c r="AB9" s="128" t="n"/>
      <c r="AC9" s="128" t="n"/>
      <c r="AD9" s="128" t="n"/>
      <c r="AE9" s="128" t="n"/>
      <c r="AF9" s="128" t="n"/>
      <c r="AG9" s="128" t="n"/>
      <c r="AH9" s="128" t="n"/>
      <c r="AI9" s="128" t="n"/>
      <c r="AJ9" s="128" t="n"/>
      <c r="AK9" s="128" t="n"/>
      <c r="AL9" s="120" t="n"/>
    </row>
    <row r="10" ht="14" customHeight="1" s="116">
      <c r="A10" s="18" t="n"/>
      <c r="B10" s="18" t="n">
        <v>1</v>
      </c>
      <c r="C10" s="18" t="n">
        <v>2</v>
      </c>
      <c r="D10" s="18" t="n">
        <v>3</v>
      </c>
      <c r="E10" s="18" t="n">
        <v>4</v>
      </c>
      <c r="F10" s="18" t="n">
        <v>5</v>
      </c>
      <c r="G10" s="18" t="n">
        <v>6</v>
      </c>
      <c r="H10" s="18" t="n">
        <v>7</v>
      </c>
      <c r="I10" s="18" t="n">
        <v>8</v>
      </c>
      <c r="J10" s="18" t="inlineStr">
        <is>
          <t>9=7+8</t>
        </is>
      </c>
      <c r="K10" s="18" t="n">
        <v>10</v>
      </c>
      <c r="L10" s="18" t="inlineStr">
        <is>
          <t>11=9-10</t>
        </is>
      </c>
      <c r="M10" s="18" t="n">
        <v>12</v>
      </c>
      <c r="N10" s="18" t="n">
        <v>13</v>
      </c>
      <c r="O10" s="18" t="inlineStr">
        <is>
          <t>14=11-12</t>
        </is>
      </c>
      <c r="P10" s="18" t="inlineStr">
        <is>
          <t>15=10-13</t>
        </is>
      </c>
      <c r="Q10" s="18" t="inlineStr">
        <is>
          <t>16=12+14</t>
        </is>
      </c>
      <c r="R10" s="18" t="inlineStr">
        <is>
          <t>17=12+13+14+15</t>
        </is>
      </c>
      <c r="S10" s="18" t="n">
        <v>18</v>
      </c>
      <c r="T10" s="18" t="n">
        <v>19</v>
      </c>
      <c r="U10" s="18" t="n">
        <v>20</v>
      </c>
      <c r="V10" s="18" t="n">
        <v>21</v>
      </c>
      <c r="W10" s="18" t="n">
        <v>22</v>
      </c>
      <c r="X10" s="18" t="n">
        <v>23</v>
      </c>
      <c r="Y10" s="18" t="n">
        <v>24</v>
      </c>
      <c r="Z10" s="18" t="n">
        <v>25</v>
      </c>
      <c r="AA10" s="18" t="n">
        <v>26</v>
      </c>
      <c r="AB10" s="18" t="n">
        <v>27</v>
      </c>
      <c r="AC10" s="18" t="n">
        <v>28</v>
      </c>
      <c r="AD10" s="18" t="n">
        <v>29</v>
      </c>
      <c r="AE10" s="18" t="n">
        <v>30</v>
      </c>
      <c r="AF10" s="18" t="n">
        <v>31</v>
      </c>
      <c r="AG10" s="18" t="n">
        <v>32</v>
      </c>
      <c r="AH10" s="18" t="n">
        <v>33</v>
      </c>
      <c r="AI10" s="18" t="n">
        <v>34</v>
      </c>
      <c r="AJ10" s="18" t="n">
        <v>35</v>
      </c>
      <c r="AK10" s="18" t="n">
        <v>36</v>
      </c>
      <c r="AL10" s="128" t="n"/>
    </row>
    <row r="11" ht="14" customHeight="1" s="116">
      <c r="A11" s="19" t="n"/>
      <c r="B11" s="19" t="n"/>
      <c r="C11" s="19" t="n"/>
      <c r="D11" s="20" t="inlineStr">
        <is>
          <t>二、成本</t>
        </is>
      </c>
      <c r="E11" s="19" t="n"/>
      <c r="F11" s="19" t="n"/>
      <c r="G11" s="19" t="n"/>
      <c r="H11" s="140" t="n"/>
      <c r="I11" s="140" t="n"/>
      <c r="J11" s="140" t="n"/>
      <c r="K11" s="145" t="n"/>
      <c r="L11" s="146" t="n"/>
      <c r="M11" s="135" t="n"/>
      <c r="N11" s="135" t="n"/>
      <c r="O11" s="140">
        <f>L11-M11</f>
        <v/>
      </c>
      <c r="P11" s="140">
        <f>K11-N11</f>
        <v/>
      </c>
      <c r="Q11" s="140">
        <f>M11+O11</f>
        <v/>
      </c>
      <c r="R11" s="140">
        <f>M11+N11+O11+P11</f>
        <v/>
      </c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7" t="n"/>
      <c r="AK11" s="141">
        <f>AB11/1.17*0.17+AC11/1.16*0.16+AD11/1.11*0.11+AE11/1.1*0.1+AF11/1.09*0.09+AI11/1.03*0.03</f>
        <v/>
      </c>
      <c r="AL11" s="77" t="n"/>
    </row>
    <row r="12" ht="14" customHeight="1" s="116">
      <c r="A12" s="19" t="n"/>
      <c r="B12" s="19" t="n"/>
      <c r="C12" s="19" t="n"/>
      <c r="D12" s="22" t="inlineStr">
        <is>
          <t>（一）人工费</t>
        </is>
      </c>
      <c r="E12" s="19" t="n"/>
      <c r="F12" s="19" t="n"/>
      <c r="G12" s="19" t="n"/>
      <c r="H12" s="140" t="n"/>
      <c r="I12" s="140" t="n"/>
      <c r="J12" s="140" t="n"/>
      <c r="K12" s="145" t="n"/>
      <c r="L12" s="146" t="n"/>
      <c r="M12" s="135" t="n"/>
      <c r="N12" s="135" t="n"/>
      <c r="O12" s="140">
        <f>L12-M12</f>
        <v/>
      </c>
      <c r="P12" s="140">
        <f>K12-N12</f>
        <v/>
      </c>
      <c r="Q12" s="140">
        <f>M12+O12</f>
        <v/>
      </c>
      <c r="R12" s="140">
        <f>M12+N12+O12+P12</f>
        <v/>
      </c>
      <c r="S12" s="141" t="n"/>
      <c r="T12" s="141" t="n"/>
      <c r="U12" s="141" t="n"/>
      <c r="V12" s="141" t="n"/>
      <c r="W12" s="141" t="n"/>
      <c r="X12" s="141" t="n"/>
      <c r="Y12" s="141" t="n"/>
      <c r="Z12" s="141" t="n"/>
      <c r="AA12" s="147" t="n"/>
      <c r="AB12" s="147" t="n"/>
      <c r="AC12" s="147" t="n"/>
      <c r="AD12" s="147" t="n"/>
      <c r="AE12" s="147" t="n"/>
      <c r="AF12" s="147" t="n"/>
      <c r="AG12" s="147" t="n"/>
      <c r="AH12" s="147" t="n"/>
      <c r="AI12" s="147" t="n"/>
      <c r="AJ12" s="147" t="n"/>
      <c r="AK12" s="141">
        <f>AB12/1.17*0.17+AC12/1.16*0.16+AD12/1.11*0.11+AE12/1.1*0.1+AF12/1.09*0.09+AI12/1.03*0.03</f>
        <v/>
      </c>
      <c r="AL12" s="77" t="n"/>
    </row>
    <row r="13" ht="14" customHeight="1" s="116">
      <c r="A13" s="148" t="n">
        <v>1</v>
      </c>
      <c r="B13" s="148" t="n"/>
      <c r="C13" s="149" t="n"/>
      <c r="D13" s="149" t="inlineStr">
        <is>
          <t>FGD</t>
        </is>
      </c>
      <c r="E13" s="148" t="n"/>
      <c r="F13" s="148" t="n"/>
      <c r="G13" s="148" t="n"/>
      <c r="H13" s="148" t="n"/>
      <c r="I13" s="148" t="n"/>
      <c r="J13" s="148" t="n"/>
      <c r="K13" s="148" t="n"/>
      <c r="L13" s="148" t="n"/>
      <c r="M13" s="150" t="n">
        <v>1277824.57</v>
      </c>
      <c r="N13" s="148" t="n"/>
      <c r="O13" s="148">
        <f>L13-M13</f>
        <v/>
      </c>
      <c r="P13" s="148">
        <f>K13-N13</f>
        <v/>
      </c>
      <c r="Q13" s="148">
        <f>M13+O13</f>
        <v/>
      </c>
      <c r="R13" s="148">
        <f>M13+N13+O13+P13</f>
        <v/>
      </c>
      <c r="S13" s="148" t="n"/>
      <c r="T13" s="148" t="n"/>
      <c r="U13" s="148" t="n"/>
      <c r="V13" s="148" t="n"/>
    </row>
    <row r="14" ht="14" customHeight="1" s="116">
      <c r="A14" s="148" t="n">
        <v>2</v>
      </c>
      <c r="B14" s="148" t="inlineStr">
        <is>
          <t>20316418</t>
        </is>
      </c>
      <c r="C14" s="149" t="n"/>
      <c r="D14" s="149" t="inlineStr">
        <is>
          <t>姚建霞-封存</t>
        </is>
      </c>
      <c r="E14" s="148" t="n"/>
      <c r="F14" s="148" t="n"/>
      <c r="G14" s="148" t="n"/>
      <c r="H14" s="148" t="n"/>
      <c r="I14" s="148" t="n"/>
      <c r="J14" s="148" t="n"/>
      <c r="K14" s="148" t="n"/>
      <c r="L14" s="148" t="n"/>
      <c r="M14" s="150" t="n">
        <v>75440</v>
      </c>
      <c r="N14" s="148" t="n"/>
      <c r="O14" s="148">
        <f>L14-M14</f>
        <v/>
      </c>
      <c r="P14" s="148">
        <f>K14-N14</f>
        <v/>
      </c>
      <c r="Q14" s="148">
        <f>M14+O14</f>
        <v/>
      </c>
      <c r="R14" s="148">
        <f>M14+N14+O14+P14</f>
        <v/>
      </c>
      <c r="S14" s="148" t="n"/>
      <c r="T14" s="148" t="n"/>
      <c r="U14" s="148" t="n"/>
      <c r="V14" s="148" t="n"/>
    </row>
    <row r="15" ht="14" customHeight="1" s="116">
      <c r="A15" s="148" t="n">
        <v>3</v>
      </c>
      <c r="B15" s="148" t="inlineStr">
        <is>
          <t>100224730</t>
        </is>
      </c>
      <c r="C15" s="149" t="n"/>
      <c r="D15" s="149" t="inlineStr">
        <is>
          <t>广州市万有达建筑工程有限公司</t>
        </is>
      </c>
      <c r="E15" s="148" t="n"/>
      <c r="F15" s="148" t="n"/>
      <c r="G15" s="148" t="n"/>
      <c r="H15" s="148" t="n"/>
      <c r="I15" s="148" t="n"/>
      <c r="J15" s="148" t="n"/>
      <c r="K15" s="148" t="n"/>
      <c r="L15" s="148" t="n"/>
      <c r="M15" s="150" t="n">
        <v>39139848.98</v>
      </c>
      <c r="N15" s="148" t="n"/>
      <c r="O15" s="148">
        <f>L15-M15</f>
        <v/>
      </c>
      <c r="P15" s="148">
        <f>K15-N15</f>
        <v/>
      </c>
      <c r="Q15" s="148">
        <f>M15+O15</f>
        <v/>
      </c>
      <c r="R15" s="148">
        <f>M15+N15+O15+P15</f>
        <v/>
      </c>
      <c r="S15" s="148" t="n"/>
      <c r="T15" s="148" t="n"/>
      <c r="U15" s="148" t="n"/>
      <c r="V15" s="148" t="n"/>
    </row>
    <row r="16" ht="14" customHeight="1" s="116">
      <c r="A16" s="148" t="n">
        <v>4</v>
      </c>
      <c r="B16" s="148" t="inlineStr">
        <is>
          <t>20432690</t>
        </is>
      </c>
      <c r="C16" s="149" t="n"/>
      <c r="D16" s="149" t="inlineStr">
        <is>
          <t>朱新伟</t>
        </is>
      </c>
      <c r="E16" s="148" t="n"/>
      <c r="F16" s="148" t="n"/>
      <c r="G16" s="148" t="n"/>
      <c r="H16" s="148" t="n"/>
      <c r="I16" s="148" t="n"/>
      <c r="J16" s="148" t="n"/>
      <c r="K16" s="148" t="n"/>
      <c r="L16" s="148" t="n"/>
      <c r="M16" s="150" t="n">
        <v>59500</v>
      </c>
      <c r="N16" s="148" t="n"/>
      <c r="O16" s="148">
        <f>L16-M16</f>
        <v/>
      </c>
      <c r="P16" s="148">
        <f>K16-N16</f>
        <v/>
      </c>
      <c r="Q16" s="148">
        <f>M16+O16</f>
        <v/>
      </c>
      <c r="R16" s="148">
        <f>M16+N16+O16+P16</f>
        <v/>
      </c>
      <c r="S16" s="148" t="n"/>
      <c r="T16" s="148" t="n"/>
      <c r="U16" s="148" t="n"/>
      <c r="V16" s="148" t="n"/>
    </row>
    <row r="17" ht="14" customHeight="1" s="116">
      <c r="A17" s="148" t="n">
        <v>5</v>
      </c>
      <c r="B17" s="148" t="inlineStr">
        <is>
          <t>20222132</t>
        </is>
      </c>
      <c r="C17" s="149" t="n"/>
      <c r="D17" s="149" t="inlineStr">
        <is>
          <t>汤燕英-封存</t>
        </is>
      </c>
      <c r="E17" s="148" t="n"/>
      <c r="F17" s="148" t="n"/>
      <c r="G17" s="148" t="n"/>
      <c r="H17" s="148" t="n"/>
      <c r="I17" s="148" t="n"/>
      <c r="J17" s="148" t="n"/>
      <c r="K17" s="148" t="n"/>
      <c r="L17" s="148" t="n"/>
      <c r="M17" s="150" t="n">
        <v>71338.33</v>
      </c>
      <c r="N17" s="148" t="n"/>
      <c r="O17" s="148">
        <f>L17-M17</f>
        <v/>
      </c>
      <c r="P17" s="148">
        <f>K17-N17</f>
        <v/>
      </c>
      <c r="Q17" s="148">
        <f>M17+O17</f>
        <v/>
      </c>
      <c r="R17" s="148">
        <f>M17+N17+O17+P17</f>
        <v/>
      </c>
      <c r="S17" s="148" t="n"/>
      <c r="T17" s="148" t="n"/>
      <c r="U17" s="148" t="n"/>
      <c r="V17" s="148" t="n"/>
    </row>
    <row r="18" ht="14" customHeight="1" s="116">
      <c r="A18" s="148" t="n">
        <v>6</v>
      </c>
      <c r="B18" s="148" t="inlineStr">
        <is>
          <t>200421551</t>
        </is>
      </c>
      <c r="C18" s="149" t="n"/>
      <c r="D18" s="149" t="inlineStr">
        <is>
          <t>湖南阳旭建筑劳务服务有限公司</t>
        </is>
      </c>
      <c r="E18" s="148" t="n"/>
      <c r="F18" s="148" t="n"/>
      <c r="G18" s="148" t="n"/>
      <c r="H18" s="148" t="n"/>
      <c r="I18" s="148" t="n"/>
      <c r="J18" s="148" t="n"/>
      <c r="K18" s="148" t="n"/>
      <c r="L18" s="148" t="n"/>
      <c r="M18" s="150" t="n">
        <v>149405.03</v>
      </c>
      <c r="N18" s="148" t="n"/>
      <c r="O18" s="148">
        <f>L18-M18</f>
        <v/>
      </c>
      <c r="P18" s="148">
        <f>K18-N18</f>
        <v/>
      </c>
      <c r="Q18" s="148">
        <f>M18+O18</f>
        <v/>
      </c>
      <c r="R18" s="148">
        <f>M18+N18+O18+P18</f>
        <v/>
      </c>
      <c r="S18" s="148" t="n"/>
      <c r="T18" s="148" t="n"/>
      <c r="U18" s="148" t="n"/>
      <c r="V18" s="148" t="n"/>
    </row>
    <row r="19" ht="14" customHeight="1" s="116">
      <c r="A19" s="148" t="n">
        <v>7</v>
      </c>
      <c r="B19" s="148" t="inlineStr">
        <is>
          <t>20450032</t>
        </is>
      </c>
      <c r="C19" s="149" t="n"/>
      <c r="D19" s="149" t="inlineStr">
        <is>
          <t>胡伟龙</t>
        </is>
      </c>
      <c r="E19" s="148" t="n"/>
      <c r="F19" s="148" t="n"/>
      <c r="G19" s="148" t="n"/>
      <c r="H19" s="148" t="n"/>
      <c r="I19" s="148" t="n"/>
      <c r="J19" s="148" t="n"/>
      <c r="K19" s="148" t="n"/>
      <c r="L19" s="148" t="n"/>
      <c r="M19" s="150" t="n">
        <v>74013.34</v>
      </c>
      <c r="N19" s="148" t="n"/>
      <c r="O19" s="148">
        <f>L19-M19</f>
        <v/>
      </c>
      <c r="P19" s="148">
        <f>K19-N19</f>
        <v/>
      </c>
      <c r="Q19" s="148">
        <f>M19+O19</f>
        <v/>
      </c>
      <c r="R19" s="148">
        <f>M19+N19+O19+P19</f>
        <v/>
      </c>
      <c r="S19" s="148" t="n"/>
      <c r="T19" s="148" t="n"/>
      <c r="U19" s="148" t="n"/>
      <c r="V19" s="148" t="n"/>
    </row>
    <row r="20" ht="14" customHeight="1" s="116">
      <c r="A20" s="19" t="n"/>
      <c r="B20" s="19" t="n"/>
      <c r="C20" s="19" t="n"/>
      <c r="D20" s="24" t="inlineStr">
        <is>
          <t>**财务未列部分需增列***</t>
        </is>
      </c>
      <c r="E20" s="25" t="n"/>
      <c r="F20" s="25" t="n"/>
      <c r="G20" s="25" t="n"/>
      <c r="H20" s="140" t="n"/>
      <c r="I20" s="140" t="n"/>
      <c r="J20" s="140" t="n"/>
      <c r="K20" s="145" t="n"/>
      <c r="L20" s="151" t="n"/>
      <c r="M20" s="140" t="n"/>
      <c r="N20" s="140" t="n"/>
      <c r="O20" s="140">
        <f>L20-M20</f>
        <v/>
      </c>
      <c r="P20" s="140">
        <f>K20-N20</f>
        <v/>
      </c>
      <c r="Q20" s="140">
        <f>M20+O20</f>
        <v/>
      </c>
      <c r="R20" s="140">
        <f>M20+N20+O20+P20</f>
        <v/>
      </c>
      <c r="S20" s="140" t="n"/>
      <c r="T20" s="140" t="n"/>
      <c r="U20" s="140" t="n"/>
      <c r="V20" s="140" t="n"/>
      <c r="W20" s="140" t="n"/>
      <c r="X20" s="140" t="n"/>
      <c r="Y20" s="140" t="n"/>
      <c r="Z20" s="140">
        <f>SUM(AA16:AJ16)</f>
        <v/>
      </c>
      <c r="AA20" s="152" t="n"/>
      <c r="AB20" s="141" t="n"/>
      <c r="AC20" s="141" t="n"/>
      <c r="AD20" s="141" t="n"/>
      <c r="AE20" s="141" t="n"/>
      <c r="AF20" s="141" t="n"/>
      <c r="AG20" s="141" t="n"/>
      <c r="AH20" s="141" t="n"/>
      <c r="AI20" s="141" t="n"/>
      <c r="AJ20" s="141" t="n"/>
      <c r="AK20" s="141">
        <f>AB16/1.17*0.17+AC16/1.16*0.16+AD16/1.11*0.11+AE16/1.1*0.1+AF16/1.09*0.09+AI16/1.03*0.03</f>
        <v/>
      </c>
      <c r="AL20" s="78" t="n"/>
    </row>
    <row r="21" ht="14" customHeight="1" s="116">
      <c r="A21" s="26" t="n"/>
      <c r="B21" s="26" t="n"/>
      <c r="C21" s="26" t="n"/>
      <c r="D21" s="27" t="inlineStr">
        <is>
          <t>人工费小计：</t>
        </is>
      </c>
      <c r="E21" s="153">
        <f>SUM(E12:E20)</f>
        <v/>
      </c>
      <c r="F21" s="153">
        <f>SUM(F12:F20)</f>
        <v/>
      </c>
      <c r="G21" s="153">
        <f>SUM(G12:G20)</f>
        <v/>
      </c>
      <c r="H21" s="153">
        <f>SUM(H12:H20)</f>
        <v/>
      </c>
      <c r="I21" s="153">
        <f>SUM(I12:I20)</f>
        <v/>
      </c>
      <c r="J21" s="153">
        <f>SUM(J12:J20)</f>
        <v/>
      </c>
      <c r="K21" s="153">
        <f>SUM(K12:K20)</f>
        <v/>
      </c>
      <c r="L21" s="153">
        <f>SUM(L12:L20)</f>
        <v/>
      </c>
      <c r="M21" s="153">
        <f>SUM(M12:M20)</f>
        <v/>
      </c>
      <c r="N21" s="153">
        <f>SUM(N12:N20)</f>
        <v/>
      </c>
      <c r="O21" s="153">
        <f>SUM(O12:O20)</f>
        <v/>
      </c>
      <c r="P21" s="153">
        <f>SUM(P12:P20)</f>
        <v/>
      </c>
      <c r="Q21" s="153">
        <f>SUM(Q12:Q20)</f>
        <v/>
      </c>
      <c r="R21" s="153">
        <f>SUM(R12:R20)</f>
        <v/>
      </c>
      <c r="S21" s="153">
        <f>SUM(S12:S20)</f>
        <v/>
      </c>
      <c r="T21" s="153">
        <f>SUM(T12:T20)</f>
        <v/>
      </c>
      <c r="U21" s="153">
        <f>SUM(U12:U20)</f>
        <v/>
      </c>
      <c r="V21" s="153">
        <f>SUM(V12:V20)</f>
        <v/>
      </c>
      <c r="W21" s="153">
        <f>SUM(W12:W20)</f>
        <v/>
      </c>
      <c r="X21" s="153">
        <f>SUM(X12:X20)</f>
        <v/>
      </c>
      <c r="Y21" s="153">
        <f>SUM(Y12:Y20)</f>
        <v/>
      </c>
      <c r="Z21" s="153">
        <f>SUM(Z12:Z20)</f>
        <v/>
      </c>
      <c r="AA21" s="153">
        <f>SUM(AA12:AA20)</f>
        <v/>
      </c>
      <c r="AB21" s="153">
        <f>SUM(AB12:AB20)</f>
        <v/>
      </c>
      <c r="AC21" s="153">
        <f>SUM(AC12:AC20)</f>
        <v/>
      </c>
      <c r="AD21" s="153">
        <f>SUM(AD12:AD20)</f>
        <v/>
      </c>
      <c r="AE21" s="153">
        <f>SUM(AE12:AE20)</f>
        <v/>
      </c>
      <c r="AF21" s="153">
        <f>SUM(AF12:AF20)</f>
        <v/>
      </c>
      <c r="AG21" s="153">
        <f>SUM(AG12:AG20)</f>
        <v/>
      </c>
      <c r="AH21" s="153">
        <f>SUM(AH12:AH20)</f>
        <v/>
      </c>
      <c r="AI21" s="153">
        <f>SUM(AI12:AI20)</f>
        <v/>
      </c>
      <c r="AJ21" s="153">
        <f>SUM(AJ12:AJ20)</f>
        <v/>
      </c>
      <c r="AK21" s="153">
        <f>SUM(AK12:AK20)</f>
        <v/>
      </c>
      <c r="AL21" s="77" t="n"/>
    </row>
    <row r="22" ht="14" customHeight="1" s="116">
      <c r="A22" s="19" t="n"/>
      <c r="B22" s="19" t="n"/>
      <c r="C22" s="19" t="n"/>
      <c r="D22" s="29" t="inlineStr">
        <is>
          <t>（二）分包工程</t>
        </is>
      </c>
      <c r="E22" s="19" t="n"/>
      <c r="F22" s="19" t="n"/>
      <c r="G22" s="19" t="n"/>
      <c r="H22" s="140" t="n"/>
      <c r="I22" s="140" t="n"/>
      <c r="J22" s="140" t="n"/>
      <c r="K22" s="145" t="n"/>
      <c r="L22" s="151" t="n"/>
      <c r="M22" s="140" t="n"/>
      <c r="N22" s="140" t="n"/>
      <c r="O22" s="140">
        <f>L18-M18</f>
        <v/>
      </c>
      <c r="P22" s="140">
        <f>K18-N18</f>
        <v/>
      </c>
      <c r="Q22" s="140">
        <f>M18+O18</f>
        <v/>
      </c>
      <c r="R22" s="140">
        <f>M18+N18+O18+P18</f>
        <v/>
      </c>
      <c r="S22" s="147" t="n"/>
      <c r="T22" s="147" t="n"/>
      <c r="U22" s="147" t="n"/>
      <c r="V22" s="147" t="n"/>
      <c r="W22" s="147" t="n"/>
      <c r="X22" s="147" t="n"/>
      <c r="Y22" s="147" t="n"/>
      <c r="Z22" s="147" t="n"/>
      <c r="AA22" s="147" t="n"/>
      <c r="AB22" s="147" t="n"/>
      <c r="AC22" s="147" t="n"/>
      <c r="AD22" s="147" t="n"/>
      <c r="AE22" s="147" t="n"/>
      <c r="AF22" s="147" t="n"/>
      <c r="AG22" s="147" t="n"/>
      <c r="AH22" s="147" t="n"/>
      <c r="AI22" s="147" t="n"/>
      <c r="AJ22" s="147" t="n"/>
      <c r="AK22" s="141">
        <f>AB18/1.17*0.17+AC18/1.16*0.16+AD18/1.11*0.11+AE18/1.1*0.1+AF18/1.09*0.09+AI18/1.03*0.03</f>
        <v/>
      </c>
      <c r="AL22" s="77" t="n"/>
    </row>
    <row r="23" ht="14" customHeight="1" s="116">
      <c r="A23" s="148" t="n">
        <v>1</v>
      </c>
      <c r="B23" s="148" t="inlineStr">
        <is>
          <t>200084879</t>
        </is>
      </c>
      <c r="C23" s="149" t="n"/>
      <c r="D23" s="149" t="inlineStr">
        <is>
          <t>广东新添美安防技术有限公司</t>
        </is>
      </c>
      <c r="E23" s="148" t="n"/>
      <c r="F23" s="148" t="n"/>
      <c r="G23" s="148" t="n"/>
      <c r="H23" s="148" t="n"/>
      <c r="I23" s="148" t="n"/>
      <c r="J23" s="148" t="n"/>
      <c r="K23" s="148" t="n"/>
      <c r="L23" s="148" t="n"/>
      <c r="M23" s="150" t="n">
        <v>7542836.89</v>
      </c>
      <c r="N23" s="148" t="n"/>
      <c r="O23" s="148">
        <f>L23-M23</f>
        <v/>
      </c>
      <c r="P23" s="148">
        <f>K23-N23</f>
        <v/>
      </c>
      <c r="Q23" s="148">
        <f>M23+O23</f>
        <v/>
      </c>
      <c r="R23" s="148">
        <f>M23+N23+O23+P23</f>
        <v/>
      </c>
      <c r="S23" s="148" t="n"/>
      <c r="T23" s="148" t="n"/>
      <c r="U23" s="148" t="n"/>
      <c r="V23" s="148" t="n"/>
    </row>
    <row r="24" ht="14" customHeight="1" s="116">
      <c r="A24" s="148" t="n">
        <v>2</v>
      </c>
      <c r="B24" s="148" t="inlineStr">
        <is>
          <t>200053581</t>
        </is>
      </c>
      <c r="C24" s="149" t="n"/>
      <c r="D24" s="149" t="inlineStr">
        <is>
          <t>广东粤忠晟保安服务有限公司</t>
        </is>
      </c>
      <c r="E24" s="148" t="n"/>
      <c r="F24" s="148" t="n"/>
      <c r="G24" s="148" t="n"/>
      <c r="H24" s="148" t="n"/>
      <c r="I24" s="148" t="n"/>
      <c r="J24" s="148" t="n"/>
      <c r="K24" s="148" t="n"/>
      <c r="L24" s="148" t="n"/>
      <c r="M24" s="150" t="n">
        <v>1429064.55</v>
      </c>
      <c r="N24" s="148" t="n"/>
      <c r="O24" s="148">
        <f>L24-M24</f>
        <v/>
      </c>
      <c r="P24" s="148">
        <f>K24-N24</f>
        <v/>
      </c>
      <c r="Q24" s="148">
        <f>M24+O24</f>
        <v/>
      </c>
      <c r="R24" s="148">
        <f>M24+N24+O24+P24</f>
        <v/>
      </c>
      <c r="S24" s="148" t="n"/>
      <c r="T24" s="148" t="n"/>
      <c r="U24" s="148" t="n"/>
      <c r="V24" s="148" t="n"/>
    </row>
    <row r="25" ht="14" customHeight="1" s="116">
      <c r="A25" s="148" t="n">
        <v>3</v>
      </c>
      <c r="B25" s="148" t="n"/>
      <c r="C25" s="149" t="n"/>
      <c r="D25" s="149" t="inlineStr">
        <is>
          <t>无客商-计提汤村复1地块安全生产费</t>
        </is>
      </c>
      <c r="E25" s="148" t="n"/>
      <c r="F25" s="148" t="n"/>
      <c r="G25" s="148" t="n"/>
      <c r="H25" s="148" t="n"/>
      <c r="I25" s="148" t="n"/>
      <c r="J25" s="148" t="n"/>
      <c r="K25" s="148" t="n"/>
      <c r="L25" s="148" t="n"/>
      <c r="M25" s="150" t="n">
        <v>-5809818.35</v>
      </c>
      <c r="N25" s="148" t="n"/>
      <c r="O25" s="148">
        <f>L25-M25</f>
        <v/>
      </c>
      <c r="P25" s="148">
        <f>K25-N25</f>
        <v/>
      </c>
      <c r="Q25" s="148">
        <f>M25+O25</f>
        <v/>
      </c>
      <c r="R25" s="148">
        <f>M25+N25+O25+P25</f>
        <v/>
      </c>
      <c r="S25" s="148" t="n"/>
      <c r="T25" s="148" t="n"/>
      <c r="U25" s="148" t="n"/>
      <c r="V25" s="148" t="n"/>
    </row>
    <row r="26" ht="14" customHeight="1" s="116">
      <c r="A26" s="148" t="n">
        <v>4</v>
      </c>
      <c r="B26" s="148" t="n"/>
      <c r="C26" s="149" t="n"/>
      <c r="D26" s="149" t="inlineStr">
        <is>
          <t>无客商-计提汤村汤村复1地块安全生产费</t>
        </is>
      </c>
      <c r="E26" s="148" t="n"/>
      <c r="F26" s="148" t="n"/>
      <c r="G26" s="148" t="n"/>
      <c r="H26" s="148" t="n"/>
      <c r="I26" s="148" t="n"/>
      <c r="J26" s="148" t="n"/>
      <c r="K26" s="148" t="n"/>
      <c r="L26" s="148" t="n"/>
      <c r="M26" s="150" t="n">
        <v>0</v>
      </c>
      <c r="N26" s="148" t="n"/>
      <c r="O26" s="148">
        <f>L26-M26</f>
        <v/>
      </c>
      <c r="P26" s="148">
        <f>K26-N26</f>
        <v/>
      </c>
      <c r="Q26" s="148">
        <f>M26+O26</f>
        <v/>
      </c>
      <c r="R26" s="148">
        <f>M26+N26+O26+P26</f>
        <v/>
      </c>
      <c r="S26" s="148" t="n"/>
      <c r="T26" s="148" t="n"/>
      <c r="U26" s="148" t="n"/>
      <c r="V26" s="148" t="n"/>
    </row>
    <row r="27" ht="14" customHeight="1" s="116">
      <c r="A27" s="148" t="n">
        <v>5</v>
      </c>
      <c r="B27" s="148" t="inlineStr">
        <is>
          <t>100089001</t>
        </is>
      </c>
      <c r="C27" s="149" t="n"/>
      <c r="D27" s="149" t="inlineStr">
        <is>
          <t>正工模块化建筑科技（深圳）有限公司</t>
        </is>
      </c>
      <c r="E27" s="148" t="n"/>
      <c r="F27" s="148" t="n"/>
      <c r="G27" s="148" t="n"/>
      <c r="H27" s="148" t="n"/>
      <c r="I27" s="148" t="n"/>
      <c r="J27" s="148" t="n"/>
      <c r="K27" s="148" t="n"/>
      <c r="L27" s="148" t="n"/>
      <c r="M27" s="150" t="n">
        <v>1322968.79</v>
      </c>
      <c r="N27" s="148" t="n"/>
      <c r="O27" s="148">
        <f>L27-M27</f>
        <v/>
      </c>
      <c r="P27" s="148">
        <f>K27-N27</f>
        <v/>
      </c>
      <c r="Q27" s="148">
        <f>M27+O27</f>
        <v/>
      </c>
      <c r="R27" s="148">
        <f>M27+N27+O27+P27</f>
        <v/>
      </c>
      <c r="S27" s="148" t="n"/>
      <c r="T27" s="148" t="n"/>
      <c r="U27" s="148" t="n"/>
      <c r="V27" s="148" t="n"/>
    </row>
    <row r="28" ht="14" customHeight="1" s="116">
      <c r="A28" s="148" t="n">
        <v>6</v>
      </c>
      <c r="B28" s="148" t="inlineStr">
        <is>
          <t>100089014</t>
        </is>
      </c>
      <c r="C28" s="149" t="n"/>
      <c r="D28" s="149" t="inlineStr">
        <is>
          <t>江西志特新材料股份有限公司</t>
        </is>
      </c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50" t="n">
        <v>6462444.78</v>
      </c>
      <c r="N28" s="148" t="n"/>
      <c r="O28" s="148">
        <f>L28-M28</f>
        <v/>
      </c>
      <c r="P28" s="148">
        <f>K28-N28</f>
        <v/>
      </c>
      <c r="Q28" s="148">
        <f>M28+O28</f>
        <v/>
      </c>
      <c r="R28" s="148">
        <f>M28+N28+O28+P28</f>
        <v/>
      </c>
      <c r="S28" s="148" t="n"/>
      <c r="T28" s="148" t="n"/>
      <c r="U28" s="148" t="n"/>
      <c r="V28" s="148" t="n"/>
    </row>
    <row r="29" ht="14" customHeight="1" s="116">
      <c r="A29" s="148" t="n">
        <v>7</v>
      </c>
      <c r="B29" s="148" t="inlineStr">
        <is>
          <t>100095072</t>
        </is>
      </c>
      <c r="C29" s="149" t="n"/>
      <c r="D29" s="149" t="inlineStr">
        <is>
          <t>深圳市华西安装工程有限公司</t>
        </is>
      </c>
      <c r="E29" s="148" t="n"/>
      <c r="F29" s="148" t="n"/>
      <c r="G29" s="148" t="n"/>
      <c r="H29" s="148" t="n"/>
      <c r="I29" s="148" t="n"/>
      <c r="J29" s="148" t="n"/>
      <c r="K29" s="148" t="n"/>
      <c r="L29" s="148" t="n"/>
      <c r="M29" s="150" t="n">
        <v>16033034.52</v>
      </c>
      <c r="N29" s="148" t="n"/>
      <c r="O29" s="148">
        <f>L29-M29</f>
        <v/>
      </c>
      <c r="P29" s="148">
        <f>K29-N29</f>
        <v/>
      </c>
      <c r="Q29" s="148">
        <f>M29+O29</f>
        <v/>
      </c>
      <c r="R29" s="148">
        <f>M29+N29+O29+P29</f>
        <v/>
      </c>
      <c r="S29" s="148" t="n"/>
      <c r="T29" s="148" t="n"/>
      <c r="U29" s="148" t="n"/>
      <c r="V29" s="148" t="n"/>
    </row>
    <row r="30" ht="14" customHeight="1" s="116">
      <c r="A30" s="148" t="n">
        <v>8</v>
      </c>
      <c r="B30" s="148" t="inlineStr">
        <is>
          <t>100010344</t>
        </is>
      </c>
      <c r="C30" s="149" t="n"/>
      <c r="D30" s="149" t="inlineStr">
        <is>
          <t>湖北省隆兴防水材料有限责任公司</t>
        </is>
      </c>
      <c r="E30" s="148" t="n"/>
      <c r="F30" s="148" t="n"/>
      <c r="G30" s="148" t="n"/>
      <c r="H30" s="148" t="n"/>
      <c r="I30" s="148" t="n"/>
      <c r="J30" s="148" t="n"/>
      <c r="K30" s="148" t="n"/>
      <c r="L30" s="148" t="n"/>
      <c r="M30" s="150" t="n">
        <v>3141650.02</v>
      </c>
      <c r="N30" s="148" t="n"/>
      <c r="O30" s="148">
        <f>L30-M30</f>
        <v/>
      </c>
      <c r="P30" s="148">
        <f>K30-N30</f>
        <v/>
      </c>
      <c r="Q30" s="148">
        <f>M30+O30</f>
        <v/>
      </c>
      <c r="R30" s="148">
        <f>M30+N30+O30+P30</f>
        <v/>
      </c>
      <c r="S30" s="148" t="n"/>
      <c r="T30" s="148" t="n"/>
      <c r="U30" s="148" t="n"/>
      <c r="V30" s="148" t="n"/>
    </row>
    <row r="31" ht="14" customHeight="1" s="116">
      <c r="A31" s="148" t="n">
        <v>9</v>
      </c>
      <c r="B31" s="148" t="inlineStr">
        <is>
          <t>200421551</t>
        </is>
      </c>
      <c r="C31" s="149" t="n"/>
      <c r="D31" s="149" t="inlineStr">
        <is>
          <t>湖南阳旭建筑劳务服务有限公司</t>
        </is>
      </c>
      <c r="E31" s="148" t="n"/>
      <c r="F31" s="148" t="n"/>
      <c r="G31" s="148" t="n"/>
      <c r="H31" s="148" t="n"/>
      <c r="I31" s="148" t="n"/>
      <c r="J31" s="148" t="n"/>
      <c r="K31" s="148" t="n"/>
      <c r="L31" s="148" t="n"/>
      <c r="M31" s="150" t="n">
        <v>39456446.11</v>
      </c>
      <c r="N31" s="148" t="n"/>
      <c r="O31" s="148">
        <f>L31-M31</f>
        <v/>
      </c>
      <c r="P31" s="148">
        <f>K31-N31</f>
        <v/>
      </c>
      <c r="Q31" s="148">
        <f>M31+O31</f>
        <v/>
      </c>
      <c r="R31" s="148">
        <f>M31+N31+O31+P31</f>
        <v/>
      </c>
      <c r="S31" s="148" t="n"/>
      <c r="T31" s="148" t="n"/>
      <c r="U31" s="148" t="n"/>
      <c r="V31" s="148" t="n"/>
    </row>
    <row r="32" ht="26" customHeight="1" s="116">
      <c r="A32" s="19" t="n"/>
      <c r="B32" s="19" t="n"/>
      <c r="C32" s="19" t="n"/>
      <c r="D32" s="24" t="inlineStr">
        <is>
          <t>**财务未列部分需增列***</t>
        </is>
      </c>
      <c r="E32" s="154" t="n"/>
      <c r="F32" s="154" t="n"/>
      <c r="G32" s="154" t="n"/>
      <c r="H32" s="140" t="n"/>
      <c r="I32" s="140" t="n"/>
      <c r="J32" s="140" t="n"/>
      <c r="K32" s="145" t="n"/>
      <c r="L32" s="151" t="n"/>
      <c r="M32" s="140" t="n"/>
      <c r="N32" s="140" t="n"/>
      <c r="O32" s="140">
        <f>L32-M32</f>
        <v/>
      </c>
      <c r="P32" s="140">
        <f>K32-N32</f>
        <v/>
      </c>
      <c r="Q32" s="140">
        <f>M32+O32</f>
        <v/>
      </c>
      <c r="R32" s="140">
        <f>M32+N32+O32+P32</f>
        <v/>
      </c>
      <c r="S32" s="140" t="n"/>
      <c r="T32" s="140" t="n"/>
      <c r="U32" s="140" t="n"/>
      <c r="V32" s="140" t="n"/>
      <c r="W32" s="140" t="n"/>
      <c r="X32" s="140" t="n"/>
      <c r="Y32" s="140" t="n"/>
      <c r="Z32" s="147" t="n"/>
      <c r="AA32" s="147" t="n"/>
      <c r="AB32" s="141" t="n"/>
      <c r="AC32" s="141" t="n"/>
      <c r="AD32" s="141" t="n"/>
      <c r="AE32" s="141" t="n"/>
      <c r="AF32" s="141" t="n"/>
      <c r="AG32" s="141" t="n"/>
      <c r="AH32" s="141" t="n"/>
      <c r="AI32" s="141" t="n"/>
      <c r="AJ32" s="141" t="n"/>
      <c r="AK32" s="141">
        <f>AB22/1.17*0.17+AC22/1.16*0.16+AD22/1.11*0.11+AE22/1.1*0.1+AF22/1.09*0.09+AI22/1.03*0.03</f>
        <v/>
      </c>
      <c r="AL32" s="78" t="n"/>
    </row>
    <row r="33" ht="14" customHeight="1" s="116">
      <c r="A33" s="26" t="n"/>
      <c r="B33" s="26" t="n"/>
      <c r="C33" s="26" t="n"/>
      <c r="D33" s="27" t="inlineStr">
        <is>
          <t>分包工程小计：</t>
        </is>
      </c>
      <c r="E33" s="153">
        <f>SUM(E22:E32)</f>
        <v/>
      </c>
      <c r="F33" s="153">
        <f>SUM(F22:F32)</f>
        <v/>
      </c>
      <c r="G33" s="153">
        <f>SUM(G22:G32)</f>
        <v/>
      </c>
      <c r="H33" s="153">
        <f>SUM(H22:H32)</f>
        <v/>
      </c>
      <c r="I33" s="153">
        <f>SUM(I22:I32)</f>
        <v/>
      </c>
      <c r="J33" s="153">
        <f>SUM(J22:J32)</f>
        <v/>
      </c>
      <c r="K33" s="153">
        <f>SUM(K22:K32)</f>
        <v/>
      </c>
      <c r="L33" s="153">
        <f>SUM(L22:L32)</f>
        <v/>
      </c>
      <c r="M33" s="153">
        <f>SUM(M22:M32)</f>
        <v/>
      </c>
      <c r="N33" s="153">
        <f>SUM(N22:N32)</f>
        <v/>
      </c>
      <c r="O33" s="153">
        <f>SUM(O22:O32)</f>
        <v/>
      </c>
      <c r="P33" s="153">
        <f>SUM(P22:P32)</f>
        <v/>
      </c>
      <c r="Q33" s="153">
        <f>SUM(Q22:Q32)</f>
        <v/>
      </c>
      <c r="R33" s="153">
        <f>SUM(R22:R32)</f>
        <v/>
      </c>
      <c r="S33" s="153">
        <f>SUM(S22:S32)</f>
        <v/>
      </c>
      <c r="T33" s="153">
        <f>SUM(T22:T32)</f>
        <v/>
      </c>
      <c r="U33" s="153">
        <f>SUM(U22:U32)</f>
        <v/>
      </c>
      <c r="V33" s="153">
        <f>SUM(V22:V32)</f>
        <v/>
      </c>
      <c r="W33" s="153">
        <f>SUM(W22:W32)</f>
        <v/>
      </c>
      <c r="X33" s="153">
        <f>SUM(X22:X32)</f>
        <v/>
      </c>
      <c r="Y33" s="153">
        <f>SUM(Y22:Y32)</f>
        <v/>
      </c>
      <c r="Z33" s="153">
        <f>SUM(Z22:Z32)</f>
        <v/>
      </c>
      <c r="AA33" s="153">
        <f>SUM(AA22:AA32)</f>
        <v/>
      </c>
      <c r="AB33" s="153">
        <f>SUM(AB22:AB32)</f>
        <v/>
      </c>
      <c r="AC33" s="153">
        <f>SUM(AC22:AC32)</f>
        <v/>
      </c>
      <c r="AD33" s="153">
        <f>SUM(AD22:AD32)</f>
        <v/>
      </c>
      <c r="AE33" s="153">
        <f>SUM(AE22:AE32)</f>
        <v/>
      </c>
      <c r="AF33" s="153">
        <f>SUM(AF22:AF32)</f>
        <v/>
      </c>
      <c r="AG33" s="153">
        <f>SUM(AG22:AG32)</f>
        <v/>
      </c>
      <c r="AH33" s="153">
        <f>SUM(AH22:AH32)</f>
        <v/>
      </c>
      <c r="AI33" s="153">
        <f>SUM(AI22:AI32)</f>
        <v/>
      </c>
      <c r="AJ33" s="153">
        <f>SUM(AJ22:AJ32)</f>
        <v/>
      </c>
      <c r="AK33" s="153">
        <f>SUM(AK22:AK32)</f>
        <v/>
      </c>
      <c r="AL33" s="77" t="n"/>
    </row>
    <row r="34" ht="14" customHeight="1" s="116">
      <c r="A34" s="19" t="n"/>
      <c r="B34" s="19" t="n"/>
      <c r="C34" s="19" t="n"/>
      <c r="D34" s="29" t="inlineStr">
        <is>
          <t>(三)材料费</t>
        </is>
      </c>
      <c r="E34" s="19" t="n"/>
      <c r="F34" s="19" t="n"/>
      <c r="G34" s="19" t="n"/>
      <c r="H34" s="140" t="n"/>
      <c r="I34" s="140" t="n"/>
      <c r="J34" s="140" t="n"/>
      <c r="K34" s="145" t="n"/>
      <c r="L34" s="151" t="n"/>
      <c r="M34" s="140" t="n"/>
      <c r="N34" s="140" t="n"/>
      <c r="O34" s="140">
        <f>L24-M24</f>
        <v/>
      </c>
      <c r="P34" s="140">
        <f>K24-N24</f>
        <v/>
      </c>
      <c r="Q34" s="140">
        <f>M24+O24</f>
        <v/>
      </c>
      <c r="R34" s="140">
        <f>M24+N24+O24+P24</f>
        <v/>
      </c>
      <c r="S34" s="147" t="n"/>
      <c r="T34" s="147" t="n"/>
      <c r="U34" s="147" t="n"/>
      <c r="V34" s="147" t="n"/>
      <c r="W34" s="147" t="n"/>
      <c r="X34" s="147" t="n"/>
      <c r="Y34" s="147" t="n"/>
      <c r="Z34" s="147" t="n"/>
      <c r="AA34" s="147" t="n"/>
      <c r="AB34" s="155" t="n"/>
      <c r="AC34" s="155" t="n"/>
      <c r="AD34" s="155" t="n"/>
      <c r="AE34" s="155" t="n"/>
      <c r="AF34" s="155" t="n"/>
      <c r="AG34" s="155" t="n"/>
      <c r="AH34" s="155" t="n"/>
      <c r="AI34" s="155" t="n"/>
      <c r="AJ34" s="155" t="n"/>
      <c r="AK34" s="141">
        <f>AB24/1.17*0.17+AC24/1.16*0.16+AD24/1.11*0.11+AE24/1.1*0.1+AF24/1.09*0.09+AI24/1.03*0.03</f>
        <v/>
      </c>
      <c r="AL34" s="79" t="n"/>
    </row>
    <row r="35" ht="14" customHeight="1" s="116">
      <c r="A35" s="19" t="n"/>
      <c r="B35" s="19" t="n"/>
      <c r="C35" s="19" t="n"/>
      <c r="D35" s="140" t="inlineStr">
        <is>
          <t>（1）集中采购</t>
        </is>
      </c>
      <c r="E35" s="19" t="n"/>
      <c r="F35" s="19" t="n"/>
      <c r="G35" s="19" t="n"/>
      <c r="H35" s="140" t="n"/>
      <c r="I35" s="140" t="n"/>
      <c r="J35" s="140" t="n"/>
      <c r="K35" s="145" t="n"/>
      <c r="L35" s="151" t="n"/>
      <c r="M35" s="140" t="n"/>
      <c r="N35" s="140" t="n"/>
      <c r="O35" s="140">
        <f>L25-M25</f>
        <v/>
      </c>
      <c r="P35" s="140">
        <f>K25-N25</f>
        <v/>
      </c>
      <c r="Q35" s="140">
        <f>M25+O25</f>
        <v/>
      </c>
      <c r="R35" s="140">
        <f>M25+N25+O25+P25</f>
        <v/>
      </c>
      <c r="S35" s="147" t="n"/>
      <c r="T35" s="147" t="n"/>
      <c r="U35" s="147" t="n"/>
      <c r="V35" s="147" t="n"/>
      <c r="W35" s="147" t="n"/>
      <c r="X35" s="147" t="n"/>
      <c r="Y35" s="147" t="n"/>
      <c r="Z35" s="147" t="n"/>
      <c r="AA35" s="147" t="n"/>
      <c r="AB35" s="155" t="n"/>
      <c r="AC35" s="155" t="n"/>
      <c r="AD35" s="155" t="n"/>
      <c r="AE35" s="155" t="n"/>
      <c r="AF35" s="155" t="n"/>
      <c r="AG35" s="155" t="n"/>
      <c r="AH35" s="155" t="n"/>
      <c r="AI35" s="155" t="n"/>
      <c r="AJ35" s="155" t="n"/>
      <c r="AK35" s="141">
        <f>AB25/1.17*0.17+AC25/1.16*0.16+AD25/1.11*0.11+AE25/1.1*0.1+AF25/1.09*0.09+AI25/1.03*0.03</f>
        <v/>
      </c>
      <c r="AL35" s="79" t="n"/>
    </row>
    <row r="36" ht="14" customHeight="1" s="116">
      <c r="A36" s="19" t="n">
        <v>1</v>
      </c>
      <c r="B36" s="19" t="n"/>
      <c r="C36" s="19" t="n"/>
      <c r="D36" s="156" t="n"/>
      <c r="E36" s="152" t="n"/>
      <c r="F36" s="152" t="n"/>
      <c r="G36" s="152" t="n"/>
      <c r="H36" s="140" t="n"/>
      <c r="I36" s="140" t="n"/>
      <c r="J36" s="140" t="n"/>
      <c r="K36" s="145" t="n"/>
      <c r="L36" s="151" t="n"/>
      <c r="M36" s="140" t="n"/>
      <c r="N36" s="140" t="n"/>
      <c r="O36" s="140">
        <f>L26-M26</f>
        <v/>
      </c>
      <c r="P36" s="140">
        <f>K26-N26</f>
        <v/>
      </c>
      <c r="Q36" s="140">
        <f>M26+O26</f>
        <v/>
      </c>
      <c r="R36" s="140">
        <f>M26+N26+O26+P26</f>
        <v/>
      </c>
      <c r="S36" s="147" t="n"/>
      <c r="T36" s="147" t="n"/>
      <c r="U36" s="147" t="n"/>
      <c r="V36" s="147" t="n"/>
      <c r="W36" s="147" t="n"/>
      <c r="X36" s="147" t="n"/>
      <c r="Y36" s="147" t="n"/>
      <c r="Z36" s="140">
        <f>SUM(AA26:AJ26)</f>
        <v/>
      </c>
      <c r="AA36" s="147" t="n"/>
      <c r="AB36" s="155" t="n"/>
      <c r="AC36" s="155" t="n"/>
      <c r="AD36" s="155" t="n"/>
      <c r="AE36" s="155" t="n"/>
      <c r="AF36" s="155" t="n"/>
      <c r="AG36" s="155" t="n"/>
      <c r="AH36" s="155" t="n"/>
      <c r="AI36" s="155" t="n"/>
      <c r="AJ36" s="155" t="n"/>
      <c r="AK36" s="141">
        <f>AB26/1.17*0.17+AC26/1.16*0.16+AD26/1.11*0.11+AE26/1.1*0.1+AF26/1.09*0.09+AI26/1.03*0.03</f>
        <v/>
      </c>
      <c r="AL36" s="79" t="n"/>
    </row>
    <row r="37" ht="14" customHeight="1" s="116">
      <c r="A37" s="19" t="n">
        <v>2</v>
      </c>
      <c r="B37" s="19" t="n"/>
      <c r="C37" s="19" t="n"/>
      <c r="D37" s="156" t="n"/>
      <c r="E37" s="152" t="n"/>
      <c r="F37" s="152" t="n"/>
      <c r="G37" s="152" t="n"/>
      <c r="H37" s="140" t="n"/>
      <c r="I37" s="140" t="n"/>
      <c r="J37" s="140" t="n"/>
      <c r="K37" s="145" t="n"/>
      <c r="L37" s="151" t="n"/>
      <c r="M37" s="140" t="n"/>
      <c r="N37" s="140" t="n"/>
      <c r="O37" s="140">
        <f>L27-M27</f>
        <v/>
      </c>
      <c r="P37" s="140">
        <f>K27-N27</f>
        <v/>
      </c>
      <c r="Q37" s="140">
        <f>M27+O27</f>
        <v/>
      </c>
      <c r="R37" s="140">
        <f>M27+N27+O27+P27</f>
        <v/>
      </c>
      <c r="S37" s="147" t="n"/>
      <c r="T37" s="147" t="n"/>
      <c r="U37" s="147" t="n"/>
      <c r="V37" s="147" t="n"/>
      <c r="W37" s="147" t="n"/>
      <c r="X37" s="147" t="n"/>
      <c r="Y37" s="147" t="n"/>
      <c r="Z37" s="140">
        <f>SUM(AA27:AJ27)</f>
        <v/>
      </c>
      <c r="AA37" s="147" t="n"/>
      <c r="AB37" s="155" t="n"/>
      <c r="AC37" s="155" t="n"/>
      <c r="AD37" s="155" t="n"/>
      <c r="AE37" s="155" t="n"/>
      <c r="AF37" s="155" t="n"/>
      <c r="AG37" s="155" t="n"/>
      <c r="AH37" s="155" t="n"/>
      <c r="AI37" s="155" t="n"/>
      <c r="AJ37" s="155" t="n"/>
      <c r="AK37" s="141">
        <f>AB27/1.17*0.17+AC27/1.16*0.16+AD27/1.11*0.11+AE27/1.1*0.1+AF27/1.09*0.09+AI27/1.03*0.03</f>
        <v/>
      </c>
      <c r="AL37" s="79" t="n"/>
    </row>
    <row r="38" ht="14" customHeight="1" s="116">
      <c r="A38" s="19" t="n">
        <v>3</v>
      </c>
      <c r="B38" s="19" t="n"/>
      <c r="C38" s="19" t="n"/>
      <c r="D38" s="156" t="n"/>
      <c r="E38" s="152" t="n"/>
      <c r="F38" s="152" t="n"/>
      <c r="G38" s="152" t="n"/>
      <c r="H38" s="140" t="n"/>
      <c r="I38" s="140" t="n"/>
      <c r="J38" s="140" t="n"/>
      <c r="K38" s="145" t="n"/>
      <c r="L38" s="151" t="n"/>
      <c r="M38" s="140" t="n"/>
      <c r="N38" s="140" t="n"/>
      <c r="O38" s="140">
        <f>L28-M28</f>
        <v/>
      </c>
      <c r="P38" s="140">
        <f>K28-N28</f>
        <v/>
      </c>
      <c r="Q38" s="140">
        <f>M28+O28</f>
        <v/>
      </c>
      <c r="R38" s="140">
        <f>M28+N28+O28+P28</f>
        <v/>
      </c>
      <c r="S38" s="147" t="n"/>
      <c r="T38" s="147" t="n"/>
      <c r="U38" s="147" t="n"/>
      <c r="V38" s="147" t="n"/>
      <c r="W38" s="147" t="n"/>
      <c r="X38" s="147" t="n"/>
      <c r="Y38" s="147" t="n"/>
      <c r="Z38" s="140">
        <f>SUM(AA28:AJ28)</f>
        <v/>
      </c>
      <c r="AA38" s="147" t="n"/>
      <c r="AB38" s="155" t="n"/>
      <c r="AC38" s="155" t="n"/>
      <c r="AD38" s="155" t="n"/>
      <c r="AE38" s="155" t="n"/>
      <c r="AF38" s="155" t="n"/>
      <c r="AG38" s="155" t="n"/>
      <c r="AH38" s="155" t="n"/>
      <c r="AI38" s="155" t="n"/>
      <c r="AJ38" s="155" t="n"/>
      <c r="AK38" s="141">
        <f>AB28/1.17*0.17+AC28/1.16*0.16+AD28/1.11*0.11+AE28/1.1*0.1+AF28/1.09*0.09+AI28/1.03*0.03</f>
        <v/>
      </c>
      <c r="AL38" s="79" t="n"/>
    </row>
    <row r="39" ht="14" customHeight="1" s="116">
      <c r="A39" s="19" t="n"/>
      <c r="B39" s="19" t="n"/>
      <c r="C39" s="19" t="n"/>
      <c r="D39" s="140" t="inlineStr">
        <is>
          <t>（2）自行采购</t>
        </is>
      </c>
      <c r="E39" s="154" t="n"/>
      <c r="F39" s="154" t="n"/>
      <c r="G39" s="154" t="n"/>
      <c r="H39" s="140" t="n">
        <v>0</v>
      </c>
      <c r="I39" s="140" t="n"/>
      <c r="J39" s="140" t="n"/>
      <c r="K39" s="145" t="n"/>
      <c r="L39" s="151" t="n"/>
      <c r="M39" s="140" t="n"/>
      <c r="N39" s="140" t="n"/>
      <c r="O39" s="140">
        <f>L29-M29</f>
        <v/>
      </c>
      <c r="P39" s="140">
        <f>K29-N29</f>
        <v/>
      </c>
      <c r="Q39" s="140">
        <f>M29+O29</f>
        <v/>
      </c>
      <c r="R39" s="140">
        <f>M29+N29+O29+P29</f>
        <v/>
      </c>
      <c r="S39" s="147" t="n"/>
      <c r="T39" s="147" t="n"/>
      <c r="U39" s="147" t="n"/>
      <c r="V39" s="147" t="n"/>
      <c r="W39" s="147" t="n"/>
      <c r="X39" s="147" t="n"/>
      <c r="Y39" s="147" t="n"/>
      <c r="Z39" s="140">
        <f>SUM(AA29:AJ29)</f>
        <v/>
      </c>
      <c r="AA39" s="147" t="n"/>
      <c r="AB39" s="155" t="n"/>
      <c r="AC39" s="155" t="n"/>
      <c r="AD39" s="155" t="n"/>
      <c r="AE39" s="155" t="n"/>
      <c r="AF39" s="155" t="n"/>
      <c r="AG39" s="155" t="n"/>
      <c r="AH39" s="155" t="n"/>
      <c r="AI39" s="155" t="n"/>
      <c r="AJ39" s="155" t="n"/>
      <c r="AK39" s="141">
        <f>AB29/1.17*0.17+AC29/1.16*0.16+AD29/1.11*0.11+AE29/1.1*0.1+AF29/1.09*0.09+AI29/1.03*0.03</f>
        <v/>
      </c>
      <c r="AL39" s="79" t="n"/>
    </row>
    <row r="40" ht="14" customHeight="1" s="116">
      <c r="A40" s="148" t="n">
        <v>1</v>
      </c>
      <c r="B40" s="148" t="n"/>
      <c r="C40" s="149" t="n"/>
      <c r="D40" s="149" t="inlineStr">
        <is>
          <t>其他</t>
        </is>
      </c>
      <c r="E40" s="148" t="n"/>
      <c r="F40" s="148" t="n"/>
      <c r="G40" s="148" t="n"/>
      <c r="H40" s="148" t="n"/>
      <c r="I40" s="148" t="n"/>
      <c r="J40" s="148" t="n"/>
      <c r="K40" s="148" t="n"/>
      <c r="L40" s="148" t="n"/>
      <c r="M40" s="150" t="n">
        <v>-127.2</v>
      </c>
      <c r="N40" s="148" t="n"/>
      <c r="O40" s="148">
        <f>L40-M40</f>
        <v/>
      </c>
      <c r="P40" s="148">
        <f>K40-N40</f>
        <v/>
      </c>
      <c r="Q40" s="148">
        <f>M40+O40</f>
        <v/>
      </c>
      <c r="R40" s="148">
        <f>M40+N40+O40+P40</f>
        <v/>
      </c>
      <c r="S40" s="148" t="n"/>
      <c r="T40" s="148" t="n"/>
      <c r="U40" s="148" t="n"/>
      <c r="V40" s="148" t="n"/>
    </row>
    <row r="41" ht="14" customHeight="1" s="116">
      <c r="A41" s="148" t="n">
        <v>2</v>
      </c>
      <c r="B41" s="148" t="n"/>
      <c r="C41" s="149" t="n"/>
      <c r="D41" s="149" t="inlineStr">
        <is>
          <t>废旧物资处置</t>
        </is>
      </c>
      <c r="E41" s="148" t="n"/>
      <c r="F41" s="148" t="n"/>
      <c r="G41" s="148" t="n"/>
      <c r="H41" s="148" t="n"/>
      <c r="I41" s="148" t="n"/>
      <c r="J41" s="148" t="n"/>
      <c r="K41" s="148" t="n"/>
      <c r="L41" s="148" t="n"/>
      <c r="M41" s="150" t="n">
        <v>-465452.87</v>
      </c>
      <c r="N41" s="148" t="n"/>
      <c r="O41" s="148">
        <f>L41-M41</f>
        <v/>
      </c>
      <c r="P41" s="148">
        <f>K41-N41</f>
        <v/>
      </c>
      <c r="Q41" s="148">
        <f>M41+O41</f>
        <v/>
      </c>
      <c r="R41" s="148">
        <f>M41+N41+O41+P41</f>
        <v/>
      </c>
      <c r="S41" s="148" t="n"/>
      <c r="T41" s="148" t="n"/>
      <c r="U41" s="148" t="n"/>
      <c r="V41" s="148" t="n"/>
    </row>
    <row r="42" ht="14" customHeight="1" s="116">
      <c r="A42" s="148" t="n">
        <v>3</v>
      </c>
      <c r="B42" s="148" t="n"/>
      <c r="C42" s="149" t="n"/>
      <c r="D42" s="149" t="inlineStr">
        <is>
          <t>研发支出-材料费</t>
        </is>
      </c>
      <c r="E42" s="148" t="n"/>
      <c r="F42" s="148" t="n"/>
      <c r="G42" s="148" t="n"/>
      <c r="H42" s="148" t="n"/>
      <c r="I42" s="148" t="n"/>
      <c r="J42" s="148" t="n"/>
      <c r="K42" s="148" t="n"/>
      <c r="L42" s="148" t="n"/>
      <c r="M42" s="150" t="n">
        <v>-3926272.64</v>
      </c>
      <c r="N42" s="148" t="n"/>
      <c r="O42" s="148">
        <f>L42-M42</f>
        <v/>
      </c>
      <c r="P42" s="148">
        <f>K42-N42</f>
        <v/>
      </c>
      <c r="Q42" s="148">
        <f>M42+O42</f>
        <v/>
      </c>
      <c r="R42" s="148">
        <f>M42+N42+O42+P42</f>
        <v/>
      </c>
      <c r="S42" s="148" t="n"/>
      <c r="T42" s="148" t="n"/>
      <c r="U42" s="148" t="n"/>
      <c r="V42" s="148" t="n"/>
    </row>
    <row r="43" ht="14" customHeight="1" s="116">
      <c r="A43" s="148" t="n"/>
      <c r="B43" s="148" t="n"/>
      <c r="C43" s="149" t="n"/>
      <c r="D43" s="149" t="n"/>
      <c r="E43" s="148" t="n"/>
      <c r="F43" s="148" t="n"/>
      <c r="G43" s="148" t="n"/>
      <c r="H43" s="148" t="n"/>
      <c r="I43" s="148" t="n"/>
      <c r="J43" s="148" t="n"/>
      <c r="K43" s="148" t="n"/>
      <c r="L43" s="148" t="n"/>
      <c r="M43" s="150" t="n">
        <v>116122516.76</v>
      </c>
      <c r="N43" s="148" t="n"/>
      <c r="O43" s="148">
        <f>L43-M43</f>
        <v/>
      </c>
      <c r="P43" s="148">
        <f>K43-N43</f>
        <v/>
      </c>
      <c r="Q43" s="148">
        <f>M43+O43</f>
        <v/>
      </c>
      <c r="R43" s="148">
        <f>M43+N43+O43+P43</f>
        <v/>
      </c>
      <c r="S43" s="148" t="n"/>
      <c r="T43" s="148" t="n"/>
      <c r="U43" s="148" t="n"/>
      <c r="V43" s="148" t="n"/>
    </row>
    <row r="44" ht="14" customHeight="1" s="116">
      <c r="A44" s="19" t="n">
        <v>1</v>
      </c>
      <c r="B44" s="19" t="n"/>
      <c r="C44" s="19" t="n"/>
      <c r="D44" s="156" t="n"/>
      <c r="E44" s="154" t="n"/>
      <c r="F44" s="154" t="n"/>
      <c r="G44" s="154" t="n"/>
      <c r="H44" s="140" t="n"/>
      <c r="I44" s="140" t="n"/>
      <c r="J44" s="140" t="n"/>
      <c r="K44" s="145" t="n"/>
      <c r="L44" s="151" t="n"/>
      <c r="M44" s="140" t="n"/>
      <c r="N44" s="140" t="n"/>
      <c r="O44" s="140">
        <f>L30-M30</f>
        <v/>
      </c>
      <c r="P44" s="140">
        <f>K30-N30</f>
        <v/>
      </c>
      <c r="Q44" s="140">
        <f>M30+O30</f>
        <v/>
      </c>
      <c r="R44" s="140">
        <f>M30+N30+O30+P30</f>
        <v/>
      </c>
      <c r="S44" s="147" t="n"/>
      <c r="T44" s="147" t="n"/>
      <c r="U44" s="147" t="n"/>
      <c r="V44" s="147" t="n"/>
      <c r="W44" s="147" t="n"/>
      <c r="X44" s="147" t="n"/>
      <c r="Y44" s="147" t="n"/>
      <c r="Z44" s="140">
        <f>SUM(AA30:AJ30)</f>
        <v/>
      </c>
      <c r="AA44" s="147" t="n"/>
      <c r="AB44" s="155" t="n"/>
      <c r="AC44" s="155" t="n"/>
      <c r="AD44" s="155" t="n"/>
      <c r="AE44" s="155" t="n"/>
      <c r="AF44" s="155" t="n"/>
      <c r="AG44" s="155" t="n"/>
      <c r="AH44" s="155" t="n"/>
      <c r="AI44" s="155" t="n"/>
      <c r="AJ44" s="155" t="n"/>
      <c r="AK44" s="141">
        <f>AB30/1.17*0.17+AC30/1.16*0.16+AD30/1.11*0.11+AE30/1.1*0.1+AF30/1.09*0.09+AI30/1.03*0.03</f>
        <v/>
      </c>
      <c r="AL44" s="79" t="n"/>
    </row>
    <row r="45" ht="14" customHeight="1" s="116">
      <c r="A45" s="19" t="n">
        <v>2</v>
      </c>
      <c r="B45" s="19" t="n"/>
      <c r="C45" s="19" t="n"/>
      <c r="D45" s="156" t="n"/>
      <c r="E45" s="154" t="n"/>
      <c r="F45" s="154" t="n"/>
      <c r="G45" s="154" t="n"/>
      <c r="H45" s="140" t="n"/>
      <c r="I45" s="140" t="n"/>
      <c r="J45" s="140" t="n"/>
      <c r="K45" s="145" t="n"/>
      <c r="L45" s="151" t="n"/>
      <c r="M45" s="140" t="n"/>
      <c r="N45" s="58" t="n"/>
      <c r="O45" s="140">
        <f>L31-M31</f>
        <v/>
      </c>
      <c r="P45" s="140">
        <f>K31-N31</f>
        <v/>
      </c>
      <c r="Q45" s="140">
        <f>M31+O31</f>
        <v/>
      </c>
      <c r="R45" s="140">
        <f>M31+N31+O31+P31</f>
        <v/>
      </c>
      <c r="S45" s="147" t="n"/>
      <c r="T45" s="147" t="n"/>
      <c r="U45" s="147" t="n"/>
      <c r="V45" s="147" t="n"/>
      <c r="W45" s="147" t="n"/>
      <c r="X45" s="147" t="n"/>
      <c r="Y45" s="147" t="n"/>
      <c r="Z45" s="140">
        <f>SUM(AA31:AJ31)</f>
        <v/>
      </c>
      <c r="AA45" s="147" t="n"/>
      <c r="AB45" s="155" t="n"/>
      <c r="AC45" s="155" t="n"/>
      <c r="AD45" s="155" t="n"/>
      <c r="AE45" s="155" t="n"/>
      <c r="AF45" s="155" t="n"/>
      <c r="AG45" s="155" t="n"/>
      <c r="AH45" s="155" t="n"/>
      <c r="AI45" s="155" t="n"/>
      <c r="AJ45" s="155" t="n"/>
      <c r="AK45" s="141">
        <f>AB31/1.17*0.17+AC31/1.16*0.16+AD31/1.11*0.11+AE31/1.1*0.1+AF31/1.09*0.09+AI31/1.03*0.03</f>
        <v/>
      </c>
      <c r="AL45" s="79" t="n"/>
    </row>
    <row r="46" ht="14" customHeight="1" s="116">
      <c r="A46" s="19" t="n">
        <v>3</v>
      </c>
      <c r="B46" s="19" t="n"/>
      <c r="C46" s="19" t="n"/>
      <c r="D46" s="33" t="inlineStr">
        <is>
          <t>材料库存（注：项目已结算未使用材料冲减项目成本，负数填报）</t>
        </is>
      </c>
      <c r="E46" s="19" t="n"/>
      <c r="F46" s="19" t="n"/>
      <c r="G46" s="19" t="n"/>
      <c r="H46" s="140" t="n"/>
      <c r="I46" s="140" t="n"/>
      <c r="J46" s="140" t="n"/>
      <c r="K46" s="145" t="n"/>
      <c r="L46" s="151" t="n"/>
      <c r="M46" s="140" t="n"/>
      <c r="N46" s="140" t="n"/>
      <c r="O46" s="140">
        <f>L32-M32</f>
        <v/>
      </c>
      <c r="P46" s="140">
        <f>K32-N32</f>
        <v/>
      </c>
      <c r="Q46" s="140">
        <f>M32+O32</f>
        <v/>
      </c>
      <c r="R46" s="140">
        <f>M32+N32+O32+P32</f>
        <v/>
      </c>
      <c r="S46" s="147" t="n"/>
      <c r="T46" s="147" t="n"/>
      <c r="U46" s="147" t="n"/>
      <c r="V46" s="147" t="n"/>
      <c r="W46" s="147" t="n"/>
      <c r="X46" s="147" t="n"/>
      <c r="Y46" s="147" t="n"/>
      <c r="Z46" s="140">
        <f>SUM(AA32:AJ32)</f>
        <v/>
      </c>
      <c r="AA46" s="147" t="n"/>
      <c r="AB46" s="155" t="n"/>
      <c r="AC46" s="155" t="n"/>
      <c r="AD46" s="155" t="n"/>
      <c r="AE46" s="155" t="n"/>
      <c r="AF46" s="155" t="n"/>
      <c r="AG46" s="155" t="n"/>
      <c r="AH46" s="155" t="n"/>
      <c r="AI46" s="155" t="n"/>
      <c r="AJ46" s="155" t="n"/>
      <c r="AK46" s="141">
        <f>AB32/1.17*0.17+AC32/1.16*0.16+AD32/1.11*0.11+AE32/1.1*0.1+AF32/1.09*0.09+AI32/1.03*0.03</f>
        <v/>
      </c>
      <c r="AL46" s="79" t="n"/>
    </row>
    <row r="47" ht="14" customHeight="1" s="116">
      <c r="A47" s="19" t="n">
        <v>4</v>
      </c>
      <c r="B47" s="19" t="n"/>
      <c r="C47" s="19" t="n"/>
      <c r="D47" s="29" t="inlineStr">
        <is>
          <t>材料调入</t>
        </is>
      </c>
      <c r="E47" s="19" t="n"/>
      <c r="F47" s="19" t="n"/>
      <c r="G47" s="19" t="n"/>
      <c r="H47" s="140" t="n"/>
      <c r="I47" s="140" t="n"/>
      <c r="J47" s="140" t="n"/>
      <c r="K47" s="145" t="n"/>
      <c r="L47" s="151" t="n"/>
      <c r="M47" s="157" t="n">
        <v>34020317.08</v>
      </c>
      <c r="N47" s="140" t="n"/>
      <c r="O47" s="140">
        <f>L33-M33</f>
        <v/>
      </c>
      <c r="P47" s="140">
        <f>K33-N33</f>
        <v/>
      </c>
      <c r="Q47" s="140">
        <f>M33+O33</f>
        <v/>
      </c>
      <c r="R47" s="140">
        <f>M33+N33+O33+P33</f>
        <v/>
      </c>
      <c r="S47" s="147" t="n"/>
      <c r="T47" s="147" t="n"/>
      <c r="U47" s="147" t="n"/>
      <c r="V47" s="147" t="n"/>
      <c r="W47" s="147" t="n"/>
      <c r="X47" s="147" t="n"/>
      <c r="Y47" s="147" t="n"/>
      <c r="Z47" s="140">
        <f>SUM(AA33:AJ33)</f>
        <v/>
      </c>
      <c r="AA47" s="147" t="n"/>
      <c r="AB47" s="155" t="n"/>
      <c r="AC47" s="155" t="n"/>
      <c r="AD47" s="155" t="n"/>
      <c r="AE47" s="155" t="n"/>
      <c r="AF47" s="155" t="n"/>
      <c r="AG47" s="155" t="n"/>
      <c r="AH47" s="155" t="n"/>
      <c r="AI47" s="155" t="n"/>
      <c r="AJ47" s="155" t="n"/>
      <c r="AK47" s="141">
        <f>AB33/1.17*0.17+AC33/1.16*0.16+AD33/1.11*0.11+AE33/1.1*0.1+AF33/1.09*0.09+AI33/1.03*0.03</f>
        <v/>
      </c>
      <c r="AL47" s="79" t="n"/>
    </row>
    <row r="48" ht="14" customHeight="1" s="116">
      <c r="A48" s="19" t="n">
        <v>5</v>
      </c>
      <c r="B48" s="19" t="n"/>
      <c r="C48" s="19" t="n"/>
      <c r="D48" s="29" t="inlineStr">
        <is>
          <t>材料调出（注：负数填报）</t>
        </is>
      </c>
      <c r="E48" s="34" t="n"/>
      <c r="F48" s="34" t="n"/>
      <c r="G48" s="34" t="n"/>
      <c r="H48" s="158" t="n"/>
      <c r="I48" s="158" t="n"/>
      <c r="J48" s="140" t="n"/>
      <c r="K48" s="145" t="n"/>
      <c r="L48" s="151" t="n"/>
      <c r="M48" s="159" t="n">
        <v>-8241729.17</v>
      </c>
      <c r="N48" s="158" t="n"/>
      <c r="O48" s="140">
        <f>L34-M34</f>
        <v/>
      </c>
      <c r="P48" s="140">
        <f>K34-N34</f>
        <v/>
      </c>
      <c r="Q48" s="140">
        <f>M34+O34</f>
        <v/>
      </c>
      <c r="R48" s="140">
        <f>M34+N34+O34+P34</f>
        <v/>
      </c>
      <c r="S48" s="158" t="n"/>
      <c r="T48" s="158" t="n"/>
      <c r="U48" s="158" t="n"/>
      <c r="V48" s="158" t="n"/>
      <c r="W48" s="158" t="n"/>
      <c r="X48" s="158" t="n"/>
      <c r="Y48" s="158" t="n"/>
      <c r="Z48" s="140">
        <f>SUM(AA34:AJ34)</f>
        <v/>
      </c>
      <c r="AA48" s="158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41">
        <f>AB34/1.17*0.17+AC34/1.16*0.16+AD34/1.11*0.11+AE34/1.1*0.1+AF34/1.09*0.09+AI34/1.03*0.03</f>
        <v/>
      </c>
      <c r="AL48" s="80" t="n"/>
    </row>
    <row r="49" ht="14" customHeight="1" s="116">
      <c r="A49" s="19" t="n"/>
      <c r="B49" s="19" t="n"/>
      <c r="C49" s="19" t="n"/>
      <c r="D49" s="24" t="inlineStr">
        <is>
          <t>**财务未列部分需增列***</t>
        </is>
      </c>
      <c r="E49" s="154" t="n"/>
      <c r="F49" s="154" t="n"/>
      <c r="G49" s="154" t="n"/>
      <c r="H49" s="140" t="n">
        <v>0</v>
      </c>
      <c r="I49" s="140" t="n"/>
      <c r="J49" s="140" t="n"/>
      <c r="K49" s="145" t="n"/>
      <c r="L49" s="151" t="n"/>
      <c r="M49" s="140" t="n"/>
      <c r="N49" s="140" t="n"/>
      <c r="O49" s="140">
        <f>L49-M49</f>
        <v/>
      </c>
      <c r="P49" s="140">
        <f>K49-N49</f>
        <v/>
      </c>
      <c r="Q49" s="140">
        <f>M49+O49</f>
        <v/>
      </c>
      <c r="R49" s="140">
        <f>M49+N49+O49+P49</f>
        <v/>
      </c>
      <c r="S49" s="147" t="n"/>
      <c r="T49" s="147" t="n"/>
      <c r="U49" s="147" t="n"/>
      <c r="V49" s="147" t="n"/>
      <c r="W49" s="147" t="n"/>
      <c r="X49" s="147" t="n"/>
      <c r="Y49" s="147" t="n"/>
      <c r="Z49" s="147" t="n"/>
      <c r="AA49" s="147" t="n"/>
      <c r="AB49" s="155" t="n"/>
      <c r="AC49" s="155" t="n"/>
      <c r="AD49" s="155" t="n"/>
      <c r="AE49" s="155" t="n"/>
      <c r="AF49" s="155" t="n"/>
      <c r="AG49" s="155" t="n"/>
      <c r="AH49" s="155" t="n"/>
      <c r="AI49" s="155" t="n"/>
      <c r="AJ49" s="155" t="n"/>
      <c r="AK49" s="141">
        <f>AB35/1.17*0.17+AC35/1.16*0.16+AD35/1.11*0.11+AE35/1.1*0.1+AF35/1.09*0.09+AI35/1.03*0.03</f>
        <v/>
      </c>
      <c r="AL49" s="79" t="n"/>
    </row>
    <row r="50" ht="14" customHeight="1" s="116">
      <c r="A50" s="26" t="n"/>
      <c r="B50" s="26" t="n"/>
      <c r="C50" s="26" t="n"/>
      <c r="D50" s="27" t="inlineStr">
        <is>
          <t>材料费小计：</t>
        </is>
      </c>
      <c r="E50" s="153">
        <f>SUM(E34:E49)</f>
        <v/>
      </c>
      <c r="F50" s="153">
        <f>SUM(F34:F49)</f>
        <v/>
      </c>
      <c r="G50" s="153">
        <f>SUM(G34:G49)</f>
        <v/>
      </c>
      <c r="H50" s="153">
        <f>SUM(H34:H49)</f>
        <v/>
      </c>
      <c r="I50" s="153">
        <f>SUM(I34:I49)</f>
        <v/>
      </c>
      <c r="J50" s="153">
        <f>SUM(J34:J49)</f>
        <v/>
      </c>
      <c r="K50" s="153">
        <f>SUM(K34:K49)</f>
        <v/>
      </c>
      <c r="L50" s="153">
        <f>SUM(L34:L49)</f>
        <v/>
      </c>
      <c r="M50" s="153">
        <f>SUM(M34:M49)</f>
        <v/>
      </c>
      <c r="N50" s="153">
        <f>SUM(N34:N49)</f>
        <v/>
      </c>
      <c r="O50" s="153">
        <f>SUM(O34:O49)</f>
        <v/>
      </c>
      <c r="P50" s="153">
        <f>SUM(P34:P49)</f>
        <v/>
      </c>
      <c r="Q50" s="153">
        <f>SUM(Q34:Q49)</f>
        <v/>
      </c>
      <c r="R50" s="153">
        <f>SUM(R34:R49)</f>
        <v/>
      </c>
      <c r="S50" s="153">
        <f>SUM(S34:S49)</f>
        <v/>
      </c>
      <c r="T50" s="153">
        <f>SUM(T34:T49)</f>
        <v/>
      </c>
      <c r="U50" s="153">
        <f>SUM(U34:U49)</f>
        <v/>
      </c>
      <c r="V50" s="153">
        <f>SUM(V34:V49)</f>
        <v/>
      </c>
      <c r="W50" s="153">
        <f>SUM(W34:W49)</f>
        <v/>
      </c>
      <c r="X50" s="153">
        <f>SUM(X34:X49)</f>
        <v/>
      </c>
      <c r="Y50" s="153">
        <f>SUM(Y34:Y49)</f>
        <v/>
      </c>
      <c r="Z50" s="153">
        <f>SUM(Z34:Z49)</f>
        <v/>
      </c>
      <c r="AA50" s="153">
        <f>SUM(AA34:AA49)</f>
        <v/>
      </c>
      <c r="AB50" s="153">
        <f>SUM(AB34:AB49)</f>
        <v/>
      </c>
      <c r="AC50" s="153">
        <f>SUM(AC34:AC49)</f>
        <v/>
      </c>
      <c r="AD50" s="153">
        <f>SUM(AD34:AD49)</f>
        <v/>
      </c>
      <c r="AE50" s="153">
        <f>SUM(AE34:AE49)</f>
        <v/>
      </c>
      <c r="AF50" s="153">
        <f>SUM(AF34:AF49)</f>
        <v/>
      </c>
      <c r="AG50" s="153">
        <f>SUM(AG34:AG49)</f>
        <v/>
      </c>
      <c r="AH50" s="153">
        <f>SUM(AH34:AH49)</f>
        <v/>
      </c>
      <c r="AI50" s="153">
        <f>SUM(AI34:AI49)</f>
        <v/>
      </c>
      <c r="AJ50" s="153">
        <f>SUM(AJ34:AJ49)</f>
        <v/>
      </c>
      <c r="AK50" s="153">
        <f>SUM(AK34:AK49)</f>
        <v/>
      </c>
      <c r="AL50" s="77" t="n"/>
    </row>
    <row r="51" ht="14" customHeight="1" s="116">
      <c r="A51" s="19" t="n"/>
      <c r="B51" s="19" t="n"/>
      <c r="C51" s="19" t="n"/>
      <c r="D51" s="29" t="inlineStr">
        <is>
          <t>(四）机械租赁费</t>
        </is>
      </c>
      <c r="E51" s="25" t="n"/>
      <c r="F51" s="25" t="n"/>
      <c r="G51" s="25" t="n"/>
      <c r="H51" s="140" t="n"/>
      <c r="I51" s="140" t="n"/>
      <c r="J51" s="140" t="n"/>
      <c r="K51" s="145" t="n">
        <v>0</v>
      </c>
      <c r="L51" s="151">
        <f>J37-K37</f>
        <v/>
      </c>
      <c r="M51" s="135" t="n"/>
      <c r="N51" s="135" t="n"/>
      <c r="O51" s="140">
        <f>L37-M37</f>
        <v/>
      </c>
      <c r="P51" s="140">
        <f>K37-N37</f>
        <v/>
      </c>
      <c r="Q51" s="140">
        <f>M37+O37</f>
        <v/>
      </c>
      <c r="R51" s="140">
        <f>M37+N37+O37+P37</f>
        <v/>
      </c>
      <c r="S51" s="147" t="n"/>
      <c r="T51" s="147" t="n"/>
      <c r="U51" s="147" t="n"/>
      <c r="V51" s="147" t="n"/>
      <c r="W51" s="147" t="n"/>
      <c r="X51" s="147" t="n"/>
      <c r="Y51" s="147" t="n"/>
      <c r="Z51" s="147" t="n"/>
      <c r="AA51" s="147" t="n"/>
      <c r="AB51" s="147" t="n"/>
      <c r="AC51" s="147" t="n"/>
      <c r="AD51" s="147" t="n"/>
      <c r="AE51" s="147" t="n"/>
      <c r="AF51" s="147" t="n"/>
      <c r="AG51" s="147" t="n"/>
      <c r="AH51" s="147" t="n"/>
      <c r="AI51" s="147" t="n"/>
      <c r="AJ51" s="147" t="n"/>
      <c r="AK51" s="141">
        <f>AB37/1.17*0.17+AC37/1.16*0.16+AD37/1.11*0.11+AE37/1.1*0.1+AF37/1.09*0.09+AI37/1.03*0.03</f>
        <v/>
      </c>
      <c r="AL51" s="77" t="n"/>
    </row>
    <row r="52" ht="14" customHeight="1" s="116">
      <c r="A52" s="19" t="n"/>
      <c r="B52" s="19" t="n"/>
      <c r="C52" s="19" t="n"/>
      <c r="D52" s="36" t="n"/>
      <c r="E52" s="37" t="n"/>
      <c r="F52" s="37" t="n"/>
      <c r="G52" s="37" t="n"/>
      <c r="H52" s="140" t="n"/>
      <c r="I52" s="140" t="n"/>
      <c r="J52" s="140">
        <f>H38+I38</f>
        <v/>
      </c>
      <c r="K52" s="145" t="n">
        <v>0</v>
      </c>
      <c r="L52" s="151">
        <f>J38-K38</f>
        <v/>
      </c>
      <c r="M52" s="140" t="n"/>
      <c r="N52" s="140" t="n"/>
      <c r="O52" s="140">
        <f>L38-M38</f>
        <v/>
      </c>
      <c r="P52" s="140">
        <f>K38-N38</f>
        <v/>
      </c>
      <c r="Q52" s="140">
        <f>M38+O38</f>
        <v/>
      </c>
      <c r="R52" s="140">
        <f>M38+N38+O38+P38</f>
        <v/>
      </c>
      <c r="S52" s="147" t="n"/>
      <c r="T52" s="147" t="n"/>
      <c r="U52" s="147" t="n"/>
      <c r="V52" s="147" t="n"/>
      <c r="W52" s="147" t="n"/>
      <c r="X52" s="147" t="n"/>
      <c r="Y52" s="147" t="n"/>
      <c r="Z52" s="140">
        <f>SUM(AA38:AJ38)</f>
        <v/>
      </c>
      <c r="AA52" s="147" t="n"/>
      <c r="AB52" s="147" t="n"/>
      <c r="AC52" s="147" t="n"/>
      <c r="AD52" s="147" t="n"/>
      <c r="AE52" s="147" t="n"/>
      <c r="AF52" s="147" t="n"/>
      <c r="AG52" s="147" t="n"/>
      <c r="AH52" s="147" t="n"/>
      <c r="AI52" s="147" t="n"/>
      <c r="AJ52" s="147" t="n"/>
      <c r="AK52" s="141">
        <f>AB38/1.17*0.17+AC38/1.16*0.16+AD38/1.11*0.11+AE38/1.1*0.1+AF38/1.09*0.09+AI38/1.03*0.03</f>
        <v/>
      </c>
      <c r="AL52" s="77" t="n"/>
    </row>
    <row r="53" ht="14" customHeight="1" s="116">
      <c r="A53" s="148" t="n">
        <v>1</v>
      </c>
      <c r="B53" s="148" t="inlineStr">
        <is>
          <t>200489973</t>
        </is>
      </c>
      <c r="C53" s="149" t="n"/>
      <c r="D53" s="149" t="inlineStr">
        <is>
          <t>佛山市南海鼎赞机械设备有限公司</t>
        </is>
      </c>
      <c r="E53" s="148" t="n"/>
      <c r="F53" s="148" t="n"/>
      <c r="G53" s="148" t="n"/>
      <c r="H53" s="148" t="n"/>
      <c r="I53" s="148" t="n"/>
      <c r="J53" s="148">
        <f>H53+I53</f>
        <v/>
      </c>
      <c r="K53" s="148" t="n"/>
      <c r="L53" s="148">
        <f>J53-K53</f>
        <v/>
      </c>
      <c r="M53" s="150" t="n">
        <v>3140750.01</v>
      </c>
      <c r="N53" s="148" t="n"/>
      <c r="O53" s="148">
        <f>L53-M53</f>
        <v/>
      </c>
      <c r="P53" s="148">
        <f>K53-N53</f>
        <v/>
      </c>
      <c r="Q53" s="148">
        <f>M53+O53</f>
        <v/>
      </c>
      <c r="R53" s="148">
        <f>M53+N53+O53+P53</f>
        <v/>
      </c>
      <c r="S53" s="148" t="n"/>
      <c r="T53" s="148" t="n"/>
      <c r="U53" s="148" t="n"/>
      <c r="V53" s="148" t="n"/>
    </row>
    <row r="54" ht="14" customHeight="1" s="116">
      <c r="A54" s="148" t="n">
        <v>2</v>
      </c>
      <c r="B54" s="148" t="inlineStr">
        <is>
          <t>200428777</t>
        </is>
      </c>
      <c r="C54" s="149" t="n"/>
      <c r="D54" s="149" t="inlineStr">
        <is>
          <t>广东君晖建筑工程有限公司</t>
        </is>
      </c>
      <c r="E54" s="148" t="n"/>
      <c r="F54" s="148" t="n"/>
      <c r="G54" s="148" t="n"/>
      <c r="H54" s="148" t="n"/>
      <c r="I54" s="148" t="n"/>
      <c r="J54" s="148">
        <f>H54+I54</f>
        <v/>
      </c>
      <c r="K54" s="148" t="n"/>
      <c r="L54" s="148">
        <f>J54-K54</f>
        <v/>
      </c>
      <c r="M54" s="150" t="n">
        <v>394403.33</v>
      </c>
      <c r="N54" s="148" t="n"/>
      <c r="O54" s="148">
        <f>L54-M54</f>
        <v/>
      </c>
      <c r="P54" s="148">
        <f>K54-N54</f>
        <v/>
      </c>
      <c r="Q54" s="148">
        <f>M54+O54</f>
        <v/>
      </c>
      <c r="R54" s="148">
        <f>M54+N54+O54+P54</f>
        <v/>
      </c>
      <c r="S54" s="148" t="n"/>
      <c r="T54" s="148" t="n"/>
      <c r="U54" s="148" t="n"/>
      <c r="V54" s="148" t="n"/>
    </row>
    <row r="55" ht="14" customHeight="1" s="116">
      <c r="A55" s="148" t="n">
        <v>3</v>
      </c>
      <c r="B55" s="148" t="inlineStr">
        <is>
          <t>200353812</t>
        </is>
      </c>
      <c r="C55" s="149" t="n"/>
      <c r="D55" s="149" t="inlineStr">
        <is>
          <t>广州小老虎建筑机械租赁有限公司</t>
        </is>
      </c>
      <c r="E55" s="148" t="n"/>
      <c r="F55" s="148" t="n"/>
      <c r="G55" s="148" t="n"/>
      <c r="H55" s="148" t="n"/>
      <c r="I55" s="148" t="n"/>
      <c r="J55" s="148">
        <f>H55+I55</f>
        <v/>
      </c>
      <c r="K55" s="148" t="n"/>
      <c r="L55" s="148">
        <f>J55-K55</f>
        <v/>
      </c>
      <c r="M55" s="150" t="n">
        <v>8322775.17</v>
      </c>
      <c r="N55" s="148" t="n"/>
      <c r="O55" s="148">
        <f>L55-M55</f>
        <v/>
      </c>
      <c r="P55" s="148">
        <f>K55-N55</f>
        <v/>
      </c>
      <c r="Q55" s="148">
        <f>M55+O55</f>
        <v/>
      </c>
      <c r="R55" s="148">
        <f>M55+N55+O55+P55</f>
        <v/>
      </c>
      <c r="S55" s="148" t="n"/>
      <c r="T55" s="148" t="n"/>
      <c r="U55" s="148" t="n"/>
      <c r="V55" s="148" t="n"/>
    </row>
    <row r="56" ht="14" customHeight="1" s="116">
      <c r="A56" s="148" t="n">
        <v>4</v>
      </c>
      <c r="B56" s="148" t="inlineStr">
        <is>
          <t>100217539</t>
        </is>
      </c>
      <c r="C56" s="149" t="n"/>
      <c r="D56" s="149" t="inlineStr">
        <is>
          <t>广州易达运输有限公司</t>
        </is>
      </c>
      <c r="E56" s="148" t="n"/>
      <c r="F56" s="148" t="n"/>
      <c r="G56" s="148" t="n"/>
      <c r="H56" s="148" t="n"/>
      <c r="I56" s="148" t="n"/>
      <c r="J56" s="148">
        <f>H56+I56</f>
        <v/>
      </c>
      <c r="K56" s="148" t="n"/>
      <c r="L56" s="148">
        <f>J56-K56</f>
        <v/>
      </c>
      <c r="M56" s="150" t="n">
        <v>58915.4</v>
      </c>
      <c r="N56" s="148" t="n"/>
      <c r="O56" s="148">
        <f>L56-M56</f>
        <v/>
      </c>
      <c r="P56" s="148">
        <f>K56-N56</f>
        <v/>
      </c>
      <c r="Q56" s="148">
        <f>M56+O56</f>
        <v/>
      </c>
      <c r="R56" s="148">
        <f>M56+N56+O56+P56</f>
        <v/>
      </c>
      <c r="S56" s="148" t="n"/>
      <c r="T56" s="148" t="n"/>
      <c r="U56" s="148" t="n"/>
      <c r="V56" s="148" t="n"/>
    </row>
    <row r="57" ht="14" customHeight="1" s="116">
      <c r="A57" s="148" t="n">
        <v>5</v>
      </c>
      <c r="B57" s="148" t="inlineStr">
        <is>
          <t>200372422</t>
        </is>
      </c>
      <c r="C57" s="149" t="n"/>
      <c r="D57" s="149" t="inlineStr">
        <is>
          <t>深圳市鑫俊辉机械设备有限公司</t>
        </is>
      </c>
      <c r="E57" s="148" t="n"/>
      <c r="F57" s="148" t="n"/>
      <c r="G57" s="148" t="n"/>
      <c r="H57" s="148" t="n"/>
      <c r="I57" s="148" t="n"/>
      <c r="J57" s="148">
        <f>H57+I57</f>
        <v/>
      </c>
      <c r="K57" s="148" t="n"/>
      <c r="L57" s="148">
        <f>J57-K57</f>
        <v/>
      </c>
      <c r="M57" s="150" t="n">
        <v>260430</v>
      </c>
      <c r="N57" s="148" t="n"/>
      <c r="O57" s="148">
        <f>L57-M57</f>
        <v/>
      </c>
      <c r="P57" s="148">
        <f>K57-N57</f>
        <v/>
      </c>
      <c r="Q57" s="148">
        <f>M57+O57</f>
        <v/>
      </c>
      <c r="R57" s="148">
        <f>M57+N57+O57+P57</f>
        <v/>
      </c>
      <c r="S57" s="148" t="n"/>
      <c r="T57" s="148" t="n"/>
      <c r="U57" s="148" t="n"/>
      <c r="V57" s="148" t="n"/>
    </row>
    <row r="58" ht="14" customHeight="1" s="116">
      <c r="A58" s="19" t="n"/>
      <c r="B58" s="19" t="n"/>
      <c r="C58" s="19" t="n"/>
      <c r="D58" s="24" t="inlineStr">
        <is>
          <t>**财务未列部分需增列***</t>
        </is>
      </c>
      <c r="E58" s="38" t="n"/>
      <c r="F58" s="38" t="n"/>
      <c r="G58" s="38" t="n"/>
      <c r="H58" s="140" t="n"/>
      <c r="I58" s="140" t="n"/>
      <c r="J58" s="140" t="n"/>
      <c r="K58" s="145" t="n">
        <v>0</v>
      </c>
      <c r="L58" s="151">
        <f>J39-K39</f>
        <v/>
      </c>
      <c r="M58" s="161" t="n"/>
      <c r="N58" s="161" t="n"/>
      <c r="O58" s="140">
        <f>L58-M58</f>
        <v/>
      </c>
      <c r="P58" s="140">
        <f>K58-N58</f>
        <v/>
      </c>
      <c r="Q58" s="140">
        <f>M58+O58</f>
        <v/>
      </c>
      <c r="R58" s="140">
        <f>M58+N58+O58+P58</f>
        <v/>
      </c>
      <c r="S58" s="161" t="n"/>
      <c r="T58" s="161" t="n"/>
      <c r="U58" s="161" t="n"/>
      <c r="V58" s="161" t="n"/>
      <c r="W58" s="161" t="n"/>
      <c r="X58" s="161" t="n"/>
      <c r="Y58" s="161" t="n"/>
      <c r="Z58" s="161" t="n"/>
      <c r="AA58" s="147" t="n"/>
      <c r="AB58" s="141" t="n"/>
      <c r="AC58" s="141" t="n"/>
      <c r="AD58" s="141" t="n"/>
      <c r="AE58" s="141" t="n"/>
      <c r="AF58" s="141" t="n"/>
      <c r="AG58" s="141" t="n"/>
      <c r="AH58" s="141" t="n"/>
      <c r="AI58" s="141" t="n"/>
      <c r="AJ58" s="141" t="n"/>
      <c r="AK58" s="141">
        <f>AB39/1.17*0.17+AC39/1.16*0.16+AD39/1.11*0.11+AE39/1.1*0.1+AF39/1.09*0.09+AI39/1.03*0.03</f>
        <v/>
      </c>
      <c r="AL58" s="78" t="n"/>
    </row>
    <row r="59" ht="14" customHeight="1" s="116">
      <c r="A59" s="26" t="n"/>
      <c r="B59" s="26" t="n"/>
      <c r="C59" s="26" t="n"/>
      <c r="D59" s="39" t="inlineStr">
        <is>
          <t>机械费小计：</t>
        </is>
      </c>
      <c r="E59" s="18" t="n"/>
      <c r="F59" s="18" t="n"/>
      <c r="G59" s="18" t="n"/>
      <c r="H59" s="153">
        <f>SUM(H51:H58)</f>
        <v/>
      </c>
      <c r="I59" s="153">
        <f>SUM(I51:I58)</f>
        <v/>
      </c>
      <c r="J59" s="153">
        <f>SUM(J51:J58)</f>
        <v/>
      </c>
      <c r="K59" s="153">
        <f>SUM(K51:K58)</f>
        <v/>
      </c>
      <c r="L59" s="162">
        <f>SUM(L51:L58)</f>
        <v/>
      </c>
      <c r="M59" s="153">
        <f>SUM(M51:M58)</f>
        <v/>
      </c>
      <c r="N59" s="153">
        <f>SUM(N51:N58)</f>
        <v/>
      </c>
      <c r="O59" s="153">
        <f>SUM(O51:O58)</f>
        <v/>
      </c>
      <c r="P59" s="153">
        <f>SUM(P51:P58)</f>
        <v/>
      </c>
      <c r="Q59" s="153">
        <f>SUM(Q51:Q58)</f>
        <v/>
      </c>
      <c r="R59" s="153">
        <f>SUM(R51:R58)</f>
        <v/>
      </c>
      <c r="S59" s="153">
        <f>SUM(S51:S58)</f>
        <v/>
      </c>
      <c r="T59" s="153" t="n"/>
      <c r="U59" s="153" t="n"/>
      <c r="V59" s="153" t="n"/>
      <c r="W59" s="153" t="n"/>
      <c r="X59" s="153" t="n"/>
      <c r="Y59" s="153" t="n"/>
      <c r="Z59" s="153">
        <f>SUM(Z51:Z58)</f>
        <v/>
      </c>
      <c r="AA59" s="153">
        <f>SUM(AA51:AA58)</f>
        <v/>
      </c>
      <c r="AB59" s="153" t="n"/>
      <c r="AC59" s="153" t="n"/>
      <c r="AD59" s="153" t="n"/>
      <c r="AE59" s="153" t="n"/>
      <c r="AF59" s="153" t="n"/>
      <c r="AG59" s="153" t="n"/>
      <c r="AH59" s="153" t="n"/>
      <c r="AI59" s="153" t="n"/>
      <c r="AJ59" s="153" t="n"/>
      <c r="AK59" s="153" t="n"/>
      <c r="AL59" s="77" t="n"/>
    </row>
    <row r="60" ht="14" customHeight="1" s="116">
      <c r="A60" s="19" t="n"/>
      <c r="B60" s="19" t="n"/>
      <c r="C60" s="19" t="n"/>
      <c r="D60" s="29" t="inlineStr">
        <is>
          <t>（五）其他直接费</t>
        </is>
      </c>
      <c r="E60" s="25" t="n"/>
      <c r="F60" s="25" t="n"/>
      <c r="G60" s="25" t="n"/>
      <c r="H60" s="140" t="n"/>
      <c r="I60" s="140" t="n"/>
      <c r="J60" s="135" t="n">
        <v>0</v>
      </c>
      <c r="K60" s="145" t="n">
        <v>0</v>
      </c>
      <c r="L60" s="151">
        <f>J41-N41-P41</f>
        <v/>
      </c>
      <c r="M60" s="135" t="n"/>
      <c r="N60" s="135" t="n"/>
      <c r="O60" s="140">
        <f>L41-M41</f>
        <v/>
      </c>
      <c r="P60" s="140">
        <f>K41-N41</f>
        <v/>
      </c>
      <c r="Q60" s="140">
        <f>M41+O41</f>
        <v/>
      </c>
      <c r="R60" s="140">
        <f>M41+N41+O41+P41</f>
        <v/>
      </c>
      <c r="S60" s="147" t="n"/>
      <c r="T60" s="147" t="n"/>
      <c r="U60" s="147" t="n"/>
      <c r="V60" s="147" t="n"/>
      <c r="W60" s="147" t="n"/>
      <c r="X60" s="147" t="n"/>
      <c r="Y60" s="147" t="n"/>
      <c r="Z60" s="147" t="n"/>
      <c r="AA60" s="147" t="n"/>
      <c r="AB60" s="147" t="n"/>
      <c r="AC60" s="147" t="n"/>
      <c r="AD60" s="147" t="n"/>
      <c r="AE60" s="147" t="n"/>
      <c r="AF60" s="147" t="n"/>
      <c r="AG60" s="147" t="n"/>
      <c r="AH60" s="147" t="n"/>
      <c r="AI60" s="147" t="n"/>
      <c r="AJ60" s="147" t="n"/>
      <c r="AK60" s="141" t="n"/>
      <c r="AL60" s="77" t="n"/>
    </row>
    <row r="61" ht="14" customHeight="1" s="116">
      <c r="A61" s="148" t="n"/>
      <c r="B61" s="148" t="n"/>
      <c r="C61" s="149" t="n"/>
      <c r="D61" s="149" t="inlineStr">
        <is>
          <t>保险费</t>
        </is>
      </c>
      <c r="E61" s="148" t="n"/>
      <c r="F61" s="148" t="n"/>
      <c r="G61" s="148" t="n"/>
      <c r="H61" s="148" t="n"/>
      <c r="I61" s="148" t="n"/>
      <c r="J61" s="148">
        <f>H61+I61</f>
        <v/>
      </c>
      <c r="K61" s="148" t="n"/>
      <c r="L61" s="148">
        <f>J61-K61</f>
        <v/>
      </c>
      <c r="M61" s="150" t="n">
        <v>432696.64</v>
      </c>
      <c r="N61" s="148" t="n"/>
      <c r="O61" s="148">
        <f>L61-M61</f>
        <v/>
      </c>
      <c r="P61" s="148">
        <f>K61-N61</f>
        <v/>
      </c>
      <c r="Q61" s="148">
        <f>M61+O61</f>
        <v/>
      </c>
      <c r="R61" s="148">
        <f>M61+N61+O61+P61</f>
        <v/>
      </c>
      <c r="S61" s="148" t="n"/>
      <c r="T61" s="148" t="n"/>
      <c r="U61" s="148" t="n"/>
      <c r="V61" s="148" t="n"/>
    </row>
    <row r="62" ht="14" customHeight="1" s="116">
      <c r="A62" s="148" t="n"/>
      <c r="B62" s="148" t="n"/>
      <c r="C62" s="149" t="n"/>
      <c r="D62" s="149" t="inlineStr">
        <is>
          <t>其他</t>
        </is>
      </c>
      <c r="E62" s="148" t="n"/>
      <c r="F62" s="148" t="n"/>
      <c r="G62" s="148" t="n"/>
      <c r="H62" s="148" t="n"/>
      <c r="I62" s="148" t="n"/>
      <c r="J62" s="148">
        <f>H62+I62</f>
        <v/>
      </c>
      <c r="K62" s="148" t="n"/>
      <c r="L62" s="148">
        <f>J62-K62</f>
        <v/>
      </c>
      <c r="M62" s="150" t="n">
        <v>1154170.62</v>
      </c>
      <c r="N62" s="148" t="n"/>
      <c r="O62" s="148">
        <f>L62-M62</f>
        <v/>
      </c>
      <c r="P62" s="148">
        <f>K62-N62</f>
        <v/>
      </c>
      <c r="Q62" s="148">
        <f>M62+O62</f>
        <v/>
      </c>
      <c r="R62" s="148">
        <f>M62+N62+O62+P62</f>
        <v/>
      </c>
      <c r="S62" s="148" t="n"/>
      <c r="T62" s="148" t="n"/>
      <c r="U62" s="148" t="n"/>
      <c r="V62" s="148" t="n"/>
    </row>
    <row r="63" ht="14" customHeight="1" s="116">
      <c r="A63" s="148" t="n"/>
      <c r="B63" s="148" t="n"/>
      <c r="C63" s="149" t="n"/>
      <c r="D63" s="149" t="inlineStr">
        <is>
          <t>检验试验费</t>
        </is>
      </c>
      <c r="E63" s="148" t="n"/>
      <c r="F63" s="148" t="n"/>
      <c r="G63" s="148" t="n"/>
      <c r="H63" s="148" t="n"/>
      <c r="I63" s="148" t="n"/>
      <c r="J63" s="148">
        <f>H63+I63</f>
        <v/>
      </c>
      <c r="K63" s="148" t="n"/>
      <c r="L63" s="148">
        <f>J63-K63</f>
        <v/>
      </c>
      <c r="M63" s="150" t="n">
        <v>704751.05</v>
      </c>
      <c r="N63" s="148" t="n"/>
      <c r="O63" s="148">
        <f>L63-M63</f>
        <v/>
      </c>
      <c r="P63" s="148">
        <f>K63-N63</f>
        <v/>
      </c>
      <c r="Q63" s="148">
        <f>M63+O63</f>
        <v/>
      </c>
      <c r="R63" s="148">
        <f>M63+N63+O63+P63</f>
        <v/>
      </c>
      <c r="S63" s="148" t="n"/>
      <c r="T63" s="148" t="n"/>
      <c r="U63" s="148" t="n"/>
      <c r="V63" s="148" t="n"/>
    </row>
    <row r="64" ht="14" customHeight="1" s="116">
      <c r="A64" s="19" t="n"/>
      <c r="B64" s="19" t="n"/>
      <c r="C64" s="19" t="n"/>
      <c r="D64" s="24" t="inlineStr">
        <is>
          <t>**财务未列部分需增列***</t>
        </is>
      </c>
      <c r="E64" s="25" t="n"/>
      <c r="F64" s="25" t="n"/>
      <c r="G64" s="25" t="n"/>
      <c r="H64" s="140" t="n"/>
      <c r="I64" s="140" t="n"/>
      <c r="J64" s="135" t="n"/>
      <c r="K64" s="145" t="n"/>
      <c r="L64" s="151">
        <f>J47-K47</f>
        <v/>
      </c>
      <c r="M64" s="163" t="n"/>
      <c r="N64" s="163" t="n"/>
      <c r="O64" s="140">
        <f>L64-M64</f>
        <v/>
      </c>
      <c r="P64" s="140">
        <f>K64-N64</f>
        <v/>
      </c>
      <c r="Q64" s="140">
        <f>M64+O64</f>
        <v/>
      </c>
      <c r="R64" s="140">
        <f>M64+N64+O64+P64</f>
        <v/>
      </c>
      <c r="S64" s="163" t="n"/>
      <c r="T64" s="163" t="n"/>
      <c r="U64" s="163" t="n"/>
      <c r="V64" s="163" t="n"/>
      <c r="W64" s="163" t="n"/>
      <c r="X64" s="163" t="n"/>
      <c r="Y64" s="163" t="n"/>
      <c r="Z64" s="140">
        <f>SUM(AA47:AJ47)</f>
        <v/>
      </c>
      <c r="AA64" s="147" t="n"/>
      <c r="AB64" s="147" t="n"/>
      <c r="AC64" s="147" t="n"/>
      <c r="AD64" s="147" t="n"/>
      <c r="AE64" s="147" t="n"/>
      <c r="AF64" s="147" t="n"/>
      <c r="AG64" s="147" t="n"/>
      <c r="AH64" s="147" t="n"/>
      <c r="AI64" s="147" t="n"/>
      <c r="AJ64" s="147" t="n"/>
      <c r="AK64" s="141" t="n"/>
      <c r="AL64" s="77" t="n"/>
    </row>
    <row r="65" ht="14" customHeight="1" s="116">
      <c r="A65" s="40" t="n"/>
      <c r="B65" s="40" t="n"/>
      <c r="C65" s="40" t="n"/>
      <c r="D65" s="39" t="inlineStr">
        <is>
          <t>其他直接费小计：</t>
        </is>
      </c>
      <c r="E65" s="41" t="n"/>
      <c r="F65" s="41" t="n"/>
      <c r="G65" s="41" t="n"/>
      <c r="H65" s="153">
        <f>SUM(H60:H64)</f>
        <v/>
      </c>
      <c r="I65" s="153">
        <f>SUM(I60:I64)</f>
        <v/>
      </c>
      <c r="J65" s="153">
        <f>SUM(J60:J64)</f>
        <v/>
      </c>
      <c r="K65" s="153">
        <f>SUM(K60:K64)</f>
        <v/>
      </c>
      <c r="L65" s="162">
        <f>SUM(L60:L64)</f>
        <v/>
      </c>
      <c r="M65" s="153">
        <f>SUM(M60:M64)</f>
        <v/>
      </c>
      <c r="N65" s="153">
        <f>SUM(N60:N64)</f>
        <v/>
      </c>
      <c r="O65" s="153">
        <f>L48-M48</f>
        <v/>
      </c>
      <c r="P65" s="153">
        <f>SUM(P60:P64)</f>
        <v/>
      </c>
      <c r="Q65" s="153">
        <f>M48+O48</f>
        <v/>
      </c>
      <c r="R65" s="153">
        <f>SUM(R60:R64)</f>
        <v/>
      </c>
      <c r="S65" s="153">
        <f>SUM(S60:S64)</f>
        <v/>
      </c>
      <c r="T65" s="153" t="n"/>
      <c r="U65" s="153" t="n"/>
      <c r="V65" s="153" t="n"/>
      <c r="W65" s="153" t="n"/>
      <c r="X65" s="153" t="n"/>
      <c r="Y65" s="153" t="n"/>
      <c r="Z65" s="153">
        <f>SUM(Z60:Z64)</f>
        <v/>
      </c>
      <c r="AA65" s="153">
        <f>SUM(AA60:AA64)</f>
        <v/>
      </c>
      <c r="AB65" s="153">
        <f>SUM(AB60:AB64)</f>
        <v/>
      </c>
      <c r="AC65" s="153">
        <f>SUM(AC60:AC64)</f>
        <v/>
      </c>
      <c r="AD65" s="153">
        <f>SUM(AD60:AD64)</f>
        <v/>
      </c>
      <c r="AE65" s="153">
        <f>SUM(AE60:AE64)</f>
        <v/>
      </c>
      <c r="AF65" s="153">
        <f>SUM(AF60:AF64)</f>
        <v/>
      </c>
      <c r="AG65" s="153" t="n"/>
      <c r="AH65" s="153" t="n"/>
      <c r="AI65" s="153">
        <f>SUM(AI60:AI64)</f>
        <v/>
      </c>
      <c r="AJ65" s="153">
        <f>SUM(AJ60:AJ64)</f>
        <v/>
      </c>
      <c r="AK65" s="153">
        <f>SUM(AK60:AK64)</f>
        <v/>
      </c>
      <c r="AL65" s="77" t="n"/>
    </row>
    <row r="66" ht="14" customHeight="1" s="116">
      <c r="A66" s="19" t="n"/>
      <c r="B66" s="19" t="n"/>
      <c r="C66" s="19" t="n"/>
      <c r="D66" s="29" t="inlineStr">
        <is>
          <t>（六）间接费</t>
        </is>
      </c>
      <c r="E66" s="25" t="n"/>
      <c r="F66" s="25" t="n"/>
      <c r="G66" s="25" t="n"/>
      <c r="H66" s="135" t="n"/>
      <c r="I66" s="140" t="n"/>
      <c r="J66" s="140" t="n">
        <v>0</v>
      </c>
      <c r="K66" s="145" t="n">
        <v>0</v>
      </c>
      <c r="L66" s="151">
        <f>J49-N49-P49</f>
        <v/>
      </c>
      <c r="M66" s="135" t="n"/>
      <c r="N66" s="135" t="n"/>
      <c r="O66" s="140">
        <f>L49-M49</f>
        <v/>
      </c>
      <c r="P66" s="140">
        <f>K49-N49</f>
        <v/>
      </c>
      <c r="Q66" s="140">
        <f>M49+O49</f>
        <v/>
      </c>
      <c r="R66" s="140">
        <f>M49+N49+O49+P49</f>
        <v/>
      </c>
      <c r="S66" s="147" t="n"/>
      <c r="T66" s="147" t="n"/>
      <c r="U66" s="147" t="n"/>
      <c r="V66" s="147" t="n"/>
      <c r="W66" s="147" t="n"/>
      <c r="X66" s="147" t="n"/>
      <c r="Y66" s="147" t="n"/>
      <c r="Z66" s="147" t="n"/>
      <c r="AA66" s="147" t="n"/>
      <c r="AB66" s="147" t="n"/>
      <c r="AC66" s="147" t="n"/>
      <c r="AD66" s="147" t="n"/>
      <c r="AE66" s="147" t="n"/>
      <c r="AF66" s="147" t="n"/>
      <c r="AG66" s="147" t="n"/>
      <c r="AH66" s="147" t="n"/>
      <c r="AI66" s="147" t="n"/>
      <c r="AJ66" s="147" t="n"/>
      <c r="AK66" s="141" t="n"/>
      <c r="AL66" s="77" t="n"/>
    </row>
    <row r="67" ht="14" customHeight="1" s="116">
      <c r="A67" s="148" t="n"/>
      <c r="B67" s="148" t="n"/>
      <c r="C67" s="149" t="n"/>
      <c r="D67" s="149" t="inlineStr">
        <is>
          <t>企业年金</t>
        </is>
      </c>
      <c r="E67" s="148" t="n"/>
      <c r="F67" s="148" t="n"/>
      <c r="G67" s="148" t="n"/>
      <c r="H67" s="148" t="n"/>
      <c r="I67" s="148" t="n"/>
      <c r="J67" s="148">
        <f>H67+I67</f>
        <v/>
      </c>
      <c r="K67" s="148" t="n"/>
      <c r="L67" s="148">
        <f>J67-K67</f>
        <v/>
      </c>
      <c r="M67" s="150" t="n">
        <v>17742.24</v>
      </c>
      <c r="N67" s="148" t="n"/>
      <c r="O67" s="148">
        <f>L67-M67</f>
        <v/>
      </c>
      <c r="P67" s="148">
        <f>K67-N67</f>
        <v/>
      </c>
      <c r="Q67" s="148">
        <f>M67+O67</f>
        <v/>
      </c>
      <c r="R67" s="148">
        <f>M67+N67+O67+P67</f>
        <v/>
      </c>
      <c r="S67" s="148" t="n"/>
      <c r="T67" s="148" t="n"/>
      <c r="U67" s="148" t="n"/>
      <c r="V67" s="148" t="n"/>
    </row>
    <row r="68" ht="14" customHeight="1" s="116">
      <c r="A68" s="148" t="n"/>
      <c r="B68" s="148" t="n"/>
      <c r="C68" s="149" t="n"/>
      <c r="D68" s="149" t="inlineStr">
        <is>
          <t>住房公积金</t>
        </is>
      </c>
      <c r="E68" s="148" t="n"/>
      <c r="F68" s="148" t="n"/>
      <c r="G68" s="148" t="n"/>
      <c r="H68" s="148" t="n"/>
      <c r="I68" s="148" t="n"/>
      <c r="J68" s="148">
        <f>H68+I68</f>
        <v/>
      </c>
      <c r="K68" s="148" t="n"/>
      <c r="L68" s="148">
        <f>J68-K68</f>
        <v/>
      </c>
      <c r="M68" s="150" t="n">
        <v>354846</v>
      </c>
      <c r="N68" s="148" t="n"/>
      <c r="O68" s="148">
        <f>L68-M68</f>
        <v/>
      </c>
      <c r="P68" s="148">
        <f>K68-N68</f>
        <v/>
      </c>
      <c r="Q68" s="148">
        <f>M68+O68</f>
        <v/>
      </c>
      <c r="R68" s="148">
        <f>M68+N68+O68+P68</f>
        <v/>
      </c>
      <c r="S68" s="148" t="n"/>
      <c r="T68" s="148" t="n"/>
      <c r="U68" s="148" t="n"/>
      <c r="V68" s="148" t="n"/>
    </row>
    <row r="69" ht="14" customHeight="1" s="116">
      <c r="A69" s="148" t="n"/>
      <c r="B69" s="148" t="n"/>
      <c r="C69" s="149" t="n"/>
      <c r="D69" s="149" t="inlineStr">
        <is>
          <t>保安保洁费</t>
        </is>
      </c>
      <c r="E69" s="148" t="n"/>
      <c r="F69" s="148" t="n"/>
      <c r="G69" s="148" t="n"/>
      <c r="H69" s="148" t="n"/>
      <c r="I69" s="148" t="n"/>
      <c r="J69" s="148">
        <f>H69+I69</f>
        <v/>
      </c>
      <c r="K69" s="148" t="n"/>
      <c r="L69" s="148">
        <f>J69-K69</f>
        <v/>
      </c>
      <c r="M69" s="150" t="n">
        <v>85380.32000000001</v>
      </c>
      <c r="N69" s="148" t="n"/>
      <c r="O69" s="148">
        <f>L69-M69</f>
        <v/>
      </c>
      <c r="P69" s="148">
        <f>K69-N69</f>
        <v/>
      </c>
      <c r="Q69" s="148">
        <f>M69+O69</f>
        <v/>
      </c>
      <c r="R69" s="148">
        <f>M69+N69+O69+P69</f>
        <v/>
      </c>
      <c r="S69" s="148" t="n"/>
      <c r="T69" s="148" t="n"/>
      <c r="U69" s="148" t="n"/>
      <c r="V69" s="148" t="n"/>
    </row>
    <row r="70" ht="14" customHeight="1" s="116">
      <c r="A70" s="148" t="n"/>
      <c r="B70" s="148" t="n"/>
      <c r="C70" s="149" t="n"/>
      <c r="D70" s="149" t="inlineStr">
        <is>
          <t>修理费</t>
        </is>
      </c>
      <c r="E70" s="148" t="n"/>
      <c r="F70" s="148" t="n"/>
      <c r="G70" s="148" t="n"/>
      <c r="H70" s="148" t="n"/>
      <c r="I70" s="148" t="n"/>
      <c r="J70" s="148">
        <f>H70+I70</f>
        <v/>
      </c>
      <c r="K70" s="148" t="n"/>
      <c r="L70" s="148">
        <f>J70-K70</f>
        <v/>
      </c>
      <c r="M70" s="150" t="n">
        <v>45517.86</v>
      </c>
      <c r="N70" s="148" t="n"/>
      <c r="O70" s="148">
        <f>L70-M70</f>
        <v/>
      </c>
      <c r="P70" s="148">
        <f>K70-N70</f>
        <v/>
      </c>
      <c r="Q70" s="148">
        <f>M70+O70</f>
        <v/>
      </c>
      <c r="R70" s="148">
        <f>M70+N70+O70+P70</f>
        <v/>
      </c>
      <c r="S70" s="148" t="n"/>
      <c r="T70" s="148" t="n"/>
      <c r="U70" s="148" t="n"/>
      <c r="V70" s="148" t="n"/>
    </row>
    <row r="71" ht="39" customHeight="1" s="116">
      <c r="A71" s="148" t="n"/>
      <c r="B71" s="148" t="n"/>
      <c r="C71" s="149" t="n"/>
      <c r="D71" s="149" t="inlineStr">
        <is>
          <t>其他</t>
        </is>
      </c>
      <c r="E71" s="148" t="n"/>
      <c r="F71" s="148" t="n"/>
      <c r="G71" s="148" t="n"/>
      <c r="H71" s="148" t="n"/>
      <c r="I71" s="148" t="n"/>
      <c r="J71" s="148">
        <f>H71+I71</f>
        <v/>
      </c>
      <c r="K71" s="148" t="n"/>
      <c r="L71" s="148">
        <f>J71-K71</f>
        <v/>
      </c>
      <c r="M71" s="150" t="n">
        <v>35702.91</v>
      </c>
      <c r="N71" s="148" t="n"/>
      <c r="O71" s="148">
        <f>L71-M71</f>
        <v/>
      </c>
      <c r="P71" s="148">
        <f>K71-N71</f>
        <v/>
      </c>
      <c r="Q71" s="148">
        <f>M71+O71</f>
        <v/>
      </c>
      <c r="R71" s="148">
        <f>M71+N71+O71+P71</f>
        <v/>
      </c>
      <c r="S71" s="148" t="n"/>
      <c r="T71" s="148" t="n"/>
      <c r="U71" s="148" t="n"/>
      <c r="V71" s="148" t="n"/>
    </row>
    <row r="72" ht="14" customHeight="1" s="116">
      <c r="A72" s="148" t="n"/>
      <c r="B72" s="148" t="n"/>
      <c r="C72" s="149" t="n"/>
      <c r="D72" s="149" t="inlineStr">
        <is>
          <t>冲晒印刷费</t>
        </is>
      </c>
      <c r="E72" s="148" t="n"/>
      <c r="F72" s="148" t="n"/>
      <c r="G72" s="148" t="n"/>
      <c r="H72" s="148" t="n"/>
      <c r="I72" s="148" t="n"/>
      <c r="J72" s="148">
        <f>H72+I72</f>
        <v/>
      </c>
      <c r="K72" s="148" t="n"/>
      <c r="L72" s="148">
        <f>J72-K72</f>
        <v/>
      </c>
      <c r="M72" s="150" t="n">
        <v>141655.44</v>
      </c>
      <c r="N72" s="148" t="n"/>
      <c r="O72" s="148">
        <f>L72-M72</f>
        <v/>
      </c>
      <c r="P72" s="148">
        <f>K72-N72</f>
        <v/>
      </c>
      <c r="Q72" s="148">
        <f>M72+O72</f>
        <v/>
      </c>
      <c r="R72" s="148">
        <f>M72+N72+O72+P72</f>
        <v/>
      </c>
      <c r="S72" s="148" t="n"/>
      <c r="T72" s="148" t="n"/>
      <c r="U72" s="148" t="n"/>
      <c r="V72" s="148" t="n"/>
    </row>
    <row r="73" ht="14" customHeight="1" s="116">
      <c r="A73" s="148" t="n"/>
      <c r="B73" s="148" t="n"/>
      <c r="C73" s="149" t="n"/>
      <c r="D73" s="149" t="inlineStr">
        <is>
          <t>办公用品费</t>
        </is>
      </c>
      <c r="E73" s="148" t="n"/>
      <c r="F73" s="148" t="n"/>
      <c r="G73" s="148" t="n"/>
      <c r="H73" s="148" t="n"/>
      <c r="I73" s="148" t="n"/>
      <c r="J73" s="148">
        <f>H73+I73</f>
        <v/>
      </c>
      <c r="K73" s="148" t="n"/>
      <c r="L73" s="148">
        <f>J73-K73</f>
        <v/>
      </c>
      <c r="M73" s="150" t="n">
        <v>342874.91</v>
      </c>
      <c r="N73" s="148" t="n"/>
      <c r="O73" s="148">
        <f>L73-M73</f>
        <v/>
      </c>
      <c r="P73" s="148">
        <f>K73-N73</f>
        <v/>
      </c>
      <c r="Q73" s="148">
        <f>M73+O73</f>
        <v/>
      </c>
      <c r="R73" s="148">
        <f>M73+N73+O73+P73</f>
        <v/>
      </c>
      <c r="S73" s="148" t="n"/>
      <c r="T73" s="148" t="n"/>
      <c r="U73" s="148" t="n"/>
      <c r="V73" s="148" t="n"/>
    </row>
    <row r="74" ht="14" customHeight="1" s="116">
      <c r="A74" s="148" t="n"/>
      <c r="B74" s="148" t="n"/>
      <c r="C74" s="149" t="n"/>
      <c r="D74" s="149" t="inlineStr">
        <is>
          <t>医疗保险</t>
        </is>
      </c>
      <c r="E74" s="148" t="n"/>
      <c r="F74" s="148" t="n"/>
      <c r="G74" s="148" t="n"/>
      <c r="H74" s="148" t="n"/>
      <c r="I74" s="148" t="n"/>
      <c r="J74" s="148">
        <f>H74+I74</f>
        <v/>
      </c>
      <c r="K74" s="148" t="n"/>
      <c r="L74" s="148">
        <f>J74-K74</f>
        <v/>
      </c>
      <c r="M74" s="150" t="n">
        <v>239686.83</v>
      </c>
      <c r="N74" s="148" t="n"/>
      <c r="O74" s="148">
        <f>L74-M74</f>
        <v/>
      </c>
      <c r="P74" s="148">
        <f>K74-N74</f>
        <v/>
      </c>
      <c r="Q74" s="148">
        <f>M74+O74</f>
        <v/>
      </c>
      <c r="R74" s="148">
        <f>M74+N74+O74+P74</f>
        <v/>
      </c>
      <c r="S74" s="148" t="n"/>
      <c r="T74" s="148" t="n"/>
      <c r="U74" s="148" t="n"/>
      <c r="V74" s="148" t="n"/>
    </row>
    <row r="75" ht="14" customHeight="1" s="116">
      <c r="A75" s="148" t="n"/>
      <c r="B75" s="148" t="n"/>
      <c r="C75" s="149" t="n"/>
      <c r="D75" s="149" t="inlineStr">
        <is>
          <t>基本养老保险</t>
        </is>
      </c>
      <c r="E75" s="148" t="n"/>
      <c r="F75" s="148" t="n"/>
      <c r="G75" s="148" t="n"/>
      <c r="H75" s="148" t="n"/>
      <c r="I75" s="148" t="n"/>
      <c r="J75" s="148">
        <f>H75+I75</f>
        <v/>
      </c>
      <c r="K75" s="148" t="n"/>
      <c r="L75" s="148">
        <f>J75-K75</f>
        <v/>
      </c>
      <c r="M75" s="150" t="n">
        <v>785587.66</v>
      </c>
      <c r="N75" s="148" t="n"/>
      <c r="O75" s="148">
        <f>L75-M75</f>
        <v/>
      </c>
      <c r="P75" s="148">
        <f>K75-N75</f>
        <v/>
      </c>
      <c r="Q75" s="148">
        <f>M75+O75</f>
        <v/>
      </c>
      <c r="R75" s="148">
        <f>M75+N75+O75+P75</f>
        <v/>
      </c>
      <c r="S75" s="148" t="n"/>
      <c r="T75" s="148" t="n"/>
      <c r="U75" s="148" t="n"/>
      <c r="V75" s="148" t="n"/>
    </row>
    <row r="76" ht="14" customHeight="1" s="116">
      <c r="A76" s="148" t="n"/>
      <c r="B76" s="148" t="n"/>
      <c r="C76" s="149" t="n"/>
      <c r="D76" s="149" t="inlineStr">
        <is>
          <t>境内差旅费</t>
        </is>
      </c>
      <c r="E76" s="148" t="n"/>
      <c r="F76" s="148" t="n"/>
      <c r="G76" s="148" t="n"/>
      <c r="H76" s="148" t="n"/>
      <c r="I76" s="148" t="n"/>
      <c r="J76" s="148">
        <f>H76+I76</f>
        <v/>
      </c>
      <c r="K76" s="148" t="n"/>
      <c r="L76" s="148">
        <f>J76-K76</f>
        <v/>
      </c>
      <c r="M76" s="150" t="n">
        <v>56605.13</v>
      </c>
      <c r="N76" s="148" t="n"/>
      <c r="O76" s="148">
        <f>L76-M76</f>
        <v/>
      </c>
      <c r="P76" s="148">
        <f>K76-N76</f>
        <v/>
      </c>
      <c r="Q76" s="148">
        <f>M76+O76</f>
        <v/>
      </c>
      <c r="R76" s="148">
        <f>M76+N76+O76+P76</f>
        <v/>
      </c>
      <c r="S76" s="148" t="n"/>
      <c r="T76" s="148" t="n"/>
      <c r="U76" s="148" t="n"/>
      <c r="V76" s="148" t="n"/>
    </row>
    <row r="77" ht="14" customHeight="1" s="116">
      <c r="A77" s="148" t="n"/>
      <c r="B77" s="148" t="n"/>
      <c r="C77" s="149" t="n"/>
      <c r="D77" s="149" t="inlineStr">
        <is>
          <t>失业保险</t>
        </is>
      </c>
      <c r="E77" s="148" t="n"/>
      <c r="F77" s="148" t="n"/>
      <c r="G77" s="148" t="n"/>
      <c r="H77" s="148" t="n"/>
      <c r="I77" s="148" t="n"/>
      <c r="J77" s="148">
        <f>H77+I77</f>
        <v/>
      </c>
      <c r="K77" s="148" t="n"/>
      <c r="L77" s="148">
        <f>J77-K77</f>
        <v/>
      </c>
      <c r="M77" s="150" t="n">
        <v>27374.29</v>
      </c>
      <c r="N77" s="148" t="n"/>
      <c r="O77" s="148">
        <f>L77-M77</f>
        <v/>
      </c>
      <c r="P77" s="148">
        <f>K77-N77</f>
        <v/>
      </c>
      <c r="Q77" s="148">
        <f>M77+O77</f>
        <v/>
      </c>
      <c r="R77" s="148">
        <f>M77+N77+O77+P77</f>
        <v/>
      </c>
      <c r="S77" s="148" t="n"/>
      <c r="T77" s="148" t="n"/>
      <c r="U77" s="148" t="n"/>
      <c r="V77" s="148" t="n"/>
    </row>
    <row r="78" ht="14" customHeight="1" s="116">
      <c r="A78" s="148" t="n"/>
      <c r="B78" s="148" t="n"/>
      <c r="C78" s="149" t="n"/>
      <c r="D78" s="149" t="inlineStr">
        <is>
          <t>工会经费</t>
        </is>
      </c>
      <c r="E78" s="148" t="n"/>
      <c r="F78" s="148" t="n"/>
      <c r="G78" s="148" t="n"/>
      <c r="H78" s="148" t="n"/>
      <c r="I78" s="148" t="n"/>
      <c r="J78" s="148">
        <f>H78+I78</f>
        <v/>
      </c>
      <c r="K78" s="148" t="n"/>
      <c r="L78" s="148">
        <f>J78-K78</f>
        <v/>
      </c>
      <c r="M78" s="150" t="n">
        <v>68528.91</v>
      </c>
      <c r="N78" s="148" t="n"/>
      <c r="O78" s="148">
        <f>L78-M78</f>
        <v/>
      </c>
      <c r="P78" s="148">
        <f>K78-N78</f>
        <v/>
      </c>
      <c r="Q78" s="148">
        <f>M78+O78</f>
        <v/>
      </c>
      <c r="R78" s="148">
        <f>M78+N78+O78+P78</f>
        <v/>
      </c>
      <c r="S78" s="148" t="n"/>
      <c r="T78" s="148" t="n"/>
      <c r="U78" s="148" t="n"/>
      <c r="V78" s="148" t="n"/>
    </row>
    <row r="79" ht="14" customHeight="1" s="116">
      <c r="A79" s="148" t="n"/>
      <c r="B79" s="148" t="n"/>
      <c r="C79" s="149" t="n"/>
      <c r="D79" s="149" t="inlineStr">
        <is>
          <t>工伤保险</t>
        </is>
      </c>
      <c r="E79" s="148" t="n"/>
      <c r="F79" s="148" t="n"/>
      <c r="G79" s="148" t="n"/>
      <c r="H79" s="148" t="n"/>
      <c r="I79" s="148" t="n"/>
      <c r="J79" s="148">
        <f>H79+I79</f>
        <v/>
      </c>
      <c r="K79" s="148" t="n"/>
      <c r="L79" s="148">
        <f>J79-K79</f>
        <v/>
      </c>
      <c r="M79" s="150" t="n">
        <v>41844.32</v>
      </c>
      <c r="N79" s="148" t="n"/>
      <c r="O79" s="148">
        <f>L79-M79</f>
        <v/>
      </c>
      <c r="P79" s="148">
        <f>K79-N79</f>
        <v/>
      </c>
      <c r="Q79" s="148">
        <f>M79+O79</f>
        <v/>
      </c>
      <c r="R79" s="148">
        <f>M79+N79+O79+P79</f>
        <v/>
      </c>
      <c r="S79" s="148" t="n"/>
      <c r="T79" s="148" t="n"/>
      <c r="U79" s="148" t="n"/>
      <c r="V79" s="148" t="n"/>
    </row>
    <row r="80" ht="26" customHeight="1" s="116">
      <c r="A80" s="148" t="n"/>
      <c r="B80" s="148" t="n"/>
      <c r="C80" s="149" t="n"/>
      <c r="D80" s="149" t="inlineStr">
        <is>
          <t>工资</t>
        </is>
      </c>
      <c r="E80" s="148" t="n"/>
      <c r="F80" s="148" t="n"/>
      <c r="G80" s="148" t="n"/>
      <c r="H80" s="148" t="n"/>
      <c r="I80" s="148" t="n"/>
      <c r="J80" s="148">
        <f>H80+I80</f>
        <v/>
      </c>
      <c r="K80" s="148" t="n"/>
      <c r="L80" s="148">
        <f>J80-K80</f>
        <v/>
      </c>
      <c r="M80" s="150" t="n">
        <v>6390165.85</v>
      </c>
      <c r="N80" s="148" t="n"/>
      <c r="O80" s="148">
        <f>L80-M80</f>
        <v/>
      </c>
      <c r="P80" s="148">
        <f>K80-N80</f>
        <v/>
      </c>
      <c r="Q80" s="148">
        <f>M80+O80</f>
        <v/>
      </c>
      <c r="R80" s="148">
        <f>M80+N80+O80+P80</f>
        <v/>
      </c>
      <c r="S80" s="148" t="n"/>
      <c r="T80" s="148" t="n"/>
      <c r="U80" s="148" t="n"/>
      <c r="V80" s="148" t="n"/>
    </row>
    <row r="81" ht="26" customHeight="1" s="116">
      <c r="A81" s="148" t="n"/>
      <c r="B81" s="148" t="n"/>
      <c r="C81" s="149" t="n"/>
      <c r="D81" s="149" t="inlineStr">
        <is>
          <t>市内交通费</t>
        </is>
      </c>
      <c r="E81" s="148" t="n"/>
      <c r="F81" s="148" t="n"/>
      <c r="G81" s="148" t="n"/>
      <c r="H81" s="148" t="n"/>
      <c r="I81" s="148" t="n"/>
      <c r="J81" s="148">
        <f>H81+I81</f>
        <v/>
      </c>
      <c r="K81" s="148" t="n"/>
      <c r="L81" s="148">
        <f>J81-K81</f>
        <v/>
      </c>
      <c r="M81" s="150" t="n">
        <v>249.88</v>
      </c>
      <c r="N81" s="148" t="n"/>
      <c r="O81" s="148">
        <f>L81-M81</f>
        <v/>
      </c>
      <c r="P81" s="148">
        <f>K81-N81</f>
        <v/>
      </c>
      <c r="Q81" s="148">
        <f>M81+O81</f>
        <v/>
      </c>
      <c r="R81" s="148">
        <f>M81+N81+O81+P81</f>
        <v/>
      </c>
      <c r="S81" s="148" t="n"/>
      <c r="T81" s="148" t="n"/>
      <c r="U81" s="148" t="n"/>
      <c r="V81" s="148" t="n"/>
    </row>
    <row r="82" ht="14" customHeight="1" s="116">
      <c r="A82" s="148" t="n"/>
      <c r="B82" s="148" t="n"/>
      <c r="C82" s="149" t="n"/>
      <c r="D82" s="149" t="inlineStr">
        <is>
          <t>律师费</t>
        </is>
      </c>
      <c r="E82" s="148" t="n"/>
      <c r="F82" s="148" t="n"/>
      <c r="G82" s="148" t="n"/>
      <c r="H82" s="148" t="n"/>
      <c r="I82" s="148" t="n"/>
      <c r="J82" s="148">
        <f>H82+I82</f>
        <v/>
      </c>
      <c r="K82" s="148" t="n"/>
      <c r="L82" s="148">
        <f>J82-K82</f>
        <v/>
      </c>
      <c r="M82" s="150" t="n">
        <v>24056.6</v>
      </c>
      <c r="N82" s="148" t="n"/>
      <c r="O82" s="148">
        <f>L82-M82</f>
        <v/>
      </c>
      <c r="P82" s="148">
        <f>K82-N82</f>
        <v/>
      </c>
      <c r="Q82" s="148">
        <f>M82+O82</f>
        <v/>
      </c>
      <c r="R82" s="148">
        <f>M82+N82+O82+P82</f>
        <v/>
      </c>
      <c r="S82" s="148" t="n"/>
      <c r="T82" s="148" t="n"/>
      <c r="U82" s="148" t="n"/>
      <c r="V82" s="148" t="n"/>
    </row>
    <row r="83" ht="14" customHeight="1" s="116">
      <c r="A83" s="148" t="n"/>
      <c r="B83" s="148" t="n"/>
      <c r="C83" s="149" t="n"/>
      <c r="D83" s="149" t="inlineStr">
        <is>
          <t>折旧费</t>
        </is>
      </c>
      <c r="E83" s="148" t="n"/>
      <c r="F83" s="148" t="n"/>
      <c r="G83" s="148" t="n"/>
      <c r="H83" s="148" t="n"/>
      <c r="I83" s="148" t="n"/>
      <c r="J83" s="148">
        <f>H83+I83</f>
        <v/>
      </c>
      <c r="K83" s="148" t="n"/>
      <c r="L83" s="148">
        <f>J83-K83</f>
        <v/>
      </c>
      <c r="M83" s="150" t="n">
        <v>8068.7</v>
      </c>
      <c r="N83" s="148" t="n"/>
      <c r="O83" s="148">
        <f>L83-M83</f>
        <v/>
      </c>
      <c r="P83" s="148">
        <f>K83-N83</f>
        <v/>
      </c>
      <c r="Q83" s="148">
        <f>M83+O83</f>
        <v/>
      </c>
      <c r="R83" s="148">
        <f>M83+N83+O83+P83</f>
        <v/>
      </c>
      <c r="S83" s="148" t="n"/>
      <c r="T83" s="148" t="n"/>
      <c r="U83" s="148" t="n"/>
      <c r="V83" s="148" t="n"/>
    </row>
    <row r="84" ht="14" customHeight="1" s="116">
      <c r="A84" s="148" t="n"/>
      <c r="B84" s="148" t="n"/>
      <c r="C84" s="149" t="n"/>
      <c r="D84" s="149" t="inlineStr">
        <is>
          <t>燃油费</t>
        </is>
      </c>
      <c r="E84" s="148" t="n"/>
      <c r="F84" s="148" t="n"/>
      <c r="G84" s="148" t="n"/>
      <c r="H84" s="148" t="n"/>
      <c r="I84" s="148" t="n"/>
      <c r="J84" s="148">
        <f>H84+I84</f>
        <v/>
      </c>
      <c r="K84" s="148" t="n"/>
      <c r="L84" s="148">
        <f>J84-K84</f>
        <v/>
      </c>
      <c r="M84" s="150" t="n">
        <v>61952.74</v>
      </c>
      <c r="N84" s="148" t="n"/>
      <c r="O84" s="148">
        <f>L84-M84</f>
        <v/>
      </c>
      <c r="P84" s="148">
        <f>K84-N84</f>
        <v/>
      </c>
      <c r="Q84" s="148">
        <f>M84+O84</f>
        <v/>
      </c>
      <c r="R84" s="148">
        <f>M84+N84+O84+P84</f>
        <v/>
      </c>
      <c r="S84" s="148" t="n"/>
      <c r="T84" s="148" t="n"/>
      <c r="U84" s="148" t="n"/>
      <c r="V84" s="148" t="n"/>
    </row>
    <row r="85" ht="14" customHeight="1" s="116">
      <c r="A85" s="148" t="n"/>
      <c r="B85" s="148" t="n"/>
      <c r="C85" s="149" t="n"/>
      <c r="D85" s="149" t="inlineStr">
        <is>
          <t>物业管理费</t>
        </is>
      </c>
      <c r="E85" s="148" t="n"/>
      <c r="F85" s="148" t="n"/>
      <c r="G85" s="148" t="n"/>
      <c r="H85" s="148" t="n"/>
      <c r="I85" s="148" t="n"/>
      <c r="J85" s="148">
        <f>H85+I85</f>
        <v/>
      </c>
      <c r="K85" s="148" t="n"/>
      <c r="L85" s="148">
        <f>J85-K85</f>
        <v/>
      </c>
      <c r="M85" s="150" t="n">
        <v>399120.24</v>
      </c>
      <c r="N85" s="148" t="n"/>
      <c r="O85" s="148">
        <f>L85-M85</f>
        <v/>
      </c>
      <c r="P85" s="148">
        <f>K85-N85</f>
        <v/>
      </c>
      <c r="Q85" s="148">
        <f>M85+O85</f>
        <v/>
      </c>
      <c r="R85" s="148">
        <f>M85+N85+O85+P85</f>
        <v/>
      </c>
      <c r="S85" s="148" t="n"/>
      <c r="T85" s="148" t="n"/>
      <c r="U85" s="148" t="n"/>
      <c r="V85" s="148" t="n"/>
    </row>
    <row r="86">
      <c r="A86" s="148" t="n"/>
      <c r="B86" s="148" t="n"/>
      <c r="C86" s="149" t="n"/>
      <c r="D86" s="149" t="inlineStr">
        <is>
          <t>生育保险</t>
        </is>
      </c>
      <c r="E86" s="148" t="n"/>
      <c r="F86" s="148" t="n"/>
      <c r="G86" s="148" t="n"/>
      <c r="H86" s="148" t="n"/>
      <c r="I86" s="148" t="n"/>
      <c r="J86" s="148">
        <f>H86+I86</f>
        <v/>
      </c>
      <c r="K86" s="148" t="n"/>
      <c r="L86" s="148">
        <f>J86-K86</f>
        <v/>
      </c>
      <c r="M86" s="150" t="n">
        <v>5673.75</v>
      </c>
      <c r="N86" s="148" t="n"/>
      <c r="O86" s="148">
        <f>L86-M86</f>
        <v/>
      </c>
      <c r="P86" s="148">
        <f>K86-N86</f>
        <v/>
      </c>
      <c r="Q86" s="148">
        <f>M86+O86</f>
        <v/>
      </c>
      <c r="R86" s="148">
        <f>M86+N86+O86+P86</f>
        <v/>
      </c>
      <c r="S86" s="148" t="n"/>
      <c r="T86" s="148" t="n"/>
      <c r="U86" s="148" t="n"/>
      <c r="V86" s="148" t="n"/>
    </row>
    <row r="87">
      <c r="A87" s="148" t="n"/>
      <c r="B87" s="148" t="n"/>
      <c r="C87" s="149" t="n"/>
      <c r="D87" s="149" t="inlineStr">
        <is>
          <t>社保及公积金</t>
        </is>
      </c>
      <c r="E87" s="148" t="n"/>
      <c r="F87" s="148" t="n"/>
      <c r="G87" s="148" t="n"/>
      <c r="H87" s="148" t="n"/>
      <c r="I87" s="148" t="n"/>
      <c r="J87" s="148">
        <f>H87+I87</f>
        <v/>
      </c>
      <c r="K87" s="148" t="n"/>
      <c r="L87" s="148">
        <f>J87-K87</f>
        <v/>
      </c>
      <c r="M87" s="150" t="n">
        <v>275511.16</v>
      </c>
      <c r="N87" s="148" t="n"/>
      <c r="O87" s="148">
        <f>L87-M87</f>
        <v/>
      </c>
      <c r="P87" s="148">
        <f>K87-N87</f>
        <v/>
      </c>
      <c r="Q87" s="148">
        <f>M87+O87</f>
        <v/>
      </c>
      <c r="R87" s="148">
        <f>M87+N87+O87+P87</f>
        <v/>
      </c>
      <c r="S87" s="148" t="n"/>
      <c r="T87" s="148" t="n"/>
      <c r="U87" s="148" t="n"/>
      <c r="V87" s="148" t="n"/>
    </row>
    <row r="88">
      <c r="A88" s="148" t="n"/>
      <c r="B88" s="148" t="n"/>
      <c r="C88" s="149" t="n"/>
      <c r="D88" s="149" t="inlineStr">
        <is>
          <t>租车费</t>
        </is>
      </c>
      <c r="E88" s="148" t="n"/>
      <c r="F88" s="148" t="n"/>
      <c r="G88" s="148" t="n"/>
      <c r="H88" s="148" t="n"/>
      <c r="I88" s="148" t="n"/>
      <c r="J88" s="148">
        <f>H88+I88</f>
        <v/>
      </c>
      <c r="K88" s="148" t="n"/>
      <c r="L88" s="148">
        <f>J88-K88</f>
        <v/>
      </c>
      <c r="M88" s="150" t="n">
        <v>18229.2</v>
      </c>
      <c r="N88" s="148" t="n"/>
      <c r="O88" s="148">
        <f>L88-M88</f>
        <v/>
      </c>
      <c r="P88" s="148">
        <f>K88-N88</f>
        <v/>
      </c>
      <c r="Q88" s="148">
        <f>M88+O88</f>
        <v/>
      </c>
      <c r="R88" s="148">
        <f>M88+N88+O88+P88</f>
        <v/>
      </c>
      <c r="S88" s="148" t="n"/>
      <c r="T88" s="148" t="n"/>
      <c r="U88" s="148" t="n"/>
      <c r="V88" s="148" t="n"/>
    </row>
    <row r="89">
      <c r="A89" s="148" t="n"/>
      <c r="B89" s="148" t="n"/>
      <c r="C89" s="149" t="n"/>
      <c r="D89" s="149" t="inlineStr">
        <is>
          <t>维修保养费</t>
        </is>
      </c>
      <c r="E89" s="148" t="n"/>
      <c r="F89" s="148" t="n"/>
      <c r="G89" s="148" t="n"/>
      <c r="H89" s="148" t="n"/>
      <c r="I89" s="148" t="n"/>
      <c r="J89" s="148">
        <f>H89+I89</f>
        <v/>
      </c>
      <c r="K89" s="148" t="n"/>
      <c r="L89" s="148">
        <f>J89-K89</f>
        <v/>
      </c>
      <c r="M89" s="150" t="n">
        <v>16244.86</v>
      </c>
      <c r="N89" s="148" t="n"/>
      <c r="O89" s="148">
        <f>L89-M89</f>
        <v/>
      </c>
      <c r="P89" s="148">
        <f>K89-N89</f>
        <v/>
      </c>
      <c r="Q89" s="148">
        <f>M89+O89</f>
        <v/>
      </c>
      <c r="R89" s="148">
        <f>M89+N89+O89+P89</f>
        <v/>
      </c>
      <c r="S89" s="148" t="n"/>
      <c r="T89" s="148" t="n"/>
      <c r="U89" s="148" t="n"/>
      <c r="V89" s="148" t="n"/>
    </row>
    <row r="90">
      <c r="A90" s="148" t="n"/>
      <c r="B90" s="148" t="n"/>
      <c r="C90" s="149" t="n"/>
      <c r="D90" s="149" t="inlineStr">
        <is>
          <t>网络使用费</t>
        </is>
      </c>
      <c r="E90" s="148" t="n"/>
      <c r="F90" s="148" t="n"/>
      <c r="G90" s="148" t="n"/>
      <c r="H90" s="148" t="n"/>
      <c r="I90" s="148" t="n"/>
      <c r="J90" s="148">
        <f>H90+I90</f>
        <v/>
      </c>
      <c r="K90" s="148" t="n"/>
      <c r="L90" s="148">
        <f>J90-K90</f>
        <v/>
      </c>
      <c r="M90" s="150" t="n">
        <v>127503.01</v>
      </c>
      <c r="N90" s="148" t="n"/>
      <c r="O90" s="148">
        <f>L90-M90</f>
        <v/>
      </c>
      <c r="P90" s="148">
        <f>K90-N90</f>
        <v/>
      </c>
      <c r="Q90" s="148">
        <f>M90+O90</f>
        <v/>
      </c>
      <c r="R90" s="148">
        <f>M90+N90+O90+P90</f>
        <v/>
      </c>
      <c r="S90" s="148" t="n"/>
      <c r="T90" s="148" t="n"/>
      <c r="U90" s="148" t="n"/>
      <c r="V90" s="148" t="n"/>
    </row>
    <row r="91">
      <c r="A91" s="148" t="n"/>
      <c r="B91" s="148" t="n"/>
      <c r="C91" s="149" t="n"/>
      <c r="D91" s="149" t="inlineStr">
        <is>
          <t>职工教育经费</t>
        </is>
      </c>
      <c r="E91" s="148" t="n"/>
      <c r="F91" s="148" t="n"/>
      <c r="G91" s="148" t="n"/>
      <c r="H91" s="148" t="n"/>
      <c r="I91" s="148" t="n"/>
      <c r="J91" s="148">
        <f>H91+I91</f>
        <v/>
      </c>
      <c r="K91" s="148" t="n"/>
      <c r="L91" s="148">
        <f>J91-K91</f>
        <v/>
      </c>
      <c r="M91" s="150" t="n">
        <v>35002.91</v>
      </c>
      <c r="N91" s="148" t="n"/>
      <c r="O91" s="148">
        <f>L91-M91</f>
        <v/>
      </c>
      <c r="P91" s="148">
        <f>K91-N91</f>
        <v/>
      </c>
      <c r="Q91" s="148">
        <f>M91+O91</f>
        <v/>
      </c>
      <c r="R91" s="148">
        <f>M91+N91+O91+P91</f>
        <v/>
      </c>
      <c r="S91" s="148" t="n"/>
      <c r="T91" s="148" t="n"/>
      <c r="U91" s="148" t="n"/>
      <c r="V91" s="148" t="n"/>
    </row>
    <row r="92">
      <c r="A92" s="148" t="n"/>
      <c r="B92" s="148" t="n"/>
      <c r="C92" s="149" t="n"/>
      <c r="D92" s="149" t="inlineStr">
        <is>
          <t>职工福利费</t>
        </is>
      </c>
      <c r="E92" s="148" t="n"/>
      <c r="F92" s="148" t="n"/>
      <c r="G92" s="148" t="n"/>
      <c r="H92" s="148" t="n"/>
      <c r="I92" s="148" t="n"/>
      <c r="J92" s="148">
        <f>H92+I92</f>
        <v/>
      </c>
      <c r="K92" s="148" t="n"/>
      <c r="L92" s="148">
        <f>J92-K92</f>
        <v/>
      </c>
      <c r="M92" s="150" t="n">
        <v>188522.63</v>
      </c>
      <c r="N92" s="148" t="n"/>
      <c r="O92" s="148">
        <f>L92-M92</f>
        <v/>
      </c>
      <c r="P92" s="148">
        <f>K92-N92</f>
        <v/>
      </c>
      <c r="Q92" s="148">
        <f>M92+O92</f>
        <v/>
      </c>
      <c r="R92" s="148">
        <f>M92+N92+O92+P92</f>
        <v/>
      </c>
      <c r="S92" s="148" t="n"/>
      <c r="T92" s="148" t="n"/>
      <c r="U92" s="148" t="n"/>
      <c r="V92" s="148" t="n"/>
    </row>
    <row r="93">
      <c r="A93" s="148" t="n"/>
      <c r="B93" s="148" t="n"/>
      <c r="C93" s="149" t="n"/>
      <c r="D93" s="149" t="inlineStr">
        <is>
          <t>补充医疗保险</t>
        </is>
      </c>
      <c r="E93" s="148" t="n"/>
      <c r="F93" s="148" t="n"/>
      <c r="G93" s="148" t="n"/>
      <c r="H93" s="148" t="n"/>
      <c r="I93" s="148" t="n"/>
      <c r="J93" s="148">
        <f>H93+I93</f>
        <v/>
      </c>
      <c r="K93" s="148" t="n"/>
      <c r="L93" s="148">
        <f>J93-K93</f>
        <v/>
      </c>
      <c r="M93" s="150" t="n">
        <v>2802.66</v>
      </c>
      <c r="N93" s="148" t="n"/>
      <c r="O93" s="148">
        <f>L93-M93</f>
        <v/>
      </c>
      <c r="P93" s="148">
        <f>K93-N93</f>
        <v/>
      </c>
      <c r="Q93" s="148">
        <f>M93+O93</f>
        <v/>
      </c>
      <c r="R93" s="148">
        <f>M93+N93+O93+P93</f>
        <v/>
      </c>
      <c r="S93" s="148" t="n"/>
      <c r="T93" s="148" t="n"/>
      <c r="U93" s="148" t="n"/>
      <c r="V93" s="148" t="n"/>
    </row>
    <row r="94">
      <c r="A94" s="148" t="n"/>
      <c r="B94" s="148" t="n"/>
      <c r="C94" s="149" t="n"/>
      <c r="D94" s="149" t="inlineStr">
        <is>
          <t>诉讼费</t>
        </is>
      </c>
      <c r="E94" s="148" t="n"/>
      <c r="F94" s="148" t="n"/>
      <c r="G94" s="148" t="n"/>
      <c r="H94" s="148" t="n"/>
      <c r="I94" s="148" t="n"/>
      <c r="J94" s="148">
        <f>H94+I94</f>
        <v/>
      </c>
      <c r="K94" s="148" t="n"/>
      <c r="L94" s="148">
        <f>J94-K94</f>
        <v/>
      </c>
      <c r="M94" s="150" t="n">
        <v>310729.56</v>
      </c>
      <c r="N94" s="148" t="n"/>
      <c r="O94" s="148">
        <f>L94-M94</f>
        <v/>
      </c>
      <c r="P94" s="148">
        <f>K94-N94</f>
        <v/>
      </c>
      <c r="Q94" s="148">
        <f>M94+O94</f>
        <v/>
      </c>
      <c r="R94" s="148">
        <f>M94+N94+O94+P94</f>
        <v/>
      </c>
      <c r="S94" s="148" t="n"/>
      <c r="T94" s="148" t="n"/>
      <c r="U94" s="148" t="n"/>
      <c r="V94" s="148" t="n"/>
    </row>
    <row r="95">
      <c r="A95" s="148" t="n"/>
      <c r="B95" s="148" t="n"/>
      <c r="C95" s="149" t="n"/>
      <c r="D95" s="149" t="inlineStr">
        <is>
          <t>路桥及停车费</t>
        </is>
      </c>
      <c r="E95" s="148" t="n"/>
      <c r="F95" s="148" t="n"/>
      <c r="G95" s="148" t="n"/>
      <c r="H95" s="148" t="n"/>
      <c r="I95" s="148" t="n"/>
      <c r="J95" s="148">
        <f>H95+I95</f>
        <v/>
      </c>
      <c r="K95" s="148" t="n"/>
      <c r="L95" s="148">
        <f>J95-K95</f>
        <v/>
      </c>
      <c r="M95" s="150" t="n">
        <v>40569.97</v>
      </c>
      <c r="N95" s="148" t="n"/>
      <c r="O95" s="148">
        <f>L95-M95</f>
        <v/>
      </c>
      <c r="P95" s="148">
        <f>K95-N95</f>
        <v/>
      </c>
      <c r="Q95" s="148">
        <f>M95+O95</f>
        <v/>
      </c>
      <c r="R95" s="148">
        <f>M95+N95+O95+P95</f>
        <v/>
      </c>
      <c r="S95" s="148" t="n"/>
      <c r="T95" s="148" t="n"/>
      <c r="U95" s="148" t="n"/>
      <c r="V95" s="148" t="n"/>
    </row>
    <row r="96">
      <c r="A96" s="148" t="n"/>
      <c r="B96" s="148" t="n"/>
      <c r="C96" s="149" t="n"/>
      <c r="D96" s="149" t="inlineStr">
        <is>
          <t>软件费</t>
        </is>
      </c>
      <c r="E96" s="148" t="n"/>
      <c r="F96" s="148" t="n"/>
      <c r="G96" s="148" t="n"/>
      <c r="H96" s="148" t="n"/>
      <c r="I96" s="148" t="n"/>
      <c r="J96" s="148">
        <f>H96+I96</f>
        <v/>
      </c>
      <c r="K96" s="148" t="n"/>
      <c r="L96" s="148">
        <f>J96-K96</f>
        <v/>
      </c>
      <c r="M96" s="150" t="n">
        <v>14454.72</v>
      </c>
      <c r="N96" s="148" t="n"/>
      <c r="O96" s="148">
        <f>L96-M96</f>
        <v/>
      </c>
      <c r="P96" s="148">
        <f>K96-N96</f>
        <v/>
      </c>
      <c r="Q96" s="148">
        <f>M96+O96</f>
        <v/>
      </c>
      <c r="R96" s="148">
        <f>M96+N96+O96+P96</f>
        <v/>
      </c>
      <c r="S96" s="148" t="n"/>
      <c r="T96" s="148" t="n"/>
      <c r="U96" s="148" t="n"/>
      <c r="V96" s="148" t="n"/>
    </row>
    <row r="97">
      <c r="A97" s="148" t="n"/>
      <c r="B97" s="148" t="n"/>
      <c r="C97" s="149" t="n"/>
      <c r="D97" s="149" t="inlineStr">
        <is>
          <t>通信费</t>
        </is>
      </c>
      <c r="E97" s="148" t="n"/>
      <c r="F97" s="148" t="n"/>
      <c r="G97" s="148" t="n"/>
      <c r="H97" s="148" t="n"/>
      <c r="I97" s="148" t="n"/>
      <c r="J97" s="148">
        <f>H97+I97</f>
        <v/>
      </c>
      <c r="K97" s="148" t="n"/>
      <c r="L97" s="148">
        <f>J97-K97</f>
        <v/>
      </c>
      <c r="M97" s="150" t="n">
        <v>35361.79</v>
      </c>
      <c r="N97" s="148" t="n"/>
      <c r="O97" s="148">
        <f>L97-M97</f>
        <v/>
      </c>
      <c r="P97" s="148">
        <f>K97-N97</f>
        <v/>
      </c>
      <c r="Q97" s="148">
        <f>M97+O97</f>
        <v/>
      </c>
      <c r="R97" s="148">
        <f>M97+N97+O97+P97</f>
        <v/>
      </c>
      <c r="S97" s="148" t="n"/>
      <c r="T97" s="148" t="n"/>
      <c r="U97" s="148" t="n"/>
      <c r="V97" s="148" t="n"/>
    </row>
    <row r="98">
      <c r="A98" s="148" t="n"/>
      <c r="B98" s="148" t="n"/>
      <c r="C98" s="149" t="n"/>
      <c r="D98" s="149" t="inlineStr">
        <is>
          <t>邮寄费</t>
        </is>
      </c>
      <c r="E98" s="148" t="n"/>
      <c r="F98" s="148" t="n"/>
      <c r="G98" s="148" t="n"/>
      <c r="H98" s="148" t="n"/>
      <c r="I98" s="148" t="n"/>
      <c r="J98" s="148">
        <f>H98+I98</f>
        <v/>
      </c>
      <c r="K98" s="148" t="n"/>
      <c r="L98" s="148">
        <f>J98-K98</f>
        <v/>
      </c>
      <c r="M98" s="150" t="n">
        <v>604.72</v>
      </c>
      <c r="N98" s="148" t="n"/>
      <c r="O98" s="148">
        <f>L98-M98</f>
        <v/>
      </c>
      <c r="P98" s="148">
        <f>K98-N98</f>
        <v/>
      </c>
      <c r="Q98" s="148">
        <f>M98+O98</f>
        <v/>
      </c>
      <c r="R98" s="148">
        <f>M98+N98+O98+P98</f>
        <v/>
      </c>
      <c r="S98" s="148" t="n"/>
      <c r="T98" s="148" t="n"/>
      <c r="U98" s="148" t="n"/>
      <c r="V98" s="148" t="n"/>
    </row>
    <row r="99">
      <c r="A99" s="148" t="n"/>
      <c r="B99" s="148" t="n"/>
      <c r="C99" s="149" t="n"/>
      <c r="D99" s="149" t="inlineStr">
        <is>
          <t>分包工程支出</t>
        </is>
      </c>
      <c r="E99" s="148" t="n"/>
      <c r="F99" s="148" t="n"/>
      <c r="G99" s="148" t="n"/>
      <c r="H99" s="148" t="n"/>
      <c r="I99" s="148" t="n"/>
      <c r="J99" s="148">
        <f>H99+I99</f>
        <v/>
      </c>
      <c r="K99" s="148" t="n"/>
      <c r="L99" s="148">
        <f>J99-K99</f>
        <v/>
      </c>
      <c r="M99" s="150" t="n">
        <v>7404340.81</v>
      </c>
      <c r="N99" s="148" t="n"/>
      <c r="O99" s="148">
        <f>L99-M99</f>
        <v/>
      </c>
      <c r="P99" s="148">
        <f>K99-N99</f>
        <v/>
      </c>
      <c r="Q99" s="148">
        <f>M99+O99</f>
        <v/>
      </c>
      <c r="R99" s="148">
        <f>M99+N99+O99+P99</f>
        <v/>
      </c>
      <c r="S99" s="148" t="n"/>
      <c r="T99" s="148" t="n"/>
      <c r="U99" s="148" t="n"/>
      <c r="V99" s="148" t="n"/>
    </row>
    <row r="100">
      <c r="A100" s="148" t="n"/>
      <c r="B100" s="148" t="n"/>
      <c r="C100" s="149" t="n"/>
      <c r="D100" s="149" t="inlineStr">
        <is>
          <t>报销</t>
        </is>
      </c>
      <c r="E100" s="148" t="n"/>
      <c r="F100" s="148" t="n"/>
      <c r="G100" s="148" t="n"/>
      <c r="H100" s="148" t="n"/>
      <c r="I100" s="148" t="n"/>
      <c r="J100" s="148">
        <f>H100+I100</f>
        <v/>
      </c>
      <c r="K100" s="148" t="n"/>
      <c r="L100" s="148">
        <f>J100-K100</f>
        <v/>
      </c>
      <c r="M100" s="150" t="n">
        <v>162980</v>
      </c>
      <c r="N100" s="148" t="n"/>
      <c r="O100" s="148">
        <f>L100-M100</f>
        <v/>
      </c>
      <c r="P100" s="148">
        <f>K100-N100</f>
        <v/>
      </c>
      <c r="Q100" s="148">
        <f>M100+O100</f>
        <v/>
      </c>
      <c r="R100" s="148">
        <f>M100+N100+O100+P100</f>
        <v/>
      </c>
      <c r="S100" s="148" t="n"/>
      <c r="T100" s="148" t="n"/>
      <c r="U100" s="148" t="n"/>
      <c r="V100" s="148" t="n"/>
    </row>
    <row r="101">
      <c r="A101" s="148" t="n"/>
      <c r="B101" s="148" t="n"/>
      <c r="C101" s="149" t="n"/>
      <c r="D101" s="149" t="inlineStr">
        <is>
          <t>直接人工费</t>
        </is>
      </c>
      <c r="E101" s="148" t="n"/>
      <c r="F101" s="148" t="n"/>
      <c r="G101" s="148" t="n"/>
      <c r="H101" s="148" t="n"/>
      <c r="I101" s="148" t="n"/>
      <c r="J101" s="148">
        <f>H101+I101</f>
        <v/>
      </c>
      <c r="K101" s="148" t="n"/>
      <c r="L101" s="148">
        <f>J101-K101</f>
        <v/>
      </c>
      <c r="M101" s="150" t="n">
        <v>951309.41</v>
      </c>
      <c r="N101" s="148" t="n"/>
      <c r="O101" s="148">
        <f>L101-M101</f>
        <v/>
      </c>
      <c r="P101" s="148">
        <f>K101-N101</f>
        <v/>
      </c>
      <c r="Q101" s="148">
        <f>M101+O101</f>
        <v/>
      </c>
      <c r="R101" s="148">
        <f>M101+N101+O101+P101</f>
        <v/>
      </c>
      <c r="S101" s="148" t="n"/>
      <c r="T101" s="148" t="n"/>
      <c r="U101" s="148" t="n"/>
      <c r="V101" s="148" t="n"/>
    </row>
    <row r="102">
      <c r="A102" s="19" t="n"/>
      <c r="B102" s="19" t="n"/>
      <c r="C102" s="19" t="n"/>
      <c r="D102" s="24" t="inlineStr">
        <is>
          <t>**财务未列部分需增列***</t>
        </is>
      </c>
      <c r="E102" s="25" t="n"/>
      <c r="F102" s="25" t="n"/>
      <c r="G102" s="25" t="n"/>
      <c r="H102" s="163" t="n"/>
      <c r="I102" s="140" t="n"/>
      <c r="J102" s="163" t="n"/>
      <c r="K102" s="145" t="n"/>
      <c r="L102" s="151" t="n"/>
      <c r="M102" s="163" t="n"/>
      <c r="N102" s="140" t="n"/>
      <c r="O102" s="140">
        <f>L102-M102</f>
        <v/>
      </c>
      <c r="P102" s="140">
        <f>K102-N102</f>
        <v/>
      </c>
      <c r="Q102" s="140">
        <f>M102+O102</f>
        <v/>
      </c>
      <c r="R102" s="140">
        <f>M102+N102+O102+P102</f>
        <v/>
      </c>
      <c r="S102" s="163" t="n"/>
      <c r="T102" s="163" t="n"/>
      <c r="U102" s="163" t="n"/>
      <c r="V102" s="163" t="n"/>
      <c r="W102" s="163" t="n"/>
      <c r="X102" s="163" t="n"/>
      <c r="Y102" s="163" t="n"/>
      <c r="Z102" s="163" t="n"/>
      <c r="AA102" s="147" t="n"/>
      <c r="AB102" s="141" t="n"/>
      <c r="AC102" s="141" t="n"/>
      <c r="AD102" s="141" t="n"/>
      <c r="AE102" s="141" t="n"/>
      <c r="AF102" s="141" t="n"/>
      <c r="AG102" s="141" t="n"/>
      <c r="AH102" s="141" t="n"/>
      <c r="AI102" s="141" t="n"/>
      <c r="AJ102" s="141" t="n"/>
      <c r="AK102" s="141" t="n"/>
      <c r="AL102" s="78" t="n"/>
    </row>
    <row r="103">
      <c r="A103" s="40" t="n"/>
      <c r="B103" s="40" t="n"/>
      <c r="C103" s="40" t="n"/>
      <c r="D103" s="39" t="inlineStr">
        <is>
          <t>间接费小计：</t>
        </is>
      </c>
      <c r="E103" s="41" t="n"/>
      <c r="F103" s="41" t="n"/>
      <c r="G103" s="41" t="n"/>
      <c r="H103" s="153">
        <f>SUM(H66:H102)</f>
        <v/>
      </c>
      <c r="I103" s="153">
        <f>SUM(I66:I102)</f>
        <v/>
      </c>
      <c r="J103" s="153">
        <f>SUM(J66:J102)</f>
        <v/>
      </c>
      <c r="K103" s="153">
        <f>SUM(K66:K102)</f>
        <v/>
      </c>
      <c r="L103" s="162">
        <f>SUM(L66:L102)</f>
        <v/>
      </c>
      <c r="M103" s="162">
        <f>SUM(M66:M102)</f>
        <v/>
      </c>
      <c r="N103" s="162">
        <f>SUM(N66:N102)</f>
        <v/>
      </c>
      <c r="O103" s="162">
        <f>SUM(O66:O102)</f>
        <v/>
      </c>
      <c r="P103" s="162">
        <f>SUM(P66:P102)</f>
        <v/>
      </c>
      <c r="Q103" s="162">
        <f>SUM(Q66:Q102)</f>
        <v/>
      </c>
      <c r="R103" s="162">
        <f>SUM(R66:R102)</f>
        <v/>
      </c>
      <c r="S103" s="162">
        <f>SUM(S66:S102)</f>
        <v/>
      </c>
      <c r="T103" s="162" t="n"/>
      <c r="U103" s="162" t="n"/>
      <c r="V103" s="162" t="n"/>
      <c r="W103" s="162" t="n"/>
      <c r="X103" s="162" t="n"/>
      <c r="Y103" s="162" t="n"/>
      <c r="Z103" s="162">
        <f>SUM(Z66:Z102)</f>
        <v/>
      </c>
      <c r="AA103" s="162">
        <f>SUM(AA66:AA102)</f>
        <v/>
      </c>
      <c r="AB103" s="162">
        <f>SUM(AB66:AB102)</f>
        <v/>
      </c>
      <c r="AC103" s="162">
        <f>SUM(AC66:AC102)</f>
        <v/>
      </c>
      <c r="AD103" s="162">
        <f>SUM(AD66:AD102)</f>
        <v/>
      </c>
      <c r="AE103" s="162">
        <f>SUM(AE66:AE102)</f>
        <v/>
      </c>
      <c r="AF103" s="162">
        <f>SUM(AF66:AF102)</f>
        <v/>
      </c>
      <c r="AG103" s="162" t="n"/>
      <c r="AH103" s="162" t="n"/>
      <c r="AI103" s="162">
        <f>SUM(AI66:AI102)</f>
        <v/>
      </c>
      <c r="AJ103" s="162">
        <f>SUM(AJ66:AJ102)</f>
        <v/>
      </c>
      <c r="AK103" s="162">
        <f>SUM(AK66:AK102)</f>
        <v/>
      </c>
      <c r="AL103" s="78" t="n"/>
    </row>
    <row r="104">
      <c r="A104" s="19" t="n"/>
      <c r="B104" s="19" t="n"/>
      <c r="C104" s="19" t="n"/>
      <c r="D104" s="29" t="inlineStr">
        <is>
          <t>（七）安全费</t>
        </is>
      </c>
      <c r="E104" s="25" t="n"/>
      <c r="F104" s="25" t="n"/>
      <c r="G104" s="25" t="n"/>
      <c r="H104" s="140" t="n"/>
      <c r="I104" s="140" t="n"/>
      <c r="J104" s="135" t="n">
        <v>0</v>
      </c>
      <c r="K104" s="164" t="n"/>
      <c r="L104" s="151">
        <f>J64-N64-P64</f>
        <v/>
      </c>
      <c r="M104" s="140" t="n"/>
      <c r="N104" s="140" t="n"/>
      <c r="O104" s="140">
        <f>L64-M64</f>
        <v/>
      </c>
      <c r="P104" s="140">
        <f>K64-N64</f>
        <v/>
      </c>
      <c r="Q104" s="140">
        <f>M64+O64</f>
        <v/>
      </c>
      <c r="R104" s="140">
        <f>M64+N64+O64+P64</f>
        <v/>
      </c>
      <c r="S104" s="163" t="n"/>
      <c r="T104" s="163" t="n"/>
      <c r="U104" s="163" t="n"/>
      <c r="V104" s="163" t="n"/>
      <c r="W104" s="163" t="n"/>
      <c r="X104" s="163" t="n"/>
      <c r="Y104" s="163" t="n"/>
      <c r="Z104" s="161" t="n"/>
      <c r="AA104" s="147" t="n"/>
      <c r="AB104" s="141" t="n"/>
      <c r="AC104" s="141" t="n"/>
      <c r="AD104" s="141" t="n"/>
      <c r="AE104" s="141" t="n"/>
      <c r="AF104" s="141" t="n"/>
      <c r="AG104" s="141" t="n"/>
      <c r="AH104" s="141" t="n"/>
      <c r="AI104" s="141" t="n"/>
      <c r="AJ104" s="141" t="n"/>
      <c r="AK104" s="141" t="n"/>
      <c r="AL104" s="78" t="n"/>
    </row>
    <row r="105">
      <c r="A105" s="19" t="n"/>
      <c r="B105" s="19" t="n"/>
      <c r="C105" s="19" t="n"/>
      <c r="D105" s="29" t="n"/>
      <c r="E105" s="25" t="n"/>
      <c r="F105" s="25" t="n"/>
      <c r="G105" s="25" t="n"/>
      <c r="H105" s="140" t="n"/>
      <c r="I105" s="140" t="n"/>
      <c r="J105" s="135">
        <f>H65+I65</f>
        <v/>
      </c>
      <c r="K105" s="140" t="n"/>
      <c r="L105" s="151">
        <f>J65-K65</f>
        <v/>
      </c>
      <c r="M105" s="140" t="n"/>
      <c r="N105" s="140" t="n"/>
      <c r="O105" s="140">
        <f>L65-M65</f>
        <v/>
      </c>
      <c r="P105" s="140">
        <f>K65-N65</f>
        <v/>
      </c>
      <c r="Q105" s="140">
        <f>M65+O65</f>
        <v/>
      </c>
      <c r="R105" s="140">
        <f>M65+N65+O65+P65</f>
        <v/>
      </c>
      <c r="S105" s="147" t="n"/>
      <c r="T105" s="147" t="n"/>
      <c r="U105" s="147" t="n"/>
      <c r="V105" s="147" t="n"/>
      <c r="W105" s="147" t="n"/>
      <c r="X105" s="147" t="n"/>
      <c r="Y105" s="147" t="n"/>
      <c r="Z105" s="147" t="n"/>
      <c r="AA105" s="147" t="n"/>
      <c r="AB105" s="141" t="n"/>
      <c r="AC105" s="141" t="n"/>
      <c r="AD105" s="141" t="n"/>
      <c r="AE105" s="141" t="n"/>
      <c r="AF105" s="141" t="n"/>
      <c r="AG105" s="141" t="n"/>
      <c r="AH105" s="141" t="n"/>
      <c r="AI105" s="141" t="n"/>
      <c r="AJ105" s="141" t="n"/>
      <c r="AK105" s="141" t="n"/>
      <c r="AL105" s="78" t="n"/>
    </row>
    <row r="106">
      <c r="A106" s="19" t="n"/>
      <c r="B106" s="19" t="n"/>
      <c r="C106" s="19" t="n"/>
      <c r="D106" s="29" t="n"/>
      <c r="E106" s="25" t="n"/>
      <c r="F106" s="25" t="n"/>
      <c r="G106" s="25" t="n"/>
      <c r="H106" s="140" t="n"/>
      <c r="I106" s="140" t="n"/>
      <c r="J106" s="135">
        <f>H66+I66</f>
        <v/>
      </c>
      <c r="K106" s="140" t="n"/>
      <c r="L106" s="151">
        <f>J66-K66</f>
        <v/>
      </c>
      <c r="M106" s="140" t="n"/>
      <c r="N106" s="140" t="n"/>
      <c r="O106" s="140">
        <f>L66-M66</f>
        <v/>
      </c>
      <c r="P106" s="140">
        <f>K66-N66</f>
        <v/>
      </c>
      <c r="Q106" s="140">
        <f>M66+O66</f>
        <v/>
      </c>
      <c r="R106" s="140">
        <f>M66+N66+O66+P66</f>
        <v/>
      </c>
      <c r="S106" s="147" t="n"/>
      <c r="T106" s="147" t="n"/>
      <c r="U106" s="147" t="n"/>
      <c r="V106" s="147" t="n"/>
      <c r="W106" s="147" t="n"/>
      <c r="X106" s="147" t="n"/>
      <c r="Y106" s="147" t="n"/>
      <c r="Z106" s="147" t="n"/>
      <c r="AA106" s="147" t="n"/>
      <c r="AB106" s="141" t="n"/>
      <c r="AC106" s="141" t="n"/>
      <c r="AD106" s="141" t="n"/>
      <c r="AE106" s="141" t="n"/>
      <c r="AF106" s="141" t="n"/>
      <c r="AG106" s="141" t="n"/>
      <c r="AH106" s="141" t="n"/>
      <c r="AI106" s="141" t="n"/>
      <c r="AJ106" s="141" t="n"/>
      <c r="AK106" s="141" t="n"/>
      <c r="AL106" s="78" t="n"/>
    </row>
    <row r="107">
      <c r="A107" s="19" t="n"/>
      <c r="B107" s="19" t="n"/>
      <c r="C107" s="19" t="n"/>
      <c r="D107" s="29" t="n"/>
      <c r="E107" s="25" t="n"/>
      <c r="F107" s="25" t="n"/>
      <c r="G107" s="25" t="n"/>
      <c r="H107" s="140" t="n"/>
      <c r="I107" s="140" t="n"/>
      <c r="J107" s="135">
        <f>H67+I67</f>
        <v/>
      </c>
      <c r="K107" s="140" t="n"/>
      <c r="L107" s="151">
        <f>J67-K67</f>
        <v/>
      </c>
      <c r="M107" s="140" t="n"/>
      <c r="N107" s="140" t="n"/>
      <c r="O107" s="140">
        <f>L67-M67</f>
        <v/>
      </c>
      <c r="P107" s="140">
        <f>K67-N67</f>
        <v/>
      </c>
      <c r="Q107" s="140">
        <f>M67+O67</f>
        <v/>
      </c>
      <c r="R107" s="140">
        <f>M67+N67+O67+P67</f>
        <v/>
      </c>
      <c r="S107" s="147" t="n"/>
      <c r="T107" s="147" t="n"/>
      <c r="U107" s="147" t="n"/>
      <c r="V107" s="147" t="n"/>
      <c r="W107" s="147" t="n"/>
      <c r="X107" s="147" t="n"/>
      <c r="Y107" s="147" t="n"/>
      <c r="Z107" s="147" t="n"/>
      <c r="AA107" s="147" t="n"/>
      <c r="AB107" s="141" t="n"/>
      <c r="AC107" s="141" t="n"/>
      <c r="AD107" s="141" t="n"/>
      <c r="AE107" s="141" t="n"/>
      <c r="AF107" s="141" t="n"/>
      <c r="AG107" s="141" t="n"/>
      <c r="AH107" s="141" t="n"/>
      <c r="AI107" s="141" t="n"/>
      <c r="AJ107" s="141" t="n"/>
      <c r="AK107" s="141" t="n"/>
      <c r="AL107" s="78" t="n"/>
    </row>
    <row r="108">
      <c r="A108" s="19" t="n"/>
      <c r="B108" s="19" t="n"/>
      <c r="C108" s="19" t="n"/>
      <c r="D108" s="29" t="n"/>
      <c r="E108" s="25" t="n"/>
      <c r="F108" s="25" t="n"/>
      <c r="G108" s="25" t="n"/>
      <c r="H108" s="140" t="n"/>
      <c r="I108" s="140" t="n"/>
      <c r="J108" s="135">
        <f>H68+I68</f>
        <v/>
      </c>
      <c r="K108" s="140" t="n"/>
      <c r="L108" s="151">
        <f>J68-K68</f>
        <v/>
      </c>
      <c r="M108" s="140" t="n"/>
      <c r="N108" s="140" t="n"/>
      <c r="O108" s="140">
        <f>L68-M68</f>
        <v/>
      </c>
      <c r="P108" s="140">
        <f>K68-N68</f>
        <v/>
      </c>
      <c r="Q108" s="140">
        <f>M68+O68</f>
        <v/>
      </c>
      <c r="R108" s="140">
        <f>M68+N68+O68+P68</f>
        <v/>
      </c>
      <c r="S108" s="147" t="n"/>
      <c r="T108" s="147" t="n"/>
      <c r="U108" s="147" t="n"/>
      <c r="V108" s="147" t="n"/>
      <c r="W108" s="147" t="n"/>
      <c r="X108" s="147" t="n"/>
      <c r="Y108" s="147" t="n"/>
      <c r="Z108" s="147" t="n"/>
      <c r="AA108" s="147" t="n"/>
      <c r="AB108" s="141" t="n"/>
      <c r="AC108" s="141" t="n"/>
      <c r="AD108" s="141" t="n"/>
      <c r="AE108" s="141" t="n"/>
      <c r="AF108" s="141" t="n"/>
      <c r="AG108" s="141" t="n"/>
      <c r="AH108" s="141" t="n"/>
      <c r="AI108" s="141" t="n"/>
      <c r="AJ108" s="141" t="n"/>
      <c r="AK108" s="141" t="n"/>
      <c r="AL108" s="78" t="n"/>
    </row>
    <row r="109">
      <c r="A109" s="40" t="n"/>
      <c r="B109" s="40" t="n"/>
      <c r="C109" s="40" t="n"/>
      <c r="D109" s="39" t="inlineStr">
        <is>
          <t>安全费小计：</t>
        </is>
      </c>
      <c r="E109" s="39" t="n"/>
      <c r="F109" s="39" t="n"/>
      <c r="G109" s="39" t="n"/>
      <c r="H109" s="153">
        <f>SUM(H104:H108)</f>
        <v/>
      </c>
      <c r="I109" s="153">
        <f>SUM(I104:I108)</f>
        <v/>
      </c>
      <c r="J109" s="153" t="n">
        <v>0</v>
      </c>
      <c r="K109" s="153" t="n">
        <v>0</v>
      </c>
      <c r="L109" s="151">
        <f>J69-K69</f>
        <v/>
      </c>
      <c r="M109" s="165" t="n"/>
      <c r="N109" s="165" t="n"/>
      <c r="O109" s="162">
        <f>SUM(O104:O108)</f>
        <v/>
      </c>
      <c r="P109" s="162">
        <f>SUM(P104:P108)</f>
        <v/>
      </c>
      <c r="Q109" s="162">
        <f>SUM(Q104:Q108)</f>
        <v/>
      </c>
      <c r="R109" s="162">
        <f>SUM(R104:R108)</f>
        <v/>
      </c>
      <c r="S109" s="162">
        <f>SUM(S104:S108)</f>
        <v/>
      </c>
      <c r="T109" s="165" t="n"/>
      <c r="U109" s="165" t="n"/>
      <c r="V109" s="165" t="n"/>
      <c r="W109" s="165" t="n"/>
      <c r="X109" s="165" t="n"/>
      <c r="Y109" s="165" t="n"/>
      <c r="Z109" s="165" t="n"/>
      <c r="AA109" s="165">
        <f>SUM(AA104:AA108)</f>
        <v/>
      </c>
      <c r="AB109" s="165">
        <f>SUM(AB104:AB108)</f>
        <v/>
      </c>
      <c r="AC109" s="165">
        <f>SUM(AC104:AC108)</f>
        <v/>
      </c>
      <c r="AD109" s="165">
        <f>SUM(AD104:AD108)</f>
        <v/>
      </c>
      <c r="AE109" s="165">
        <f>SUM(AE104:AE108)</f>
        <v/>
      </c>
      <c r="AF109" s="165">
        <f>SUM(AF104:AF108)</f>
        <v/>
      </c>
      <c r="AG109" s="165" t="n"/>
      <c r="AH109" s="165" t="n"/>
      <c r="AI109" s="165">
        <f>SUM(AI104:AI108)</f>
        <v/>
      </c>
      <c r="AJ109" s="165">
        <f>SUM(AJ104:AJ108)</f>
        <v/>
      </c>
      <c r="AK109" s="165">
        <f>SUM(AK104:AK108)</f>
        <v/>
      </c>
      <c r="AL109" s="112" t="n"/>
    </row>
    <row r="110">
      <c r="A110" s="40" t="n"/>
      <c r="B110" s="40" t="n"/>
      <c r="C110" s="40" t="n"/>
      <c r="D110" s="39" t="inlineStr">
        <is>
          <t>三、成本合计：</t>
        </is>
      </c>
      <c r="E110" s="41" t="n"/>
      <c r="F110" s="41" t="n"/>
      <c r="G110" s="41" t="n"/>
      <c r="H110" s="153">
        <f>H17+H23+H36+H40+H48+H63+H69</f>
        <v/>
      </c>
      <c r="I110" s="153">
        <f>I17+I23+I36+I40+I48+I63+I69</f>
        <v/>
      </c>
      <c r="J110" s="153">
        <f>J17+J23+J36+J40+J48+J63+J69</f>
        <v/>
      </c>
      <c r="K110" s="153">
        <f>K17+K23+K36+K40+K48+K63+K69</f>
        <v/>
      </c>
      <c r="L110" s="162">
        <f>L17+L23+L36+L40+L48+L63+L69</f>
        <v/>
      </c>
      <c r="M110" s="165">
        <f>M17+M23+M36+M40+M48+M63+M69</f>
        <v/>
      </c>
      <c r="N110" s="165">
        <f>N17+N23+N36+N40+N48+N63+N69</f>
        <v/>
      </c>
      <c r="O110" s="165">
        <f>O17+O23+O36+O40+O48+O63+O69</f>
        <v/>
      </c>
      <c r="P110" s="165">
        <f>P17+P23+P36+P40+P48+P63+P69</f>
        <v/>
      </c>
      <c r="Q110" s="165">
        <f>Q17+Q23+Q36+Q40+Q48+Q63+Q69</f>
        <v/>
      </c>
      <c r="R110" s="165">
        <f>R17+R23+R36+R40+R48+R63+R69</f>
        <v/>
      </c>
      <c r="S110" s="165">
        <f>S17+S23+S36+S40+S48+S63+S69</f>
        <v/>
      </c>
      <c r="T110" s="165" t="n"/>
      <c r="U110" s="165" t="n"/>
      <c r="V110" s="165" t="n"/>
      <c r="W110" s="165" t="n"/>
      <c r="X110" s="165" t="n"/>
      <c r="Y110" s="165" t="n"/>
      <c r="Z110" s="165">
        <f>Z17+Z23+Z36+Z40+Z48+Z63+Z69</f>
        <v/>
      </c>
      <c r="AA110" s="165">
        <f>AA17+AA23+AA36+AA40+AA48+AA63+AA69</f>
        <v/>
      </c>
      <c r="AB110" s="165">
        <f>AB17+AB23+AB36+AB40+AB48+AB63+AB69</f>
        <v/>
      </c>
      <c r="AC110" s="165">
        <f>AC17+AC23+AC36+AC40+AC48+AC63+AC69</f>
        <v/>
      </c>
      <c r="AD110" s="165">
        <f>AD17+AD23+AD36+AD40+AD48+AD63+AD69</f>
        <v/>
      </c>
      <c r="AE110" s="165">
        <f>AE17+AE23+AE36+AE40+AE48+AE63+AE69</f>
        <v/>
      </c>
      <c r="AF110" s="165">
        <f>AF17+AF23+AF36+AF40+AF48+AF63+AF69</f>
        <v/>
      </c>
      <c r="AG110" s="165" t="n"/>
      <c r="AH110" s="165" t="n"/>
      <c r="AI110" s="165">
        <f>AI17+AI23+AI36+AI40+AI48+AI63+AI69</f>
        <v/>
      </c>
      <c r="AJ110" s="165">
        <f>AJ17+AJ23+AJ36+AJ40+AJ48+AJ63+AJ69</f>
        <v/>
      </c>
      <c r="AK110" s="165">
        <f>AK17+AK23+AK36+AK40+AK48+AK63+AK69</f>
        <v/>
      </c>
      <c r="AL110" s="112" t="n"/>
    </row>
    <row r="111">
      <c r="A111" s="19" t="n"/>
      <c r="B111" s="19" t="n"/>
      <c r="C111" s="19" t="n"/>
      <c r="D111" s="29" t="inlineStr">
        <is>
          <t>四、计提保修金</t>
        </is>
      </c>
      <c r="E111" s="81" t="inlineStr">
        <is>
          <t>（在建：房建0.6%，其它0.4%；在保修期间的按0.3~0.5%自行确定;保修期结束为0）</t>
        </is>
      </c>
      <c r="F111" s="81" t="n"/>
      <c r="G111" s="81" t="n"/>
      <c r="H111" s="135" t="n"/>
      <c r="I111" s="135" t="n"/>
      <c r="J111" s="135">
        <f>H71+I71</f>
        <v/>
      </c>
      <c r="K111" s="135" t="n"/>
      <c r="L111" s="151">
        <f>J71-K71</f>
        <v/>
      </c>
      <c r="M111" s="140" t="n"/>
      <c r="N111" s="140" t="n"/>
      <c r="O111" s="140">
        <f>L71-M71</f>
        <v/>
      </c>
      <c r="P111" s="140">
        <f>K71-N71</f>
        <v/>
      </c>
      <c r="Q111" s="140">
        <f>M71+O71</f>
        <v/>
      </c>
      <c r="R111" s="140">
        <f>M71+N71+O71+P71</f>
        <v/>
      </c>
      <c r="S111" s="147" t="n"/>
      <c r="T111" s="147" t="n"/>
      <c r="U111" s="147" t="n"/>
      <c r="V111" s="147" t="n"/>
      <c r="W111" s="147" t="n"/>
      <c r="X111" s="147" t="n"/>
      <c r="Y111" s="147" t="n"/>
      <c r="Z111" s="147" t="n"/>
      <c r="AA111" s="147">
        <f>Q71-S71</f>
        <v/>
      </c>
      <c r="AB111" s="166" t="n"/>
      <c r="AC111" s="166" t="n"/>
      <c r="AD111" s="166" t="n"/>
      <c r="AE111" s="166" t="n"/>
      <c r="AF111" s="166" t="n"/>
      <c r="AG111" s="166" t="n"/>
      <c r="AH111" s="166" t="n"/>
      <c r="AI111" s="166" t="n"/>
      <c r="AJ111" s="166" t="n"/>
      <c r="AK111" s="141" t="n"/>
      <c r="AL111" s="112" t="n"/>
    </row>
    <row r="112">
      <c r="A112" s="19" t="n"/>
      <c r="B112" s="19" t="n"/>
      <c r="C112" s="19" t="n"/>
      <c r="D112" s="29" t="inlineStr">
        <is>
          <t>五、过程节点奖金</t>
        </is>
      </c>
      <c r="E112" s="25" t="n"/>
      <c r="F112" s="25" t="n"/>
      <c r="G112" s="25" t="n"/>
      <c r="H112" s="135" t="n"/>
      <c r="I112" s="135" t="n"/>
      <c r="J112" s="135">
        <f>H72+I72</f>
        <v/>
      </c>
      <c r="K112" s="135" t="n"/>
      <c r="L112" s="151">
        <f>J72-K72</f>
        <v/>
      </c>
      <c r="M112" s="140" t="n"/>
      <c r="N112" s="140" t="n"/>
      <c r="O112" s="140">
        <f>L72-M72</f>
        <v/>
      </c>
      <c r="P112" s="140">
        <f>K72-N72</f>
        <v/>
      </c>
      <c r="Q112" s="140">
        <f>M72+O72</f>
        <v/>
      </c>
      <c r="R112" s="140">
        <f>M72+N72+O72+P72</f>
        <v/>
      </c>
      <c r="S112" s="147" t="n"/>
      <c r="T112" s="147" t="n"/>
      <c r="U112" s="147" t="n"/>
      <c r="V112" s="147" t="n"/>
      <c r="W112" s="147" t="n"/>
      <c r="X112" s="147" t="n"/>
      <c r="Y112" s="147" t="n"/>
      <c r="Z112" s="147" t="n"/>
      <c r="AA112" s="147" t="n"/>
      <c r="AB112" s="141" t="n"/>
      <c r="AC112" s="141" t="n"/>
      <c r="AD112" s="141" t="n"/>
      <c r="AE112" s="141" t="n"/>
      <c r="AF112" s="141" t="n"/>
      <c r="AG112" s="141" t="n"/>
      <c r="AH112" s="141" t="n"/>
      <c r="AI112" s="141" t="n"/>
      <c r="AJ112" s="141" t="n"/>
      <c r="AK112" s="141" t="n"/>
      <c r="AL112" s="78" t="n"/>
    </row>
    <row r="113">
      <c r="A113" s="19" t="n"/>
      <c r="B113" s="19" t="n"/>
      <c r="C113" s="19" t="n"/>
      <c r="D113" s="29" t="inlineStr">
        <is>
          <t>六、资金占用费用</t>
        </is>
      </c>
      <c r="E113" s="25" t="n"/>
      <c r="F113" s="25" t="n"/>
      <c r="G113" s="25" t="n"/>
      <c r="H113" s="140" t="n"/>
      <c r="I113" s="140" t="n"/>
      <c r="J113" s="135">
        <f>H73+I73</f>
        <v/>
      </c>
      <c r="K113" s="140" t="n"/>
      <c r="L113" s="151">
        <f>J73-K73</f>
        <v/>
      </c>
      <c r="M113" s="157" t="n">
        <v>762837.87</v>
      </c>
      <c r="N113" s="140" t="n"/>
      <c r="O113" s="140">
        <f>L73-M73</f>
        <v/>
      </c>
      <c r="P113" s="140">
        <f>K73-N73</f>
        <v/>
      </c>
      <c r="Q113" s="140">
        <f>M73+O73</f>
        <v/>
      </c>
      <c r="R113" s="140">
        <f>M73+N73+O73+P73</f>
        <v/>
      </c>
      <c r="S113" s="147" t="n"/>
      <c r="T113" s="147" t="n"/>
      <c r="U113" s="147" t="n"/>
      <c r="V113" s="147" t="n"/>
      <c r="W113" s="147" t="n"/>
      <c r="X113" s="147" t="n"/>
      <c r="Y113" s="147" t="n"/>
      <c r="Z113" s="147" t="n"/>
      <c r="AA113" s="147" t="n"/>
      <c r="AB113" s="141" t="n"/>
      <c r="AC113" s="141" t="n"/>
      <c r="AD113" s="141" t="n"/>
      <c r="AE113" s="141" t="n"/>
      <c r="AF113" s="141" t="n"/>
      <c r="AG113" s="141" t="n"/>
      <c r="AH113" s="141" t="n"/>
      <c r="AI113" s="141" t="n"/>
      <c r="AJ113" s="141" t="n"/>
      <c r="AK113" s="141" t="n"/>
      <c r="AL113" s="78" t="n"/>
    </row>
    <row r="114">
      <c r="A114" s="19" t="n"/>
      <c r="B114" s="19" t="n"/>
      <c r="C114" s="19" t="n"/>
      <c r="D114" s="29" t="inlineStr">
        <is>
          <t>七、局投资收益（局投资项目选填）</t>
        </is>
      </c>
      <c r="E114" s="25" t="n"/>
      <c r="F114" s="25" t="n"/>
      <c r="G114" s="25" t="n"/>
      <c r="H114" s="140" t="n"/>
      <c r="I114" s="140" t="n"/>
      <c r="J114" s="135">
        <f>H74+I74</f>
        <v/>
      </c>
      <c r="K114" s="140" t="n"/>
      <c r="L114" s="151">
        <f>J74-K74</f>
        <v/>
      </c>
      <c r="M114" s="140" t="n"/>
      <c r="N114" s="140" t="n"/>
      <c r="O114" s="140">
        <f>L74-M74</f>
        <v/>
      </c>
      <c r="P114" s="140">
        <f>K74-N74</f>
        <v/>
      </c>
      <c r="Q114" s="140">
        <f>M74+O74</f>
        <v/>
      </c>
      <c r="R114" s="140">
        <f>M74+N74+O74+P74</f>
        <v/>
      </c>
      <c r="S114" s="147" t="n"/>
      <c r="T114" s="147" t="n"/>
      <c r="U114" s="147" t="n"/>
      <c r="V114" s="147" t="n"/>
      <c r="W114" s="147" t="n"/>
      <c r="X114" s="147" t="n"/>
      <c r="Y114" s="147" t="n"/>
      <c r="Z114" s="147" t="n"/>
      <c r="AA114" s="147" t="n"/>
      <c r="AB114" s="141" t="n"/>
      <c r="AC114" s="141" t="n"/>
      <c r="AD114" s="141" t="n"/>
      <c r="AE114" s="141" t="n"/>
      <c r="AF114" s="141" t="n"/>
      <c r="AG114" s="141" t="n"/>
      <c r="AH114" s="141" t="n"/>
      <c r="AI114" s="141" t="n"/>
      <c r="AJ114" s="141" t="n"/>
      <c r="AK114" s="141" t="n"/>
      <c r="AL114" s="78" t="n"/>
    </row>
    <row r="115">
      <c r="A115" s="40" t="n"/>
      <c r="B115" s="40" t="n"/>
      <c r="C115" s="40" t="n"/>
      <c r="D115" s="39" t="inlineStr">
        <is>
          <t>八、研发费用</t>
        </is>
      </c>
      <c r="E115" s="41" t="n"/>
      <c r="F115" s="41" t="n"/>
      <c r="G115" s="41" t="n"/>
      <c r="H115" s="153" t="n"/>
      <c r="I115" s="153" t="n"/>
      <c r="J115" s="153">
        <f>H75+I75</f>
        <v/>
      </c>
      <c r="K115" s="153" t="n"/>
      <c r="L115" s="162">
        <f>J75-K75</f>
        <v/>
      </c>
      <c r="M115" s="165">
        <f>SUM(M76:M78)</f>
        <v/>
      </c>
      <c r="N115" s="165">
        <f>SUM(N76:N78)</f>
        <v/>
      </c>
      <c r="O115" s="165">
        <f>SUM(O76:O78)</f>
        <v/>
      </c>
      <c r="P115" s="165">
        <f>SUM(P76:P78)</f>
        <v/>
      </c>
      <c r="Q115" s="165">
        <f>SUM(Q76:Q78)</f>
        <v/>
      </c>
      <c r="R115" s="165">
        <f>SUM(R76:R78)</f>
        <v/>
      </c>
      <c r="S115" s="165">
        <f>SUM(S76:S78)</f>
        <v/>
      </c>
      <c r="T115" s="165">
        <f>SUM(T76:T78)</f>
        <v/>
      </c>
      <c r="U115" s="165">
        <f>SUM(U76:U78)</f>
        <v/>
      </c>
      <c r="V115" s="165">
        <f>SUM(V76:V78)</f>
        <v/>
      </c>
      <c r="W115" s="165">
        <f>SUM(W76:W78)</f>
        <v/>
      </c>
      <c r="X115" s="165">
        <f>SUM(X76:X78)</f>
        <v/>
      </c>
      <c r="Y115" s="165">
        <f>SUM(Y76:Y78)</f>
        <v/>
      </c>
      <c r="Z115" s="165">
        <f>SUM(Z76:Z78)</f>
        <v/>
      </c>
      <c r="AA115" s="165">
        <f>SUM(AA76:AA78)</f>
        <v/>
      </c>
      <c r="AB115" s="165">
        <f>SUM(AB76:AB78)</f>
        <v/>
      </c>
      <c r="AC115" s="165">
        <f>SUM(AC76:AC78)</f>
        <v/>
      </c>
      <c r="AD115" s="165">
        <f>SUM(AD76:AD78)</f>
        <v/>
      </c>
      <c r="AE115" s="165">
        <f>SUM(AE76:AE78)</f>
        <v/>
      </c>
      <c r="AF115" s="165">
        <f>SUM(AF76:AF78)</f>
        <v/>
      </c>
      <c r="AG115" s="165">
        <f>SUM(AG76:AG78)</f>
        <v/>
      </c>
      <c r="AH115" s="165">
        <f>SUM(AH76:AH78)</f>
        <v/>
      </c>
      <c r="AI115" s="165">
        <f>SUM(AI76:AI78)</f>
        <v/>
      </c>
      <c r="AJ115" s="165">
        <f>SUM(AJ76:AJ78)</f>
        <v/>
      </c>
      <c r="AK115" s="165">
        <f>SUM(AK76:AK78)</f>
        <v/>
      </c>
      <c r="AL115" s="112" t="n"/>
    </row>
    <row r="116">
      <c r="A116" s="148" t="n"/>
      <c r="B116" s="148" t="n"/>
      <c r="C116" s="149" t="n"/>
      <c r="D116" s="149" t="inlineStr">
        <is>
          <t>材料费</t>
        </is>
      </c>
      <c r="E116" s="148" t="n"/>
      <c r="F116" s="148" t="n"/>
      <c r="G116" s="148" t="n"/>
      <c r="H116" s="148" t="n"/>
      <c r="I116" s="148" t="n"/>
      <c r="J116" s="148" t="n"/>
      <c r="K116" s="148" t="n"/>
      <c r="L116" s="148" t="n"/>
      <c r="M116" s="150" t="n">
        <v>3926272.64</v>
      </c>
      <c r="N116" s="148" t="n"/>
      <c r="O116" s="148">
        <f>L116-M116</f>
        <v/>
      </c>
      <c r="P116" s="148">
        <f>K116-N116</f>
        <v/>
      </c>
      <c r="Q116" s="148">
        <f>M116+O116</f>
        <v/>
      </c>
      <c r="R116" s="148">
        <f>M116+N116+O116+P116</f>
        <v/>
      </c>
      <c r="S116" s="148" t="n"/>
      <c r="T116" s="148" t="n"/>
      <c r="U116" s="148" t="n"/>
      <c r="V116" s="148" t="n"/>
    </row>
    <row r="117">
      <c r="A117" s="19" t="n"/>
      <c r="B117" s="19" t="n"/>
      <c r="C117" s="19" t="n"/>
      <c r="D117" s="29" t="n"/>
      <c r="E117" s="25" t="n"/>
      <c r="F117" s="25" t="n"/>
      <c r="G117" s="25" t="n"/>
      <c r="H117" s="140" t="n"/>
      <c r="I117" s="140" t="n"/>
      <c r="J117" s="135">
        <f>H76+I76</f>
        <v/>
      </c>
      <c r="K117" s="140" t="n"/>
      <c r="L117" s="151">
        <f>J76-K76</f>
        <v/>
      </c>
      <c r="M117" s="140" t="n"/>
      <c r="N117" s="140" t="n"/>
      <c r="O117" s="140">
        <f>L76-M76</f>
        <v/>
      </c>
      <c r="P117" s="140">
        <f>K76-N76</f>
        <v/>
      </c>
      <c r="Q117" s="140">
        <f>M76+O76</f>
        <v/>
      </c>
      <c r="R117" s="140">
        <f>M76+N76+O76+P76</f>
        <v/>
      </c>
      <c r="S117" s="147" t="n"/>
      <c r="T117" s="147" t="n"/>
      <c r="U117" s="147" t="n"/>
      <c r="V117" s="147" t="n"/>
      <c r="W117" s="147" t="n"/>
      <c r="X117" s="147" t="n"/>
      <c r="Y117" s="147" t="n"/>
      <c r="Z117" s="147" t="n"/>
      <c r="AA117" s="147" t="n"/>
      <c r="AB117" s="141" t="n"/>
      <c r="AC117" s="141" t="n"/>
      <c r="AD117" s="141" t="n"/>
      <c r="AE117" s="141" t="n"/>
      <c r="AF117" s="141" t="n"/>
      <c r="AG117" s="141" t="n"/>
      <c r="AH117" s="141" t="n"/>
      <c r="AI117" s="141" t="n"/>
      <c r="AJ117" s="141" t="n"/>
      <c r="AK117" s="141" t="n"/>
      <c r="AL117" s="78" t="n"/>
    </row>
    <row r="118">
      <c r="A118" s="19" t="n"/>
      <c r="B118" s="19" t="n"/>
      <c r="C118" s="19" t="n"/>
      <c r="D118" s="29" t="n"/>
      <c r="E118" s="25" t="n"/>
      <c r="F118" s="25" t="n"/>
      <c r="G118" s="25" t="n"/>
      <c r="H118" s="140" t="n"/>
      <c r="I118" s="140" t="n"/>
      <c r="J118" s="135" t="n"/>
      <c r="K118" s="140" t="n"/>
      <c r="L118" s="151" t="n"/>
      <c r="M118" s="140" t="n"/>
      <c r="N118" s="140" t="n"/>
      <c r="O118" s="140">
        <f>L77-M77</f>
        <v/>
      </c>
      <c r="P118" s="140">
        <f>K77-N77</f>
        <v/>
      </c>
      <c r="Q118" s="140">
        <f>M77+O77</f>
        <v/>
      </c>
      <c r="R118" s="140">
        <f>M77+N77+O77+P77</f>
        <v/>
      </c>
      <c r="S118" s="147" t="n"/>
      <c r="T118" s="147" t="n"/>
      <c r="U118" s="147" t="n"/>
      <c r="V118" s="147" t="n"/>
      <c r="W118" s="147" t="n"/>
      <c r="X118" s="147" t="n"/>
      <c r="Y118" s="147" t="n"/>
      <c r="Z118" s="147" t="n"/>
      <c r="AA118" s="147" t="n"/>
      <c r="AB118" s="141" t="n"/>
      <c r="AC118" s="141" t="n"/>
      <c r="AD118" s="141" t="n"/>
      <c r="AE118" s="141" t="n"/>
      <c r="AF118" s="141" t="n"/>
      <c r="AG118" s="141" t="n"/>
      <c r="AH118" s="141" t="n"/>
      <c r="AI118" s="141" t="n"/>
      <c r="AJ118" s="141" t="n"/>
      <c r="AK118" s="141" t="n"/>
      <c r="AL118" s="78" t="n"/>
    </row>
    <row r="119">
      <c r="A119" s="19" t="n"/>
      <c r="B119" s="19" t="n"/>
      <c r="C119" s="19" t="n"/>
      <c r="D119" s="29" t="n"/>
      <c r="E119" s="25" t="n"/>
      <c r="F119" s="25" t="n"/>
      <c r="G119" s="25" t="n"/>
      <c r="H119" s="140" t="n"/>
      <c r="I119" s="140" t="n"/>
      <c r="J119" s="135" t="n"/>
      <c r="K119" s="140" t="n"/>
      <c r="L119" s="151" t="n"/>
      <c r="M119" s="140" t="n"/>
      <c r="N119" s="140" t="n"/>
      <c r="O119" s="140">
        <f>L78-M78</f>
        <v/>
      </c>
      <c r="P119" s="140">
        <f>K78-N78</f>
        <v/>
      </c>
      <c r="Q119" s="140">
        <f>M78+O78</f>
        <v/>
      </c>
      <c r="R119" s="140">
        <f>M78+N78+O78+P78</f>
        <v/>
      </c>
      <c r="S119" s="147" t="n"/>
      <c r="T119" s="147" t="n"/>
      <c r="U119" s="147" t="n"/>
      <c r="V119" s="147" t="n"/>
      <c r="W119" s="147" t="n"/>
      <c r="X119" s="147" t="n"/>
      <c r="Y119" s="147" t="n"/>
      <c r="Z119" s="147" t="n"/>
      <c r="AA119" s="147" t="n"/>
      <c r="AB119" s="141" t="n"/>
      <c r="AC119" s="141" t="n"/>
      <c r="AD119" s="141" t="n"/>
      <c r="AE119" s="141" t="n"/>
      <c r="AF119" s="141" t="n"/>
      <c r="AG119" s="141" t="n"/>
      <c r="AH119" s="141" t="n"/>
      <c r="AI119" s="141" t="n"/>
      <c r="AJ119" s="141" t="n"/>
      <c r="AK119" s="141" t="n"/>
      <c r="AL119" s="78" t="n"/>
    </row>
    <row r="120">
      <c r="A120" s="26" t="n"/>
      <c r="B120" s="26" t="n"/>
      <c r="C120" s="26" t="n"/>
      <c r="D120" s="39" t="inlineStr">
        <is>
          <t>八、成本及费用合计（三+四+五+六+七）</t>
        </is>
      </c>
      <c r="E120" s="18" t="n"/>
      <c r="F120" s="18" t="n"/>
      <c r="G120" s="18" t="n"/>
      <c r="H120" s="153">
        <f>H70+H71+H72+H73+#REF!</f>
        <v/>
      </c>
      <c r="I120" s="153">
        <f>I70+I71+I72+I73+#REF!</f>
        <v/>
      </c>
      <c r="J120" s="94">
        <f>J70+J71+J72+J73+#REF!</f>
        <v/>
      </c>
      <c r="K120" s="153">
        <f>K70+K71+K72+K73+#REF!</f>
        <v/>
      </c>
      <c r="L120" s="95">
        <f>L70+L71+L72+L73+#REF!</f>
        <v/>
      </c>
      <c r="M120" s="95">
        <f>M70+M71+M72+M73</f>
        <v/>
      </c>
      <c r="N120" s="95">
        <f>N70+N71+N72+N73</f>
        <v/>
      </c>
      <c r="O120" s="95">
        <f>O70+O71+O72+O73</f>
        <v/>
      </c>
      <c r="P120" s="95">
        <f>P70+P71+P72+P73</f>
        <v/>
      </c>
      <c r="Q120" s="95">
        <f>Q70+Q71+Q72+Q73</f>
        <v/>
      </c>
      <c r="R120" s="95">
        <f>R70+R71+R72+R73</f>
        <v/>
      </c>
      <c r="S120" s="165">
        <f>S70+S71+S72+S73</f>
        <v/>
      </c>
      <c r="T120" s="165" t="n"/>
      <c r="U120" s="165" t="n"/>
      <c r="V120" s="165" t="n"/>
      <c r="W120" s="165" t="n"/>
      <c r="X120" s="165" t="n"/>
      <c r="Y120" s="165" t="n"/>
      <c r="Z120" s="165">
        <f>Z70+Z71+Z72+Z73</f>
        <v/>
      </c>
      <c r="AA120" s="165">
        <f>AA70+AA71+AA72+AA73</f>
        <v/>
      </c>
      <c r="AB120" s="167" t="n"/>
      <c r="AC120" s="167" t="n"/>
      <c r="AD120" s="167" t="n"/>
      <c r="AE120" s="167" t="n"/>
      <c r="AF120" s="167" t="n"/>
      <c r="AG120" s="167" t="n"/>
      <c r="AH120" s="167" t="n"/>
      <c r="AI120" s="167" t="n"/>
      <c r="AJ120" s="167" t="n"/>
      <c r="AK120" s="168" t="n"/>
      <c r="AL120" s="114" t="n"/>
    </row>
    <row r="121">
      <c r="A121" s="26" t="n"/>
      <c r="B121" s="26" t="n"/>
      <c r="C121" s="26" t="n"/>
      <c r="D121" s="39" t="inlineStr">
        <is>
          <t>九、增值税实际税负（按财务数据）</t>
        </is>
      </c>
      <c r="E121" s="18" t="inlineStr">
        <is>
          <t>根据财务账面实际已缴纳增值税额+尚需缴纳的增值税额</t>
        </is>
      </c>
      <c r="F121" s="18" t="n"/>
      <c r="G121" s="18" t="n"/>
      <c r="H121" s="153" t="n"/>
      <c r="I121" s="153" t="n"/>
      <c r="J121" s="94">
        <f>H80+I80</f>
        <v/>
      </c>
      <c r="K121" s="153" t="inlineStr">
        <is>
          <t>/</t>
        </is>
      </c>
      <c r="L121" s="95" t="inlineStr">
        <is>
          <t>/</t>
        </is>
      </c>
      <c r="M121" s="95" t="n"/>
      <c r="N121" s="95">
        <f>N6-N79</f>
        <v/>
      </c>
      <c r="O121" s="95" t="n"/>
      <c r="P121" s="95" t="n"/>
      <c r="Q121" s="95" t="inlineStr">
        <is>
          <t>/</t>
        </is>
      </c>
      <c r="R121" s="95">
        <f>N80+P80</f>
        <v/>
      </c>
      <c r="S121" s="165" t="n"/>
      <c r="T121" s="165" t="n"/>
      <c r="U121" s="165" t="n"/>
      <c r="V121" s="165" t="n"/>
      <c r="W121" s="165" t="n"/>
      <c r="X121" s="165" t="n"/>
      <c r="Y121" s="165" t="n"/>
      <c r="Z121" s="165" t="n"/>
      <c r="AA121" s="165" t="n"/>
      <c r="AB121" s="167" t="n"/>
      <c r="AC121" s="167" t="n"/>
      <c r="AD121" s="167" t="n"/>
      <c r="AE121" s="167" t="n"/>
      <c r="AF121" s="167" t="n"/>
      <c r="AG121" s="167" t="n"/>
      <c r="AH121" s="167" t="n"/>
      <c r="AI121" s="167" t="n"/>
      <c r="AJ121" s="167" t="n"/>
      <c r="AK121" s="168" t="n"/>
      <c r="AL121" s="114" t="n"/>
    </row>
    <row r="122">
      <c r="A122" s="26" t="n"/>
      <c r="B122" s="26" t="n"/>
      <c r="C122" s="26" t="n"/>
      <c r="D122" s="39" t="inlineStr">
        <is>
          <t>十、税金及附加（按财务数据）</t>
        </is>
      </c>
      <c r="E122" s="18" t="inlineStr">
        <is>
          <t>根据财务账面实际已缴纳税金及附加+尚需缴纳的税金及附加</t>
        </is>
      </c>
      <c r="F122" s="18" t="n"/>
      <c r="G122" s="18" t="n"/>
      <c r="H122" s="153" t="n"/>
      <c r="I122" s="153" t="n"/>
      <c r="J122" s="94">
        <f>H81+I81</f>
        <v/>
      </c>
      <c r="K122" s="153" t="n"/>
      <c r="L122" s="95">
        <f>J81</f>
        <v/>
      </c>
      <c r="M122" s="169" t="n">
        <v>260389.37</v>
      </c>
      <c r="N122" s="95" t="n"/>
      <c r="O122" s="95">
        <f>L81-M81</f>
        <v/>
      </c>
      <c r="P122" s="95" t="n"/>
      <c r="Q122" s="95">
        <f>M81+O81</f>
        <v/>
      </c>
      <c r="R122" s="95">
        <f>Q81</f>
        <v/>
      </c>
      <c r="S122" s="165" t="n"/>
      <c r="T122" s="165" t="n"/>
      <c r="U122" s="165" t="n"/>
      <c r="V122" s="165" t="n"/>
      <c r="W122" s="165" t="n"/>
      <c r="X122" s="165" t="n"/>
      <c r="Y122" s="165" t="n"/>
      <c r="Z122" s="165" t="n"/>
      <c r="AA122" s="165" t="n"/>
      <c r="AB122" s="167" t="n"/>
      <c r="AC122" s="167" t="n"/>
      <c r="AD122" s="167" t="n"/>
      <c r="AE122" s="167" t="n"/>
      <c r="AF122" s="167" t="n"/>
      <c r="AG122" s="167" t="n"/>
      <c r="AH122" s="167" t="n"/>
      <c r="AI122" s="167" t="n"/>
      <c r="AJ122" s="167" t="n"/>
      <c r="AK122" s="168" t="n"/>
      <c r="AL122" s="114" t="n"/>
    </row>
    <row r="123">
      <c r="A123" s="26" t="n"/>
      <c r="B123" s="26" t="n"/>
      <c r="C123" s="26" t="n"/>
      <c r="D123" s="39" t="inlineStr">
        <is>
          <t>十一、利润</t>
        </is>
      </c>
      <c r="E123" s="18" t="n"/>
      <c r="F123" s="18" t="n"/>
      <c r="G123" s="18" t="n"/>
      <c r="H123" s="153" t="n"/>
      <c r="I123" s="153" t="n"/>
      <c r="J123" s="94">
        <f>J6-J79-J80-J81</f>
        <v/>
      </c>
      <c r="K123" s="153" t="n"/>
      <c r="L123" s="95" t="n"/>
      <c r="M123" s="95" t="n"/>
      <c r="N123" s="95" t="n"/>
      <c r="O123" s="95" t="n"/>
      <c r="P123" s="95" t="n"/>
      <c r="Q123" s="95" t="n"/>
      <c r="R123" s="95" t="n"/>
      <c r="S123" s="165" t="n"/>
      <c r="T123" s="165" t="n"/>
      <c r="U123" s="165" t="n"/>
      <c r="V123" s="165" t="n"/>
      <c r="W123" s="165" t="n"/>
      <c r="X123" s="165" t="n"/>
      <c r="Y123" s="165" t="n"/>
      <c r="Z123" s="165" t="n"/>
      <c r="AA123" s="165" t="n"/>
      <c r="AB123" s="167" t="n"/>
      <c r="AC123" s="167" t="n"/>
      <c r="AD123" s="167" t="n"/>
      <c r="AE123" s="167" t="n"/>
      <c r="AF123" s="167" t="n"/>
      <c r="AG123" s="167" t="n"/>
      <c r="AH123" s="167" t="n"/>
      <c r="AI123" s="167" t="n"/>
      <c r="AJ123" s="167" t="n"/>
      <c r="AK123" s="168" t="n"/>
      <c r="AL123" s="114" t="n"/>
    </row>
    <row r="124">
      <c r="A124" s="26" t="n"/>
      <c r="B124" s="26" t="n"/>
      <c r="C124" s="26" t="n"/>
      <c r="D124" s="39" t="inlineStr">
        <is>
          <t>十二、利润率</t>
        </is>
      </c>
      <c r="E124" s="18" t="n"/>
      <c r="F124" s="18" t="n"/>
      <c r="G124" s="18" t="n"/>
      <c r="H124" s="153" t="n"/>
      <c r="I124" s="153" t="n"/>
      <c r="J124" s="94">
        <f>J82/J6</f>
        <v/>
      </c>
      <c r="K124" s="153" t="n"/>
      <c r="L124" s="95">
        <f>L82/L6</f>
        <v/>
      </c>
      <c r="M124" s="95">
        <f>M82/M6</f>
        <v/>
      </c>
      <c r="N124" s="95" t="n"/>
      <c r="O124" s="95" t="n"/>
      <c r="P124" s="95" t="n"/>
      <c r="Q124" s="95">
        <f>Q82/Q6</f>
        <v/>
      </c>
      <c r="R124" s="95">
        <f>R82/R6</f>
        <v/>
      </c>
      <c r="S124" s="165" t="n"/>
      <c r="T124" s="165" t="n"/>
      <c r="U124" s="165" t="n"/>
      <c r="V124" s="165" t="n"/>
      <c r="W124" s="165" t="n"/>
      <c r="X124" s="165" t="n"/>
      <c r="Y124" s="165" t="n"/>
      <c r="Z124" s="165" t="n"/>
      <c r="AA124" s="165" t="n"/>
      <c r="AB124" s="167" t="n"/>
      <c r="AC124" s="167" t="n"/>
      <c r="AD124" s="167" t="n"/>
      <c r="AE124" s="167" t="n"/>
      <c r="AF124" s="167" t="n"/>
      <c r="AG124" s="167" t="n"/>
      <c r="AH124" s="167" t="n"/>
      <c r="AI124" s="167" t="n"/>
      <c r="AJ124" s="167" t="n"/>
      <c r="AK124" s="168" t="n"/>
      <c r="AL124" s="114" t="n"/>
    </row>
    <row r="125">
      <c r="A125" s="82" t="n"/>
      <c r="B125" s="82" t="n"/>
      <c r="C125" s="82" t="n"/>
      <c r="D125" s="83" t="n"/>
      <c r="E125" s="84" t="n"/>
      <c r="F125" s="84" t="n"/>
      <c r="G125" s="84" t="n"/>
      <c r="H125" s="170" t="n"/>
      <c r="I125" s="170" t="n"/>
      <c r="J125" s="171" t="inlineStr">
        <is>
          <t>含税利润率</t>
        </is>
      </c>
      <c r="K125" s="172" t="n"/>
      <c r="L125" s="173" t="inlineStr">
        <is>
          <t>不含税利润率</t>
        </is>
      </c>
      <c r="M125" s="174" t="n"/>
      <c r="N125" s="174" t="n"/>
      <c r="O125" s="174" t="n"/>
      <c r="P125" s="174" t="n"/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74" t="n"/>
      <c r="Z125" s="175" t="n"/>
      <c r="AA125" s="118" t="n"/>
      <c r="AB125" s="110" t="n"/>
      <c r="AC125" s="110" t="n"/>
      <c r="AD125" s="110" t="n"/>
      <c r="AE125" s="110" t="n"/>
      <c r="AF125" s="110" t="n"/>
      <c r="AG125" s="110" t="n"/>
      <c r="AH125" s="110" t="n"/>
      <c r="AI125" s="110" t="n"/>
      <c r="AJ125" s="110" t="n"/>
      <c r="AK125" s="110" t="n"/>
      <c r="AL125" s="110" t="n"/>
    </row>
    <row r="126">
      <c r="A126" s="82" t="n"/>
      <c r="B126" s="82" t="n"/>
      <c r="C126" s="82" t="n"/>
      <c r="D126" s="83" t="n"/>
      <c r="E126" s="84" t="n"/>
      <c r="F126" s="84" t="n"/>
      <c r="G126" s="84" t="n"/>
      <c r="H126" s="170" t="n"/>
      <c r="I126" s="170" t="n"/>
      <c r="J126" s="176" t="n"/>
      <c r="K126" s="170" t="n"/>
      <c r="L126" s="177" t="n"/>
      <c r="M126" s="174" t="n"/>
      <c r="N126" s="174" t="n"/>
      <c r="O126" s="174" t="n"/>
      <c r="P126" s="174" t="n"/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74" t="n"/>
      <c r="Z126" s="175" t="n"/>
      <c r="AA126" s="118" t="n"/>
      <c r="AB126" s="110" t="n"/>
      <c r="AC126" s="110" t="n"/>
      <c r="AD126" s="110" t="n"/>
      <c r="AE126" s="110" t="n"/>
      <c r="AF126" s="110" t="n"/>
      <c r="AG126" s="110" t="n"/>
      <c r="AH126" s="110" t="n"/>
      <c r="AI126" s="110" t="n"/>
      <c r="AJ126" s="110" t="n"/>
      <c r="AK126" s="110" t="n"/>
      <c r="AL126" s="110" t="n"/>
    </row>
    <row r="127">
      <c r="A127" s="86" t="n"/>
      <c r="B127" s="86" t="n"/>
      <c r="C127" s="86" t="n"/>
      <c r="D127" s="87" t="n"/>
      <c r="E127" s="88" t="n"/>
      <c r="F127" s="88" t="n"/>
      <c r="G127" s="88" t="n"/>
      <c r="H127" s="89" t="n"/>
      <c r="I127" s="89" t="n"/>
      <c r="J127" s="102" t="n"/>
      <c r="K127" s="178" t="n"/>
      <c r="L127" s="178" t="n"/>
      <c r="M127" s="179" t="n"/>
      <c r="N127" s="178" t="n"/>
      <c r="O127" s="178" t="n"/>
      <c r="P127" s="180" t="n"/>
      <c r="Q127" s="180" t="n"/>
      <c r="R127" s="178" t="n"/>
      <c r="S127" s="87" t="n"/>
      <c r="T127" s="87" t="n"/>
      <c r="U127" s="87" t="n"/>
      <c r="V127" s="87" t="n"/>
      <c r="W127" s="87" t="n"/>
      <c r="X127" s="87" t="n"/>
      <c r="Y127" s="87" t="n"/>
      <c r="Z127" s="88" t="n"/>
      <c r="AA127" s="181" t="n"/>
      <c r="AD127" s="90" t="n"/>
      <c r="AE127" s="90" t="n"/>
      <c r="AF127" s="90" t="n"/>
      <c r="AG127" s="90" t="n"/>
      <c r="AH127" s="90" t="n"/>
      <c r="AI127" s="90" t="n"/>
      <c r="AJ127" s="90" t="n"/>
      <c r="AK127" s="90" t="n"/>
      <c r="AL127" s="90" t="n"/>
    </row>
    <row r="128">
      <c r="A128" s="90" t="n"/>
      <c r="B128" s="90" t="n"/>
      <c r="C128" s="90" t="n"/>
      <c r="D128" s="90" t="n"/>
      <c r="E128" s="91" t="n"/>
      <c r="F128" s="91" t="n"/>
      <c r="G128" s="91" t="n"/>
      <c r="H128" s="91" t="n"/>
      <c r="I128" s="91" t="n"/>
      <c r="J128" s="91" t="n"/>
      <c r="K128" s="182" t="n"/>
      <c r="L128" s="91" t="n"/>
      <c r="M128" s="91" t="n"/>
      <c r="N128" s="91" t="n"/>
      <c r="O128" s="91" t="n"/>
      <c r="P128" s="91" t="n"/>
      <c r="Q128" s="91" t="n"/>
      <c r="R128" s="91" t="n"/>
      <c r="S128" s="87" t="n"/>
      <c r="T128" s="87" t="n"/>
      <c r="U128" s="87" t="n"/>
      <c r="V128" s="87" t="n"/>
      <c r="W128" s="87" t="n"/>
      <c r="X128" s="87" t="n"/>
      <c r="Y128" s="87" t="n"/>
      <c r="Z128" s="91" t="n"/>
      <c r="AA128" s="90" t="n"/>
      <c r="AB128" s="90" t="n"/>
      <c r="AC128" s="90" t="n"/>
      <c r="AD128" s="90" t="n"/>
      <c r="AE128" s="90" t="n"/>
      <c r="AF128" s="90" t="n"/>
      <c r="AG128" s="90" t="n"/>
      <c r="AH128" s="90" t="n"/>
      <c r="AI128" s="90" t="n"/>
      <c r="AJ128" s="90" t="n"/>
      <c r="AK128" s="90" t="n"/>
      <c r="AL128" s="90" t="n"/>
    </row>
    <row r="129">
      <c r="A129" s="90" t="n"/>
      <c r="B129" s="90" t="n"/>
      <c r="C129" s="90" t="n"/>
      <c r="D129" s="90" t="n"/>
      <c r="E129" s="91" t="n"/>
      <c r="F129" s="91" t="n"/>
      <c r="G129" s="91" t="n"/>
      <c r="H129" s="91" t="n"/>
      <c r="I129" s="91" t="n"/>
      <c r="J129" s="91" t="n"/>
      <c r="K129" s="182" t="n"/>
      <c r="L129" s="91" t="n"/>
      <c r="M129" s="91" t="n"/>
      <c r="N129" s="91" t="n"/>
      <c r="O129" s="91" t="n"/>
      <c r="P129" s="91" t="n"/>
      <c r="Q129" s="91" t="n"/>
      <c r="R129" s="91" t="n"/>
      <c r="S129" s="87" t="n"/>
      <c r="T129" s="87" t="n"/>
      <c r="U129" s="87" t="n"/>
      <c r="V129" s="87" t="n"/>
      <c r="W129" s="87" t="n"/>
      <c r="X129" s="87" t="n"/>
      <c r="Y129" s="87" t="n"/>
      <c r="Z129" s="91" t="n"/>
      <c r="AA129" s="90" t="n"/>
      <c r="AB129" s="90" t="n"/>
      <c r="AC129" s="90" t="n"/>
      <c r="AD129" s="90" t="n"/>
      <c r="AE129" s="90" t="n"/>
      <c r="AF129" s="90" t="n"/>
      <c r="AG129" s="90" t="n"/>
      <c r="AH129" s="90" t="n"/>
      <c r="AI129" s="90" t="n"/>
      <c r="AJ129" s="90" t="n"/>
      <c r="AK129" s="90" t="n"/>
      <c r="AL129" s="90" t="n"/>
    </row>
    <row r="130">
      <c r="A130" s="90" t="n"/>
      <c r="B130" s="90" t="n"/>
      <c r="C130" s="90" t="n"/>
      <c r="D130" s="90" t="n"/>
      <c r="E130" s="92" t="n"/>
      <c r="F130" s="92" t="n"/>
      <c r="G130" s="92" t="n"/>
      <c r="H130" s="91" t="n"/>
      <c r="I130" s="91" t="n"/>
      <c r="J130" s="91" t="n"/>
      <c r="K130" s="92" t="n"/>
      <c r="L130" s="91" t="n"/>
      <c r="M130" s="91" t="n"/>
      <c r="N130" s="88" t="n"/>
      <c r="O130" s="91" t="n"/>
      <c r="P130" s="91" t="n"/>
      <c r="Q130" s="91" t="n"/>
      <c r="R130" s="178" t="n"/>
      <c r="S130" s="87" t="n"/>
      <c r="T130" s="87" t="n"/>
      <c r="U130" s="87" t="n"/>
      <c r="V130" s="87" t="n"/>
      <c r="W130" s="87" t="n"/>
      <c r="X130" s="87" t="n"/>
      <c r="Y130" s="87" t="n"/>
      <c r="Z130" s="91" t="n"/>
      <c r="AA130" s="90" t="n"/>
      <c r="AB130" s="90" t="n"/>
      <c r="AC130" s="90" t="n"/>
      <c r="AD130" s="90" t="n"/>
      <c r="AE130" s="90" t="n"/>
      <c r="AF130" s="90" t="n"/>
      <c r="AG130" s="90" t="n"/>
      <c r="AH130" s="90" t="n"/>
      <c r="AI130" s="90" t="n"/>
      <c r="AJ130" s="90" t="n"/>
      <c r="AK130" s="90" t="n"/>
      <c r="AL130" s="90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2026-04-18T14:59:45Z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