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3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0" fontId="7" fillId="41" borderId="1" applyAlignment="1" pivotButton="0" quotePrefix="0" xfId="0">
      <alignment horizontal="center" vertical="center"/>
    </xf>
    <xf numFmtId="165" fontId="32" fillId="41" borderId="1" applyAlignment="1" pivotButton="0" quotePrefix="0" xfId="0">
      <alignment vertical="center"/>
    </xf>
    <xf numFmtId="165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horizontal="center" vertical="center" wrapText="1"/>
    </xf>
    <xf numFmtId="165" fontId="7" fillId="41" borderId="1" applyAlignment="1" pivotButton="0" quotePrefix="0" xfId="0">
      <alignment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49" fontId="7" fillId="41" borderId="1" applyAlignment="1" pivotButton="0" quotePrefix="0" xfId="0">
      <alignment horizontal="left" vertical="center" wrapText="1"/>
    </xf>
    <xf numFmtId="4" fontId="7" fillId="41" borderId="1" applyAlignment="1" pivotButton="0" quotePrefix="0" xfId="0">
      <alignment horizontal="center" vertical="center" wrapText="1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0" fontId="6" fillId="41" borderId="1" applyAlignment="1" pivotButton="0" quotePrefix="0" xfId="0">
      <alignment horizontal="left" vertical="center" wrapText="1"/>
    </xf>
    <xf numFmtId="0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vertical="center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4" fontId="6" fillId="9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5" authorId="0" shapeId="0">
      <text>
        <t>于:
**同财务账面合同履约成本/工程施工成本/直接人工费数据一致**</t>
      </text>
    </comment>
    <comment ref="F15" authorId="0" shapeId="0">
      <text>
        <t>于:
**同财务账面合同履约成本/工程施工成本/直接人工费数据一致**</t>
      </text>
    </comment>
    <comment ref="G15" authorId="0" shapeId="0">
      <text>
        <t>于:
**同财务账面合同履约成本/工程施工成本/直接人工费数据一致**</t>
      </text>
    </comment>
    <comment ref="H15" authorId="0" shapeId="0">
      <text>
        <t>于:
**同财务账面合同履约成本/工程施工成本/直接人工费数据一致**</t>
      </text>
    </comment>
    <comment ref="I15" authorId="0" shapeId="0">
      <text>
        <t>于:
**同财务账面合同履约成本/工程施工成本/直接人工费数据一致**</t>
      </text>
    </comment>
    <comment ref="J15" authorId="0" shapeId="0">
      <text>
        <t>于:
**同财务账面合同履约成本/工程施工成本/直接人工费数据一致**</t>
      </text>
    </comment>
    <comment ref="K15" authorId="0" shapeId="0">
      <text>
        <t>于:
**同财务账面合同履约成本/工程施工成本/直接人工费数据一致**</t>
      </text>
    </comment>
    <comment ref="L15" authorId="0" shapeId="0">
      <text>
        <t>于:
**同财务账面合同履约成本/工程施工成本/直接人工费数据一致**</t>
      </text>
    </comment>
    <comment ref="M15" authorId="0" shapeId="0">
      <text>
        <t>于:
**同财务账面合同履约成本/工程施工成本/直接人工费数据一致**</t>
      </text>
    </comment>
    <comment ref="N15" authorId="0" shapeId="0">
      <text>
        <t>于:
**同财务账面合同履约成本/工程施工成本/直接人工费数据一致**</t>
      </text>
    </comment>
    <comment ref="O15" authorId="0" shapeId="0">
      <text>
        <t>于:
**同财务账面合同履约成本/工程施工成本/直接人工费数据一致**</t>
      </text>
    </comment>
    <comment ref="P15" authorId="0" shapeId="0">
      <text>
        <t>于:
**同财务账面合同履约成本/工程施工成本/直接人工费数据一致**</t>
      </text>
    </comment>
    <comment ref="Q15" authorId="0" shapeId="0">
      <text>
        <t>于:
**同财务账面合同履约成本/工程施工成本/直接人工费数据一致**</t>
      </text>
    </comment>
    <comment ref="R15" authorId="0" shapeId="0">
      <text>
        <t>于:
**同财务账面合同履约成本/工程施工成本/直接人工费数据一致**</t>
      </text>
    </comment>
    <comment ref="S15" authorId="0" shapeId="0">
      <text>
        <t>于:
**同财务账面合同履约成本/工程施工成本/直接人工费数据一致**</t>
      </text>
    </comment>
    <comment ref="T15" authorId="0" shapeId="0">
      <text>
        <t>于:
**同财务账面合同履约成本/工程施工成本/直接人工费数据一致**</t>
      </text>
    </comment>
    <comment ref="U15" authorId="0" shapeId="0">
      <text>
        <t>于:
**同财务账面合同履约成本/工程施工成本/直接人工费数据一致**</t>
      </text>
    </comment>
    <comment ref="V15" authorId="0" shapeId="0">
      <text>
        <t>于:
**同财务账面合同履约成本/工程施工成本/直接人工费数据一致**</t>
      </text>
    </comment>
    <comment ref="W15" authorId="0" shapeId="0">
      <text>
        <t>于:
**同财务账面合同履约成本/工程施工成本/直接人工费数据一致**</t>
      </text>
    </comment>
    <comment ref="X15" authorId="0" shapeId="0">
      <text>
        <t>于:
**同财务账面合同履约成本/工程施工成本/直接人工费数据一致**</t>
      </text>
    </comment>
    <comment ref="Y15" authorId="0" shapeId="0">
      <text>
        <t>于:
**同财务账面合同履约成本/工程施工成本/直接人工费数据一致**</t>
      </text>
    </comment>
    <comment ref="Z15" authorId="0" shapeId="0">
      <text>
        <t>于:
**同财务账面合同履约成本/工程施工成本/直接人工费数据一致**</t>
      </text>
    </comment>
    <comment ref="AA15" authorId="0" shapeId="0">
      <text>
        <t>于:
**同财务账面合同履约成本/工程施工成本/直接人工费数据一致**</t>
      </text>
    </comment>
    <comment ref="AB15" authorId="0" shapeId="0">
      <text>
        <t>于:
**同财务账面合同履约成本/工程施工成本/直接人工费数据一致**</t>
      </text>
    </comment>
    <comment ref="AC15" authorId="0" shapeId="0">
      <text>
        <t>于:
**同财务账面合同履约成本/工程施工成本/直接人工费数据一致**</t>
      </text>
    </comment>
    <comment ref="AD15" authorId="0" shapeId="0">
      <text>
        <t>于:
**同财务账面合同履约成本/工程施工成本/直接人工费数据一致**</t>
      </text>
    </comment>
    <comment ref="AE15" authorId="0" shapeId="0">
      <text>
        <t>于:
**同财务账面合同履约成本/工程施工成本/直接人工费数据一致**</t>
      </text>
    </comment>
    <comment ref="AF15" authorId="0" shapeId="0">
      <text>
        <t>于:
**同财务账面合同履约成本/工程施工成本/直接人工费数据一致**</t>
      </text>
    </comment>
    <comment ref="AG15" authorId="0" shapeId="0">
      <text>
        <t>于:
**同财务账面合同履约成本/工程施工成本/直接人工费数据一致**</t>
      </text>
    </comment>
    <comment ref="AH15" authorId="0" shapeId="0">
      <text>
        <t>于:
**同财务账面合同履约成本/工程施工成本/直接人工费数据一致**</t>
      </text>
    </comment>
    <comment ref="AI15" authorId="0" shapeId="0">
      <text>
        <t>于:
**同财务账面合同履约成本/工程施工成本/直接人工费数据一致**</t>
      </text>
    </comment>
    <comment ref="AJ15" authorId="0" shapeId="0">
      <text>
        <t>于:
**同财务账面合同履约成本/工程施工成本/直接人工费数据一致**</t>
      </text>
    </comment>
    <comment ref="AK15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99" authorId="1" shapeId="0">
      <text>
        <t>**同财务账面合同履约成本/工程施工成本/间接费数据一致**</t>
      </text>
    </comment>
    <comment ref="D106" authorId="2" shapeId="0">
      <text>
        <t>（在建：房建0.6%，其它0.4%；在保修期间的按0.3~0.5%自行确定;保修期结束为0）</t>
      </text>
    </comment>
    <comment ref="E1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6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140" t="n"/>
      <c r="B1" s="10" t="inlineStr">
        <is>
          <t>利润中心编码</t>
        </is>
      </c>
      <c r="C1" s="10" t="inlineStr">
        <is>
          <t>项目编码</t>
        </is>
      </c>
      <c r="D1" s="11" t="inlineStr">
        <is>
          <t>工程名称（与一体化保持一致）</t>
        </is>
      </c>
      <c r="E1" s="12" t="inlineStr">
        <is>
          <t>项目状态（点选）</t>
        </is>
      </c>
      <c r="F1" s="13" t="inlineStr">
        <is>
          <t>是否办理最终结算</t>
        </is>
      </c>
      <c r="G1" s="14" t="inlineStr">
        <is>
          <t>最终结算时间</t>
        </is>
      </c>
      <c r="H1" s="141" t="inlineStr">
        <is>
          <t>商务/材料确认</t>
        </is>
      </c>
      <c r="I1" s="142" t="n"/>
      <c r="J1" s="142" t="n"/>
      <c r="K1" s="142" t="n"/>
      <c r="L1" s="143" t="n"/>
      <c r="M1" s="144" t="inlineStr">
        <is>
          <t>财务确认</t>
        </is>
      </c>
      <c r="N1" s="142" t="n"/>
      <c r="O1" s="142" t="n"/>
      <c r="P1" s="142" t="n"/>
      <c r="Q1" s="142" t="n"/>
      <c r="R1" s="143" t="n"/>
      <c r="S1" s="145" t="inlineStr">
        <is>
          <t>债权情况</t>
        </is>
      </c>
      <c r="T1" s="142" t="n"/>
      <c r="U1" s="142" t="n"/>
      <c r="V1" s="142" t="n"/>
      <c r="W1" s="142" t="n"/>
      <c r="X1" s="142" t="n"/>
      <c r="Y1" s="143" t="n"/>
      <c r="Z1" s="146" t="inlineStr">
        <is>
          <t>税务情况</t>
        </is>
      </c>
      <c r="AA1" s="142" t="n"/>
      <c r="AB1" s="142" t="n"/>
      <c r="AC1" s="142" t="n"/>
      <c r="AD1" s="142" t="n"/>
      <c r="AE1" s="142" t="n"/>
      <c r="AF1" s="142" t="n"/>
      <c r="AG1" s="142" t="n"/>
      <c r="AH1" s="142" t="n"/>
      <c r="AI1" s="142" t="n"/>
      <c r="AJ1" s="142" t="n"/>
      <c r="AK1" s="143" t="n"/>
      <c r="AL1" s="147" t="inlineStr">
        <is>
          <t>备注</t>
        </is>
      </c>
    </row>
    <row r="2" ht="25.5" customHeight="1" s="139">
      <c r="A2" s="140" t="n"/>
      <c r="B2" s="7" t="inlineStr">
        <is>
          <t>筛选合计：</t>
        </is>
      </c>
      <c r="C2" s="7" t="n">
        <v/>
      </c>
      <c r="D2" s="7" t="n">
        <v/>
      </c>
      <c r="E2" s="17" t="n"/>
      <c r="F2" s="17" t="n"/>
      <c r="G2" s="17" t="n"/>
      <c r="H2" s="148" t="n"/>
      <c r="I2" s="148" t="n"/>
      <c r="J2" s="149">
        <f>H2+I2</f>
        <v/>
      </c>
      <c r="K2" s="149" t="n"/>
      <c r="L2" s="150">
        <f>J2-K2</f>
        <v/>
      </c>
      <c r="M2" s="151" t="n">
        <v>289958061.57</v>
      </c>
      <c r="N2" s="151" t="n">
        <v>37816603.93</v>
      </c>
      <c r="O2" s="151">
        <f>L2-M2</f>
        <v/>
      </c>
      <c r="P2" s="151">
        <f>K2-N2</f>
        <v/>
      </c>
      <c r="Q2" s="152">
        <f>M2+O2</f>
        <v/>
      </c>
      <c r="R2" s="152">
        <f>M2+N2+O2+P2</f>
        <v/>
      </c>
      <c r="S2" s="153" t="n"/>
      <c r="T2" s="153" t="n"/>
      <c r="U2" s="153" t="n"/>
      <c r="V2" s="153" t="n"/>
      <c r="W2" s="153" t="n"/>
      <c r="X2" s="153" t="n"/>
      <c r="Y2" s="153" t="n"/>
      <c r="Z2" s="154">
        <f>SUM(AA6:AJ6)</f>
        <v/>
      </c>
      <c r="AA2" s="153" t="n"/>
      <c r="AB2" s="153" t="n"/>
      <c r="AC2" s="153" t="n"/>
      <c r="AD2" s="153" t="n"/>
      <c r="AE2" s="153" t="n"/>
      <c r="AF2" s="153" t="n"/>
      <c r="AG2" s="153" t="n"/>
      <c r="AH2" s="153" t="n"/>
      <c r="AI2" s="153" t="n"/>
      <c r="AJ2" s="153" t="n"/>
      <c r="AK2" s="153">
        <f>AB6/1.17*0.17+AC6/1.16*0.16+AD6/1.11*0.11+AE6/1.1*0.1+AF6/1.09*0.09+AI6/1.03*0.03</f>
        <v/>
      </c>
      <c r="AL2" s="140" t="n"/>
    </row>
    <row r="3" ht="25.5" customHeight="1" s="139">
      <c r="A3" s="140" t="n"/>
      <c r="B3" s="10" t="inlineStr">
        <is>
          <t>客商编码</t>
        </is>
      </c>
      <c r="C3" s="10" t="inlineStr">
        <is>
          <t>合同编码</t>
        </is>
      </c>
      <c r="D3" s="11" t="inlineStr">
        <is>
          <t>客商名称</t>
        </is>
      </c>
      <c r="E3" s="13" t="inlineStr">
        <is>
          <t>主要工作内容</t>
        </is>
      </c>
      <c r="F3" s="13" t="inlineStr">
        <is>
          <t>是否办理最终结算</t>
        </is>
      </c>
      <c r="G3" s="14" t="inlineStr">
        <is>
          <t>最终结算时间</t>
        </is>
      </c>
      <c r="H3" s="155" t="inlineStr">
        <is>
          <t>商务、物资确认</t>
        </is>
      </c>
      <c r="I3" s="142" t="n"/>
      <c r="J3" s="142" t="n"/>
      <c r="K3" s="142" t="n"/>
      <c r="L3" s="143" t="n"/>
      <c r="M3" s="144" t="inlineStr">
        <is>
          <t>财务确认</t>
        </is>
      </c>
      <c r="N3" s="142" t="n"/>
      <c r="O3" s="142" t="n"/>
      <c r="P3" s="142" t="n"/>
      <c r="Q3" s="142" t="n"/>
      <c r="R3" s="143" t="n"/>
      <c r="S3" s="145" t="inlineStr">
        <is>
          <t>债务情况</t>
        </is>
      </c>
      <c r="T3" s="142" t="n"/>
      <c r="U3" s="142" t="n"/>
      <c r="V3" s="142" t="n"/>
      <c r="W3" s="142" t="n"/>
      <c r="X3" s="142" t="n"/>
      <c r="Y3" s="143" t="n"/>
      <c r="Z3" s="146" t="inlineStr">
        <is>
          <t>税务情况</t>
        </is>
      </c>
      <c r="AA3" s="142" t="n"/>
      <c r="AB3" s="142" t="n"/>
      <c r="AC3" s="142" t="n"/>
      <c r="AD3" s="142" t="n"/>
      <c r="AE3" s="142" t="n"/>
      <c r="AF3" s="142" t="n"/>
      <c r="AG3" s="142" t="n"/>
      <c r="AH3" s="142" t="n"/>
      <c r="AI3" s="142" t="n"/>
      <c r="AJ3" s="142" t="n"/>
      <c r="AK3" s="143" t="n"/>
      <c r="AL3" s="140" t="n"/>
    </row>
    <row r="4">
      <c r="A4" s="41" t="n"/>
      <c r="B4" s="41" t="n">
        <v>1</v>
      </c>
      <c r="C4" s="41" t="n">
        <v>2</v>
      </c>
      <c r="D4" s="41" t="n">
        <v>3</v>
      </c>
      <c r="E4" s="41" t="n">
        <v>4</v>
      </c>
      <c r="F4" s="41" t="n">
        <v>5</v>
      </c>
      <c r="G4" s="41" t="n">
        <v>6</v>
      </c>
      <c r="H4" s="41" t="n">
        <v>7</v>
      </c>
      <c r="I4" s="41" t="n">
        <v>8</v>
      </c>
      <c r="J4" s="41" t="inlineStr">
        <is>
          <t>9=7+8</t>
        </is>
      </c>
      <c r="K4" s="41" t="n">
        <v>10</v>
      </c>
      <c r="L4" s="41" t="inlineStr">
        <is>
          <t>11=9-10</t>
        </is>
      </c>
      <c r="M4" s="41" t="n">
        <v>12</v>
      </c>
      <c r="N4" s="41" t="n">
        <v>13</v>
      </c>
      <c r="O4" s="41" t="inlineStr">
        <is>
          <t>14=11-12</t>
        </is>
      </c>
      <c r="P4" s="41" t="inlineStr">
        <is>
          <t>15=10-13</t>
        </is>
      </c>
      <c r="Q4" s="41" t="inlineStr">
        <is>
          <t>16=12+14</t>
        </is>
      </c>
      <c r="R4" s="41" t="inlineStr">
        <is>
          <t>17=12+13+14+15</t>
        </is>
      </c>
      <c r="S4" s="41" t="n">
        <v>18</v>
      </c>
      <c r="T4" s="41" t="n">
        <v>19</v>
      </c>
      <c r="U4" s="41" t="n">
        <v>20</v>
      </c>
      <c r="V4" s="41" t="n">
        <v>21</v>
      </c>
      <c r="W4" s="41" t="n">
        <v>22</v>
      </c>
      <c r="X4" s="41" t="n">
        <v>23</v>
      </c>
      <c r="Y4" s="41" t="n">
        <v>24</v>
      </c>
      <c r="Z4" s="41" t="n">
        <v>25</v>
      </c>
      <c r="AA4" s="41" t="n">
        <v>26</v>
      </c>
      <c r="AB4" s="41" t="n">
        <v>27</v>
      </c>
      <c r="AC4" s="41" t="n">
        <v>28</v>
      </c>
      <c r="AD4" s="41" t="n">
        <v>29</v>
      </c>
      <c r="AE4" s="41" t="n">
        <v>30</v>
      </c>
      <c r="AF4" s="41" t="n">
        <v>31</v>
      </c>
      <c r="AG4" s="41" t="n">
        <v>32</v>
      </c>
      <c r="AH4" s="41" t="n">
        <v>33</v>
      </c>
      <c r="AI4" s="41" t="n">
        <v>34</v>
      </c>
      <c r="AJ4" s="41" t="n">
        <v>35</v>
      </c>
      <c r="AK4" s="41" t="n">
        <v>36</v>
      </c>
      <c r="AL4" s="156" t="n"/>
    </row>
    <row r="5" ht="39" customHeight="1" s="139">
      <c r="A5" s="21" t="n"/>
      <c r="B5" s="21" t="n"/>
      <c r="C5" s="21" t="n"/>
      <c r="D5" s="22" t="inlineStr">
        <is>
          <t>二、成本</t>
        </is>
      </c>
      <c r="E5" s="21" t="n"/>
      <c r="F5" s="21" t="n"/>
      <c r="G5" s="21" t="n"/>
      <c r="H5" s="154" t="n"/>
      <c r="I5" s="154" t="n"/>
      <c r="J5" s="154" t="n"/>
      <c r="K5" s="157" t="n"/>
      <c r="L5" s="158" t="n"/>
      <c r="M5" s="149" t="n"/>
      <c r="N5" s="149" t="n"/>
      <c r="O5" s="154">
        <f>L5-M5</f>
        <v/>
      </c>
      <c r="P5" s="154">
        <f>K5-N5</f>
        <v/>
      </c>
      <c r="Q5" s="154">
        <f>M5+O5</f>
        <v/>
      </c>
      <c r="R5" s="154">
        <f>M5+N5+O5+P5</f>
        <v/>
      </c>
      <c r="S5" s="159">
        <f>SUM(T5:V5)</f>
        <v/>
      </c>
      <c r="T5" s="159" t="n"/>
      <c r="U5" s="159" t="n"/>
      <c r="V5" s="159" t="n"/>
      <c r="W5" s="159" t="n"/>
      <c r="X5" s="159" t="n"/>
      <c r="Y5" s="159" t="n"/>
      <c r="Z5" s="159" t="n"/>
      <c r="AA5" s="159" t="n"/>
      <c r="AB5" s="159" t="n"/>
      <c r="AC5" s="159" t="n"/>
      <c r="AD5" s="159" t="n"/>
      <c r="AE5" s="159" t="n"/>
      <c r="AF5" s="159" t="n"/>
      <c r="AG5" s="159" t="n"/>
      <c r="AH5" s="159" t="n"/>
      <c r="AI5" s="159" t="n"/>
      <c r="AJ5" s="159" t="n"/>
      <c r="AK5" s="153">
        <f>AB11/1.17*0.17+AC11/1.16*0.16+AD11/1.11*0.11+AE11/1.1*0.1+AF11/1.09*0.09+AI11/1.03*0.03</f>
        <v/>
      </c>
      <c r="AL5" s="92" t="n"/>
    </row>
    <row r="6">
      <c r="A6" s="21" t="n"/>
      <c r="B6" s="21" t="n"/>
      <c r="C6" s="21" t="n"/>
      <c r="D6" s="24" t="inlineStr">
        <is>
          <t>（一）人工费</t>
        </is>
      </c>
      <c r="E6" s="21" t="n"/>
      <c r="F6" s="21" t="n"/>
      <c r="G6" s="21" t="n"/>
      <c r="H6" s="154" t="n"/>
      <c r="I6" s="154" t="n"/>
      <c r="J6" s="154" t="n"/>
      <c r="K6" s="157" t="n"/>
      <c r="L6" s="158" t="n"/>
      <c r="M6" s="149" t="n"/>
      <c r="N6" s="149" t="n"/>
      <c r="O6" s="154">
        <f>L6-M6</f>
        <v/>
      </c>
      <c r="P6" s="154">
        <f>K6-N6</f>
        <v/>
      </c>
      <c r="Q6" s="154">
        <f>M6+O6</f>
        <v/>
      </c>
      <c r="R6" s="154">
        <f>M6+N6+O6+P6</f>
        <v/>
      </c>
      <c r="S6" s="159">
        <f>SUM(T6:V6)</f>
        <v/>
      </c>
      <c r="T6" s="153" t="n"/>
      <c r="U6" s="153" t="n"/>
      <c r="V6" s="153" t="n"/>
      <c r="W6" s="153" t="n"/>
      <c r="X6" s="153" t="n"/>
      <c r="Y6" s="153" t="n"/>
      <c r="Z6" s="153" t="n"/>
      <c r="AA6" s="159" t="n"/>
      <c r="AB6" s="159" t="n"/>
      <c r="AC6" s="159" t="n"/>
      <c r="AD6" s="159" t="n"/>
      <c r="AE6" s="159" t="n"/>
      <c r="AF6" s="159" t="n"/>
      <c r="AG6" s="159" t="n"/>
      <c r="AH6" s="159" t="n"/>
      <c r="AI6" s="159" t="n"/>
      <c r="AJ6" s="159" t="n"/>
      <c r="AK6" s="153">
        <f>AB12/1.17*0.17+AC12/1.16*0.16+AD12/1.11*0.11+AE12/1.1*0.1+AF12/1.09*0.09+AI12/1.03*0.03</f>
        <v/>
      </c>
      <c r="AL6" s="92" t="n"/>
    </row>
    <row r="7">
      <c r="A7" s="21" t="n"/>
      <c r="B7" s="21" t="n"/>
      <c r="C7" s="21" t="n"/>
      <c r="D7" s="26" t="inlineStr">
        <is>
          <t>**财务未列部分需增列***</t>
        </is>
      </c>
      <c r="E7" s="27" t="n"/>
      <c r="F7" s="27" t="n"/>
      <c r="G7" s="27" t="n"/>
      <c r="H7" s="154" t="n"/>
      <c r="I7" s="154" t="n"/>
      <c r="J7" s="154" t="n"/>
      <c r="K7" s="157" t="n"/>
      <c r="L7" s="160" t="n"/>
      <c r="M7" s="154" t="n"/>
      <c r="N7" s="154" t="n"/>
      <c r="O7" s="154">
        <f>L7-M7</f>
        <v/>
      </c>
      <c r="P7" s="154">
        <f>K7-N7</f>
        <v/>
      </c>
      <c r="Q7" s="154">
        <f>M7+O7</f>
        <v/>
      </c>
      <c r="R7" s="154">
        <f>M7+N7+O7+P7</f>
        <v/>
      </c>
      <c r="S7" s="159">
        <f>SUM(T7:V7)</f>
        <v/>
      </c>
      <c r="T7" s="154" t="n"/>
      <c r="U7" s="154" t="n"/>
      <c r="V7" s="154" t="n"/>
      <c r="W7" s="154" t="n"/>
      <c r="X7" s="154" t="n"/>
      <c r="Y7" s="154" t="n"/>
      <c r="Z7" s="154">
        <f>SUM(AA16:AJ16)</f>
        <v/>
      </c>
      <c r="AA7" s="161" t="n"/>
      <c r="AB7" s="153" t="n"/>
      <c r="AC7" s="153" t="n"/>
      <c r="AD7" s="153" t="n"/>
      <c r="AE7" s="153" t="n"/>
      <c r="AF7" s="153" t="n"/>
      <c r="AG7" s="153" t="n"/>
      <c r="AH7" s="153" t="n"/>
      <c r="AI7" s="153" t="n"/>
      <c r="AJ7" s="153" t="n"/>
      <c r="AK7" s="153">
        <f>AB16/1.17*0.17+AC16/1.16*0.16+AD16/1.11*0.11+AE16/1.1*0.1+AF16/1.09*0.09+AI16/1.03*0.03</f>
        <v/>
      </c>
      <c r="AL7" s="93" t="n"/>
    </row>
    <row r="8">
      <c r="D8" t="inlineStr">
        <is>
          <t>中建四局一公司广州分公司以局名义项目</t>
        </is>
      </c>
      <c r="M8" t="n">
        <v>1277824.57</v>
      </c>
      <c r="N8" t="inlineStr"/>
    </row>
    <row r="9">
      <c r="D9" t="inlineStr">
        <is>
          <t>姚建霞-封存</t>
        </is>
      </c>
      <c r="M9" t="n">
        <v>75440</v>
      </c>
      <c r="N9" t="inlineStr"/>
    </row>
    <row r="10" ht="14" customFormat="1" customHeight="1" s="1">
      <c r="D10" t="inlineStr">
        <is>
          <t>广州市万有达建筑工程有限公司</t>
        </is>
      </c>
      <c r="M10" t="n">
        <v>39139848.98</v>
      </c>
      <c r="N10" t="inlineStr"/>
    </row>
    <row r="11" ht="14" customHeight="1" s="139">
      <c r="D11" t="inlineStr">
        <is>
          <t>朱新伟</t>
        </is>
      </c>
      <c r="M11" t="n">
        <v>59500</v>
      </c>
      <c r="N11" t="inlineStr"/>
    </row>
    <row r="12" ht="14" customHeight="1" s="139">
      <c r="D12" t="inlineStr">
        <is>
          <t>汤燕英-封存</t>
        </is>
      </c>
      <c r="M12" t="n">
        <v>71338.33</v>
      </c>
      <c r="N12" t="inlineStr"/>
    </row>
    <row r="13" ht="14" customHeight="1" s="139">
      <c r="D13" t="inlineStr">
        <is>
          <t>湖南阳旭建筑劳务服务有限公司</t>
        </is>
      </c>
      <c r="M13" t="n">
        <v>149405.03</v>
      </c>
      <c r="N13" t="inlineStr"/>
    </row>
    <row r="14" ht="14" customHeight="1" s="139">
      <c r="D14" t="inlineStr">
        <is>
          <t>胡伟龙</t>
        </is>
      </c>
      <c r="M14" t="n">
        <v>74013.34</v>
      </c>
      <c r="N14" t="inlineStr"/>
    </row>
    <row r="15" ht="14" customHeight="1" s="139">
      <c r="A15" s="28" t="n"/>
      <c r="B15" s="28" t="n"/>
      <c r="C15" s="28" t="n"/>
      <c r="D15" s="29" t="inlineStr">
        <is>
          <t>人工费小计：</t>
        </is>
      </c>
      <c r="E15" s="162">
        <f>SUM(E12:E16)</f>
        <v/>
      </c>
      <c r="F15" s="162">
        <f>SUM(F12:F16)</f>
        <v/>
      </c>
      <c r="G15" s="162">
        <f>SUM(G12:G16)</f>
        <v/>
      </c>
      <c r="H15" s="162">
        <f>SUM(H12:H16)</f>
        <v/>
      </c>
      <c r="I15" s="162">
        <f>SUM(I12:I16)</f>
        <v/>
      </c>
      <c r="J15" s="162">
        <f>SUM(J15:J15)</f>
        <v/>
      </c>
      <c r="K15" s="162">
        <f>SUM(K12:K16)</f>
        <v/>
      </c>
      <c r="L15" s="162">
        <f>SUM(L15:L15)</f>
        <v/>
      </c>
      <c r="M15" s="162">
        <f>SUM(M7:M14)</f>
        <v/>
      </c>
      <c r="N15" s="162">
        <f>SUM(N12:N16)</f>
        <v/>
      </c>
      <c r="O15" s="162">
        <f>SUM(O7:O14)</f>
        <v/>
      </c>
      <c r="P15" s="162">
        <f>SUM(P7:P14)</f>
        <v/>
      </c>
      <c r="Q15" s="162">
        <f>SUM(Q7:Q14)</f>
        <v/>
      </c>
      <c r="R15" s="162">
        <f>SUM(R7:R14)</f>
        <v/>
      </c>
      <c r="S15" s="162">
        <f>SUM(S7:S14)</f>
        <v/>
      </c>
      <c r="T15" s="162">
        <f>SUM(T12:T16)</f>
        <v/>
      </c>
      <c r="U15" s="162">
        <f>SUM(U12:U16)</f>
        <v/>
      </c>
      <c r="V15" s="162">
        <f>SUM(V12:V16)</f>
        <v/>
      </c>
      <c r="W15" s="162">
        <f>SUM(W12:W16)</f>
        <v/>
      </c>
      <c r="X15" s="162">
        <f>SUM(X12:X16)</f>
        <v/>
      </c>
      <c r="Y15" s="162">
        <f>SUM(Y12:Y16)</f>
        <v/>
      </c>
      <c r="Z15" s="162">
        <f>SUM(Z12:Z16)</f>
        <v/>
      </c>
      <c r="AA15" s="162">
        <f>SUM(AA12:AA16)</f>
        <v/>
      </c>
      <c r="AB15" s="162">
        <f>SUM(AB12:AB16)</f>
        <v/>
      </c>
      <c r="AC15" s="162">
        <f>SUM(AC12:AC16)</f>
        <v/>
      </c>
      <c r="AD15" s="162">
        <f>SUM(AD12:AD16)</f>
        <v/>
      </c>
      <c r="AE15" s="162">
        <f>SUM(AE12:AE16)</f>
        <v/>
      </c>
      <c r="AF15" s="162">
        <f>SUM(AF12:AF16)</f>
        <v/>
      </c>
      <c r="AG15" s="162">
        <f>SUM(AG12:AG16)</f>
        <v/>
      </c>
      <c r="AH15" s="162">
        <f>SUM(AH12:AH16)</f>
        <v/>
      </c>
      <c r="AI15" s="162">
        <f>SUM(AI12:AI16)</f>
        <v/>
      </c>
      <c r="AJ15" s="162">
        <f>SUM(AJ12:AJ16)</f>
        <v/>
      </c>
      <c r="AK15" s="162">
        <f>SUM(AK12:AK16)</f>
        <v/>
      </c>
      <c r="AL15" s="92" t="n"/>
    </row>
    <row r="16" ht="14" customHeight="1" s="139">
      <c r="A16" s="21" t="n"/>
      <c r="B16" s="21" t="n"/>
      <c r="C16" s="21" t="n"/>
      <c r="D16" s="31" t="inlineStr">
        <is>
          <t>（二）分包工程</t>
        </is>
      </c>
      <c r="E16" s="21" t="n"/>
      <c r="F16" s="21" t="n"/>
      <c r="G16" s="21" t="n"/>
      <c r="H16" s="154" t="n"/>
      <c r="I16" s="154" t="n"/>
      <c r="J16" s="154" t="n"/>
      <c r="K16" s="157" t="n"/>
      <c r="L16" s="160" t="n"/>
      <c r="M16" s="154" t="n"/>
      <c r="N16" s="154" t="n"/>
      <c r="O16" s="154">
        <f>L16-M16</f>
        <v/>
      </c>
      <c r="P16" s="154">
        <f>K16-N16</f>
        <v/>
      </c>
      <c r="Q16" s="154">
        <f>M16+O16</f>
        <v/>
      </c>
      <c r="R16" s="154">
        <f>M16+N16+O16+P16</f>
        <v/>
      </c>
      <c r="S16" s="159">
        <f>SUM(T16:V16)</f>
        <v/>
      </c>
      <c r="T16" s="159" t="n"/>
      <c r="U16" s="159" t="n"/>
      <c r="V16" s="159" t="n"/>
      <c r="W16" s="159" t="n"/>
      <c r="X16" s="159" t="n"/>
      <c r="Y16" s="159" t="n"/>
      <c r="Z16" s="159" t="n"/>
      <c r="AA16" s="159" t="n"/>
      <c r="AB16" s="159" t="n"/>
      <c r="AC16" s="159" t="n"/>
      <c r="AD16" s="159" t="n"/>
      <c r="AE16" s="159" t="n"/>
      <c r="AF16" s="159" t="n"/>
      <c r="AG16" s="159" t="n"/>
      <c r="AH16" s="159" t="n"/>
      <c r="AI16" s="159" t="n"/>
      <c r="AJ16" s="159" t="n"/>
      <c r="AK16" s="153">
        <f>AB18/1.17*0.17+AC18/1.16*0.16+AD18/1.11*0.11+AE18/1.1*0.1+AF18/1.09*0.09+AI18/1.03*0.03</f>
        <v/>
      </c>
      <c r="AL16" s="92" t="n"/>
    </row>
    <row r="17" ht="14" customHeight="1" s="139">
      <c r="A17" s="21" t="n"/>
      <c r="B17" s="21" t="n"/>
      <c r="C17" s="21" t="n"/>
      <c r="D17" s="26" t="inlineStr">
        <is>
          <t>**财务未列部分需增列***</t>
        </is>
      </c>
      <c r="E17" s="163" t="n"/>
      <c r="F17" s="163" t="n"/>
      <c r="G17" s="163" t="n"/>
      <c r="H17" s="154" t="n"/>
      <c r="I17" s="154" t="n"/>
      <c r="J17" s="154" t="n"/>
      <c r="K17" s="157" t="n"/>
      <c r="L17" s="160" t="n"/>
      <c r="M17" s="154" t="n"/>
      <c r="N17" s="154" t="n"/>
      <c r="O17" s="154">
        <f>L17-M17</f>
        <v/>
      </c>
      <c r="P17" s="154">
        <f>K17-N17</f>
        <v/>
      </c>
      <c r="Q17" s="154">
        <f>M17+O17</f>
        <v/>
      </c>
      <c r="R17" s="154">
        <f>M17+N17+O17+P17</f>
        <v/>
      </c>
      <c r="S17" s="159">
        <f>SUM(T17:V17)</f>
        <v/>
      </c>
      <c r="T17" s="154" t="n"/>
      <c r="U17" s="154" t="n"/>
      <c r="V17" s="154" t="n"/>
      <c r="W17" s="154" t="n"/>
      <c r="X17" s="154" t="n"/>
      <c r="Y17" s="154" t="n"/>
      <c r="Z17" s="159" t="n"/>
      <c r="AA17" s="159" t="n"/>
      <c r="AB17" s="153" t="n"/>
      <c r="AC17" s="153" t="n"/>
      <c r="AD17" s="153" t="n"/>
      <c r="AE17" s="153" t="n"/>
      <c r="AF17" s="153" t="n"/>
      <c r="AG17" s="153" t="n"/>
      <c r="AH17" s="153" t="n"/>
      <c r="AI17" s="153" t="n"/>
      <c r="AJ17" s="153" t="n"/>
      <c r="AK17" s="153">
        <f>AB22/1.17*0.17+AC22/1.16*0.16+AD22/1.11*0.11+AE22/1.1*0.1+AF22/1.09*0.09+AI22/1.03*0.03</f>
        <v/>
      </c>
      <c r="AL17" s="93" t="n"/>
    </row>
    <row r="18" ht="14" customHeight="1" s="139">
      <c r="D18" t="inlineStr">
        <is>
          <t>广东新添美安防技术有限公司</t>
        </is>
      </c>
      <c r="M18" t="n">
        <v>7542836.89</v>
      </c>
      <c r="N18" t="inlineStr"/>
    </row>
    <row r="19" ht="14" customHeight="1" s="139">
      <c r="D19" t="inlineStr">
        <is>
          <t>广东粤忠晟保安服务有限公司</t>
        </is>
      </c>
      <c r="M19" t="n">
        <v>1429064.55</v>
      </c>
      <c r="N19" t="inlineStr"/>
    </row>
    <row r="20" ht="14" customHeight="1" s="139">
      <c r="D20" t="inlineStr">
        <is>
          <t>无客商-计提汤村复1地块安全生产费</t>
        </is>
      </c>
      <c r="M20" t="n">
        <v>-5809818.35</v>
      </c>
      <c r="N20" t="inlineStr"/>
    </row>
    <row r="21" ht="14" customHeight="1" s="139">
      <c r="D21" t="inlineStr">
        <is>
          <t>正工模块化建筑科技（深圳）有限公司</t>
        </is>
      </c>
      <c r="M21" t="n">
        <v>1322968.79</v>
      </c>
      <c r="N21" t="inlineStr"/>
    </row>
    <row r="22" ht="14" customHeight="1" s="139">
      <c r="D22" t="inlineStr">
        <is>
          <t>江西志特新材料股份有限公司</t>
        </is>
      </c>
      <c r="M22" t="n">
        <v>6462444.78</v>
      </c>
      <c r="N22" t="inlineStr"/>
    </row>
    <row r="23" ht="14" customHeight="1" s="139">
      <c r="D23" t="inlineStr">
        <is>
          <t>深圳市华西安装工程有限公司</t>
        </is>
      </c>
      <c r="M23" t="n">
        <v>16033034.52</v>
      </c>
      <c r="N23" t="inlineStr"/>
    </row>
    <row r="24" ht="14" customHeight="1" s="139">
      <c r="D24" t="inlineStr">
        <is>
          <t>湖北省隆兴防水材料有限责任公司</t>
        </is>
      </c>
      <c r="M24" t="n">
        <v>3141650.02</v>
      </c>
      <c r="N24" t="inlineStr"/>
    </row>
    <row r="25" ht="14" customHeight="1" s="139">
      <c r="D25" t="inlineStr">
        <is>
          <t>湖南阳旭建筑劳务服务有限公司</t>
        </is>
      </c>
      <c r="M25" t="n">
        <v>39456446.11</v>
      </c>
      <c r="N25" t="inlineStr"/>
    </row>
    <row r="26" ht="14" customHeight="1" s="139">
      <c r="A26" s="28" t="n"/>
      <c r="B26" s="28" t="n"/>
      <c r="C26" s="28" t="n"/>
      <c r="D26" s="29" t="inlineStr">
        <is>
          <t>分包工程小计：</t>
        </is>
      </c>
      <c r="E26" s="162">
        <f>SUM(E18:E22)</f>
        <v/>
      </c>
      <c r="F26" s="162">
        <f>SUM(F18:F22)</f>
        <v/>
      </c>
      <c r="G26" s="162">
        <f>SUM(G18:G22)</f>
        <v/>
      </c>
      <c r="H26" s="162">
        <f>SUM(H18:H22)</f>
        <v/>
      </c>
      <c r="I26" s="162">
        <f>SUM(I18:I22)</f>
        <v/>
      </c>
      <c r="J26" s="162">
        <f>SUM(J26:J26)</f>
        <v/>
      </c>
      <c r="K26" s="162">
        <f>SUM(K18:K22)</f>
        <v/>
      </c>
      <c r="L26" s="162">
        <f>SUM(L26:L26)</f>
        <v/>
      </c>
      <c r="M26" s="162">
        <f>SUM(M17:M25)</f>
        <v/>
      </c>
      <c r="N26" s="162">
        <f>SUM(N18:N22)</f>
        <v/>
      </c>
      <c r="O26" s="162">
        <f>SUM(O17:O25)</f>
        <v/>
      </c>
      <c r="P26" s="162">
        <f>SUM(P17:P25)</f>
        <v/>
      </c>
      <c r="Q26" s="162">
        <f>SUM(Q17:Q25)</f>
        <v/>
      </c>
      <c r="R26" s="162">
        <f>SUM(R17:R25)</f>
        <v/>
      </c>
      <c r="S26" s="162">
        <f>SUM(S17:S25)</f>
        <v/>
      </c>
      <c r="T26" s="162">
        <f>SUM(T18:T22)</f>
        <v/>
      </c>
      <c r="U26" s="162">
        <f>SUM(U18:U22)</f>
        <v/>
      </c>
      <c r="V26" s="162">
        <f>SUM(V18:V22)</f>
        <v/>
      </c>
      <c r="W26" s="162">
        <f>SUM(W18:W22)</f>
        <v/>
      </c>
      <c r="X26" s="162">
        <f>SUM(X18:X22)</f>
        <v/>
      </c>
      <c r="Y26" s="162">
        <f>SUM(Y18:Y22)</f>
        <v/>
      </c>
      <c r="Z26" s="162">
        <f>SUM(Z18:Z22)</f>
        <v/>
      </c>
      <c r="AA26" s="162">
        <f>SUM(AA18:AA22)</f>
        <v/>
      </c>
      <c r="AB26" s="162">
        <f>SUM(AB18:AB22)</f>
        <v/>
      </c>
      <c r="AC26" s="162">
        <f>SUM(AC18:AC22)</f>
        <v/>
      </c>
      <c r="AD26" s="162">
        <f>SUM(AD18:AD22)</f>
        <v/>
      </c>
      <c r="AE26" s="162">
        <f>SUM(AE18:AE22)</f>
        <v/>
      </c>
      <c r="AF26" s="162">
        <f>SUM(AF18:AF22)</f>
        <v/>
      </c>
      <c r="AG26" s="162">
        <f>SUM(AG18:AG22)</f>
        <v/>
      </c>
      <c r="AH26" s="162">
        <f>SUM(AH18:AH22)</f>
        <v/>
      </c>
      <c r="AI26" s="162">
        <f>SUM(AI18:AI22)</f>
        <v/>
      </c>
      <c r="AJ26" s="162">
        <f>SUM(AJ18:AJ22)</f>
        <v/>
      </c>
      <c r="AK26" s="162">
        <f>SUM(AK18:AK22)</f>
        <v/>
      </c>
      <c r="AL26" s="92" t="n"/>
    </row>
    <row r="27" ht="14" customHeight="1" s="139">
      <c r="A27" s="21" t="n"/>
      <c r="B27" s="21" t="n"/>
      <c r="C27" s="21" t="n"/>
      <c r="D27" s="31" t="inlineStr">
        <is>
          <t>(三)材料费</t>
        </is>
      </c>
      <c r="E27" s="21" t="n"/>
      <c r="F27" s="21" t="n"/>
      <c r="G27" s="21" t="n"/>
      <c r="H27" s="154" t="n"/>
      <c r="I27" s="154" t="n"/>
      <c r="J27" s="154" t="n"/>
      <c r="K27" s="157" t="n"/>
      <c r="L27" s="160" t="n"/>
      <c r="M27" s="154" t="n"/>
      <c r="N27" s="154" t="n"/>
      <c r="O27" s="154">
        <f>L27-M27</f>
        <v/>
      </c>
      <c r="P27" s="154">
        <f>K27-N27</f>
        <v/>
      </c>
      <c r="Q27" s="154">
        <f>M27+O27</f>
        <v/>
      </c>
      <c r="R27" s="154">
        <f>M27+N27+O27+P27</f>
        <v/>
      </c>
      <c r="S27" s="159">
        <f>SUM(T27:V27)</f>
        <v/>
      </c>
      <c r="T27" s="159" t="n"/>
      <c r="U27" s="159" t="n"/>
      <c r="V27" s="159" t="n"/>
      <c r="W27" s="159" t="n"/>
      <c r="X27" s="159" t="n"/>
      <c r="Y27" s="159" t="n"/>
      <c r="Z27" s="159" t="n"/>
      <c r="AA27" s="159" t="n"/>
      <c r="AB27" s="164" t="n"/>
      <c r="AC27" s="164" t="n"/>
      <c r="AD27" s="164" t="n"/>
      <c r="AE27" s="164" t="n"/>
      <c r="AF27" s="164" t="n"/>
      <c r="AG27" s="164" t="n"/>
      <c r="AH27" s="164" t="n"/>
      <c r="AI27" s="164" t="n"/>
      <c r="AJ27" s="164" t="n"/>
      <c r="AK27" s="153">
        <f>AB24/1.17*0.17+AC24/1.16*0.16+AD24/1.11*0.11+AE24/1.1*0.1+AF24/1.09*0.09+AI24/1.03*0.03</f>
        <v/>
      </c>
      <c r="AL27" s="94" t="n"/>
    </row>
    <row r="28" ht="14" customHeight="1" s="139">
      <c r="A28" s="21" t="n"/>
      <c r="B28" s="21" t="n"/>
      <c r="C28" s="21" t="n"/>
      <c r="D28" s="154" t="inlineStr">
        <is>
          <t>（1）集中采购</t>
        </is>
      </c>
      <c r="E28" s="21" t="n"/>
      <c r="F28" s="21" t="n"/>
      <c r="G28" s="21" t="n"/>
      <c r="H28" s="154" t="n"/>
      <c r="I28" s="154" t="n"/>
      <c r="J28" s="154" t="n"/>
      <c r="K28" s="157" t="n"/>
      <c r="L28" s="160" t="n"/>
      <c r="M28" s="154" t="n"/>
      <c r="N28" s="154" t="n"/>
      <c r="O28" s="154">
        <f>L28-M28</f>
        <v/>
      </c>
      <c r="P28" s="154">
        <f>K28-N28</f>
        <v/>
      </c>
      <c r="Q28" s="154">
        <f>M28+O28</f>
        <v/>
      </c>
      <c r="R28" s="154">
        <f>M28+N28+O28+P28</f>
        <v/>
      </c>
      <c r="S28" s="159">
        <f>SUM(T28:V28)</f>
        <v/>
      </c>
      <c r="T28" s="159" t="n"/>
      <c r="U28" s="159" t="n"/>
      <c r="V28" s="159" t="n"/>
      <c r="W28" s="159" t="n"/>
      <c r="X28" s="159" t="n"/>
      <c r="Y28" s="159" t="n"/>
      <c r="Z28" s="159" t="n"/>
      <c r="AA28" s="159" t="n"/>
      <c r="AB28" s="164" t="n"/>
      <c r="AC28" s="164" t="n"/>
      <c r="AD28" s="164" t="n"/>
      <c r="AE28" s="164" t="n"/>
      <c r="AF28" s="164" t="n"/>
      <c r="AG28" s="164" t="n"/>
      <c r="AH28" s="164" t="n"/>
      <c r="AI28" s="164" t="n"/>
      <c r="AJ28" s="164" t="n"/>
      <c r="AK28" s="153">
        <f>AB25/1.17*0.17+AC25/1.16*0.16+AD25/1.11*0.11+AE25/1.1*0.1+AF25/1.09*0.09+AI25/1.03*0.03</f>
        <v/>
      </c>
      <c r="AL28" s="94" t="n"/>
    </row>
    <row r="29" ht="14" customHeight="1" s="139">
      <c r="A29" s="21" t="n"/>
      <c r="B29" s="21" t="n"/>
      <c r="C29" s="21" t="n"/>
      <c r="D29" s="154" t="inlineStr">
        <is>
          <t>（2）自行采购</t>
        </is>
      </c>
      <c r="E29" s="163" t="n"/>
      <c r="F29" s="163" t="n"/>
      <c r="G29" s="163" t="n"/>
      <c r="H29" s="154" t="n">
        <v>0</v>
      </c>
      <c r="I29" s="154" t="n"/>
      <c r="J29" s="154" t="n"/>
      <c r="K29" s="157" t="n"/>
      <c r="L29" s="160" t="n"/>
      <c r="M29" s="154" t="n"/>
      <c r="N29" s="154" t="n"/>
      <c r="O29" s="154">
        <f>L29-M29</f>
        <v/>
      </c>
      <c r="P29" s="154">
        <f>K29-N29</f>
        <v/>
      </c>
      <c r="Q29" s="154">
        <f>M29+O29</f>
        <v/>
      </c>
      <c r="R29" s="154">
        <f>M29+N29+O29+P29</f>
        <v/>
      </c>
      <c r="S29" s="159">
        <f>SUM(T29:V29)</f>
        <v/>
      </c>
      <c r="T29" s="159" t="n"/>
      <c r="U29" s="159" t="n"/>
      <c r="V29" s="159" t="n"/>
      <c r="W29" s="159" t="n"/>
      <c r="X29" s="159" t="n"/>
      <c r="Y29" s="159" t="n"/>
      <c r="Z29" s="154">
        <f>SUM(AA29:AJ29)</f>
        <v/>
      </c>
      <c r="AA29" s="159" t="n"/>
      <c r="AB29" s="164" t="n"/>
      <c r="AC29" s="164" t="n"/>
      <c r="AD29" s="164" t="n"/>
      <c r="AE29" s="164" t="n"/>
      <c r="AF29" s="164" t="n"/>
      <c r="AG29" s="164" t="n"/>
      <c r="AH29" s="164" t="n"/>
      <c r="AI29" s="164" t="n"/>
      <c r="AJ29" s="164" t="n"/>
      <c r="AK29" s="153">
        <f>AB29/1.17*0.17+AC29/1.16*0.16+AD29/1.11*0.11+AE29/1.1*0.1+AF29/1.09*0.09+AI29/1.03*0.03</f>
        <v/>
      </c>
      <c r="AL29" s="94" t="n"/>
    </row>
    <row r="30" ht="14" customHeight="1" s="139">
      <c r="A30" s="165" t="n">
        <v>1</v>
      </c>
      <c r="B30" s="165" t="n"/>
      <c r="C30" s="165" t="n"/>
      <c r="D30" s="166" t="inlineStr">
        <is>
          <t>其他-中建四局一公司广州分公司以局名义项目</t>
        </is>
      </c>
      <c r="E30" s="167" t="n"/>
      <c r="F30" s="167" t="n"/>
      <c r="G30" s="167" t="n"/>
      <c r="H30" s="166" t="n"/>
      <c r="I30" s="166" t="n"/>
      <c r="J30" s="166" t="n"/>
      <c r="K30" s="166" t="n"/>
      <c r="L30" s="168" t="n"/>
      <c r="M30" s="166" t="n">
        <v>-127.2</v>
      </c>
      <c r="N30" s="166" t="inlineStr"/>
      <c r="O30" s="166" t="n"/>
      <c r="P30" s="166" t="n"/>
      <c r="Q30" s="166" t="n"/>
      <c r="R30" s="166" t="n"/>
      <c r="S30" s="169" t="n"/>
      <c r="T30" s="169" t="n"/>
      <c r="U30" s="169" t="n"/>
      <c r="V30" s="169" t="n"/>
      <c r="W30" s="169" t="n"/>
      <c r="X30" s="169" t="n"/>
    </row>
    <row r="31" ht="26" customHeight="1" s="139">
      <c r="A31" s="165" t="n">
        <v>2</v>
      </c>
      <c r="B31" s="165" t="n"/>
      <c r="C31" s="165" t="n"/>
      <c r="D31" s="166" t="inlineStr">
        <is>
          <t>废旧物资处置-零星客户</t>
        </is>
      </c>
      <c r="E31" s="167" t="n"/>
      <c r="F31" s="167" t="n"/>
      <c r="G31" s="167" t="n"/>
      <c r="H31" s="166" t="n"/>
      <c r="I31" s="166" t="n"/>
      <c r="J31" s="166" t="n"/>
      <c r="K31" s="166" t="n"/>
      <c r="L31" s="168" t="n"/>
      <c r="M31" s="166" t="n">
        <v>-465452.87</v>
      </c>
      <c r="N31" s="166" t="inlineStr"/>
      <c r="O31" s="166" t="n"/>
      <c r="P31" s="166" t="n"/>
      <c r="Q31" s="166" t="n"/>
      <c r="R31" s="166" t="n"/>
      <c r="S31" s="169" t="n"/>
      <c r="T31" s="169" t="n"/>
      <c r="U31" s="169" t="n"/>
      <c r="V31" s="169" t="n"/>
      <c r="W31" s="169" t="n"/>
      <c r="X31" s="169" t="n"/>
    </row>
    <row r="32" ht="14" customHeight="1" s="139">
      <c r="A32" s="165" t="n">
        <v>3</v>
      </c>
      <c r="B32" s="165" t="n"/>
      <c r="C32" s="165" t="n"/>
      <c r="D32" s="166" t="inlineStr">
        <is>
          <t>研发支出-材料费-无客商-综合体项目型钢混凝土组合结构转</t>
        </is>
      </c>
      <c r="E32" s="167" t="n"/>
      <c r="F32" s="167" t="n"/>
      <c r="G32" s="167" t="n"/>
      <c r="H32" s="166" t="n"/>
      <c r="I32" s="166" t="n"/>
      <c r="J32" s="166" t="n"/>
      <c r="K32" s="166" t="n"/>
      <c r="L32" s="168" t="n"/>
      <c r="M32" s="166" t="n">
        <v>-3926272.64</v>
      </c>
      <c r="N32" s="166" t="inlineStr"/>
      <c r="O32" s="166" t="n"/>
      <c r="P32" s="166" t="n"/>
      <c r="Q32" s="166" t="n"/>
      <c r="R32" s="166" t="n"/>
      <c r="S32" s="169" t="n"/>
      <c r="T32" s="169" t="n"/>
      <c r="U32" s="169" t="n"/>
      <c r="V32" s="169" t="n"/>
      <c r="W32" s="169" t="n"/>
      <c r="X32" s="169" t="n"/>
    </row>
    <row r="33" ht="14" customHeight="1" s="139">
      <c r="A33" s="165" t="n">
        <v>4</v>
      </c>
      <c r="B33" s="165" t="n"/>
      <c r="C33" s="165" t="n"/>
      <c r="D33" s="166" t="inlineStr">
        <is>
          <t>nan-东莞市广拓建材贸易有限公司</t>
        </is>
      </c>
      <c r="E33" s="167" t="n"/>
      <c r="F33" s="167" t="n"/>
      <c r="G33" s="167" t="n"/>
      <c r="H33" s="166" t="n"/>
      <c r="I33" s="166" t="n"/>
      <c r="J33" s="166" t="n"/>
      <c r="K33" s="166" t="n"/>
      <c r="L33" s="168" t="n"/>
      <c r="M33" s="166" t="n">
        <v>2678965.24</v>
      </c>
      <c r="N33" s="166" t="inlineStr"/>
      <c r="O33" s="166" t="n"/>
      <c r="P33" s="166" t="n"/>
      <c r="Q33" s="166" t="n"/>
      <c r="R33" s="166" t="n"/>
      <c r="S33" s="169" t="n"/>
      <c r="T33" s="169" t="n"/>
      <c r="U33" s="169" t="n"/>
      <c r="V33" s="169" t="n"/>
      <c r="W33" s="169" t="n"/>
      <c r="X33" s="169" t="n"/>
    </row>
    <row r="34" ht="14" customHeight="1" s="139">
      <c r="A34" s="165" t="n">
        <v>5</v>
      </c>
      <c r="B34" s="165" t="n"/>
      <c r="C34" s="165" t="n"/>
      <c r="D34" s="166" t="inlineStr">
        <is>
          <t>nan-中励供应链管理（浙江）有限公司</t>
        </is>
      </c>
      <c r="E34" s="167" t="n"/>
      <c r="F34" s="167" t="n"/>
      <c r="G34" s="167" t="n"/>
      <c r="H34" s="166" t="n"/>
      <c r="I34" s="166" t="n"/>
      <c r="J34" s="166" t="n"/>
      <c r="K34" s="166" t="n"/>
      <c r="L34" s="168" t="n"/>
      <c r="M34" s="166" t="n">
        <v>23889974.12</v>
      </c>
      <c r="N34" s="166" t="inlineStr"/>
      <c r="O34" s="166" t="n"/>
      <c r="P34" s="166" t="n"/>
      <c r="Q34" s="166" t="n"/>
      <c r="R34" s="166" t="n"/>
      <c r="S34" s="169" t="n"/>
      <c r="T34" s="169" t="n"/>
      <c r="U34" s="169" t="n"/>
      <c r="V34" s="169" t="n"/>
      <c r="W34" s="169" t="n"/>
      <c r="X34" s="169" t="n"/>
    </row>
    <row r="35" ht="14" customHeight="1" s="139">
      <c r="A35" s="165" t="n">
        <v>6</v>
      </c>
      <c r="B35" s="165" t="n"/>
      <c r="C35" s="165" t="n"/>
      <c r="D35" s="166" t="inlineStr">
        <is>
          <t>nan-佛山唐贵五金电器有限公司</t>
        </is>
      </c>
      <c r="E35" s="167" t="n"/>
      <c r="F35" s="167" t="n"/>
      <c r="G35" s="167" t="n"/>
      <c r="H35" s="166" t="n"/>
      <c r="I35" s="166" t="n"/>
      <c r="J35" s="166" t="n"/>
      <c r="K35" s="166" t="n"/>
      <c r="L35" s="168" t="n"/>
      <c r="M35" s="166" t="n">
        <v>1729147.69</v>
      </c>
      <c r="N35" s="166" t="inlineStr"/>
      <c r="O35" s="166" t="n"/>
      <c r="P35" s="166" t="n"/>
      <c r="Q35" s="166" t="n"/>
      <c r="R35" s="166" t="n"/>
      <c r="S35" s="169" t="n"/>
      <c r="T35" s="169" t="n"/>
      <c r="U35" s="169" t="n"/>
      <c r="V35" s="169" t="n"/>
      <c r="W35" s="169" t="n"/>
      <c r="X35" s="169" t="n"/>
    </row>
    <row r="36" ht="14" customHeight="1" s="139">
      <c r="A36" s="165" t="n">
        <v>7</v>
      </c>
      <c r="B36" s="165" t="n"/>
      <c r="C36" s="165" t="n"/>
      <c r="D36" s="166" t="inlineStr">
        <is>
          <t>nan-佛山市众万油品贸易有限公司</t>
        </is>
      </c>
      <c r="E36" s="167" t="n"/>
      <c r="F36" s="167" t="n"/>
      <c r="G36" s="167" t="n"/>
      <c r="H36" s="166" t="n"/>
      <c r="I36" s="166" t="n"/>
      <c r="J36" s="166" t="n"/>
      <c r="K36" s="166" t="n"/>
      <c r="L36" s="168" t="n"/>
      <c r="M36" s="166" t="n">
        <v>159653.02</v>
      </c>
      <c r="N36" s="166" t="inlineStr"/>
      <c r="O36" s="166" t="n"/>
      <c r="P36" s="166" t="n"/>
      <c r="Q36" s="166" t="n"/>
      <c r="R36" s="166" t="n"/>
      <c r="S36" s="169" t="n"/>
      <c r="T36" s="169" t="n"/>
      <c r="U36" s="169" t="n"/>
      <c r="V36" s="169" t="n"/>
      <c r="W36" s="169" t="n"/>
      <c r="X36" s="169" t="n"/>
    </row>
    <row r="37" ht="14" customHeight="1" s="139">
      <c r="A37" s="165" t="n">
        <v>8</v>
      </c>
      <c r="B37" s="165" t="n"/>
      <c r="C37" s="165" t="n"/>
      <c r="D37" s="166" t="inlineStr">
        <is>
          <t>nan-佛山市翊德通新型环保科技建材有限公司</t>
        </is>
      </c>
      <c r="E37" s="167" t="n"/>
      <c r="F37" s="167" t="n"/>
      <c r="G37" s="167" t="n"/>
      <c r="H37" s="166" t="n"/>
      <c r="I37" s="166" t="n"/>
      <c r="J37" s="166" t="n"/>
      <c r="K37" s="166" t="n"/>
      <c r="L37" s="168" t="n"/>
      <c r="M37" s="166" t="n">
        <v>3870637.75</v>
      </c>
      <c r="N37" s="166" t="inlineStr"/>
      <c r="O37" s="166" t="n"/>
      <c r="P37" s="166" t="n"/>
      <c r="Q37" s="166" t="n"/>
      <c r="R37" s="166" t="n"/>
      <c r="S37" s="169" t="n"/>
      <c r="T37" s="169" t="n"/>
      <c r="U37" s="169" t="n"/>
      <c r="V37" s="169" t="n"/>
      <c r="W37" s="169" t="n"/>
      <c r="X37" s="169" t="n"/>
    </row>
    <row r="38" ht="14" customHeight="1" s="139">
      <c r="A38" s="165" t="n">
        <v>9</v>
      </c>
      <c r="B38" s="165" t="n"/>
      <c r="C38" s="165" t="n"/>
      <c r="D38" s="166" t="inlineStr">
        <is>
          <t>nan-广东广物物资有限公司</t>
        </is>
      </c>
      <c r="E38" s="167" t="n"/>
      <c r="F38" s="167" t="n"/>
      <c r="G38" s="167" t="n"/>
      <c r="H38" s="166" t="n"/>
      <c r="I38" s="166" t="n"/>
      <c r="J38" s="166" t="n"/>
      <c r="K38" s="166" t="n"/>
      <c r="L38" s="168" t="n"/>
      <c r="M38" s="166" t="n">
        <v>11516250.3</v>
      </c>
      <c r="N38" s="166" t="inlineStr"/>
      <c r="O38" s="166" t="n"/>
      <c r="P38" s="166" t="n"/>
      <c r="Q38" s="166" t="n"/>
      <c r="R38" s="166" t="n"/>
      <c r="S38" s="169" t="n"/>
      <c r="T38" s="169" t="n"/>
      <c r="U38" s="169" t="n"/>
      <c r="V38" s="169" t="n"/>
      <c r="W38" s="169" t="n"/>
      <c r="X38" s="169" t="n"/>
    </row>
    <row r="39" ht="14" customHeight="1" s="139">
      <c r="A39" s="165" t="n">
        <v>10</v>
      </c>
      <c r="B39" s="165" t="n"/>
      <c r="C39" s="165" t="n"/>
      <c r="D39" s="166" t="inlineStr">
        <is>
          <t>nan-广州东龙混凝土有限公司</t>
        </is>
      </c>
      <c r="E39" s="167" t="n"/>
      <c r="F39" s="167" t="n"/>
      <c r="G39" s="167" t="n"/>
      <c r="H39" s="166" t="n"/>
      <c r="I39" s="166" t="n"/>
      <c r="J39" s="166" t="n"/>
      <c r="K39" s="166" t="n"/>
      <c r="L39" s="168" t="n"/>
      <c r="M39" s="166" t="n">
        <v>21666282.13</v>
      </c>
      <c r="N39" s="166" t="inlineStr"/>
      <c r="O39" s="166" t="n"/>
      <c r="P39" s="166" t="n"/>
      <c r="Q39" s="166" t="n"/>
      <c r="R39" s="166" t="n"/>
      <c r="S39" s="169" t="n"/>
      <c r="T39" s="169" t="n"/>
      <c r="U39" s="169" t="n"/>
      <c r="V39" s="169" t="n"/>
      <c r="W39" s="169" t="n"/>
      <c r="X39" s="169" t="n"/>
    </row>
    <row r="40" ht="14" customHeight="1" s="139">
      <c r="A40" s="165" t="n">
        <v>11</v>
      </c>
      <c r="B40" s="165" t="n"/>
      <c r="C40" s="165" t="n"/>
      <c r="D40" s="166" t="inlineStr">
        <is>
          <t>nan-广州市万竣混凝土有限公司</t>
        </is>
      </c>
      <c r="E40" s="167" t="n"/>
      <c r="F40" s="167" t="n"/>
      <c r="G40" s="167" t="n"/>
      <c r="H40" s="166" t="n"/>
      <c r="I40" s="166" t="n"/>
      <c r="J40" s="166" t="n"/>
      <c r="K40" s="166" t="n"/>
      <c r="L40" s="168" t="n"/>
      <c r="M40" s="166" t="n">
        <v>18159564.73</v>
      </c>
      <c r="N40" s="166" t="inlineStr"/>
      <c r="O40" s="166" t="n"/>
      <c r="P40" s="166" t="n"/>
      <c r="Q40" s="166" t="n"/>
      <c r="R40" s="166" t="n"/>
      <c r="S40" s="169" t="n"/>
      <c r="T40" s="169" t="n"/>
      <c r="U40" s="169" t="n"/>
      <c r="V40" s="169" t="n"/>
      <c r="W40" s="169" t="n"/>
      <c r="X40" s="169" t="n"/>
    </row>
    <row r="41" ht="14" customHeight="1" s="139">
      <c r="A41" s="165" t="n">
        <v>12</v>
      </c>
      <c r="B41" s="165" t="n"/>
      <c r="C41" s="165" t="n"/>
      <c r="D41" s="166" t="inlineStr">
        <is>
          <t>nan-广州市番禺区石楼镇沙南建材二厂</t>
        </is>
      </c>
      <c r="E41" s="167" t="n"/>
      <c r="F41" s="167" t="n"/>
      <c r="G41" s="167" t="n"/>
      <c r="H41" s="166" t="n"/>
      <c r="I41" s="166" t="n"/>
      <c r="J41" s="166" t="n"/>
      <c r="K41" s="166" t="n"/>
      <c r="L41" s="168" t="n"/>
      <c r="M41" s="166" t="n">
        <v>1222044.27</v>
      </c>
      <c r="N41" s="166" t="inlineStr"/>
      <c r="O41" s="166" t="n"/>
      <c r="P41" s="166" t="n"/>
      <c r="Q41" s="166" t="n"/>
      <c r="R41" s="166" t="n"/>
      <c r="S41" s="169" t="n"/>
      <c r="T41" s="169" t="n"/>
      <c r="U41" s="169" t="n"/>
      <c r="V41" s="169" t="n"/>
      <c r="W41" s="169" t="n"/>
      <c r="X41" s="169" t="n"/>
    </row>
    <row r="42" ht="14" customHeight="1" s="139">
      <c r="A42" s="165" t="n">
        <v>13</v>
      </c>
      <c r="B42" s="165" t="n"/>
      <c r="C42" s="165" t="n"/>
      <c r="D42" s="166" t="inlineStr">
        <is>
          <t>nan-广州稔华建材有限公司</t>
        </is>
      </c>
      <c r="E42" s="167" t="n"/>
      <c r="F42" s="167" t="n"/>
      <c r="G42" s="167" t="n"/>
      <c r="H42" s="166" t="n"/>
      <c r="I42" s="166" t="n"/>
      <c r="J42" s="166" t="n"/>
      <c r="K42" s="166" t="n"/>
      <c r="L42" s="168" t="n"/>
      <c r="M42" s="166" t="n">
        <v>747879.41</v>
      </c>
      <c r="N42" s="166" t="inlineStr"/>
      <c r="O42" s="166" t="n"/>
      <c r="P42" s="166" t="n"/>
      <c r="Q42" s="166" t="n"/>
      <c r="R42" s="166" t="n"/>
      <c r="S42" s="169" t="n"/>
      <c r="T42" s="169" t="n"/>
      <c r="U42" s="169" t="n"/>
      <c r="V42" s="169" t="n"/>
      <c r="W42" s="169" t="n"/>
      <c r="X42" s="169" t="n"/>
    </row>
    <row r="43" ht="14" customHeight="1" s="139">
      <c r="A43" s="165" t="n">
        <v>14</v>
      </c>
      <c r="B43" s="165" t="n"/>
      <c r="C43" s="165" t="n"/>
      <c r="D43" s="166" t="inlineStr">
        <is>
          <t>nan-广州辰辰建材租赁有限公司</t>
        </is>
      </c>
      <c r="E43" s="167" t="n"/>
      <c r="F43" s="167" t="n"/>
      <c r="G43" s="167" t="n"/>
      <c r="H43" s="166" t="n"/>
      <c r="I43" s="166" t="n"/>
      <c r="J43" s="166" t="n"/>
      <c r="K43" s="166" t="n"/>
      <c r="L43" s="168" t="n"/>
      <c r="M43" s="166" t="n">
        <v>446060</v>
      </c>
      <c r="N43" s="166" t="inlineStr"/>
      <c r="O43" s="166" t="n"/>
      <c r="P43" s="166" t="n"/>
      <c r="Q43" s="166" t="n"/>
      <c r="R43" s="166" t="n"/>
      <c r="S43" s="169" t="n"/>
      <c r="T43" s="169" t="n"/>
      <c r="U43" s="169" t="n"/>
      <c r="V43" s="169" t="n"/>
      <c r="W43" s="169" t="n"/>
      <c r="X43" s="169" t="n"/>
    </row>
    <row r="44" ht="14" customHeight="1" s="139">
      <c r="A44" s="165" t="n">
        <v>15</v>
      </c>
      <c r="B44" s="165" t="n"/>
      <c r="C44" s="165" t="n"/>
      <c r="D44" s="166" t="inlineStr">
        <is>
          <t>nan-清远市榕兴新型环保建材有限责任公司</t>
        </is>
      </c>
      <c r="E44" s="167" t="n"/>
      <c r="F44" s="167" t="n"/>
      <c r="G44" s="167" t="n"/>
      <c r="H44" s="166" t="n"/>
      <c r="I44" s="166" t="n"/>
      <c r="J44" s="166" t="n"/>
      <c r="K44" s="166" t="n"/>
      <c r="L44" s="168" t="n"/>
      <c r="M44" s="166" t="n">
        <v>1109491.46</v>
      </c>
      <c r="N44" s="166" t="inlineStr"/>
      <c r="O44" s="166" t="n"/>
      <c r="P44" s="166" t="n"/>
      <c r="Q44" s="166" t="n"/>
      <c r="R44" s="166" t="n"/>
      <c r="S44" s="169" t="n"/>
      <c r="T44" s="169" t="n"/>
      <c r="U44" s="169" t="n"/>
      <c r="V44" s="169" t="n"/>
      <c r="W44" s="169" t="n"/>
      <c r="X44" s="169" t="n"/>
    </row>
    <row r="45" ht="14" customHeight="1" s="139">
      <c r="A45" s="165" t="n">
        <v>16</v>
      </c>
      <c r="B45" s="165" t="n"/>
      <c r="C45" s="165" t="n"/>
      <c r="D45" s="166" t="inlineStr">
        <is>
          <t>nan-湖南轨道物流发展有限公司</t>
        </is>
      </c>
      <c r="E45" s="167" t="n"/>
      <c r="F45" s="167" t="n"/>
      <c r="G45" s="167" t="n"/>
      <c r="H45" s="166" t="n"/>
      <c r="I45" s="166" t="n"/>
      <c r="J45" s="166" t="n"/>
      <c r="K45" s="166" t="n"/>
      <c r="L45" s="168" t="n"/>
      <c r="M45" s="166" t="n">
        <v>28926566.64</v>
      </c>
      <c r="N45" s="166" t="inlineStr"/>
      <c r="O45" s="166" t="n"/>
      <c r="P45" s="166" t="n"/>
      <c r="Q45" s="166" t="n"/>
      <c r="R45" s="166" t="n"/>
      <c r="S45" s="169" t="n"/>
      <c r="T45" s="169" t="n"/>
      <c r="U45" s="169" t="n"/>
      <c r="V45" s="169" t="n"/>
      <c r="W45" s="169" t="n"/>
      <c r="X45" s="169" t="n"/>
    </row>
    <row r="46" ht="14" customHeight="1" s="139">
      <c r="A46" s="21" t="n">
        <v>2</v>
      </c>
      <c r="B46" s="21" t="n"/>
      <c r="C46" s="21" t="n"/>
      <c r="D46" s="31" t="inlineStr">
        <is>
          <t>材料库存（注：项目已结算未使用材料冲减项目成本，负数填报）</t>
        </is>
      </c>
      <c r="E46" s="163" t="n"/>
      <c r="F46" s="163" t="n"/>
      <c r="G46" s="163" t="n"/>
      <c r="H46" s="154" t="n"/>
      <c r="I46" s="154" t="n"/>
      <c r="J46" s="154" t="n"/>
      <c r="K46" s="157" t="n"/>
      <c r="L46" s="160" t="n"/>
      <c r="M46" s="154" t="n"/>
      <c r="N46" s="170" t="n"/>
      <c r="O46" s="154">
        <f>L46-M46</f>
        <v/>
      </c>
      <c r="P46" s="154">
        <f>K46-N46</f>
        <v/>
      </c>
      <c r="Q46" s="154">
        <f>M46+O46</f>
        <v/>
      </c>
      <c r="R46" s="154">
        <f>M46+N46+O46+P46</f>
        <v/>
      </c>
      <c r="S46" s="159">
        <f>SUM(T46:V46)</f>
        <v/>
      </c>
      <c r="T46" s="159" t="n"/>
      <c r="U46" s="159" t="n"/>
      <c r="V46" s="159" t="n"/>
      <c r="W46" s="159" t="n"/>
      <c r="X46" s="159" t="n"/>
      <c r="Y46" s="159" t="n"/>
      <c r="Z46" s="154">
        <f>SUM(AA31:AJ31)</f>
        <v/>
      </c>
      <c r="AA46" s="159" t="n"/>
      <c r="AB46" s="164" t="n"/>
      <c r="AC46" s="164" t="n"/>
      <c r="AD46" s="164" t="n"/>
      <c r="AE46" s="164" t="n"/>
      <c r="AF46" s="164" t="n"/>
      <c r="AG46" s="164" t="n"/>
      <c r="AH46" s="164" t="n"/>
      <c r="AI46" s="164" t="n"/>
      <c r="AJ46" s="164" t="n"/>
      <c r="AK46" s="153">
        <f>AB31/1.17*0.17+AC31/1.16*0.16+AD31/1.11*0.11+AE31/1.1*0.1+AF31/1.09*0.09+AI31/1.03*0.03</f>
        <v/>
      </c>
      <c r="AL46" s="94" t="n"/>
    </row>
    <row r="47" ht="14" customHeight="1" s="139">
      <c r="A47" s="21" t="n">
        <v>17</v>
      </c>
      <c r="B47" s="21" t="n"/>
      <c r="C47" s="21" t="n"/>
      <c r="D47" s="31" t="inlineStr">
        <is>
          <t>材料调入</t>
        </is>
      </c>
      <c r="E47" s="21" t="n"/>
      <c r="F47" s="21" t="n"/>
      <c r="G47" s="21" t="n"/>
      <c r="H47" s="154" t="n"/>
      <c r="I47" s="154" t="n"/>
      <c r="J47" s="154" t="n"/>
      <c r="K47" s="157" t="n"/>
      <c r="L47" s="160" t="n"/>
      <c r="M47" s="171" t="n">
        <v>34020317.08</v>
      </c>
      <c r="N47" s="154" t="n"/>
      <c r="O47" s="154">
        <f>L47-M47</f>
        <v/>
      </c>
      <c r="P47" s="154">
        <f>K47-N47</f>
        <v/>
      </c>
      <c r="Q47" s="154">
        <f>M47+O47</f>
        <v/>
      </c>
      <c r="R47" s="154">
        <f>M47+N47+O47+P47</f>
        <v/>
      </c>
      <c r="S47" s="159">
        <f>SUM(T47:V47)</f>
        <v/>
      </c>
      <c r="T47" s="159" t="n"/>
      <c r="U47" s="159" t="n"/>
      <c r="V47" s="159" t="n"/>
      <c r="W47" s="159" t="n"/>
      <c r="X47" s="159" t="n"/>
      <c r="Y47" s="159" t="n"/>
      <c r="Z47" s="154">
        <f>SUM(AA32:AJ32)</f>
        <v/>
      </c>
      <c r="AA47" s="159" t="n"/>
      <c r="AB47" s="164" t="n"/>
      <c r="AC47" s="164" t="n"/>
      <c r="AD47" s="164" t="n"/>
      <c r="AE47" s="164" t="n"/>
      <c r="AF47" s="164" t="n"/>
      <c r="AG47" s="164" t="n"/>
      <c r="AH47" s="164" t="n"/>
      <c r="AI47" s="164" t="n"/>
      <c r="AJ47" s="164" t="n"/>
      <c r="AK47" s="153">
        <f>AB32/1.17*0.17+AC32/1.16*0.16+AD32/1.11*0.11+AE32/1.1*0.1+AF32/1.09*0.09+AI32/1.03*0.03</f>
        <v/>
      </c>
      <c r="AL47" s="94" t="n"/>
    </row>
    <row r="48" ht="14" customHeight="1" s="139">
      <c r="A48" s="21" t="n">
        <v>18</v>
      </c>
      <c r="B48" s="21" t="n"/>
      <c r="C48" s="21" t="n"/>
      <c r="D48" s="31" t="inlineStr">
        <is>
          <t>材料调出（注：负数填报）</t>
        </is>
      </c>
      <c r="E48" s="35" t="n"/>
      <c r="F48" s="35" t="n"/>
      <c r="G48" s="35" t="n"/>
      <c r="H48" s="172" t="n"/>
      <c r="I48" s="172" t="n"/>
      <c r="J48" s="154" t="n"/>
      <c r="K48" s="157" t="n"/>
      <c r="L48" s="160" t="n"/>
      <c r="M48" s="173" t="n">
        <v>-8241729.17</v>
      </c>
      <c r="N48" s="172" t="n"/>
      <c r="O48" s="154">
        <f>L48-M48</f>
        <v/>
      </c>
      <c r="P48" s="154">
        <f>K48-N48</f>
        <v/>
      </c>
      <c r="Q48" s="154">
        <f>M48+O48</f>
        <v/>
      </c>
      <c r="R48" s="154">
        <f>M48+N48+O48+P48</f>
        <v/>
      </c>
      <c r="S48" s="159">
        <f>SUM(T48:V48)</f>
        <v/>
      </c>
      <c r="T48" s="172" t="n"/>
      <c r="U48" s="172" t="n"/>
      <c r="V48" s="172" t="n"/>
      <c r="W48" s="172" t="n"/>
      <c r="X48" s="172" t="n"/>
      <c r="Y48" s="172" t="n"/>
      <c r="Z48" s="154">
        <f>SUM(AA33:AJ33)</f>
        <v/>
      </c>
      <c r="AA48" s="172" t="n"/>
      <c r="AB48" s="174" t="n"/>
      <c r="AC48" s="174" t="n"/>
      <c r="AD48" s="174" t="n"/>
      <c r="AE48" s="174" t="n"/>
      <c r="AF48" s="174" t="n"/>
      <c r="AG48" s="174" t="n"/>
      <c r="AH48" s="174" t="n"/>
      <c r="AI48" s="174" t="n"/>
      <c r="AJ48" s="174" t="n"/>
      <c r="AK48" s="153">
        <f>AB33/1.17*0.17+AC33/1.16*0.16+AD33/1.11*0.11+AE33/1.1*0.1+AF33/1.09*0.09+AI33/1.03*0.03</f>
        <v/>
      </c>
      <c r="AL48" s="95" t="n"/>
    </row>
    <row r="49" ht="14" customHeight="1" s="139">
      <c r="A49" s="21" t="n"/>
      <c r="B49" s="21" t="n"/>
      <c r="C49" s="21" t="n"/>
      <c r="D49" s="26" t="inlineStr">
        <is>
          <t>**财务未列部分需增列***</t>
        </is>
      </c>
      <c r="E49" s="163" t="n"/>
      <c r="F49" s="163" t="n"/>
      <c r="G49" s="163" t="n"/>
      <c r="H49" s="154" t="n">
        <v>0</v>
      </c>
      <c r="I49" s="154" t="n"/>
      <c r="J49" s="154" t="n"/>
      <c r="K49" s="157" t="n"/>
      <c r="L49" s="160" t="n"/>
      <c r="M49" s="154" t="n"/>
      <c r="N49" s="154" t="n"/>
      <c r="O49" s="154">
        <f>L49-M49</f>
        <v/>
      </c>
      <c r="P49" s="154">
        <f>K49-N49</f>
        <v/>
      </c>
      <c r="Q49" s="154">
        <f>M49+O49</f>
        <v/>
      </c>
      <c r="R49" s="154">
        <f>M49+N49+O49+P49</f>
        <v/>
      </c>
      <c r="S49" s="159">
        <f>SUM(T49:V49)</f>
        <v/>
      </c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64" t="n"/>
      <c r="AC49" s="164" t="n"/>
      <c r="AD49" s="164" t="n"/>
      <c r="AE49" s="164" t="n"/>
      <c r="AF49" s="164" t="n"/>
      <c r="AG49" s="164" t="n"/>
      <c r="AH49" s="164" t="n"/>
      <c r="AI49" s="164" t="n"/>
      <c r="AJ49" s="164" t="n"/>
      <c r="AK49" s="153">
        <f>AB34/1.17*0.17+AC34/1.16*0.16+AD34/1.11*0.11+AE34/1.1*0.1+AF34/1.09*0.09+AI34/1.03*0.03</f>
        <v/>
      </c>
      <c r="AL49" s="94" t="n"/>
    </row>
    <row r="50" ht="14" customHeight="1" s="139">
      <c r="A50" s="28" t="n"/>
      <c r="B50" s="28" t="n"/>
      <c r="C50" s="28" t="n"/>
      <c r="D50" s="29" t="inlineStr">
        <is>
          <t>材料费小计：</t>
        </is>
      </c>
      <c r="E50" s="162">
        <f>SUM(E24:E34)</f>
        <v/>
      </c>
      <c r="F50" s="162">
        <f>SUM(F24:F34)</f>
        <v/>
      </c>
      <c r="G50" s="162">
        <f>SUM(G24:G34)</f>
        <v/>
      </c>
      <c r="H50" s="162">
        <f>SUM(H24:H34)</f>
        <v/>
      </c>
      <c r="I50" s="162">
        <f>SUM(I24:I34)</f>
        <v/>
      </c>
      <c r="J50" s="162">
        <f>SUM(J50:J50)</f>
        <v/>
      </c>
      <c r="K50" s="162">
        <f>SUM(K24:K34)</f>
        <v/>
      </c>
      <c r="L50" s="162">
        <f>SUM(L50:L50)</f>
        <v/>
      </c>
      <c r="M50" s="162">
        <f>SUM(M28:M49)</f>
        <v/>
      </c>
      <c r="N50" s="162">
        <f>SUM(N24:N34)</f>
        <v/>
      </c>
      <c r="O50" s="162">
        <f>SUM(O28:O49)</f>
        <v/>
      </c>
      <c r="P50" s="162">
        <f>SUM(P28:P49)</f>
        <v/>
      </c>
      <c r="Q50" s="162">
        <f>SUM(Q28:Q49)</f>
        <v/>
      </c>
      <c r="R50" s="162">
        <f>SUM(R28:R49)</f>
        <v/>
      </c>
      <c r="S50" s="162">
        <f>SUM(S28:S49)</f>
        <v/>
      </c>
      <c r="T50" s="162">
        <f>SUM(T24:T34)</f>
        <v/>
      </c>
      <c r="U50" s="162">
        <f>SUM(U24:U34)</f>
        <v/>
      </c>
      <c r="V50" s="162">
        <f>SUM(V24:V34)</f>
        <v/>
      </c>
      <c r="W50" s="162">
        <f>SUM(W24:W34)</f>
        <v/>
      </c>
      <c r="X50" s="162">
        <f>SUM(X24:X34)</f>
        <v/>
      </c>
      <c r="Y50" s="162">
        <f>SUM(Y24:Y34)</f>
        <v/>
      </c>
      <c r="Z50" s="162">
        <f>SUM(Z24:Z34)</f>
        <v/>
      </c>
      <c r="AA50" s="162">
        <f>SUM(AA24:AA34)</f>
        <v/>
      </c>
      <c r="AB50" s="162">
        <f>SUM(AB24:AB34)</f>
        <v/>
      </c>
      <c r="AC50" s="162">
        <f>SUM(AC24:AC34)</f>
        <v/>
      </c>
      <c r="AD50" s="162">
        <f>SUM(AD24:AD34)</f>
        <v/>
      </c>
      <c r="AE50" s="162">
        <f>SUM(AE24:AE34)</f>
        <v/>
      </c>
      <c r="AF50" s="162">
        <f>SUM(AF24:AF34)</f>
        <v/>
      </c>
      <c r="AG50" s="162">
        <f>SUM(AG24:AG34)</f>
        <v/>
      </c>
      <c r="AH50" s="162">
        <f>SUM(AH24:AH34)</f>
        <v/>
      </c>
      <c r="AI50" s="162">
        <f>SUM(AI24:AI34)</f>
        <v/>
      </c>
      <c r="AJ50" s="162">
        <f>SUM(AJ24:AJ34)</f>
        <v/>
      </c>
      <c r="AK50" s="162">
        <f>SUM(AK24:AK34)</f>
        <v/>
      </c>
      <c r="AL50" s="92" t="n"/>
    </row>
    <row r="51" ht="14" customHeight="1" s="139">
      <c r="A51" s="21" t="n"/>
      <c r="B51" s="21" t="n"/>
      <c r="C51" s="21" t="n"/>
      <c r="D51" s="31" t="inlineStr">
        <is>
          <t>(四）机械租赁费</t>
        </is>
      </c>
      <c r="E51" s="27" t="n"/>
      <c r="F51" s="27" t="n"/>
      <c r="G51" s="27" t="n"/>
      <c r="H51" s="154" t="n"/>
      <c r="I51" s="154" t="n"/>
      <c r="J51" s="154" t="n"/>
      <c r="K51" s="157" t="n">
        <v>0</v>
      </c>
      <c r="L51" s="160">
        <f>J51-K51</f>
        <v/>
      </c>
      <c r="M51" s="149" t="n"/>
      <c r="N51" s="149" t="n"/>
      <c r="O51" s="154">
        <f>L51-M51</f>
        <v/>
      </c>
      <c r="P51" s="154">
        <f>K51-N51</f>
        <v/>
      </c>
      <c r="Q51" s="154">
        <f>M51+O51</f>
        <v/>
      </c>
      <c r="R51" s="154">
        <f>M51+N51+O51+P51</f>
        <v/>
      </c>
      <c r="S51" s="159">
        <f>SUM(T51:V51)</f>
        <v/>
      </c>
      <c r="T51" s="159" t="n"/>
      <c r="U51" s="159" t="n"/>
      <c r="V51" s="159" t="n"/>
      <c r="W51" s="159" t="n"/>
      <c r="X51" s="159" t="n"/>
      <c r="Y51" s="159" t="n"/>
      <c r="Z51" s="159" t="n"/>
      <c r="AA51" s="159" t="n"/>
      <c r="AB51" s="159" t="n"/>
      <c r="AC51" s="159" t="n"/>
      <c r="AD51" s="159" t="n"/>
      <c r="AE51" s="159" t="n"/>
      <c r="AF51" s="159" t="n"/>
      <c r="AG51" s="159" t="n"/>
      <c r="AH51" s="159" t="n"/>
      <c r="AI51" s="159" t="n"/>
      <c r="AJ51" s="159" t="n"/>
      <c r="AK51" s="153">
        <f>AB36/1.17*0.17+AC36/1.16*0.16+AD36/1.11*0.11+AE36/1.1*0.1+AF36/1.09*0.09+AI36/1.03*0.03</f>
        <v/>
      </c>
      <c r="AL51" s="92" t="n"/>
    </row>
    <row r="52" ht="14" customHeight="1" s="139">
      <c r="A52" s="165" t="n">
        <v>1</v>
      </c>
      <c r="B52" s="165" t="n"/>
      <c r="C52" s="165" t="n"/>
      <c r="D52" s="175" t="inlineStr">
        <is>
          <t>佛山市南海鼎赞机械设备有限公司</t>
        </is>
      </c>
      <c r="E52" s="176" t="n"/>
      <c r="F52" s="176" t="n"/>
      <c r="G52" s="176" t="n"/>
      <c r="H52" s="166" t="n"/>
      <c r="I52" s="166" t="n"/>
      <c r="J52" s="166" t="n"/>
      <c r="K52" s="166" t="n"/>
      <c r="L52" s="168" t="n"/>
      <c r="M52" s="166" t="n">
        <v>3140750.01</v>
      </c>
      <c r="N52" s="166" t="inlineStr"/>
      <c r="O52" s="166" t="n"/>
      <c r="P52" s="166" t="n"/>
      <c r="Q52" s="166" t="n"/>
      <c r="R52" s="166" t="n"/>
      <c r="S52" s="169" t="n"/>
      <c r="T52" s="169" t="n"/>
      <c r="U52" s="169" t="n"/>
      <c r="V52" s="169" t="n"/>
      <c r="W52" s="169" t="n"/>
      <c r="X52" s="169" t="n"/>
    </row>
    <row r="53" ht="14" customHeight="1" s="139">
      <c r="A53" s="165" t="n">
        <v>2</v>
      </c>
      <c r="B53" s="165" t="n"/>
      <c r="C53" s="165" t="n"/>
      <c r="D53" s="175" t="inlineStr">
        <is>
          <t>广东君晖建筑工程有限公司</t>
        </is>
      </c>
      <c r="E53" s="176" t="n"/>
      <c r="F53" s="176" t="n"/>
      <c r="G53" s="176" t="n"/>
      <c r="H53" s="166" t="n"/>
      <c r="I53" s="166" t="n"/>
      <c r="J53" s="166" t="n"/>
      <c r="K53" s="166" t="n"/>
      <c r="L53" s="168" t="n"/>
      <c r="M53" s="166" t="n">
        <v>394403.33</v>
      </c>
      <c r="N53" s="166" t="inlineStr"/>
      <c r="O53" s="166" t="n"/>
      <c r="P53" s="166" t="n"/>
      <c r="Q53" s="166" t="n"/>
      <c r="R53" s="166" t="n"/>
      <c r="S53" s="169" t="n"/>
      <c r="T53" s="169" t="n"/>
      <c r="U53" s="169" t="n"/>
      <c r="V53" s="169" t="n"/>
      <c r="W53" s="169" t="n"/>
      <c r="X53" s="169" t="n"/>
    </row>
    <row r="54" ht="14" customHeight="1" s="139">
      <c r="A54" s="165" t="n">
        <v>3</v>
      </c>
      <c r="B54" s="165" t="n"/>
      <c r="C54" s="165" t="n"/>
      <c r="D54" s="175" t="inlineStr">
        <is>
          <t>广州小老虎建筑机械租赁有限公司</t>
        </is>
      </c>
      <c r="E54" s="176" t="n"/>
      <c r="F54" s="176" t="n"/>
      <c r="G54" s="176" t="n"/>
      <c r="H54" s="166" t="n"/>
      <c r="I54" s="166" t="n"/>
      <c r="J54" s="166" t="n"/>
      <c r="K54" s="166" t="n"/>
      <c r="L54" s="168" t="n"/>
      <c r="M54" s="166" t="n">
        <v>8322775.17</v>
      </c>
      <c r="N54" s="166" t="inlineStr"/>
      <c r="O54" s="166" t="n"/>
      <c r="P54" s="166" t="n"/>
      <c r="Q54" s="166" t="n"/>
      <c r="R54" s="166" t="n"/>
      <c r="S54" s="169" t="n"/>
      <c r="T54" s="169" t="n"/>
      <c r="U54" s="169" t="n"/>
      <c r="V54" s="169" t="n"/>
      <c r="W54" s="169" t="n"/>
      <c r="X54" s="169" t="n"/>
    </row>
    <row r="55" ht="14" customHeight="1" s="139">
      <c r="A55" s="165" t="n">
        <v>4</v>
      </c>
      <c r="B55" s="165" t="n"/>
      <c r="C55" s="165" t="n"/>
      <c r="D55" s="175" t="inlineStr">
        <is>
          <t>广州易达运输有限公司</t>
        </is>
      </c>
      <c r="E55" s="176" t="n"/>
      <c r="F55" s="176" t="n"/>
      <c r="G55" s="176" t="n"/>
      <c r="H55" s="166" t="n"/>
      <c r="I55" s="166" t="n"/>
      <c r="J55" s="166" t="n"/>
      <c r="K55" s="166" t="n"/>
      <c r="L55" s="168" t="n"/>
      <c r="M55" s="166" t="n">
        <v>58915.4</v>
      </c>
      <c r="N55" s="166" t="inlineStr"/>
      <c r="O55" s="166" t="n"/>
      <c r="P55" s="166" t="n"/>
      <c r="Q55" s="166" t="n"/>
      <c r="R55" s="166" t="n"/>
      <c r="S55" s="169" t="n"/>
      <c r="T55" s="169" t="n"/>
      <c r="U55" s="169" t="n"/>
      <c r="V55" s="169" t="n"/>
      <c r="W55" s="169" t="n"/>
      <c r="X55" s="169" t="n"/>
    </row>
    <row r="56" ht="14" customHeight="1" s="139">
      <c r="A56" s="165" t="n">
        <v>5</v>
      </c>
      <c r="B56" s="165" t="n"/>
      <c r="C56" s="165" t="n"/>
      <c r="D56" s="175" t="inlineStr">
        <is>
          <t>深圳市鑫俊辉机械设备有限公司</t>
        </is>
      </c>
      <c r="E56" s="176" t="n"/>
      <c r="F56" s="176" t="n"/>
      <c r="G56" s="176" t="n"/>
      <c r="H56" s="166" t="n"/>
      <c r="I56" s="166" t="n"/>
      <c r="J56" s="166" t="n"/>
      <c r="K56" s="166" t="n"/>
      <c r="L56" s="168" t="n"/>
      <c r="M56" s="166" t="n">
        <v>260430</v>
      </c>
      <c r="N56" s="166" t="inlineStr"/>
      <c r="O56" s="166" t="n"/>
      <c r="P56" s="166" t="n"/>
      <c r="Q56" s="166" t="n"/>
      <c r="R56" s="166" t="n"/>
      <c r="S56" s="169" t="n"/>
      <c r="T56" s="169" t="n"/>
      <c r="U56" s="169" t="n"/>
      <c r="V56" s="169" t="n"/>
      <c r="W56" s="169" t="n"/>
      <c r="X56" s="169" t="n"/>
    </row>
    <row r="57" ht="14" customHeight="1" s="139">
      <c r="A57" s="21" t="n"/>
      <c r="B57" s="21" t="n"/>
      <c r="C57" s="21" t="n"/>
      <c r="D57" s="26" t="inlineStr">
        <is>
          <t>**财务未列部分需增列***</t>
        </is>
      </c>
      <c r="E57" s="39" t="n"/>
      <c r="F57" s="39" t="n"/>
      <c r="G57" s="39" t="n"/>
      <c r="H57" s="154" t="n"/>
      <c r="I57" s="154" t="n"/>
      <c r="J57" s="154" t="n"/>
      <c r="K57" s="157" t="n">
        <v>0</v>
      </c>
      <c r="L57" s="160">
        <f>J57-K57</f>
        <v/>
      </c>
      <c r="M57" s="177" t="n"/>
      <c r="N57" s="177" t="n"/>
      <c r="O57" s="154">
        <f>L57-M57</f>
        <v/>
      </c>
      <c r="P57" s="154">
        <f>K57-N57</f>
        <v/>
      </c>
      <c r="Q57" s="154">
        <f>M57+O57</f>
        <v/>
      </c>
      <c r="R57" s="154">
        <f>M57+N57+O57+P57</f>
        <v/>
      </c>
      <c r="S57" s="159">
        <f>SUM(T57:V57)</f>
        <v/>
      </c>
      <c r="T57" s="177" t="n"/>
      <c r="U57" s="177" t="n"/>
      <c r="V57" s="177" t="n"/>
      <c r="W57" s="177" t="n"/>
      <c r="X57" s="177" t="n"/>
      <c r="Y57" s="177" t="n"/>
      <c r="Z57" s="177" t="n"/>
      <c r="AA57" s="159" t="n"/>
      <c r="AB57" s="153" t="n"/>
      <c r="AC57" s="153" t="n"/>
      <c r="AD57" s="153" t="n"/>
      <c r="AE57" s="153" t="n"/>
      <c r="AF57" s="153" t="n"/>
      <c r="AG57" s="153" t="n"/>
      <c r="AH57" s="153" t="n"/>
      <c r="AI57" s="153" t="n"/>
      <c r="AJ57" s="153" t="n"/>
      <c r="AK57" s="153">
        <f>AB38/1.17*0.17+AC38/1.16*0.16+AD38/1.11*0.11+AE38/1.1*0.1+AF38/1.09*0.09+AI38/1.03*0.03</f>
        <v/>
      </c>
      <c r="AL57" s="93" t="n"/>
    </row>
    <row r="58" ht="14" customHeight="1" s="139">
      <c r="A58" s="28" t="n"/>
      <c r="B58" s="28" t="n"/>
      <c r="C58" s="28" t="n"/>
      <c r="D58" s="40" t="inlineStr">
        <is>
          <t>机械费小计：</t>
        </is>
      </c>
      <c r="E58" s="41" t="n"/>
      <c r="F58" s="41" t="n"/>
      <c r="G58" s="41" t="n"/>
      <c r="H58" s="162">
        <f>SUM(H37:H38)</f>
        <v/>
      </c>
      <c r="I58" s="162">
        <f>SUM(I37:I38)</f>
        <v/>
      </c>
      <c r="J58" s="162">
        <f>SUM(J58:J58)</f>
        <v/>
      </c>
      <c r="K58" s="162">
        <f>SUM(K37:K38)</f>
        <v/>
      </c>
      <c r="L58" s="178">
        <f>SUM(L58:L58)</f>
        <v/>
      </c>
      <c r="M58" s="162">
        <f>SUM(M52:M57)</f>
        <v/>
      </c>
      <c r="N58" s="162">
        <f>SUM(N37:N38)</f>
        <v/>
      </c>
      <c r="O58" s="162">
        <f>SUM(O52:O57)</f>
        <v/>
      </c>
      <c r="P58" s="162">
        <f>SUM(P52:P57)</f>
        <v/>
      </c>
      <c r="Q58" s="162">
        <f>SUM(Q52:Q57)</f>
        <v/>
      </c>
      <c r="R58" s="162">
        <f>SUM(R52:R57)</f>
        <v/>
      </c>
      <c r="S58" s="162">
        <f>SUM(S52:S57)</f>
        <v/>
      </c>
      <c r="T58" s="162" t="n"/>
      <c r="U58" s="162" t="n"/>
      <c r="V58" s="162" t="n"/>
      <c r="W58" s="162" t="n"/>
      <c r="X58" s="162" t="n"/>
      <c r="Y58" s="162" t="n"/>
      <c r="Z58" s="162">
        <f>SUM(Z37:Z38)</f>
        <v/>
      </c>
      <c r="AA58" s="162">
        <f>SUM(AA38:AA38)</f>
        <v/>
      </c>
      <c r="AB58" s="162" t="n"/>
      <c r="AC58" s="162" t="n"/>
      <c r="AD58" s="162" t="n"/>
      <c r="AE58" s="162" t="n"/>
      <c r="AF58" s="162" t="n"/>
      <c r="AG58" s="162" t="n"/>
      <c r="AH58" s="162" t="n"/>
      <c r="AI58" s="162" t="n"/>
      <c r="AJ58" s="162" t="n"/>
      <c r="AK58" s="162" t="n"/>
      <c r="AL58" s="92" t="n"/>
    </row>
    <row r="59" ht="14" customHeight="1" s="139">
      <c r="A59" s="21" t="n"/>
      <c r="B59" s="21" t="n"/>
      <c r="C59" s="21" t="n"/>
      <c r="D59" s="31" t="inlineStr">
        <is>
          <t>（五）其他直接费</t>
        </is>
      </c>
      <c r="E59" s="27" t="n"/>
      <c r="F59" s="27" t="n"/>
      <c r="G59" s="27" t="n"/>
      <c r="H59" s="154" t="n"/>
      <c r="I59" s="154" t="n"/>
      <c r="J59" s="149" t="n">
        <v>0</v>
      </c>
      <c r="K59" s="157" t="n">
        <v>0</v>
      </c>
      <c r="L59" s="160">
        <f>J59-N59-P59</f>
        <v/>
      </c>
      <c r="M59" s="149" t="n"/>
      <c r="N59" s="149" t="n"/>
      <c r="O59" s="154">
        <f>L59-M59</f>
        <v/>
      </c>
      <c r="P59" s="154">
        <f>K59-N59</f>
        <v/>
      </c>
      <c r="Q59" s="154">
        <f>M59+O59</f>
        <v/>
      </c>
      <c r="R59" s="154">
        <f>M59+N59+O59+P59</f>
        <v/>
      </c>
      <c r="S59" s="159">
        <f>SUM(T59:V59)</f>
        <v/>
      </c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  <c r="AG59" s="159" t="n"/>
      <c r="AH59" s="159" t="n"/>
      <c r="AI59" s="159" t="n"/>
      <c r="AJ59" s="159" t="n"/>
      <c r="AK59" s="153" t="n"/>
      <c r="AL59" s="92" t="n"/>
    </row>
    <row r="60" ht="14" customHeight="1" s="139">
      <c r="A60" s="21" t="n"/>
      <c r="B60" s="21" t="n"/>
      <c r="C60" s="21" t="n"/>
      <c r="D60" s="26" t="inlineStr">
        <is>
          <t>**财务未列部分需增列***</t>
        </is>
      </c>
      <c r="E60" s="27" t="n"/>
      <c r="F60" s="27" t="n"/>
      <c r="G60" s="27" t="n"/>
      <c r="H60" s="154" t="n"/>
      <c r="I60" s="154" t="n"/>
      <c r="J60" s="149" t="n"/>
      <c r="K60" s="157" t="n"/>
      <c r="L60" s="160">
        <f>J60-K60</f>
        <v/>
      </c>
      <c r="M60" s="179" t="n"/>
      <c r="N60" s="179" t="n"/>
      <c r="O60" s="154">
        <f>L60-M60</f>
        <v/>
      </c>
      <c r="P60" s="154">
        <f>K60-N60</f>
        <v/>
      </c>
      <c r="Q60" s="154">
        <f>M60+O60</f>
        <v/>
      </c>
      <c r="R60" s="154">
        <f>M60+N60+O60+P60</f>
        <v/>
      </c>
      <c r="S60" s="159">
        <f>SUM(T60:V60)</f>
        <v/>
      </c>
      <c r="T60" s="179" t="n"/>
      <c r="U60" s="179" t="n"/>
      <c r="V60" s="179" t="n"/>
      <c r="W60" s="179" t="n"/>
      <c r="X60" s="179" t="n"/>
      <c r="Y60" s="179" t="n"/>
      <c r="Z60" s="154">
        <f>SUM(AA46:AJ46)</f>
        <v/>
      </c>
      <c r="AA60" s="159" t="n"/>
      <c r="AB60" s="159" t="n"/>
      <c r="AC60" s="159" t="n"/>
      <c r="AD60" s="159" t="n"/>
      <c r="AE60" s="159" t="n"/>
      <c r="AF60" s="159" t="n"/>
      <c r="AG60" s="159" t="n"/>
      <c r="AH60" s="159" t="n"/>
      <c r="AI60" s="159" t="n"/>
      <c r="AJ60" s="159" t="n"/>
      <c r="AK60" s="153" t="n"/>
      <c r="AL60" s="92" t="n"/>
    </row>
    <row r="61" ht="14" customHeight="1" s="139">
      <c r="D61" t="inlineStr">
        <is>
          <t>保险费</t>
        </is>
      </c>
      <c r="M61" t="n">
        <v>432696.64</v>
      </c>
      <c r="N61" t="inlineStr"/>
    </row>
    <row r="62" ht="14" customHeight="1" s="139">
      <c r="D62" t="inlineStr">
        <is>
          <t>其他</t>
        </is>
      </c>
      <c r="M62" t="n">
        <v>1154170.62</v>
      </c>
      <c r="N62" t="inlineStr"/>
    </row>
    <row r="63" ht="14" customHeight="1" s="139">
      <c r="D63" t="inlineStr">
        <is>
          <t>检验试验费</t>
        </is>
      </c>
      <c r="M63" t="n">
        <v>704751.05</v>
      </c>
      <c r="N63" t="inlineStr"/>
    </row>
    <row r="64" ht="14" customHeight="1" s="139">
      <c r="A64" s="42" t="n"/>
      <c r="B64" s="42" t="n"/>
      <c r="C64" s="42" t="n"/>
      <c r="D64" s="40" t="inlineStr">
        <is>
          <t>其他直接费小计：</t>
        </is>
      </c>
      <c r="E64" s="43" t="n"/>
      <c r="F64" s="43" t="n"/>
      <c r="G64" s="43" t="n"/>
      <c r="H64" s="162">
        <f>SUM(H40:H45)</f>
        <v/>
      </c>
      <c r="I64" s="162">
        <f>SUM(I40:I45)</f>
        <v/>
      </c>
      <c r="J64" s="162">
        <f>SUM(J64:J64)</f>
        <v/>
      </c>
      <c r="K64" s="162">
        <f>SUM(K40:K45)</f>
        <v/>
      </c>
      <c r="L64" s="178">
        <f>SUM(L64:L64)</f>
        <v/>
      </c>
      <c r="M64" s="162">
        <f>SUM(M60:M63)</f>
        <v/>
      </c>
      <c r="N64" s="162">
        <f>SUM(N41:N45)</f>
        <v/>
      </c>
      <c r="O64" s="162">
        <f>SUM(O60:O63)</f>
        <v/>
      </c>
      <c r="P64" s="162">
        <f>SUM(P60:P63)</f>
        <v/>
      </c>
      <c r="Q64" s="162">
        <f>SUM(Q60:Q63)</f>
        <v/>
      </c>
      <c r="R64" s="162">
        <f>SUM(R60:R63)</f>
        <v/>
      </c>
      <c r="S64" s="162">
        <f>SUM(S60:S63)</f>
        <v/>
      </c>
      <c r="T64" s="162" t="n"/>
      <c r="U64" s="162" t="n"/>
      <c r="V64" s="162" t="n"/>
      <c r="W64" s="162" t="n"/>
      <c r="X64" s="162" t="n"/>
      <c r="Y64" s="162" t="n"/>
      <c r="Z64" s="162">
        <f>SUM(Z41:Z45)</f>
        <v/>
      </c>
      <c r="AA64" s="162">
        <f>SUM(AA41:AA45)</f>
        <v/>
      </c>
      <c r="AB64" s="162">
        <f>SUM(AB41:AB45)</f>
        <v/>
      </c>
      <c r="AC64" s="162">
        <f>SUM(AC41:AC45)</f>
        <v/>
      </c>
      <c r="AD64" s="162">
        <f>SUM(AD41:AD45)</f>
        <v/>
      </c>
      <c r="AE64" s="162">
        <f>SUM(AE41:AE45)</f>
        <v/>
      </c>
      <c r="AF64" s="162">
        <f>SUM(AF41:AF45)</f>
        <v/>
      </c>
      <c r="AG64" s="162" t="n"/>
      <c r="AH64" s="162" t="n"/>
      <c r="AI64" s="162">
        <f>SUM(AI41:AI45)</f>
        <v/>
      </c>
      <c r="AJ64" s="162">
        <f>SUM(AJ41:AJ45)</f>
        <v/>
      </c>
      <c r="AK64" s="162">
        <f>SUM(AK41:AK45)</f>
        <v/>
      </c>
      <c r="AL64" s="92" t="n"/>
    </row>
    <row r="65" ht="14" customHeight="1" s="139">
      <c r="A65" s="21" t="n"/>
      <c r="B65" s="21" t="n"/>
      <c r="C65" s="21" t="n"/>
      <c r="D65" s="31" t="inlineStr">
        <is>
          <t>（六）间接费</t>
        </is>
      </c>
      <c r="E65" s="27" t="n"/>
      <c r="F65" s="27" t="n"/>
      <c r="G65" s="27" t="n"/>
      <c r="H65" s="149" t="n"/>
      <c r="I65" s="154" t="n"/>
      <c r="J65" s="154" t="n">
        <v>0</v>
      </c>
      <c r="K65" s="157" t="n">
        <v>0</v>
      </c>
      <c r="L65" s="160">
        <f>J65-N65-P65</f>
        <v/>
      </c>
      <c r="M65" s="149" t="n"/>
      <c r="N65" s="149" t="n"/>
      <c r="O65" s="154">
        <f>L65-M65</f>
        <v/>
      </c>
      <c r="P65" s="154">
        <f>K65-N65</f>
        <v/>
      </c>
      <c r="Q65" s="154">
        <f>M65+O65</f>
        <v/>
      </c>
      <c r="R65" s="154">
        <f>M65+N65+O65+P65</f>
        <v/>
      </c>
      <c r="S65" s="159">
        <f>SUM(T65:V65)</f>
        <v/>
      </c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  <c r="AG65" s="159" t="n"/>
      <c r="AH65" s="159" t="n"/>
      <c r="AI65" s="159" t="n"/>
      <c r="AJ65" s="159" t="n"/>
      <c r="AK65" s="153" t="n"/>
      <c r="AL65" s="92" t="n"/>
    </row>
    <row r="66" ht="14" customHeight="1" s="139">
      <c r="A66" s="21" t="n"/>
      <c r="B66" s="21" t="n"/>
      <c r="C66" s="21" t="n"/>
      <c r="D66" s="26" t="inlineStr">
        <is>
          <t>**财务未列部分需增列***</t>
        </is>
      </c>
      <c r="E66" s="27" t="n"/>
      <c r="F66" s="27" t="n"/>
      <c r="G66" s="27" t="n"/>
      <c r="H66" s="179" t="n"/>
      <c r="I66" s="154" t="n"/>
      <c r="J66" s="179" t="n"/>
      <c r="K66" s="157" t="n"/>
      <c r="L66" s="160" t="n"/>
      <c r="M66" s="179" t="n"/>
      <c r="N66" s="154" t="n"/>
      <c r="O66" s="154">
        <f>L66-M66</f>
        <v/>
      </c>
      <c r="P66" s="154">
        <f>K66-N66</f>
        <v/>
      </c>
      <c r="Q66" s="154">
        <f>M66+O66</f>
        <v/>
      </c>
      <c r="R66" s="154">
        <f>M66+N66+O66+P66</f>
        <v/>
      </c>
      <c r="S66" s="159">
        <f>SUM(T66:V66)</f>
        <v/>
      </c>
      <c r="T66" s="179" t="n"/>
      <c r="U66" s="179" t="n"/>
      <c r="V66" s="179" t="n"/>
      <c r="W66" s="179" t="n"/>
      <c r="X66" s="179" t="n"/>
      <c r="Y66" s="179" t="n"/>
      <c r="Z66" s="179" t="n"/>
      <c r="AA66" s="159" t="n"/>
      <c r="AB66" s="153" t="n"/>
      <c r="AC66" s="153" t="n"/>
      <c r="AD66" s="153" t="n"/>
      <c r="AE66" s="153" t="n"/>
      <c r="AF66" s="153" t="n"/>
      <c r="AG66" s="153" t="n"/>
      <c r="AH66" s="153" t="n"/>
      <c r="AI66" s="153" t="n"/>
      <c r="AJ66" s="153" t="n"/>
      <c r="AK66" s="153" t="n"/>
      <c r="AL66" s="93" t="n"/>
    </row>
    <row r="67" ht="14" customHeight="1" s="139">
      <c r="D67" t="inlineStr">
        <is>
          <t>企业年金</t>
        </is>
      </c>
      <c r="M67" t="n">
        <v>17742.24</v>
      </c>
      <c r="N67" t="inlineStr"/>
    </row>
    <row r="68" ht="14" customHeight="1" s="139">
      <c r="D68" t="inlineStr">
        <is>
          <t>住房公积金</t>
        </is>
      </c>
      <c r="M68" t="n">
        <v>354846</v>
      </c>
      <c r="N68" t="inlineStr"/>
    </row>
    <row r="69" ht="14" customHeight="1" s="139">
      <c r="D69" t="inlineStr">
        <is>
          <t>保安保洁费</t>
        </is>
      </c>
      <c r="M69" t="n">
        <v>85380.32000000001</v>
      </c>
      <c r="N69" t="inlineStr"/>
    </row>
    <row r="70" ht="39" customHeight="1" s="139">
      <c r="D70" t="inlineStr">
        <is>
          <t>修理费</t>
        </is>
      </c>
      <c r="M70" t="n">
        <v>45517.86</v>
      </c>
      <c r="N70" t="inlineStr"/>
    </row>
    <row r="71" ht="14" customHeight="1" s="139">
      <c r="D71" t="inlineStr">
        <is>
          <t>其他</t>
        </is>
      </c>
      <c r="M71" t="n">
        <v>35702.91</v>
      </c>
      <c r="N71" t="inlineStr"/>
    </row>
    <row r="72" ht="14" customHeight="1" s="139">
      <c r="D72" t="inlineStr">
        <is>
          <t>冲晒印刷费</t>
        </is>
      </c>
      <c r="M72" t="n">
        <v>141655.44</v>
      </c>
      <c r="N72" t="inlineStr"/>
    </row>
    <row r="73" ht="14" customHeight="1" s="139">
      <c r="D73" t="inlineStr">
        <is>
          <t>办公用品费</t>
        </is>
      </c>
      <c r="M73" t="n">
        <v>342874.91</v>
      </c>
      <c r="N73" t="inlineStr"/>
    </row>
    <row r="74" ht="14" customHeight="1" s="139">
      <c r="D74" t="inlineStr">
        <is>
          <t>医疗保险</t>
        </is>
      </c>
      <c r="M74" t="n">
        <v>239686.83</v>
      </c>
      <c r="N74" t="inlineStr"/>
    </row>
    <row r="75" ht="14" customHeight="1" s="139">
      <c r="D75" t="inlineStr">
        <is>
          <t>基本养老保险</t>
        </is>
      </c>
      <c r="M75" t="n">
        <v>785587.66</v>
      </c>
      <c r="N75" t="inlineStr"/>
    </row>
    <row r="76" ht="14" customHeight="1" s="139">
      <c r="D76" t="inlineStr">
        <is>
          <t>境内差旅费</t>
        </is>
      </c>
      <c r="M76" t="n">
        <v>56605.13</v>
      </c>
      <c r="N76" t="inlineStr"/>
    </row>
    <row r="77" ht="14" customHeight="1" s="139">
      <c r="D77" t="inlineStr">
        <is>
          <t>失业保险</t>
        </is>
      </c>
      <c r="M77" t="n">
        <v>27374.29</v>
      </c>
      <c r="N77" t="inlineStr"/>
    </row>
    <row r="78" ht="14" customHeight="1" s="139">
      <c r="D78" t="inlineStr">
        <is>
          <t>工会经费</t>
        </is>
      </c>
      <c r="M78" t="n">
        <v>68528.91</v>
      </c>
      <c r="N78" t="inlineStr"/>
    </row>
    <row r="79" ht="26" customHeight="1" s="139">
      <c r="D79" t="inlineStr">
        <is>
          <t>工伤保险</t>
        </is>
      </c>
      <c r="M79" t="n">
        <v>41844.32</v>
      </c>
      <c r="N79" t="inlineStr"/>
    </row>
    <row r="80" ht="26" customHeight="1" s="139">
      <c r="D80" t="inlineStr">
        <is>
          <t>工资</t>
        </is>
      </c>
      <c r="M80" t="n">
        <v>6390165.85</v>
      </c>
      <c r="N80" t="inlineStr"/>
    </row>
    <row r="81">
      <c r="D81" t="inlineStr">
        <is>
          <t>市内交通费</t>
        </is>
      </c>
      <c r="M81" t="n">
        <v>249.88</v>
      </c>
      <c r="N81" t="inlineStr"/>
    </row>
    <row r="82">
      <c r="D82" t="inlineStr">
        <is>
          <t>律师费</t>
        </is>
      </c>
      <c r="M82" t="n">
        <v>24056.6</v>
      </c>
      <c r="N82" t="inlineStr"/>
    </row>
    <row r="83">
      <c r="D83" t="inlineStr">
        <is>
          <t>折旧费</t>
        </is>
      </c>
      <c r="M83" t="n">
        <v>8068.7</v>
      </c>
      <c r="N83" t="inlineStr"/>
    </row>
    <row r="84">
      <c r="D84" t="inlineStr">
        <is>
          <t>燃油费</t>
        </is>
      </c>
      <c r="M84" t="n">
        <v>61952.74</v>
      </c>
      <c r="N84" t="inlineStr"/>
    </row>
    <row r="85">
      <c r="D85" t="inlineStr">
        <is>
          <t>物业管理费</t>
        </is>
      </c>
      <c r="M85" t="n">
        <v>399120.24</v>
      </c>
      <c r="N85" t="inlineStr"/>
    </row>
    <row r="86">
      <c r="D86" t="inlineStr">
        <is>
          <t>生育保险</t>
        </is>
      </c>
      <c r="M86" t="n">
        <v>5673.75</v>
      </c>
      <c r="N86" t="inlineStr"/>
    </row>
    <row r="87">
      <c r="D87" t="inlineStr">
        <is>
          <t>社保及公积金</t>
        </is>
      </c>
      <c r="M87" t="n">
        <v>275511.16</v>
      </c>
      <c r="N87" t="inlineStr"/>
    </row>
    <row r="88">
      <c r="D88" t="inlineStr">
        <is>
          <t>租车费</t>
        </is>
      </c>
      <c r="M88" t="n">
        <v>18229.2</v>
      </c>
      <c r="N88" t="inlineStr"/>
    </row>
    <row r="89">
      <c r="D89" t="inlineStr">
        <is>
          <t>维修保养费</t>
        </is>
      </c>
      <c r="M89" t="n">
        <v>16244.86</v>
      </c>
      <c r="N89" t="inlineStr"/>
    </row>
    <row r="90">
      <c r="D90" t="inlineStr">
        <is>
          <t>网络使用费</t>
        </is>
      </c>
      <c r="M90" t="n">
        <v>127503.01</v>
      </c>
      <c r="N90" t="inlineStr"/>
    </row>
    <row r="91">
      <c r="D91" t="inlineStr">
        <is>
          <t>职工教育经费</t>
        </is>
      </c>
      <c r="M91" t="n">
        <v>35002.91</v>
      </c>
      <c r="N91" t="inlineStr"/>
    </row>
    <row r="92">
      <c r="D92" t="inlineStr">
        <is>
          <t>职工福利费</t>
        </is>
      </c>
      <c r="M92" t="n">
        <v>188522.63</v>
      </c>
      <c r="N92" t="inlineStr"/>
    </row>
    <row r="93">
      <c r="D93" t="inlineStr">
        <is>
          <t>补充医疗保险</t>
        </is>
      </c>
      <c r="M93" t="n">
        <v>2802.66</v>
      </c>
      <c r="N93" t="inlineStr"/>
    </row>
    <row r="94">
      <c r="D94" t="inlineStr">
        <is>
          <t>诉讼费</t>
        </is>
      </c>
      <c r="M94" t="n">
        <v>310729.56</v>
      </c>
      <c r="N94" t="inlineStr"/>
    </row>
    <row r="95">
      <c r="D95" t="inlineStr">
        <is>
          <t>路桥及停车费</t>
        </is>
      </c>
      <c r="M95" t="n">
        <v>40569.97</v>
      </c>
      <c r="N95" t="inlineStr"/>
    </row>
    <row r="96">
      <c r="D96" t="inlineStr">
        <is>
          <t>软件费</t>
        </is>
      </c>
      <c r="M96" t="n">
        <v>14454.72</v>
      </c>
      <c r="N96" t="inlineStr"/>
    </row>
    <row r="97">
      <c r="D97" t="inlineStr">
        <is>
          <t>通信费</t>
        </is>
      </c>
      <c r="M97" t="n">
        <v>35361.79</v>
      </c>
      <c r="N97" t="inlineStr"/>
    </row>
    <row r="98">
      <c r="D98" t="inlineStr">
        <is>
          <t>邮寄费</t>
        </is>
      </c>
      <c r="M98" t="n">
        <v>604.72</v>
      </c>
      <c r="N98" t="inlineStr"/>
    </row>
    <row r="99">
      <c r="A99" s="42" t="n"/>
      <c r="B99" s="42" t="n"/>
      <c r="C99" s="42" t="n"/>
      <c r="D99" s="40" t="inlineStr">
        <is>
          <t>间接费小计：</t>
        </is>
      </c>
      <c r="E99" s="43" t="n"/>
      <c r="F99" s="43" t="n"/>
      <c r="G99" s="43" t="n"/>
      <c r="H99" s="162">
        <f>SUM(H48:H60)</f>
        <v/>
      </c>
      <c r="I99" s="162">
        <f>SUM(I48:I60)</f>
        <v/>
      </c>
      <c r="J99" s="162">
        <f>SUM(J99:J99)</f>
        <v/>
      </c>
      <c r="K99" s="162">
        <f>SUM(K48:K60)</f>
        <v/>
      </c>
      <c r="L99" s="178">
        <f>SUM(L99:L99)</f>
        <v/>
      </c>
      <c r="M99" s="178">
        <f>SUM(M66:M98)</f>
        <v/>
      </c>
      <c r="N99" s="178">
        <f>SUM(N48:N60)</f>
        <v/>
      </c>
      <c r="O99" s="178">
        <f>SUM(O66:O98)</f>
        <v/>
      </c>
      <c r="P99" s="178">
        <f>SUM(P66:P98)</f>
        <v/>
      </c>
      <c r="Q99" s="178">
        <f>SUM(Q66:Q98)</f>
        <v/>
      </c>
      <c r="R99" s="178">
        <f>SUM(R66:R98)</f>
        <v/>
      </c>
      <c r="S99" s="178">
        <f>SUM(S66:S98)</f>
        <v/>
      </c>
      <c r="T99" s="178" t="n"/>
      <c r="U99" s="178" t="n"/>
      <c r="V99" s="178" t="n"/>
      <c r="W99" s="178" t="n"/>
      <c r="X99" s="178" t="n"/>
      <c r="Y99" s="178" t="n"/>
      <c r="Z99" s="178">
        <f>SUM(Z48:Z60)</f>
        <v/>
      </c>
      <c r="AA99" s="178">
        <f>SUM(AA48:AA60)</f>
        <v/>
      </c>
      <c r="AB99" s="178">
        <f>SUM(AB48:AB60)</f>
        <v/>
      </c>
      <c r="AC99" s="178">
        <f>SUM(AC48:AC60)</f>
        <v/>
      </c>
      <c r="AD99" s="178">
        <f>SUM(AD48:AD60)</f>
        <v/>
      </c>
      <c r="AE99" s="178">
        <f>SUM(AE48:AE60)</f>
        <v/>
      </c>
      <c r="AF99" s="178">
        <f>SUM(AF48:AF60)</f>
        <v/>
      </c>
      <c r="AG99" s="178" t="n"/>
      <c r="AH99" s="178" t="n"/>
      <c r="AI99" s="178">
        <f>SUM(AI48:AI60)</f>
        <v/>
      </c>
      <c r="AJ99" s="178">
        <f>SUM(AJ48:AJ60)</f>
        <v/>
      </c>
      <c r="AK99" s="178">
        <f>SUM(AK48:AK60)</f>
        <v/>
      </c>
      <c r="AL99" s="93" t="n"/>
    </row>
    <row r="100">
      <c r="A100" s="21" t="n"/>
      <c r="B100" s="21" t="n"/>
      <c r="C100" s="21" t="n"/>
      <c r="D100" s="31" t="inlineStr">
        <is>
          <t>（七）安全费</t>
        </is>
      </c>
      <c r="E100" s="27" t="n"/>
      <c r="F100" s="27" t="n"/>
      <c r="G100" s="27" t="n"/>
      <c r="H100" s="154" t="n"/>
      <c r="I100" s="154" t="n"/>
      <c r="J100" s="149" t="n">
        <v>0</v>
      </c>
      <c r="K100" s="180" t="n"/>
      <c r="L100" s="160">
        <f>J100-N100-P100</f>
        <v/>
      </c>
      <c r="M100" s="154" t="n"/>
      <c r="N100" s="154" t="n"/>
      <c r="O100" s="154">
        <f>L100-M100</f>
        <v/>
      </c>
      <c r="P100" s="154">
        <f>K100-N100</f>
        <v/>
      </c>
      <c r="Q100" s="154">
        <f>M100+O100</f>
        <v/>
      </c>
      <c r="R100" s="154">
        <f>M100+N100+O100+P100</f>
        <v/>
      </c>
      <c r="S100" s="159">
        <f>SUM(T100:V100)</f>
        <v/>
      </c>
      <c r="T100" s="179" t="n"/>
      <c r="U100" s="179" t="n"/>
      <c r="V100" s="179" t="n"/>
      <c r="W100" s="179" t="n"/>
      <c r="X100" s="179" t="n"/>
      <c r="Y100" s="179" t="n"/>
      <c r="Z100" s="177" t="n"/>
      <c r="AA100" s="159" t="n"/>
      <c r="AB100" s="153" t="n"/>
      <c r="AC100" s="153" t="n"/>
      <c r="AD100" s="153" t="n"/>
      <c r="AE100" s="153" t="n"/>
      <c r="AF100" s="153" t="n"/>
      <c r="AG100" s="153" t="n"/>
      <c r="AH100" s="153" t="n"/>
      <c r="AI100" s="153" t="n"/>
      <c r="AJ100" s="153" t="n"/>
      <c r="AK100" s="153" t="n"/>
      <c r="AL100" s="93" t="n"/>
    </row>
    <row r="101">
      <c r="A101" s="165" t="n">
        <v>1</v>
      </c>
      <c r="B101" s="165" t="n"/>
      <c r="C101" s="165" t="n"/>
      <c r="D101" s="181" t="inlineStr">
        <is>
          <t>分包工程支出</t>
        </is>
      </c>
      <c r="E101" s="182" t="n"/>
      <c r="F101" s="182" t="n"/>
      <c r="G101" s="182" t="n"/>
      <c r="H101" s="166" t="n"/>
      <c r="I101" s="166" t="n"/>
      <c r="J101" s="183" t="n"/>
      <c r="K101" s="166" t="n"/>
      <c r="L101" s="168" t="n"/>
      <c r="M101" s="166" t="n">
        <v>7404340.81</v>
      </c>
      <c r="N101" s="166" t="inlineStr"/>
      <c r="O101" s="166" t="n"/>
      <c r="P101" s="166" t="n"/>
      <c r="Q101" s="166" t="n"/>
      <c r="R101" s="166" t="n"/>
      <c r="S101" s="169" t="n"/>
      <c r="T101" s="169" t="n"/>
      <c r="U101" s="169" t="n"/>
      <c r="V101" s="169" t="n"/>
      <c r="W101" s="169" t="n"/>
      <c r="X101" s="169" t="n"/>
    </row>
    <row r="102">
      <c r="A102" s="165" t="n">
        <v>2</v>
      </c>
      <c r="B102" s="165" t="n"/>
      <c r="C102" s="165" t="n"/>
      <c r="D102" s="181" t="inlineStr">
        <is>
          <t>报销</t>
        </is>
      </c>
      <c r="E102" s="182" t="n"/>
      <c r="F102" s="182" t="n"/>
      <c r="G102" s="182" t="n"/>
      <c r="H102" s="166" t="n"/>
      <c r="I102" s="166" t="n"/>
      <c r="J102" s="183" t="n"/>
      <c r="K102" s="166" t="n"/>
      <c r="L102" s="168" t="n"/>
      <c r="M102" s="166" t="n">
        <v>162980</v>
      </c>
      <c r="N102" s="166" t="inlineStr"/>
      <c r="O102" s="166" t="n"/>
      <c r="P102" s="166" t="n"/>
      <c r="Q102" s="166" t="n"/>
      <c r="R102" s="166" t="n"/>
      <c r="S102" s="169" t="n"/>
      <c r="T102" s="169" t="n"/>
      <c r="U102" s="169" t="n"/>
      <c r="V102" s="169" t="n"/>
      <c r="W102" s="169" t="n"/>
      <c r="X102" s="169" t="n"/>
    </row>
    <row r="103">
      <c r="A103" s="165" t="n">
        <v>3</v>
      </c>
      <c r="B103" s="165" t="n"/>
      <c r="C103" s="165" t="n"/>
      <c r="D103" s="181" t="inlineStr">
        <is>
          <t>直接人工费</t>
        </is>
      </c>
      <c r="E103" s="182" t="n"/>
      <c r="F103" s="182" t="n"/>
      <c r="G103" s="182" t="n"/>
      <c r="H103" s="166" t="n"/>
      <c r="I103" s="166" t="n"/>
      <c r="J103" s="183" t="n"/>
      <c r="K103" s="166" t="n"/>
      <c r="L103" s="168" t="n"/>
      <c r="M103" s="166" t="n">
        <v>951309.41</v>
      </c>
      <c r="N103" s="166" t="inlineStr"/>
      <c r="O103" s="166" t="n"/>
      <c r="P103" s="166" t="n"/>
      <c r="Q103" s="166" t="n"/>
      <c r="R103" s="166" t="n"/>
      <c r="S103" s="169" t="n"/>
      <c r="T103" s="169" t="n"/>
      <c r="U103" s="169" t="n"/>
      <c r="V103" s="169" t="n"/>
      <c r="W103" s="169" t="n"/>
      <c r="X103" s="169" t="n"/>
    </row>
    <row r="104">
      <c r="A104" s="42" t="n"/>
      <c r="B104" s="42" t="n"/>
      <c r="C104" s="42" t="n"/>
      <c r="D104" s="40" t="inlineStr">
        <is>
          <t>安全费小计：</t>
        </is>
      </c>
      <c r="E104" s="40" t="n"/>
      <c r="F104" s="40" t="n"/>
      <c r="G104" s="40" t="n"/>
      <c r="H104" s="162">
        <f>SUM(H63)</f>
        <v/>
      </c>
      <c r="I104" s="162">
        <f>SUM(I63)</f>
        <v/>
      </c>
      <c r="J104" s="162" t="n">
        <v>0</v>
      </c>
      <c r="K104" s="162" t="n">
        <v>0</v>
      </c>
      <c r="L104" s="160">
        <f>J104-K104</f>
        <v/>
      </c>
      <c r="M104" s="184">
        <f>SUM(M101:M103)</f>
        <v/>
      </c>
      <c r="N104" s="184" t="n"/>
      <c r="O104" s="178">
        <f>SUM(O101:O103)</f>
        <v/>
      </c>
      <c r="P104" s="178">
        <f>SUM(P101:P103)</f>
        <v/>
      </c>
      <c r="Q104" s="178">
        <f>SUM(Q101:Q103)</f>
        <v/>
      </c>
      <c r="R104" s="178">
        <f>SUM(R101:R103)</f>
        <v/>
      </c>
      <c r="S104" s="178">
        <f>SUM(S101:S103)</f>
        <v/>
      </c>
      <c r="T104" s="184" t="n"/>
      <c r="U104" s="184" t="n"/>
      <c r="V104" s="184" t="n"/>
      <c r="W104" s="184" t="n"/>
      <c r="X104" s="184" t="n"/>
      <c r="Y104" s="184" t="n"/>
      <c r="Z104" s="184" t="n"/>
      <c r="AA104" s="184">
        <f>SUM(AA63)</f>
        <v/>
      </c>
      <c r="AB104" s="184">
        <f>SUM(AB63)</f>
        <v/>
      </c>
      <c r="AC104" s="184">
        <f>SUM(AC63)</f>
        <v/>
      </c>
      <c r="AD104" s="184">
        <f>SUM(AD63)</f>
        <v/>
      </c>
      <c r="AE104" s="184">
        <f>SUM(AE63)</f>
        <v/>
      </c>
      <c r="AF104" s="184">
        <f>SUM(AF63)</f>
        <v/>
      </c>
      <c r="AG104" s="184" t="n"/>
      <c r="AH104" s="184" t="n"/>
      <c r="AI104" s="184">
        <f>SUM(AI63)</f>
        <v/>
      </c>
      <c r="AJ104" s="184">
        <f>SUM(AJ63)</f>
        <v/>
      </c>
      <c r="AK104" s="184">
        <f>SUM(AK63)</f>
        <v/>
      </c>
      <c r="AL104" s="133" t="n"/>
    </row>
    <row r="105">
      <c r="A105" s="42" t="n"/>
      <c r="B105" s="42" t="n"/>
      <c r="C105" s="42" t="n"/>
      <c r="D105" s="40" t="inlineStr">
        <is>
          <t>三、成本合计：</t>
        </is>
      </c>
      <c r="E105" s="43" t="n"/>
      <c r="F105" s="43" t="n"/>
      <c r="G105" s="43" t="n"/>
      <c r="H105" s="162">
        <f>H17+H23+H35+H39+H47+H62+H68</f>
        <v/>
      </c>
      <c r="I105" s="162">
        <f>I17+I23+I35+I39+I47+I62+I68</f>
        <v/>
      </c>
      <c r="J105" s="162">
        <f>J105+J105+J105+J105+J105+J105+J105</f>
        <v/>
      </c>
      <c r="K105" s="162">
        <f>K17+K23+K35+K39+K47+K62+K68</f>
        <v/>
      </c>
      <c r="L105" s="178">
        <f>L105+L105+L105+L105+L105+L105+L105</f>
        <v/>
      </c>
      <c r="M105" s="184">
        <f>M15+M26+M50+M58+M64+M99+M104</f>
        <v/>
      </c>
      <c r="N105" s="184">
        <f>N17+N23+N35+N39+N47+N62+N68</f>
        <v/>
      </c>
      <c r="O105" s="184">
        <f>O15+O26+O50+O58+O64+O99+O104</f>
        <v/>
      </c>
      <c r="P105" s="184">
        <f>P15+P26+P50+P58+P64+P99+P104</f>
        <v/>
      </c>
      <c r="Q105" s="184">
        <f>Q15+Q26+Q50+Q58+Q64+Q99+Q104</f>
        <v/>
      </c>
      <c r="R105" s="184">
        <f>R15+R26+R50+R58+R64+R99+R104</f>
        <v/>
      </c>
      <c r="S105" s="184">
        <f>S15+S26+S50+S58+S64+S99+S104</f>
        <v/>
      </c>
      <c r="T105" s="184" t="n"/>
      <c r="U105" s="184" t="n"/>
      <c r="V105" s="184" t="n"/>
      <c r="W105" s="184" t="n"/>
      <c r="X105" s="184" t="n"/>
      <c r="Y105" s="184" t="n"/>
      <c r="Z105" s="184">
        <f>Z17+Z23+Z35+Z39+Z47+Z62+Z68</f>
        <v/>
      </c>
      <c r="AA105" s="184">
        <f>AA17+AA23+AA35+AA39+AA47+AA62+AA68</f>
        <v/>
      </c>
      <c r="AB105" s="184">
        <f>AB17+AB23+AB35+AB39+AB47+AB62+AB68</f>
        <v/>
      </c>
      <c r="AC105" s="184">
        <f>AC17+AC23+AC35+AC39+AC47+AC62+AC68</f>
        <v/>
      </c>
      <c r="AD105" s="184">
        <f>AD17+AD23+AD35+AD39+AD47+AD62+AD68</f>
        <v/>
      </c>
      <c r="AE105" s="184">
        <f>AE17+AE23+AE35+AE39+AE47+AE62+AE68</f>
        <v/>
      </c>
      <c r="AF105" s="184">
        <f>AF17+AF23+AF35+AF39+AF47+AF62+AF68</f>
        <v/>
      </c>
      <c r="AG105" s="184" t="n"/>
      <c r="AH105" s="184" t="n"/>
      <c r="AI105" s="184">
        <f>AI17+AI23+AI35+AI39+AI47+AI62+AI68</f>
        <v/>
      </c>
      <c r="AJ105" s="184">
        <f>AJ17+AJ23+AJ35+AJ39+AJ47+AJ62+AJ68</f>
        <v/>
      </c>
      <c r="AK105" s="184">
        <f>AK17+AK23+AK35+AK39+AK47+AK62+AK68</f>
        <v/>
      </c>
      <c r="AL105" s="133" t="n"/>
    </row>
    <row r="106">
      <c r="A106" s="42" t="n"/>
      <c r="B106" s="42" t="n"/>
      <c r="C106" s="42" t="n"/>
      <c r="D106" s="40" t="inlineStr">
        <is>
          <t>四、计提保修金</t>
        </is>
      </c>
      <c r="E106" s="43" t="inlineStr">
        <is>
          <t>（在建：房建0.6%，其它0.4%；在保修期间的按0.3~0.5%自行确定;保修期结束为0）</t>
        </is>
      </c>
      <c r="F106" s="43" t="n"/>
      <c r="G106" s="43" t="n"/>
      <c r="H106" s="162" t="n"/>
      <c r="I106" s="162" t="n"/>
      <c r="J106" s="162">
        <f>H106+I106</f>
        <v/>
      </c>
      <c r="K106" s="162" t="n"/>
      <c r="L106" s="178">
        <f>J106-K106</f>
        <v/>
      </c>
      <c r="M106" s="184" t="n"/>
      <c r="N106" s="184" t="n"/>
      <c r="O106" s="184">
        <f>L106-M106</f>
        <v/>
      </c>
      <c r="P106" s="184">
        <f>K106-N106</f>
        <v/>
      </c>
      <c r="Q106" s="184">
        <f>M106+O106</f>
        <v/>
      </c>
      <c r="R106" s="184">
        <f>M106+N106+O106+P106</f>
        <v/>
      </c>
      <c r="S106" s="184">
        <f>SUM(T106:V106)</f>
        <v/>
      </c>
      <c r="T106" s="159" t="n"/>
      <c r="U106" s="159" t="n"/>
      <c r="V106" s="159" t="n"/>
      <c r="W106" s="159" t="n"/>
      <c r="X106" s="159" t="n"/>
      <c r="Y106" s="159" t="n"/>
      <c r="Z106" s="159" t="n"/>
      <c r="AA106" s="159">
        <f>Q70-S70</f>
        <v/>
      </c>
      <c r="AB106" s="185" t="n"/>
      <c r="AC106" s="185" t="n"/>
      <c r="AD106" s="185" t="n"/>
      <c r="AE106" s="185" t="n"/>
      <c r="AF106" s="185" t="n"/>
      <c r="AG106" s="185" t="n"/>
      <c r="AH106" s="185" t="n"/>
      <c r="AI106" s="185" t="n"/>
      <c r="AJ106" s="185" t="n"/>
      <c r="AK106" s="153" t="n"/>
      <c r="AL106" s="133" t="n"/>
    </row>
    <row r="107">
      <c r="A107" s="42" t="n"/>
      <c r="B107" s="42" t="n"/>
      <c r="C107" s="42" t="n"/>
      <c r="D107" s="40" t="inlineStr">
        <is>
          <t>五、过程节点奖金</t>
        </is>
      </c>
      <c r="E107" s="43" t="n"/>
      <c r="F107" s="43" t="n"/>
      <c r="G107" s="43" t="n"/>
      <c r="H107" s="162" t="n"/>
      <c r="I107" s="162" t="n"/>
      <c r="J107" s="162">
        <f>H107+I107</f>
        <v/>
      </c>
      <c r="K107" s="162" t="n"/>
      <c r="L107" s="178">
        <f>J107-K107</f>
        <v/>
      </c>
      <c r="M107" s="184" t="n"/>
      <c r="N107" s="184" t="n"/>
      <c r="O107" s="184">
        <f>L107-M107</f>
        <v/>
      </c>
      <c r="P107" s="184">
        <f>K107-N107</f>
        <v/>
      </c>
      <c r="Q107" s="184">
        <f>M107+O107</f>
        <v/>
      </c>
      <c r="R107" s="184">
        <f>M107+N107+O107+P107</f>
        <v/>
      </c>
      <c r="S107" s="184">
        <f>SUM(T107:V107)</f>
        <v/>
      </c>
      <c r="T107" s="159" t="n"/>
      <c r="U107" s="159" t="n"/>
      <c r="V107" s="159" t="n"/>
      <c r="W107" s="159" t="n"/>
      <c r="X107" s="159" t="n"/>
      <c r="Y107" s="159" t="n"/>
      <c r="Z107" s="159" t="n"/>
      <c r="AA107" s="159" t="n"/>
      <c r="AB107" s="153" t="n"/>
      <c r="AC107" s="153" t="n"/>
      <c r="AD107" s="153" t="n"/>
      <c r="AE107" s="153" t="n"/>
      <c r="AF107" s="153" t="n"/>
      <c r="AG107" s="153" t="n"/>
      <c r="AH107" s="153" t="n"/>
      <c r="AI107" s="153" t="n"/>
      <c r="AJ107" s="153" t="n"/>
      <c r="AK107" s="153" t="n"/>
      <c r="AL107" s="93" t="n"/>
    </row>
    <row r="108">
      <c r="A108" s="42" t="n"/>
      <c r="B108" s="42" t="n"/>
      <c r="C108" s="42" t="n"/>
      <c r="D108" s="40" t="inlineStr">
        <is>
          <t>六、资金占用费用</t>
        </is>
      </c>
      <c r="E108" s="43" t="n"/>
      <c r="F108" s="43" t="n"/>
      <c r="G108" s="43" t="n"/>
      <c r="H108" s="162" t="n"/>
      <c r="I108" s="162" t="n"/>
      <c r="J108" s="162">
        <f>H108+I108</f>
        <v/>
      </c>
      <c r="K108" s="162" t="n"/>
      <c r="L108" s="178">
        <f>J108-K108</f>
        <v/>
      </c>
      <c r="M108" s="186" t="n">
        <v>762837.87</v>
      </c>
      <c r="N108" s="184" t="n"/>
      <c r="O108" s="184">
        <f>L108-M108</f>
        <v/>
      </c>
      <c r="P108" s="184">
        <f>K108-N108</f>
        <v/>
      </c>
      <c r="Q108" s="184">
        <f>M108+O108</f>
        <v/>
      </c>
      <c r="R108" s="184">
        <f>M108+N108+O108+P108</f>
        <v/>
      </c>
      <c r="S108" s="184">
        <f>SUM(T108:V108)</f>
        <v/>
      </c>
      <c r="T108" s="159" t="n"/>
      <c r="U108" s="159" t="n"/>
      <c r="V108" s="159" t="n"/>
      <c r="W108" s="159" t="n"/>
      <c r="X108" s="159" t="n"/>
      <c r="Y108" s="159" t="n"/>
      <c r="Z108" s="159" t="n"/>
      <c r="AA108" s="159" t="n"/>
      <c r="AB108" s="153" t="n"/>
      <c r="AC108" s="153" t="n"/>
      <c r="AD108" s="153" t="n"/>
      <c r="AE108" s="153" t="n"/>
      <c r="AF108" s="153" t="n"/>
      <c r="AG108" s="153" t="n"/>
      <c r="AH108" s="153" t="n"/>
      <c r="AI108" s="153" t="n"/>
      <c r="AJ108" s="153" t="n"/>
      <c r="AK108" s="153" t="n"/>
      <c r="AL108" s="93" t="n"/>
    </row>
    <row r="109">
      <c r="A109" s="42" t="n"/>
      <c r="B109" s="42" t="n"/>
      <c r="C109" s="42" t="n"/>
      <c r="D109" s="40" t="inlineStr">
        <is>
          <t>七、局投资收益（局投资项目选填）</t>
        </is>
      </c>
      <c r="E109" s="43" t="n"/>
      <c r="F109" s="43" t="n"/>
      <c r="G109" s="43" t="n"/>
      <c r="H109" s="162" t="n"/>
      <c r="I109" s="162" t="n"/>
      <c r="J109" s="162">
        <f>H109+I109</f>
        <v/>
      </c>
      <c r="K109" s="162" t="n"/>
      <c r="L109" s="178">
        <f>J109-K109</f>
        <v/>
      </c>
      <c r="M109" s="184" t="n"/>
      <c r="N109" s="184" t="n"/>
      <c r="O109" s="184">
        <f>L109-M109</f>
        <v/>
      </c>
      <c r="P109" s="184">
        <f>K109-N109</f>
        <v/>
      </c>
      <c r="Q109" s="184">
        <f>M109+O109</f>
        <v/>
      </c>
      <c r="R109" s="184">
        <f>M109+N109+O109+P109</f>
        <v/>
      </c>
      <c r="S109" s="184">
        <f>SUM(T109:V109)</f>
        <v/>
      </c>
      <c r="T109" s="159" t="n"/>
      <c r="U109" s="159" t="n"/>
      <c r="V109" s="159" t="n"/>
      <c r="W109" s="159" t="n"/>
      <c r="X109" s="159" t="n"/>
      <c r="Y109" s="159" t="n"/>
      <c r="Z109" s="159" t="n"/>
      <c r="AA109" s="159" t="n"/>
      <c r="AB109" s="153" t="n"/>
      <c r="AC109" s="153" t="n"/>
      <c r="AD109" s="153" t="n"/>
      <c r="AE109" s="153" t="n"/>
      <c r="AF109" s="153" t="n"/>
      <c r="AG109" s="153" t="n"/>
      <c r="AH109" s="153" t="n"/>
      <c r="AI109" s="153" t="n"/>
      <c r="AJ109" s="153" t="n"/>
      <c r="AK109" s="153" t="n"/>
      <c r="AL109" s="93" t="n"/>
    </row>
    <row r="110">
      <c r="A110" s="42" t="n"/>
      <c r="B110" s="42" t="n"/>
      <c r="C110" s="42" t="n"/>
      <c r="D110" s="40" t="inlineStr">
        <is>
          <t>八、研发费用</t>
        </is>
      </c>
      <c r="E110" s="43" t="n"/>
      <c r="F110" s="43" t="n"/>
      <c r="G110" s="43" t="n"/>
      <c r="H110" s="162" t="n"/>
      <c r="I110" s="162" t="n"/>
      <c r="J110" s="162">
        <f>H110+I110</f>
        <v/>
      </c>
      <c r="K110" s="162" t="n"/>
      <c r="L110" s="178">
        <f>J110-K110</f>
        <v/>
      </c>
      <c r="M110" s="184">
        <f>SUM(M75:M77)</f>
        <v/>
      </c>
      <c r="N110" s="184">
        <f>SUM(N75:N77)</f>
        <v/>
      </c>
      <c r="O110" s="184">
        <f>SUM(O110:O110)</f>
        <v/>
      </c>
      <c r="P110" s="184">
        <f>SUM(P110:P110)</f>
        <v/>
      </c>
      <c r="Q110" s="184">
        <f>SUM(Q110:Q110)</f>
        <v/>
      </c>
      <c r="R110" s="184">
        <f>SUM(R110:R110)</f>
        <v/>
      </c>
      <c r="S110" s="184">
        <f>SUM(S110:S110)</f>
        <v/>
      </c>
      <c r="T110" s="184">
        <f>SUM(T75:T77)</f>
        <v/>
      </c>
      <c r="U110" s="184">
        <f>SUM(U75:U77)</f>
        <v/>
      </c>
      <c r="V110" s="184">
        <f>SUM(V75:V77)</f>
        <v/>
      </c>
      <c r="W110" s="184">
        <f>SUM(W75:W77)</f>
        <v/>
      </c>
      <c r="X110" s="184">
        <f>SUM(X75:X77)</f>
        <v/>
      </c>
      <c r="Y110" s="184">
        <f>SUM(Y75:Y77)</f>
        <v/>
      </c>
      <c r="Z110" s="184">
        <f>SUM(Z75:Z77)</f>
        <v/>
      </c>
      <c r="AA110" s="184">
        <f>SUM(AA75:AA77)</f>
        <v/>
      </c>
      <c r="AB110" s="184">
        <f>SUM(AB75:AB77)</f>
        <v/>
      </c>
      <c r="AC110" s="184">
        <f>SUM(AC75:AC77)</f>
        <v/>
      </c>
      <c r="AD110" s="184">
        <f>SUM(AD75:AD77)</f>
        <v/>
      </c>
      <c r="AE110" s="184">
        <f>SUM(AE75:AE77)</f>
        <v/>
      </c>
      <c r="AF110" s="184">
        <f>SUM(AF75:AF77)</f>
        <v/>
      </c>
      <c r="AG110" s="184">
        <f>SUM(AG75:AG77)</f>
        <v/>
      </c>
      <c r="AH110" s="184">
        <f>SUM(AH75:AH77)</f>
        <v/>
      </c>
      <c r="AI110" s="184">
        <f>SUM(AI75:AI77)</f>
        <v/>
      </c>
      <c r="AJ110" s="184">
        <f>SUM(AJ75:AJ77)</f>
        <v/>
      </c>
      <c r="AK110" s="184">
        <f>SUM(AK75:AK77)</f>
        <v/>
      </c>
      <c r="AL110" s="133" t="n"/>
    </row>
    <row r="111">
      <c r="A111" s="165" t="n">
        <v>1</v>
      </c>
      <c r="B111" s="165" t="n"/>
      <c r="C111" s="165" t="n"/>
      <c r="D111" s="181" t="inlineStr">
        <is>
          <t>材料费</t>
        </is>
      </c>
      <c r="E111" s="182" t="n"/>
      <c r="F111" s="182" t="n"/>
      <c r="G111" s="182" t="n"/>
      <c r="H111" s="183" t="n"/>
      <c r="I111" s="183" t="n"/>
      <c r="J111" s="183" t="n"/>
      <c r="K111" s="183" t="n"/>
      <c r="L111" s="183" t="n"/>
      <c r="M111" s="183" t="n">
        <v>3926272.64</v>
      </c>
      <c r="N111" s="183" t="inlineStr"/>
      <c r="O111" s="183" t="n"/>
      <c r="P111" s="183" t="n"/>
      <c r="Q111" s="183" t="n"/>
      <c r="R111" s="183" t="n"/>
      <c r="S111" s="183" t="n"/>
      <c r="T111" s="183" t="n"/>
      <c r="U111" s="183" t="n"/>
      <c r="V111" s="183" t="n"/>
      <c r="W111" s="183" t="n"/>
      <c r="X111" s="183" t="n"/>
    </row>
    <row r="112">
      <c r="A112" s="28" t="n">
        <v>2</v>
      </c>
      <c r="B112" s="28" t="n"/>
      <c r="C112" s="28" t="n"/>
      <c r="D112" s="40" t="inlineStr">
        <is>
          <t>八、成本及费用合计（三+四+五+六+七）</t>
        </is>
      </c>
      <c r="E112" s="41" t="n"/>
      <c r="F112" s="41" t="n"/>
      <c r="G112" s="41" t="n"/>
      <c r="H112" s="162">
        <f>H69+H70+H71+H72+#REF!</f>
        <v/>
      </c>
      <c r="I112" s="162">
        <f>I69+I70+I71+I72+#REF!</f>
        <v/>
      </c>
      <c r="J112" s="109">
        <f>J112+J112+J112+J112+#REF!</f>
        <v/>
      </c>
      <c r="K112" s="162">
        <f>K69+K70+K71+K72+#REF!</f>
        <v/>
      </c>
      <c r="L112" s="110">
        <f>L112+L112+L112+L112+#REF!</f>
        <v/>
      </c>
      <c r="M112" s="187">
        <f>M105+M106+M107+M108+M109</f>
        <v/>
      </c>
      <c r="N112" s="187">
        <f>N69+N70+N71+N72</f>
        <v/>
      </c>
      <c r="O112" s="187">
        <f>O105+O106+O107+O108+O109</f>
        <v/>
      </c>
      <c r="P112" s="187">
        <f>P105+P106+P107+P108+P109</f>
        <v/>
      </c>
      <c r="Q112" s="187">
        <f>Q105+Q106+Q107+Q108+Q109</f>
        <v/>
      </c>
      <c r="R112" s="187">
        <f>R105+R106+R107+R108+R109</f>
        <v/>
      </c>
      <c r="S112" s="184">
        <f>S105+S106+S107+S108+S109</f>
        <v/>
      </c>
      <c r="T112" s="184" t="n"/>
      <c r="U112" s="184" t="n"/>
      <c r="V112" s="184" t="n"/>
      <c r="W112" s="184" t="n"/>
      <c r="X112" s="184" t="n"/>
      <c r="Y112" s="184" t="n"/>
      <c r="Z112" s="184">
        <f>Z69+Z70+Z71+Z72</f>
        <v/>
      </c>
      <c r="AA112" s="184">
        <f>AA69+AA70+AA71+AA72</f>
        <v/>
      </c>
      <c r="AB112" s="188" t="n"/>
      <c r="AC112" s="188" t="n"/>
      <c r="AD112" s="188" t="n"/>
      <c r="AE112" s="188" t="n"/>
      <c r="AF112" s="188" t="n"/>
      <c r="AG112" s="188" t="n"/>
      <c r="AH112" s="188" t="n"/>
      <c r="AI112" s="188" t="n"/>
      <c r="AJ112" s="188" t="n"/>
      <c r="AK112" s="189" t="n"/>
      <c r="AL112" s="135" t="n"/>
    </row>
    <row r="113">
      <c r="A113" s="28" t="n"/>
      <c r="B113" s="28" t="n"/>
      <c r="C113" s="28" t="n"/>
      <c r="D113" s="40" t="inlineStr">
        <is>
          <t>九、增值税实际税负（按财务数据）</t>
        </is>
      </c>
      <c r="E113" s="41" t="inlineStr">
        <is>
          <t>根据财务账面实际已缴纳增值税额+尚需缴纳的增值税额</t>
        </is>
      </c>
      <c r="F113" s="41" t="n"/>
      <c r="G113" s="41" t="n"/>
      <c r="H113" s="162" t="n"/>
      <c r="I113" s="162" t="n"/>
      <c r="J113" s="109">
        <f>H113+I113</f>
        <v/>
      </c>
      <c r="K113" s="162" t="inlineStr">
        <is>
          <t>/</t>
        </is>
      </c>
      <c r="L113" s="110" t="inlineStr">
        <is>
          <t>/</t>
        </is>
      </c>
      <c r="M113" s="187" t="n"/>
      <c r="N113" s="187">
        <f>N6-N78</f>
        <v/>
      </c>
      <c r="O113" s="187" t="n"/>
      <c r="P113" s="187" t="n"/>
      <c r="Q113" s="187" t="inlineStr">
        <is>
          <t>/</t>
        </is>
      </c>
      <c r="R113" s="187">
        <f>N113+P113</f>
        <v/>
      </c>
      <c r="S113" s="184" t="n"/>
      <c r="T113" s="184" t="n"/>
      <c r="U113" s="184" t="n"/>
      <c r="V113" s="184" t="n"/>
      <c r="W113" s="184" t="n"/>
      <c r="X113" s="184" t="n"/>
      <c r="Y113" s="184" t="n"/>
      <c r="Z113" s="184" t="n"/>
      <c r="AA113" s="184" t="n"/>
      <c r="AB113" s="188" t="n"/>
      <c r="AC113" s="188" t="n"/>
      <c r="AD113" s="188" t="n"/>
      <c r="AE113" s="188" t="n"/>
      <c r="AF113" s="188" t="n"/>
      <c r="AG113" s="188" t="n"/>
      <c r="AH113" s="188" t="n"/>
      <c r="AI113" s="188" t="n"/>
      <c r="AJ113" s="188" t="n"/>
      <c r="AK113" s="189" t="n"/>
      <c r="AL113" s="135" t="n"/>
    </row>
    <row r="114">
      <c r="A114" s="28" t="n">
        <v>3</v>
      </c>
      <c r="B114" s="28" t="n"/>
      <c r="C114" s="28" t="n"/>
      <c r="D114" s="40" t="inlineStr">
        <is>
          <t>十、税金及附加（按财务数据）</t>
        </is>
      </c>
      <c r="E114" s="41" t="inlineStr">
        <is>
          <t>根据财务账面实际已缴纳税金及附加+尚需缴纳的税金及附加</t>
        </is>
      </c>
      <c r="F114" s="41" t="n"/>
      <c r="G114" s="41" t="n"/>
      <c r="H114" s="162" t="n"/>
      <c r="I114" s="162" t="n"/>
      <c r="J114" s="109">
        <f>H114+I114</f>
        <v/>
      </c>
      <c r="K114" s="162" t="n"/>
      <c r="L114" s="110">
        <f>J114</f>
        <v/>
      </c>
      <c r="M114" s="190" t="n">
        <v>260389.37</v>
      </c>
      <c r="N114" s="187" t="n"/>
      <c r="O114" s="187">
        <f>L114-M114</f>
        <v/>
      </c>
      <c r="P114" s="187" t="n"/>
      <c r="Q114" s="187">
        <f>M114+O114</f>
        <v/>
      </c>
      <c r="R114" s="187">
        <f>Q114</f>
        <v/>
      </c>
      <c r="S114" s="184" t="n"/>
      <c r="T114" s="184" t="n"/>
      <c r="U114" s="184" t="n"/>
      <c r="V114" s="184" t="n"/>
      <c r="W114" s="184" t="n"/>
      <c r="X114" s="184" t="n"/>
      <c r="Y114" s="184" t="n"/>
      <c r="Z114" s="184" t="n"/>
      <c r="AA114" s="184" t="n"/>
      <c r="AB114" s="188" t="n"/>
      <c r="AC114" s="188" t="n"/>
      <c r="AD114" s="188" t="n"/>
      <c r="AE114" s="188" t="n"/>
      <c r="AF114" s="188" t="n"/>
      <c r="AG114" s="188" t="n"/>
      <c r="AH114" s="188" t="n"/>
      <c r="AI114" s="188" t="n"/>
      <c r="AJ114" s="188" t="n"/>
      <c r="AK114" s="189" t="n"/>
      <c r="AL114" s="135" t="n"/>
    </row>
    <row r="115">
      <c r="A115" s="28" t="n"/>
      <c r="B115" s="28" t="n"/>
      <c r="C115" s="28" t="n"/>
      <c r="D115" s="40" t="inlineStr">
        <is>
          <t>十一、利润</t>
        </is>
      </c>
      <c r="E115" s="41" t="n"/>
      <c r="F115" s="41" t="n"/>
      <c r="G115" s="41" t="n"/>
      <c r="H115" s="162" t="n"/>
      <c r="I115" s="162" t="n"/>
      <c r="J115" s="109">
        <f>J115-J115-J115-J115</f>
        <v/>
      </c>
      <c r="K115" s="162" t="n"/>
      <c r="L115" s="110" t="n"/>
      <c r="M115" s="187" t="n"/>
      <c r="N115" s="187" t="n"/>
      <c r="O115" s="187" t="n"/>
      <c r="P115" s="187" t="n"/>
      <c r="Q115" s="187" t="n"/>
      <c r="R115" s="187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8" t="n"/>
      <c r="AC115" s="188" t="n"/>
      <c r="AD115" s="188" t="n"/>
      <c r="AE115" s="188" t="n"/>
      <c r="AF115" s="188" t="n"/>
      <c r="AG115" s="188" t="n"/>
      <c r="AH115" s="188" t="n"/>
      <c r="AI115" s="188" t="n"/>
      <c r="AJ115" s="188" t="n"/>
      <c r="AK115" s="189" t="n"/>
      <c r="AL115" s="135" t="n"/>
    </row>
    <row r="116">
      <c r="A116" s="28" t="n">
        <v>4</v>
      </c>
      <c r="B116" s="28" t="n"/>
      <c r="C116" s="28" t="n"/>
      <c r="D116" s="40" t="inlineStr">
        <is>
          <t>十二、利润率</t>
        </is>
      </c>
      <c r="E116" s="41" t="n"/>
      <c r="F116" s="41" t="n"/>
      <c r="G116" s="41" t="n"/>
      <c r="H116" s="162" t="n"/>
      <c r="I116" s="162" t="n"/>
      <c r="J116" s="109">
        <f>J116/J116</f>
        <v/>
      </c>
      <c r="K116" s="162" t="n"/>
      <c r="L116" s="110">
        <f>L116/L116</f>
        <v/>
      </c>
      <c r="M116" s="187">
        <f>M81/M6</f>
        <v/>
      </c>
      <c r="N116" s="187" t="n"/>
      <c r="O116" s="187" t="n"/>
      <c r="P116" s="187" t="n"/>
      <c r="Q116" s="187">
        <f>Q116/Q116</f>
        <v/>
      </c>
      <c r="R116" s="187">
        <f>R116/R116</f>
        <v/>
      </c>
      <c r="S116" s="184" t="n"/>
      <c r="T116" s="184" t="n"/>
      <c r="U116" s="184" t="n"/>
      <c r="V116" s="184" t="n"/>
      <c r="W116" s="184" t="n"/>
      <c r="X116" s="184" t="n"/>
      <c r="Y116" s="184" t="n"/>
      <c r="Z116" s="184" t="n"/>
      <c r="AA116" s="184" t="n"/>
      <c r="AB116" s="188" t="n"/>
      <c r="AC116" s="188" t="n"/>
      <c r="AD116" s="188" t="n"/>
      <c r="AE116" s="188" t="n"/>
      <c r="AF116" s="188" t="n"/>
      <c r="AG116" s="188" t="n"/>
      <c r="AH116" s="188" t="n"/>
      <c r="AI116" s="188" t="n"/>
      <c r="AJ116" s="188" t="n"/>
      <c r="AK116" s="189" t="n"/>
      <c r="AL116" s="13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2026-04-19T03:59:03Z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