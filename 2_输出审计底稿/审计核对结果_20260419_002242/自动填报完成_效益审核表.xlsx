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8" authorId="1" shapeId="0">
      <text>
        <t xml:space="preserve">**同财务账面合同履约成本/工程施工成本/机械租赁费数据一致**
</t>
      </text>
    </comment>
    <comment ref="M64" authorId="0" shapeId="0">
      <text>
        <t>于:
**同财务账面合同履约成本/工程施工成本其他直接费数据一致**</t>
      </text>
    </comment>
    <comment ref="M102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2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inlineStr"/>
      <c r="D6" s="5" t="inlineStr"/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/>
      <c r="C13" s="148" t="n"/>
      <c r="D13" s="148" t="inlineStr">
        <is>
          <t>FGD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1277824.57</v>
      </c>
      <c r="N13" s="147" t="n"/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7" t="n"/>
      <c r="T13" s="147" t="n"/>
      <c r="U13" s="147" t="n"/>
      <c r="V13" s="147" t="n"/>
    </row>
    <row r="14" ht="14" customHeight="1" s="115">
      <c r="A14" s="147" t="n">
        <v>2</v>
      </c>
      <c r="B14" s="147" t="inlineStr">
        <is>
          <t>20316418</t>
        </is>
      </c>
      <c r="C14" s="148" t="n"/>
      <c r="D14" s="148" t="inlineStr">
        <is>
          <t>姚建霞-封存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75440</v>
      </c>
      <c r="N14" s="147" t="n"/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inlineStr">
        <is>
          <t>100224730</t>
        </is>
      </c>
      <c r="C15" s="148" t="n"/>
      <c r="D15" s="148" t="inlineStr">
        <is>
          <t>广州市万有达建筑工程有限公司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39139848.98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inlineStr">
        <is>
          <t>20432690</t>
        </is>
      </c>
      <c r="C16" s="148" t="n"/>
      <c r="D16" s="148" t="inlineStr">
        <is>
          <t>朱新伟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59500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inlineStr">
        <is>
          <t>20222132</t>
        </is>
      </c>
      <c r="C17" s="148" t="n"/>
      <c r="D17" s="148" t="inlineStr">
        <is>
          <t>汤燕英-封存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71338.33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inlineStr">
        <is>
          <t>200421551</t>
        </is>
      </c>
      <c r="C18" s="148" t="n"/>
      <c r="D18" s="148" t="inlineStr">
        <is>
          <t>湖南阳旭建筑劳务服务有限公司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149405.03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inlineStr">
        <is>
          <t>20450032</t>
        </is>
      </c>
      <c r="C19" s="148" t="n"/>
      <c r="D19" s="148" t="inlineStr">
        <is>
          <t>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74013.34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n"/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7542836.89</v>
      </c>
      <c r="N23" s="147" t="n"/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7" t="n"/>
      <c r="T23" s="147" t="n"/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n"/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1429064.55</v>
      </c>
      <c r="N24" s="147" t="n"/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7" t="n"/>
      <c r="T24" s="147" t="n"/>
      <c r="U24" s="147" t="n"/>
      <c r="V24" s="147" t="n"/>
    </row>
    <row r="25" ht="14" customHeight="1" s="115">
      <c r="A25" s="147" t="n">
        <v>3</v>
      </c>
      <c r="B25" s="147" t="n"/>
      <c r="C25" s="148" t="n"/>
      <c r="D25" s="148" t="inlineStr">
        <is>
          <t>无客商-计提汤村复1地块安全生产费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-5809818.35</v>
      </c>
      <c r="N25" s="147" t="n"/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7" t="n"/>
      <c r="T25" s="147" t="n"/>
      <c r="U25" s="147" t="n"/>
      <c r="V25" s="147" t="n"/>
    </row>
    <row r="26" ht="14" customHeight="1" s="115">
      <c r="A26" s="147" t="n">
        <v>4</v>
      </c>
      <c r="B26" s="147" t="n"/>
      <c r="C26" s="148" t="n"/>
      <c r="D26" s="148" t="inlineStr">
        <is>
          <t>无客商-计提汤村汤村复1地块安全生产费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0</v>
      </c>
      <c r="N26" s="147" t="n"/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7" t="n"/>
      <c r="T26" s="147" t="n"/>
      <c r="U26" s="147" t="n"/>
      <c r="V26" s="147" t="n"/>
    </row>
    <row r="27" ht="14" customHeight="1" s="115">
      <c r="A27" s="147" t="n">
        <v>5</v>
      </c>
      <c r="B27" s="147" t="inlineStr">
        <is>
          <t>100089001</t>
        </is>
      </c>
      <c r="C27" s="148" t="n"/>
      <c r="D27" s="148" t="inlineStr">
        <is>
          <t>正工模块化建筑科技（深圳）有限公司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1322968.79</v>
      </c>
      <c r="N27" s="147" t="n"/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7" t="n"/>
      <c r="T27" s="147" t="n"/>
      <c r="U27" s="147" t="n"/>
      <c r="V27" s="147" t="n"/>
    </row>
    <row r="28" ht="14" customHeight="1" s="115">
      <c r="A28" s="147" t="n">
        <v>6</v>
      </c>
      <c r="B28" s="147" t="inlineStr">
        <is>
          <t>100089014</t>
        </is>
      </c>
      <c r="C28" s="148" t="n"/>
      <c r="D28" s="148" t="inlineStr">
        <is>
          <t>江西志特新材料股份有限公司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6462444.78</v>
      </c>
      <c r="N28" s="147" t="n"/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7" t="n"/>
      <c r="T28" s="147" t="n"/>
      <c r="U28" s="147" t="n"/>
      <c r="V28" s="147" t="n"/>
    </row>
    <row r="29" ht="14" customHeight="1" s="115">
      <c r="A29" s="147" t="n">
        <v>7</v>
      </c>
      <c r="B29" s="147" t="inlineStr">
        <is>
          <t>100095072</t>
        </is>
      </c>
      <c r="C29" s="148" t="n"/>
      <c r="D29" s="148" t="inlineStr">
        <is>
          <t>深圳市华西安装工程有限公司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16033034.52</v>
      </c>
      <c r="N29" s="147" t="n"/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7" t="n"/>
      <c r="T29" s="147" t="n"/>
      <c r="U29" s="147" t="n"/>
      <c r="V29" s="147" t="n"/>
    </row>
    <row r="30" ht="14" customHeight="1" s="115">
      <c r="A30" s="147" t="n">
        <v>8</v>
      </c>
      <c r="B30" s="147" t="inlineStr">
        <is>
          <t>100010344</t>
        </is>
      </c>
      <c r="C30" s="148" t="n"/>
      <c r="D30" s="148" t="inlineStr">
        <is>
          <t>湖北省隆兴防水材料有限责任公司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3141650.02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inlineStr">
        <is>
          <t>200421551</t>
        </is>
      </c>
      <c r="C31" s="148" t="n"/>
      <c r="D31" s="148" t="inlineStr">
        <is>
          <t>湖南阳旭建筑劳务服务有限公司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39456446.11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n"/>
      <c r="C40" s="148" t="n"/>
      <c r="D40" s="148" t="inlineStr">
        <is>
          <t>其他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-127.2</v>
      </c>
      <c r="N40" s="147" t="n"/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7" t="n"/>
      <c r="T40" s="147" t="n"/>
      <c r="U40" s="147" t="n"/>
      <c r="V40" s="147" t="n"/>
    </row>
    <row r="41" ht="14" customHeight="1" s="115">
      <c r="A41" s="147" t="n">
        <v>2</v>
      </c>
      <c r="B41" s="147" t="n"/>
      <c r="C41" s="148" t="n"/>
      <c r="D41" s="148" t="inlineStr">
        <is>
          <t>废旧物资处置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-465452.87</v>
      </c>
      <c r="N41" s="147" t="n"/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7" t="n"/>
      <c r="T41" s="147" t="n"/>
      <c r="U41" s="147" t="n"/>
      <c r="V41" s="147" t="n"/>
    </row>
    <row r="42" ht="14" customHeight="1" s="115">
      <c r="A42" s="147" t="n">
        <v>3</v>
      </c>
      <c r="B42" s="147" t="n"/>
      <c r="C42" s="148" t="n"/>
      <c r="D42" s="148" t="inlineStr">
        <is>
          <t>研发支出-材料费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-3926272.64</v>
      </c>
      <c r="N42" s="147" t="n"/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7" t="n"/>
      <c r="T42" s="147" t="n"/>
      <c r="U42" s="147" t="n"/>
      <c r="V42" s="147" t="n"/>
    </row>
    <row r="43" ht="14" customHeight="1" s="115">
      <c r="A43" s="147" t="n"/>
      <c r="B43" s="147" t="n"/>
      <c r="C43" s="148" t="n"/>
      <c r="D43" s="148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116122516.76</v>
      </c>
      <c r="N43" s="147" t="n"/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9" t="n">
        <v>1</v>
      </c>
      <c r="B44" s="19" t="n"/>
      <c r="C44" s="19" t="n"/>
      <c r="D44" s="155" t="n"/>
      <c r="E44" s="153" t="n"/>
      <c r="F44" s="153" t="n"/>
      <c r="G44" s="153" t="n"/>
      <c r="H44" s="139" t="n"/>
      <c r="I44" s="139" t="n"/>
      <c r="J44" s="139" t="n"/>
      <c r="K44" s="144" t="n"/>
      <c r="L44" s="150" t="n"/>
      <c r="M44" s="139" t="n"/>
      <c r="N44" s="139" t="n"/>
      <c r="O44" s="139">
        <f>L30-M30</f>
        <v/>
      </c>
      <c r="P44" s="139">
        <f>K30-N30</f>
        <v/>
      </c>
      <c r="Q44" s="139">
        <f>M30+O30</f>
        <v/>
      </c>
      <c r="R44" s="139">
        <f>M30+N30+O30+P30</f>
        <v/>
      </c>
      <c r="S44" s="146" t="n"/>
      <c r="T44" s="146" t="n"/>
      <c r="U44" s="146" t="n"/>
      <c r="V44" s="146" t="n"/>
      <c r="W44" s="146" t="n"/>
      <c r="X44" s="146" t="n"/>
      <c r="Y44" s="146" t="n"/>
      <c r="Z44" s="139">
        <f>SUM(AA30:AJ30)</f>
        <v/>
      </c>
      <c r="AA44" s="146" t="n"/>
      <c r="AB44" s="154" t="n"/>
      <c r="AC44" s="154" t="n"/>
      <c r="AD44" s="154" t="n"/>
      <c r="AE44" s="154" t="n"/>
      <c r="AF44" s="154" t="n"/>
      <c r="AG44" s="154" t="n"/>
      <c r="AH44" s="154" t="n"/>
      <c r="AI44" s="154" t="n"/>
      <c r="AJ44" s="154" t="n"/>
      <c r="AK44" s="140">
        <f>AB30/1.17*0.17+AC30/1.16*0.16+AD30/1.11*0.11+AE30/1.1*0.1+AF30/1.09*0.09+AI30/1.03*0.03</f>
        <v/>
      </c>
      <c r="AL44" s="78" t="n"/>
    </row>
    <row r="45" ht="14" customHeight="1" s="115">
      <c r="A45" s="19" t="n">
        <v>2</v>
      </c>
      <c r="B45" s="19" t="n"/>
      <c r="C45" s="19" t="n"/>
      <c r="D45" s="29" t="inlineStr">
        <is>
          <t>材料库存（注：项目已结算未使用材料冲减项目成本，负数填报）</t>
        </is>
      </c>
      <c r="E45" s="153" t="n"/>
      <c r="F45" s="153" t="n"/>
      <c r="G45" s="153" t="n"/>
      <c r="H45" s="139" t="n"/>
      <c r="I45" s="139" t="n"/>
      <c r="J45" s="139" t="n"/>
      <c r="K45" s="144" t="n"/>
      <c r="L45" s="150" t="n"/>
      <c r="M45" s="139" t="n"/>
      <c r="N45" s="57" t="n"/>
      <c r="O45" s="139">
        <f>L31-M31</f>
        <v/>
      </c>
      <c r="P45" s="139">
        <f>K31-N31</f>
        <v/>
      </c>
      <c r="Q45" s="139">
        <f>M31+O31</f>
        <v/>
      </c>
      <c r="R45" s="139">
        <f>M31+N31+O31+P31</f>
        <v/>
      </c>
      <c r="S45" s="146" t="n"/>
      <c r="T45" s="146" t="n"/>
      <c r="U45" s="146" t="n"/>
      <c r="V45" s="146" t="n"/>
      <c r="W45" s="146" t="n"/>
      <c r="X45" s="146" t="n"/>
      <c r="Y45" s="146" t="n"/>
      <c r="Z45" s="139">
        <f>SUM(AA31:AJ31)</f>
        <v/>
      </c>
      <c r="AA45" s="146" t="n"/>
      <c r="AB45" s="154" t="n"/>
      <c r="AC45" s="154" t="n"/>
      <c r="AD45" s="154" t="n"/>
      <c r="AE45" s="154" t="n"/>
      <c r="AF45" s="154" t="n"/>
      <c r="AG45" s="154" t="n"/>
      <c r="AH45" s="154" t="n"/>
      <c r="AI45" s="154" t="n"/>
      <c r="AJ45" s="154" t="n"/>
      <c r="AK45" s="140">
        <f>AB31/1.17*0.17+AC31/1.16*0.16+AD31/1.11*0.11+AE31/1.1*0.1+AF31/1.09*0.09+AI31/1.03*0.03</f>
        <v/>
      </c>
      <c r="AL45" s="78" t="n"/>
    </row>
    <row r="46" ht="14" customHeight="1" s="115">
      <c r="A46" s="19" t="n">
        <v>4</v>
      </c>
      <c r="B46" s="19" t="n"/>
      <c r="C46" s="19" t="n"/>
      <c r="D46" s="29" t="inlineStr">
        <is>
          <t>材料调入</t>
        </is>
      </c>
      <c r="E46" s="19" t="n"/>
      <c r="F46" s="19" t="n"/>
      <c r="G46" s="19" t="n"/>
      <c r="H46" s="139" t="n"/>
      <c r="I46" s="139" t="n"/>
      <c r="J46" s="139" t="n"/>
      <c r="K46" s="144" t="n"/>
      <c r="L46" s="150" t="n"/>
      <c r="M46" s="156" t="n">
        <v>34020317.08</v>
      </c>
      <c r="N46" s="139" t="n"/>
      <c r="O46" s="139">
        <f>L32-M32</f>
        <v/>
      </c>
      <c r="P46" s="139">
        <f>K32-N32</f>
        <v/>
      </c>
      <c r="Q46" s="139">
        <f>M32+O32</f>
        <v/>
      </c>
      <c r="R46" s="139">
        <f>M32+N32+O32+P32</f>
        <v/>
      </c>
      <c r="S46" s="146" t="n"/>
      <c r="T46" s="146" t="n"/>
      <c r="U46" s="146" t="n"/>
      <c r="V46" s="146" t="n"/>
      <c r="W46" s="146" t="n"/>
      <c r="X46" s="146" t="n"/>
      <c r="Y46" s="146" t="n"/>
      <c r="Z46" s="139">
        <f>SUM(AA32:AJ32)</f>
        <v/>
      </c>
      <c r="AA46" s="146" t="n"/>
      <c r="AB46" s="154" t="n"/>
      <c r="AC46" s="154" t="n"/>
      <c r="AD46" s="154" t="n"/>
      <c r="AE46" s="154" t="n"/>
      <c r="AF46" s="154" t="n"/>
      <c r="AG46" s="154" t="n"/>
      <c r="AH46" s="154" t="n"/>
      <c r="AI46" s="154" t="n"/>
      <c r="AJ46" s="154" t="n"/>
      <c r="AK46" s="140">
        <f>AB32/1.17*0.17+AC32/1.16*0.16+AD32/1.11*0.11+AE32/1.1*0.1+AF32/1.09*0.09+AI32/1.03*0.03</f>
        <v/>
      </c>
      <c r="AL46" s="78" t="n"/>
    </row>
    <row r="47" ht="14" customHeight="1" s="115">
      <c r="A47" s="19" t="n">
        <v>5</v>
      </c>
      <c r="B47" s="19" t="n"/>
      <c r="C47" s="19" t="n"/>
      <c r="D47" s="29" t="inlineStr">
        <is>
          <t>材料调出（注：负数填报）</t>
        </is>
      </c>
      <c r="E47" s="33" t="n"/>
      <c r="F47" s="33" t="n"/>
      <c r="G47" s="33" t="n"/>
      <c r="H47" s="157" t="n"/>
      <c r="I47" s="157" t="n"/>
      <c r="J47" s="139" t="n"/>
      <c r="K47" s="144" t="n"/>
      <c r="L47" s="150" t="n"/>
      <c r="M47" s="158" t="n">
        <v>-8241729.17</v>
      </c>
      <c r="N47" s="157" t="n"/>
      <c r="O47" s="139">
        <f>L33-M33</f>
        <v/>
      </c>
      <c r="P47" s="139">
        <f>K33-N33</f>
        <v/>
      </c>
      <c r="Q47" s="139">
        <f>M33+O33</f>
        <v/>
      </c>
      <c r="R47" s="139">
        <f>M33+N33+O33+P33</f>
        <v/>
      </c>
      <c r="S47" s="157" t="n"/>
      <c r="T47" s="157" t="n"/>
      <c r="U47" s="157" t="n"/>
      <c r="V47" s="157" t="n"/>
      <c r="W47" s="157" t="n"/>
      <c r="X47" s="157" t="n"/>
      <c r="Y47" s="157" t="n"/>
      <c r="Z47" s="139">
        <f>SUM(AA33:AJ33)</f>
        <v/>
      </c>
      <c r="AA47" s="157" t="n"/>
      <c r="AB47" s="159" t="n"/>
      <c r="AC47" s="159" t="n"/>
      <c r="AD47" s="159" t="n"/>
      <c r="AE47" s="159" t="n"/>
      <c r="AF47" s="159" t="n"/>
      <c r="AG47" s="159" t="n"/>
      <c r="AH47" s="159" t="n"/>
      <c r="AI47" s="159" t="n"/>
      <c r="AJ47" s="159" t="n"/>
      <c r="AK47" s="140">
        <f>AB33/1.17*0.17+AC33/1.16*0.16+AD33/1.11*0.11+AE33/1.1*0.1+AF33/1.09*0.09+AI33/1.03*0.03</f>
        <v/>
      </c>
      <c r="AL47" s="79" t="n"/>
    </row>
    <row r="48" ht="14" customHeight="1" s="115">
      <c r="A48" s="19" t="n"/>
      <c r="B48" s="19" t="n"/>
      <c r="C48" s="19" t="n"/>
      <c r="D48" s="24" t="inlineStr">
        <is>
          <t>**财务未列部分需增列***</t>
        </is>
      </c>
      <c r="E48" s="153" t="n"/>
      <c r="F48" s="153" t="n"/>
      <c r="G48" s="153" t="n"/>
      <c r="H48" s="139" t="n">
        <v>0</v>
      </c>
      <c r="I48" s="139" t="n"/>
      <c r="J48" s="139" t="n"/>
      <c r="K48" s="144" t="n"/>
      <c r="L48" s="150" t="n"/>
      <c r="M48" s="139" t="n"/>
      <c r="N48" s="139" t="n"/>
      <c r="O48" s="139">
        <f>L48-M48</f>
        <v/>
      </c>
      <c r="P48" s="139">
        <f>K48-N48</f>
        <v/>
      </c>
      <c r="Q48" s="139">
        <f>M48+O48</f>
        <v/>
      </c>
      <c r="R48" s="139">
        <f>M48+N48+O48+P48</f>
        <v/>
      </c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40">
        <f>AB34/1.17*0.17+AC34/1.16*0.16+AD34/1.11*0.11+AE34/1.1*0.1+AF34/1.09*0.09+AI34/1.03*0.03</f>
        <v/>
      </c>
      <c r="AL48" s="78" t="n"/>
    </row>
    <row r="49" ht="14" customHeight="1" s="115">
      <c r="A49" s="26" t="n"/>
      <c r="B49" s="26" t="n"/>
      <c r="C49" s="26" t="n"/>
      <c r="D49" s="27" t="inlineStr">
        <is>
          <t>材料费小计：</t>
        </is>
      </c>
      <c r="E49" s="152">
        <f>SUM(E34:E48)</f>
        <v/>
      </c>
      <c r="F49" s="152">
        <f>SUM(F34:F48)</f>
        <v/>
      </c>
      <c r="G49" s="152">
        <f>SUM(G34:G48)</f>
        <v/>
      </c>
      <c r="H49" s="152">
        <f>SUM(H34:H48)</f>
        <v/>
      </c>
      <c r="I49" s="152">
        <f>SUM(I34:I48)</f>
        <v/>
      </c>
      <c r="J49" s="152">
        <f>SUM(J34:J48)</f>
        <v/>
      </c>
      <c r="K49" s="152">
        <f>SUM(K34:K48)</f>
        <v/>
      </c>
      <c r="L49" s="152">
        <f>SUM(L34:L48)</f>
        <v/>
      </c>
      <c r="M49" s="152">
        <f>SUM(M34:M48)</f>
        <v/>
      </c>
      <c r="N49" s="152">
        <f>SUM(N34:N48)</f>
        <v/>
      </c>
      <c r="O49" s="152">
        <f>SUM(O34:O48)</f>
        <v/>
      </c>
      <c r="P49" s="152">
        <f>SUM(P34:P48)</f>
        <v/>
      </c>
      <c r="Q49" s="152">
        <f>SUM(Q34:Q48)</f>
        <v/>
      </c>
      <c r="R49" s="152">
        <f>SUM(R34:R48)</f>
        <v/>
      </c>
      <c r="S49" s="152">
        <f>SUM(S34:S48)</f>
        <v/>
      </c>
      <c r="T49" s="152">
        <f>SUM(T34:T48)</f>
        <v/>
      </c>
      <c r="U49" s="152">
        <f>SUM(U34:U48)</f>
        <v/>
      </c>
      <c r="V49" s="152">
        <f>SUM(V34:V48)</f>
        <v/>
      </c>
      <c r="W49" s="152">
        <f>SUM(W34:W48)</f>
        <v/>
      </c>
      <c r="X49" s="152">
        <f>SUM(X34:X48)</f>
        <v/>
      </c>
      <c r="Y49" s="152">
        <f>SUM(Y34:Y48)</f>
        <v/>
      </c>
      <c r="Z49" s="152">
        <f>SUM(Z34:Z48)</f>
        <v/>
      </c>
      <c r="AA49" s="152">
        <f>SUM(AA34:AA48)</f>
        <v/>
      </c>
      <c r="AB49" s="152">
        <f>SUM(AB34:AB48)</f>
        <v/>
      </c>
      <c r="AC49" s="152">
        <f>SUM(AC34:AC48)</f>
        <v/>
      </c>
      <c r="AD49" s="152">
        <f>SUM(AD34:AD48)</f>
        <v/>
      </c>
      <c r="AE49" s="152">
        <f>SUM(AE34:AE48)</f>
        <v/>
      </c>
      <c r="AF49" s="152">
        <f>SUM(AF34:AF48)</f>
        <v/>
      </c>
      <c r="AG49" s="152">
        <f>SUM(AG34:AG48)</f>
        <v/>
      </c>
      <c r="AH49" s="152">
        <f>SUM(AH34:AH48)</f>
        <v/>
      </c>
      <c r="AI49" s="152">
        <f>SUM(AI34:AI48)</f>
        <v/>
      </c>
      <c r="AJ49" s="152">
        <f>SUM(AJ34:AJ48)</f>
        <v/>
      </c>
      <c r="AK49" s="152">
        <f>SUM(AK34:AK48)</f>
        <v/>
      </c>
      <c r="AL49" s="76" t="n"/>
    </row>
    <row r="50" ht="14" customHeight="1" s="115">
      <c r="A50" s="19" t="n"/>
      <c r="B50" s="19" t="n"/>
      <c r="C50" s="19" t="n"/>
      <c r="D50" s="29" t="inlineStr">
        <is>
          <t>(四）机械租赁费</t>
        </is>
      </c>
      <c r="E50" s="25" t="n"/>
      <c r="F50" s="25" t="n"/>
      <c r="G50" s="25" t="n"/>
      <c r="H50" s="139" t="n"/>
      <c r="I50" s="139" t="n"/>
      <c r="J50" s="139" t="n"/>
      <c r="K50" s="144" t="n">
        <v>0</v>
      </c>
      <c r="L50" s="150">
        <f>J36-K36</f>
        <v/>
      </c>
      <c r="M50" s="134" t="n"/>
      <c r="N50" s="134" t="n"/>
      <c r="O50" s="139">
        <f>L36-M36</f>
        <v/>
      </c>
      <c r="P50" s="139">
        <f>K36-N36</f>
        <v/>
      </c>
      <c r="Q50" s="139">
        <f>M36+O36</f>
        <v/>
      </c>
      <c r="R50" s="139">
        <f>M36+N36+O36+P36</f>
        <v/>
      </c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0">
        <f>AB36/1.17*0.17+AC36/1.16*0.16+AD36/1.11*0.11+AE36/1.1*0.1+AF36/1.09*0.09+AI36/1.03*0.03</f>
        <v/>
      </c>
      <c r="AL50" s="76" t="n"/>
    </row>
    <row r="51" ht="14" customHeight="1" s="115">
      <c r="A51" s="19" t="n"/>
      <c r="B51" s="19" t="n"/>
      <c r="C51" s="19" t="n"/>
      <c r="D51" s="35" t="n"/>
      <c r="E51" s="36" t="n"/>
      <c r="F51" s="36" t="n"/>
      <c r="G51" s="36" t="n"/>
      <c r="H51" s="139" t="n"/>
      <c r="I51" s="139" t="n"/>
      <c r="J51" s="139">
        <f>H37+I37</f>
        <v/>
      </c>
      <c r="K51" s="144" t="n">
        <v>0</v>
      </c>
      <c r="L51" s="150">
        <f>J37-K37</f>
        <v/>
      </c>
      <c r="M51" s="139" t="n"/>
      <c r="N51" s="139" t="n"/>
      <c r="O51" s="139">
        <f>L37-M37</f>
        <v/>
      </c>
      <c r="P51" s="139">
        <f>K37-N37</f>
        <v/>
      </c>
      <c r="Q51" s="139">
        <f>M37+O37</f>
        <v/>
      </c>
      <c r="R51" s="139">
        <f>M37+N37+O37+P37</f>
        <v/>
      </c>
      <c r="S51" s="146" t="n"/>
      <c r="T51" s="146" t="n"/>
      <c r="U51" s="146" t="n"/>
      <c r="V51" s="146" t="n"/>
      <c r="W51" s="146" t="n"/>
      <c r="X51" s="146" t="n"/>
      <c r="Y51" s="146" t="n"/>
      <c r="Z51" s="139">
        <f>SUM(AA37:AJ37)</f>
        <v/>
      </c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0">
        <f>AB37/1.17*0.17+AC37/1.16*0.16+AD37/1.11*0.11+AE37/1.1*0.1+AF37/1.09*0.09+AI37/1.03*0.03</f>
        <v/>
      </c>
      <c r="AL51" s="76" t="n"/>
    </row>
    <row r="52" ht="14" customHeight="1" s="115">
      <c r="A52" s="147" t="n">
        <v>1</v>
      </c>
      <c r="B52" s="147" t="inlineStr">
        <is>
          <t>200489973</t>
        </is>
      </c>
      <c r="C52" s="148" t="n"/>
      <c r="D52" s="148" t="inlineStr">
        <is>
          <t>佛山市南海鼎赞机械设备有限公司</t>
        </is>
      </c>
      <c r="E52" s="147" t="n"/>
      <c r="F52" s="147" t="n"/>
      <c r="G52" s="147" t="n"/>
      <c r="H52" s="147" t="n"/>
      <c r="I52" s="147" t="n"/>
      <c r="J52" s="147">
        <f>H52+I52</f>
        <v/>
      </c>
      <c r="K52" s="147" t="n"/>
      <c r="L52" s="147">
        <f>J52-K52</f>
        <v/>
      </c>
      <c r="M52" s="149" t="n">
        <v>3140750.01</v>
      </c>
      <c r="N52" s="147" t="n"/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7" t="n"/>
      <c r="T52" s="147" t="n"/>
      <c r="U52" s="147" t="n"/>
      <c r="V52" s="147" t="n"/>
    </row>
    <row r="53" ht="14" customHeight="1" s="115">
      <c r="A53" s="147" t="n">
        <v>2</v>
      </c>
      <c r="B53" s="147" t="inlineStr">
        <is>
          <t>200428777</t>
        </is>
      </c>
      <c r="C53" s="148" t="n"/>
      <c r="D53" s="148" t="inlineStr">
        <is>
          <t>广东君晖建筑工程有限公司</t>
        </is>
      </c>
      <c r="E53" s="147" t="n"/>
      <c r="F53" s="147" t="n"/>
      <c r="G53" s="147" t="n"/>
      <c r="H53" s="147" t="n"/>
      <c r="I53" s="147" t="n"/>
      <c r="J53" s="147">
        <f>H53+I53</f>
        <v/>
      </c>
      <c r="K53" s="147" t="n"/>
      <c r="L53" s="147">
        <f>J53-K53</f>
        <v/>
      </c>
      <c r="M53" s="149" t="n">
        <v>394403.33</v>
      </c>
      <c r="N53" s="147" t="n"/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7" t="n"/>
      <c r="T53" s="147" t="n"/>
      <c r="U53" s="147" t="n"/>
      <c r="V53" s="147" t="n"/>
    </row>
    <row r="54" ht="14" customHeight="1" s="115">
      <c r="A54" s="147" t="n">
        <v>3</v>
      </c>
      <c r="B54" s="147" t="inlineStr">
        <is>
          <t>200353812</t>
        </is>
      </c>
      <c r="C54" s="148" t="n"/>
      <c r="D54" s="148" t="inlineStr">
        <is>
          <t>广州小老虎建筑机械租赁有限公司</t>
        </is>
      </c>
      <c r="E54" s="147" t="n"/>
      <c r="F54" s="147" t="n"/>
      <c r="G54" s="147" t="n"/>
      <c r="H54" s="147" t="n"/>
      <c r="I54" s="147" t="n"/>
      <c r="J54" s="147">
        <f>H54+I54</f>
        <v/>
      </c>
      <c r="K54" s="147" t="n"/>
      <c r="L54" s="147">
        <f>J54-K54</f>
        <v/>
      </c>
      <c r="M54" s="149" t="n">
        <v>8322775.17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4</v>
      </c>
      <c r="B55" s="147" t="inlineStr">
        <is>
          <t>100217539</t>
        </is>
      </c>
      <c r="C55" s="148" t="n"/>
      <c r="D55" s="148" t="inlineStr">
        <is>
          <t>广州易达运输有限公司</t>
        </is>
      </c>
      <c r="E55" s="147" t="n"/>
      <c r="F55" s="147" t="n"/>
      <c r="G55" s="147" t="n"/>
      <c r="H55" s="147" t="n"/>
      <c r="I55" s="147" t="n"/>
      <c r="J55" s="147">
        <f>H55+I55</f>
        <v/>
      </c>
      <c r="K55" s="147" t="n"/>
      <c r="L55" s="147">
        <f>J55-K55</f>
        <v/>
      </c>
      <c r="M55" s="149" t="n">
        <v>58915.4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5</v>
      </c>
      <c r="B56" s="147" t="inlineStr">
        <is>
          <t>200372422</t>
        </is>
      </c>
      <c r="C56" s="148" t="n"/>
      <c r="D56" s="148" t="inlineStr">
        <is>
          <t>深圳市鑫俊辉机械设备有限公司</t>
        </is>
      </c>
      <c r="E56" s="147" t="n"/>
      <c r="F56" s="147" t="n"/>
      <c r="G56" s="147" t="n"/>
      <c r="H56" s="147" t="n"/>
      <c r="I56" s="147" t="n"/>
      <c r="J56" s="147">
        <f>H56+I56</f>
        <v/>
      </c>
      <c r="K56" s="147" t="n"/>
      <c r="L56" s="147">
        <f>J56-K56</f>
        <v/>
      </c>
      <c r="M56" s="149" t="n">
        <v>260430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/>
      <c r="B57" s="19" t="n"/>
      <c r="C57" s="19" t="n"/>
      <c r="D57" s="24" t="inlineStr">
        <is>
          <t>**财务未列部分需增列***</t>
        </is>
      </c>
      <c r="E57" s="37" t="n"/>
      <c r="F57" s="37" t="n"/>
      <c r="G57" s="37" t="n"/>
      <c r="H57" s="139" t="n"/>
      <c r="I57" s="139" t="n"/>
      <c r="J57" s="139" t="n"/>
      <c r="K57" s="144" t="n">
        <v>0</v>
      </c>
      <c r="L57" s="150">
        <f>J38-K38</f>
        <v/>
      </c>
      <c r="M57" s="160" t="n"/>
      <c r="N57" s="160" t="n"/>
      <c r="O57" s="139">
        <f>L57-M57</f>
        <v/>
      </c>
      <c r="P57" s="139">
        <f>K57-N57</f>
        <v/>
      </c>
      <c r="Q57" s="139">
        <f>M57+O57</f>
        <v/>
      </c>
      <c r="R57" s="139">
        <f>M57+N57+O57+P57</f>
        <v/>
      </c>
      <c r="S57" s="160" t="n"/>
      <c r="T57" s="160" t="n"/>
      <c r="U57" s="160" t="n"/>
      <c r="V57" s="160" t="n"/>
      <c r="W57" s="160" t="n"/>
      <c r="X57" s="160" t="n"/>
      <c r="Y57" s="160" t="n"/>
      <c r="Z57" s="160" t="n"/>
      <c r="AA57" s="146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  <c r="AK57" s="140">
        <f>AB38/1.17*0.17+AC38/1.16*0.16+AD38/1.11*0.11+AE38/1.1*0.1+AF38/1.09*0.09+AI38/1.03*0.03</f>
        <v/>
      </c>
      <c r="AL57" s="77" t="n"/>
    </row>
    <row r="58" ht="14" customHeight="1" s="115">
      <c r="A58" s="26" t="n"/>
      <c r="B58" s="26" t="n"/>
      <c r="C58" s="26" t="n"/>
      <c r="D58" s="38" t="inlineStr">
        <is>
          <t>机械费小计：</t>
        </is>
      </c>
      <c r="E58" s="18" t="n"/>
      <c r="F58" s="18" t="n"/>
      <c r="G58" s="18" t="n"/>
      <c r="H58" s="152">
        <f>SUM(H50:H57)</f>
        <v/>
      </c>
      <c r="I58" s="152">
        <f>SUM(I50:I57)</f>
        <v/>
      </c>
      <c r="J58" s="152">
        <f>SUM(J50:J57)</f>
        <v/>
      </c>
      <c r="K58" s="152">
        <f>SUM(K50:K57)</f>
        <v/>
      </c>
      <c r="L58" s="161">
        <f>SUM(L50:L57)</f>
        <v/>
      </c>
      <c r="M58" s="152">
        <f>SUM(M50:M57)</f>
        <v/>
      </c>
      <c r="N58" s="152">
        <f>SUM(N50:N57)</f>
        <v/>
      </c>
      <c r="O58" s="152">
        <f>SUM(O50:O57)</f>
        <v/>
      </c>
      <c r="P58" s="152">
        <f>SUM(P50:P57)</f>
        <v/>
      </c>
      <c r="Q58" s="152">
        <f>SUM(Q50:Q57)</f>
        <v/>
      </c>
      <c r="R58" s="152">
        <f>SUM(R50:R57)</f>
        <v/>
      </c>
      <c r="S58" s="152">
        <f>SUM(S50:S57)</f>
        <v/>
      </c>
      <c r="T58" s="152" t="n"/>
      <c r="U58" s="152" t="n"/>
      <c r="V58" s="152" t="n"/>
      <c r="W58" s="152" t="n"/>
      <c r="X58" s="152" t="n"/>
      <c r="Y58" s="152" t="n"/>
      <c r="Z58" s="152">
        <f>SUM(Z50:Z57)</f>
        <v/>
      </c>
      <c r="AA58" s="152">
        <f>SUM(AA50:AA57)</f>
        <v/>
      </c>
      <c r="AB58" s="152" t="n"/>
      <c r="AC58" s="152" t="n"/>
      <c r="AD58" s="152" t="n"/>
      <c r="AE58" s="152" t="n"/>
      <c r="AF58" s="152" t="n"/>
      <c r="AG58" s="152" t="n"/>
      <c r="AH58" s="152" t="n"/>
      <c r="AI58" s="152" t="n"/>
      <c r="AJ58" s="152" t="n"/>
      <c r="AK58" s="152" t="n"/>
      <c r="AL58" s="76" t="n"/>
    </row>
    <row r="59" ht="14" customHeight="1" s="115">
      <c r="A59" s="19" t="n"/>
      <c r="B59" s="19" t="n"/>
      <c r="C59" s="19" t="n"/>
      <c r="D59" s="29" t="inlineStr">
        <is>
          <t>（五）其他直接费</t>
        </is>
      </c>
      <c r="E59" s="25" t="n"/>
      <c r="F59" s="25" t="n"/>
      <c r="G59" s="25" t="n"/>
      <c r="H59" s="139" t="n"/>
      <c r="I59" s="139" t="n"/>
      <c r="J59" s="134" t="n">
        <v>0</v>
      </c>
      <c r="K59" s="144" t="n">
        <v>0</v>
      </c>
      <c r="L59" s="150">
        <f>J40-N40-P40</f>
        <v/>
      </c>
      <c r="M59" s="134" t="n"/>
      <c r="N59" s="134" t="n"/>
      <c r="O59" s="139">
        <f>L40-M40</f>
        <v/>
      </c>
      <c r="P59" s="139">
        <f>K40-N40</f>
        <v/>
      </c>
      <c r="Q59" s="139">
        <f>M40+O40</f>
        <v/>
      </c>
      <c r="R59" s="139">
        <f>M40+N40+O40+P40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146" t="n"/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0" t="n"/>
      <c r="AL59" s="76" t="n"/>
    </row>
    <row r="60" ht="14" customHeight="1" s="115">
      <c r="A60" s="147" t="n"/>
      <c r="B60" s="147" t="n"/>
      <c r="C60" s="148" t="n"/>
      <c r="D60" s="148" t="inlineStr">
        <is>
          <t>保险费</t>
        </is>
      </c>
      <c r="E60" s="147" t="n"/>
      <c r="F60" s="147" t="n"/>
      <c r="G60" s="147" t="n"/>
      <c r="H60" s="147" t="n"/>
      <c r="I60" s="147" t="n"/>
      <c r="J60" s="147">
        <f>H60+I60</f>
        <v/>
      </c>
      <c r="K60" s="147" t="n"/>
      <c r="L60" s="147">
        <f>J60-K60</f>
        <v/>
      </c>
      <c r="M60" s="149" t="n">
        <v>432696.64</v>
      </c>
      <c r="N60" s="147" t="n"/>
      <c r="O60" s="147">
        <f>L60-M60</f>
        <v/>
      </c>
      <c r="P60" s="147">
        <f>K60-N60</f>
        <v/>
      </c>
      <c r="Q60" s="147">
        <f>M60+O60</f>
        <v/>
      </c>
      <c r="R60" s="147">
        <f>M60+N60+O60+P60</f>
        <v/>
      </c>
      <c r="S60" s="147" t="n"/>
      <c r="T60" s="147" t="n"/>
      <c r="U60" s="147" t="n"/>
      <c r="V60" s="147" t="n"/>
    </row>
    <row r="61" ht="14" customHeight="1" s="115">
      <c r="A61" s="147" t="n"/>
      <c r="B61" s="147" t="n"/>
      <c r="C61" s="148" t="n"/>
      <c r="D61" s="148" t="inlineStr">
        <is>
          <t>其他</t>
        </is>
      </c>
      <c r="E61" s="147" t="n"/>
      <c r="F61" s="147" t="n"/>
      <c r="G61" s="147" t="n"/>
      <c r="H61" s="147" t="n"/>
      <c r="I61" s="147" t="n"/>
      <c r="J61" s="147">
        <f>H61+I61</f>
        <v/>
      </c>
      <c r="K61" s="147" t="n"/>
      <c r="L61" s="147">
        <f>J61-K61</f>
        <v/>
      </c>
      <c r="M61" s="149" t="n">
        <v>1154170.62</v>
      </c>
      <c r="N61" s="147" t="n"/>
      <c r="O61" s="147">
        <f>L61-M61</f>
        <v/>
      </c>
      <c r="P61" s="147">
        <f>K61-N61</f>
        <v/>
      </c>
      <c r="Q61" s="147">
        <f>M61+O61</f>
        <v/>
      </c>
      <c r="R61" s="147">
        <f>M61+N61+O61+P61</f>
        <v/>
      </c>
      <c r="S61" s="147" t="n"/>
      <c r="T61" s="147" t="n"/>
      <c r="U61" s="147" t="n"/>
      <c r="V61" s="147" t="n"/>
    </row>
    <row r="62" ht="14" customHeight="1" s="115">
      <c r="A62" s="147" t="n"/>
      <c r="B62" s="147" t="n"/>
      <c r="C62" s="148" t="n"/>
      <c r="D62" s="148" t="inlineStr">
        <is>
          <t>检验试验费</t>
        </is>
      </c>
      <c r="E62" s="147" t="n"/>
      <c r="F62" s="147" t="n"/>
      <c r="G62" s="147" t="n"/>
      <c r="H62" s="147" t="n"/>
      <c r="I62" s="147" t="n"/>
      <c r="J62" s="147">
        <f>H62+I62</f>
        <v/>
      </c>
      <c r="K62" s="147" t="n"/>
      <c r="L62" s="147">
        <f>J62-K62</f>
        <v/>
      </c>
      <c r="M62" s="149" t="n">
        <v>704751.05</v>
      </c>
      <c r="N62" s="147" t="n"/>
      <c r="O62" s="147">
        <f>L62-M62</f>
        <v/>
      </c>
      <c r="P62" s="147">
        <f>K62-N62</f>
        <v/>
      </c>
      <c r="Q62" s="147">
        <f>M62+O62</f>
        <v/>
      </c>
      <c r="R62" s="147">
        <f>M62+N62+O62+P62</f>
        <v/>
      </c>
      <c r="S62" s="147" t="n"/>
      <c r="T62" s="147" t="n"/>
      <c r="U62" s="147" t="n"/>
      <c r="V62" s="147" t="n"/>
    </row>
    <row r="63" ht="14" customHeight="1" s="115">
      <c r="A63" s="19" t="n"/>
      <c r="B63" s="19" t="n"/>
      <c r="C63" s="19" t="n"/>
      <c r="D63" s="24" t="inlineStr">
        <is>
          <t>**财务未列部分需增列***</t>
        </is>
      </c>
      <c r="E63" s="25" t="n"/>
      <c r="F63" s="25" t="n"/>
      <c r="G63" s="25" t="n"/>
      <c r="H63" s="139" t="n"/>
      <c r="I63" s="139" t="n"/>
      <c r="J63" s="134" t="n"/>
      <c r="K63" s="144" t="n"/>
      <c r="L63" s="150">
        <f>J46-K46</f>
        <v/>
      </c>
      <c r="M63" s="162" t="n"/>
      <c r="N63" s="162" t="n"/>
      <c r="O63" s="139">
        <f>L63-M63</f>
        <v/>
      </c>
      <c r="P63" s="139">
        <f>K63-N63</f>
        <v/>
      </c>
      <c r="Q63" s="139">
        <f>M63+O63</f>
        <v/>
      </c>
      <c r="R63" s="139">
        <f>M63+N63+O63+P63</f>
        <v/>
      </c>
      <c r="S63" s="162" t="n"/>
      <c r="T63" s="162" t="n"/>
      <c r="U63" s="162" t="n"/>
      <c r="V63" s="162" t="n"/>
      <c r="W63" s="162" t="n"/>
      <c r="X63" s="162" t="n"/>
      <c r="Y63" s="162" t="n"/>
      <c r="Z63" s="139">
        <f>SUM(AA46:AJ46)</f>
        <v/>
      </c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 t="n"/>
      <c r="AL63" s="76" t="n"/>
    </row>
    <row r="64" ht="14" customHeight="1" s="115">
      <c r="A64" s="39" t="n"/>
      <c r="B64" s="39" t="n"/>
      <c r="C64" s="39" t="n"/>
      <c r="D64" s="38" t="inlineStr">
        <is>
          <t>其他直接费小计：</t>
        </is>
      </c>
      <c r="E64" s="40" t="n"/>
      <c r="F64" s="40" t="n"/>
      <c r="G64" s="40" t="n"/>
      <c r="H64" s="152">
        <f>SUM(H59:H63)</f>
        <v/>
      </c>
      <c r="I64" s="152">
        <f>SUM(I59:I63)</f>
        <v/>
      </c>
      <c r="J64" s="152">
        <f>SUM(J59:J63)</f>
        <v/>
      </c>
      <c r="K64" s="152">
        <f>SUM(K59:K63)</f>
        <v/>
      </c>
      <c r="L64" s="161">
        <f>SUM(L59:L63)</f>
        <v/>
      </c>
      <c r="M64" s="152">
        <f>SUM(M59:M63)</f>
        <v/>
      </c>
      <c r="N64" s="152">
        <f>SUM(N59:N63)</f>
        <v/>
      </c>
      <c r="O64" s="152">
        <f>L47-M47</f>
        <v/>
      </c>
      <c r="P64" s="152">
        <f>SUM(P59:P63)</f>
        <v/>
      </c>
      <c r="Q64" s="152">
        <f>M47+O47</f>
        <v/>
      </c>
      <c r="R64" s="152">
        <f>SUM(R59:R63)</f>
        <v/>
      </c>
      <c r="S64" s="152">
        <f>SUM(S59:S63)</f>
        <v/>
      </c>
      <c r="T64" s="152" t="n"/>
      <c r="U64" s="152" t="n"/>
      <c r="V64" s="152" t="n"/>
      <c r="W64" s="152" t="n"/>
      <c r="X64" s="152" t="n"/>
      <c r="Y64" s="152" t="n"/>
      <c r="Z64" s="152">
        <f>SUM(Z59:Z63)</f>
        <v/>
      </c>
      <c r="AA64" s="152">
        <f>SUM(AA59:AA63)</f>
        <v/>
      </c>
      <c r="AB64" s="152">
        <f>SUM(AB59:AB63)</f>
        <v/>
      </c>
      <c r="AC64" s="152">
        <f>SUM(AC59:AC63)</f>
        <v/>
      </c>
      <c r="AD64" s="152">
        <f>SUM(AD59:AD63)</f>
        <v/>
      </c>
      <c r="AE64" s="152">
        <f>SUM(AE59:AE63)</f>
        <v/>
      </c>
      <c r="AF64" s="152">
        <f>SUM(AF59:AF63)</f>
        <v/>
      </c>
      <c r="AG64" s="152" t="n"/>
      <c r="AH64" s="152" t="n"/>
      <c r="AI64" s="152">
        <f>SUM(AI59:AI63)</f>
        <v/>
      </c>
      <c r="AJ64" s="152">
        <f>SUM(AJ59:AJ63)</f>
        <v/>
      </c>
      <c r="AK64" s="152">
        <f>SUM(AK59:AK63)</f>
        <v/>
      </c>
      <c r="AL64" s="76" t="n"/>
    </row>
    <row r="65" ht="14" customHeight="1" s="115">
      <c r="A65" s="19" t="n"/>
      <c r="B65" s="19" t="n"/>
      <c r="C65" s="19" t="n"/>
      <c r="D65" s="29" t="inlineStr">
        <is>
          <t>（六）间接费</t>
        </is>
      </c>
      <c r="E65" s="25" t="n"/>
      <c r="F65" s="25" t="n"/>
      <c r="G65" s="25" t="n"/>
      <c r="H65" s="134" t="n"/>
      <c r="I65" s="139" t="n"/>
      <c r="J65" s="139" t="n">
        <v>0</v>
      </c>
      <c r="K65" s="144" t="n">
        <v>0</v>
      </c>
      <c r="L65" s="150">
        <f>J48-N48-P48</f>
        <v/>
      </c>
      <c r="M65" s="134" t="n"/>
      <c r="N65" s="134" t="n"/>
      <c r="O65" s="139">
        <f>L48-M48</f>
        <v/>
      </c>
      <c r="P65" s="139">
        <f>K48-N48</f>
        <v/>
      </c>
      <c r="Q65" s="139">
        <f>M48+O48</f>
        <v/>
      </c>
      <c r="R65" s="139">
        <f>M48+N48+O48+P48</f>
        <v/>
      </c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0" t="n"/>
      <c r="AL65" s="76" t="n"/>
    </row>
    <row r="66" ht="14" customHeight="1" s="115">
      <c r="A66" s="147" t="n"/>
      <c r="B66" s="147" t="n"/>
      <c r="C66" s="148" t="n"/>
      <c r="D66" s="148" t="inlineStr">
        <is>
          <t>企业年金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17742.24</v>
      </c>
      <c r="N66" s="147" t="n"/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7" t="n"/>
      <c r="T66" s="147" t="n"/>
      <c r="U66" s="147" t="n"/>
      <c r="V66" s="147" t="n"/>
    </row>
    <row r="67" ht="14" customHeight="1" s="115">
      <c r="A67" s="147" t="n"/>
      <c r="B67" s="147" t="n"/>
      <c r="C67" s="148" t="n"/>
      <c r="D67" s="148" t="inlineStr">
        <is>
          <t>住房公积金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354846</v>
      </c>
      <c r="N67" s="147" t="n"/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7" t="n"/>
      <c r="T67" s="147" t="n"/>
      <c r="U67" s="147" t="n"/>
      <c r="V67" s="147" t="n"/>
    </row>
    <row r="68" ht="14" customHeight="1" s="115">
      <c r="A68" s="147" t="n"/>
      <c r="B68" s="147" t="n"/>
      <c r="C68" s="148" t="n"/>
      <c r="D68" s="148" t="inlineStr">
        <is>
          <t>保安保洁费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85380.32000000001</v>
      </c>
      <c r="N68" s="147" t="n"/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7" t="n"/>
      <c r="T68" s="147" t="n"/>
      <c r="U68" s="147" t="n"/>
      <c r="V68" s="147" t="n"/>
    </row>
    <row r="69" ht="14" customHeight="1" s="115">
      <c r="A69" s="147" t="n"/>
      <c r="B69" s="147" t="n"/>
      <c r="C69" s="148" t="n"/>
      <c r="D69" s="148" t="inlineStr">
        <is>
          <t>修理费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45517.86</v>
      </c>
      <c r="N69" s="147" t="n"/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7" t="n"/>
      <c r="T69" s="147" t="n"/>
      <c r="U69" s="147" t="n"/>
      <c r="V69" s="147" t="n"/>
    </row>
    <row r="70" ht="39" customHeight="1" s="115">
      <c r="A70" s="147" t="n"/>
      <c r="B70" s="147" t="n"/>
      <c r="C70" s="148" t="n"/>
      <c r="D70" s="148" t="inlineStr">
        <is>
          <t>其他</t>
        </is>
      </c>
      <c r="E70" s="147" t="n"/>
      <c r="F70" s="147" t="n"/>
      <c r="G70" s="147" t="n"/>
      <c r="H70" s="147" t="n"/>
      <c r="I70" s="147" t="n"/>
      <c r="J70" s="147">
        <f>H70+I70</f>
        <v/>
      </c>
      <c r="K70" s="147" t="n"/>
      <c r="L70" s="147">
        <f>J70-K70</f>
        <v/>
      </c>
      <c r="M70" s="149" t="n">
        <v>35702.91</v>
      </c>
      <c r="N70" s="147" t="n"/>
      <c r="O70" s="147">
        <f>L70-M70</f>
        <v/>
      </c>
      <c r="P70" s="147">
        <f>K70-N70</f>
        <v/>
      </c>
      <c r="Q70" s="147">
        <f>M70+O70</f>
        <v/>
      </c>
      <c r="R70" s="147">
        <f>M70+N70+O70+P70</f>
        <v/>
      </c>
      <c r="S70" s="147" t="n"/>
      <c r="T70" s="147" t="n"/>
      <c r="U70" s="147" t="n"/>
      <c r="V70" s="147" t="n"/>
    </row>
    <row r="71" ht="14" customHeight="1" s="115">
      <c r="A71" s="147" t="n"/>
      <c r="B71" s="147" t="n"/>
      <c r="C71" s="148" t="n"/>
      <c r="D71" s="148" t="inlineStr">
        <is>
          <t>冲晒印刷费</t>
        </is>
      </c>
      <c r="E71" s="147" t="n"/>
      <c r="F71" s="147" t="n"/>
      <c r="G71" s="147" t="n"/>
      <c r="H71" s="147" t="n"/>
      <c r="I71" s="147" t="n"/>
      <c r="J71" s="147">
        <f>H71+I71</f>
        <v/>
      </c>
      <c r="K71" s="147" t="n"/>
      <c r="L71" s="147">
        <f>J71-K71</f>
        <v/>
      </c>
      <c r="M71" s="149" t="n">
        <v>141655.44</v>
      </c>
      <c r="N71" s="147" t="n"/>
      <c r="O71" s="147">
        <f>L71-M71</f>
        <v/>
      </c>
      <c r="P71" s="147">
        <f>K71-N71</f>
        <v/>
      </c>
      <c r="Q71" s="147">
        <f>M71+O71</f>
        <v/>
      </c>
      <c r="R71" s="147">
        <f>M71+N71+O71+P71</f>
        <v/>
      </c>
      <c r="S71" s="147" t="n"/>
      <c r="T71" s="147" t="n"/>
      <c r="U71" s="147" t="n"/>
      <c r="V71" s="147" t="n"/>
    </row>
    <row r="72" ht="14" customHeight="1" s="115">
      <c r="A72" s="147" t="n"/>
      <c r="B72" s="147" t="n"/>
      <c r="C72" s="148" t="n"/>
      <c r="D72" s="148" t="inlineStr">
        <is>
          <t>办公用品费</t>
        </is>
      </c>
      <c r="E72" s="147" t="n"/>
      <c r="F72" s="147" t="n"/>
      <c r="G72" s="147" t="n"/>
      <c r="H72" s="147" t="n"/>
      <c r="I72" s="147" t="n"/>
      <c r="J72" s="147">
        <f>H72+I72</f>
        <v/>
      </c>
      <c r="K72" s="147" t="n"/>
      <c r="L72" s="147">
        <f>J72-K72</f>
        <v/>
      </c>
      <c r="M72" s="149" t="n">
        <v>342874.91</v>
      </c>
      <c r="N72" s="147" t="n"/>
      <c r="O72" s="147">
        <f>L72-M72</f>
        <v/>
      </c>
      <c r="P72" s="147">
        <f>K72-N72</f>
        <v/>
      </c>
      <c r="Q72" s="147">
        <f>M72+O72</f>
        <v/>
      </c>
      <c r="R72" s="147">
        <f>M72+N72+O72+P72</f>
        <v/>
      </c>
      <c r="S72" s="147" t="n"/>
      <c r="T72" s="147" t="n"/>
      <c r="U72" s="147" t="n"/>
      <c r="V72" s="147" t="n"/>
    </row>
    <row r="73" ht="14" customHeight="1" s="115">
      <c r="A73" s="147" t="n"/>
      <c r="B73" s="147" t="n"/>
      <c r="C73" s="148" t="n"/>
      <c r="D73" s="148" t="inlineStr">
        <is>
          <t>医疗保险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239686.83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基本养老保险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785587.66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境内差旅费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56605.13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47" t="n"/>
      <c r="B76" s="147" t="n"/>
      <c r="C76" s="148" t="n"/>
      <c r="D76" s="148" t="inlineStr">
        <is>
          <t>失业保险</t>
        </is>
      </c>
      <c r="E76" s="147" t="n"/>
      <c r="F76" s="147" t="n"/>
      <c r="G76" s="147" t="n"/>
      <c r="H76" s="147" t="n"/>
      <c r="I76" s="147" t="n"/>
      <c r="J76" s="147">
        <f>H76+I76</f>
        <v/>
      </c>
      <c r="K76" s="147" t="n"/>
      <c r="L76" s="147">
        <f>J76-K76</f>
        <v/>
      </c>
      <c r="M76" s="149" t="n">
        <v>27374.29</v>
      </c>
      <c r="N76" s="147" t="n"/>
      <c r="O76" s="147">
        <f>L76-M76</f>
        <v/>
      </c>
      <c r="P76" s="147">
        <f>K76-N76</f>
        <v/>
      </c>
      <c r="Q76" s="147">
        <f>M76+O76</f>
        <v/>
      </c>
      <c r="R76" s="147">
        <f>M76+N76+O76+P76</f>
        <v/>
      </c>
      <c r="S76" s="147" t="n"/>
      <c r="T76" s="147" t="n"/>
      <c r="U76" s="147" t="n"/>
      <c r="V76" s="147" t="n"/>
    </row>
    <row r="77" ht="14" customHeight="1" s="115">
      <c r="A77" s="147" t="n"/>
      <c r="B77" s="147" t="n"/>
      <c r="C77" s="148" t="n"/>
      <c r="D77" s="148" t="inlineStr">
        <is>
          <t>工会经费</t>
        </is>
      </c>
      <c r="E77" s="147" t="n"/>
      <c r="F77" s="147" t="n"/>
      <c r="G77" s="147" t="n"/>
      <c r="H77" s="147" t="n"/>
      <c r="I77" s="147" t="n"/>
      <c r="J77" s="147">
        <f>H77+I77</f>
        <v/>
      </c>
      <c r="K77" s="147" t="n"/>
      <c r="L77" s="147">
        <f>J77-K77</f>
        <v/>
      </c>
      <c r="M77" s="149" t="n">
        <v>68528.91</v>
      </c>
      <c r="N77" s="147" t="n"/>
      <c r="O77" s="147">
        <f>L77-M77</f>
        <v/>
      </c>
      <c r="P77" s="147">
        <f>K77-N77</f>
        <v/>
      </c>
      <c r="Q77" s="147">
        <f>M77+O77</f>
        <v/>
      </c>
      <c r="R77" s="147">
        <f>M77+N77+O77+P77</f>
        <v/>
      </c>
      <c r="S77" s="147" t="n"/>
      <c r="T77" s="147" t="n"/>
      <c r="U77" s="147" t="n"/>
      <c r="V77" s="147" t="n"/>
    </row>
    <row r="78" ht="14" customHeight="1" s="115">
      <c r="A78" s="147" t="n"/>
      <c r="B78" s="147" t="n"/>
      <c r="C78" s="148" t="n"/>
      <c r="D78" s="148" t="inlineStr">
        <is>
          <t>工伤保险</t>
        </is>
      </c>
      <c r="E78" s="147" t="n"/>
      <c r="F78" s="147" t="n"/>
      <c r="G78" s="147" t="n"/>
      <c r="H78" s="147" t="n"/>
      <c r="I78" s="147" t="n"/>
      <c r="J78" s="147">
        <f>H78+I78</f>
        <v/>
      </c>
      <c r="K78" s="147" t="n"/>
      <c r="L78" s="147">
        <f>J78-K78</f>
        <v/>
      </c>
      <c r="M78" s="149" t="n">
        <v>41844.32</v>
      </c>
      <c r="N78" s="147" t="n"/>
      <c r="O78" s="147">
        <f>L78-M78</f>
        <v/>
      </c>
      <c r="P78" s="147">
        <f>K78-N78</f>
        <v/>
      </c>
      <c r="Q78" s="147">
        <f>M78+O78</f>
        <v/>
      </c>
      <c r="R78" s="147">
        <f>M78+N78+O78+P78</f>
        <v/>
      </c>
      <c r="S78" s="147" t="n"/>
      <c r="T78" s="147" t="n"/>
      <c r="U78" s="147" t="n"/>
      <c r="V78" s="147" t="n"/>
    </row>
    <row r="79" ht="26" customHeight="1" s="115">
      <c r="A79" s="147" t="n"/>
      <c r="B79" s="147" t="n"/>
      <c r="C79" s="148" t="n"/>
      <c r="D79" s="148" t="inlineStr">
        <is>
          <t>工资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6390165.85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市内交通费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249.88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律师费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24056.6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折旧费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8068.7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燃油费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61952.74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物业管理费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399120.24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生育保险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5673.75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社保及公积金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275511.16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租车费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18229.2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维修保养费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16244.86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网络使用费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127503.01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职工教育经费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35002.91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职工福利费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188522.63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补充医疗保险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2802.66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诉讼费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310729.56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路桥及停车费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40569.97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软件费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14454.72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通信费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35361.79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邮寄费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604.72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分包工程支出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7404340.81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报销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162980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直接人工费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951309.41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9" t="n"/>
      <c r="B101" s="19" t="n"/>
      <c r="C101" s="19" t="n"/>
      <c r="D101" s="24" t="inlineStr">
        <is>
          <t>**财务未列部分需增列***</t>
        </is>
      </c>
      <c r="E101" s="25" t="n"/>
      <c r="F101" s="25" t="n"/>
      <c r="G101" s="25" t="n"/>
      <c r="H101" s="162" t="n"/>
      <c r="I101" s="139" t="n"/>
      <c r="J101" s="162" t="n"/>
      <c r="K101" s="144" t="n"/>
      <c r="L101" s="150" t="n"/>
      <c r="M101" s="162" t="n"/>
      <c r="N101" s="139" t="n"/>
      <c r="O101" s="139">
        <f>L101-M101</f>
        <v/>
      </c>
      <c r="P101" s="139">
        <f>K101-N101</f>
        <v/>
      </c>
      <c r="Q101" s="139">
        <f>M101+O101</f>
        <v/>
      </c>
      <c r="R101" s="139">
        <f>M101+N101+O101+P101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62" t="n"/>
      <c r="AA101" s="146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77" t="n"/>
    </row>
    <row r="102">
      <c r="A102" s="39" t="n"/>
      <c r="B102" s="39" t="n"/>
      <c r="C102" s="39" t="n"/>
      <c r="D102" s="38" t="inlineStr">
        <is>
          <t>间接费小计：</t>
        </is>
      </c>
      <c r="E102" s="40" t="n"/>
      <c r="F102" s="40" t="n"/>
      <c r="G102" s="40" t="n"/>
      <c r="H102" s="152">
        <f>SUM(H65:H101)</f>
        <v/>
      </c>
      <c r="I102" s="152">
        <f>SUM(I65:I101)</f>
        <v/>
      </c>
      <c r="J102" s="152">
        <f>SUM(J65:J101)</f>
        <v/>
      </c>
      <c r="K102" s="152">
        <f>SUM(K65:K101)</f>
        <v/>
      </c>
      <c r="L102" s="161">
        <f>SUM(L65:L101)</f>
        <v/>
      </c>
      <c r="M102" s="161">
        <f>SUM(M65:M101)</f>
        <v/>
      </c>
      <c r="N102" s="161">
        <f>SUM(N65:N101)</f>
        <v/>
      </c>
      <c r="O102" s="161">
        <f>SUM(O65:O101)</f>
        <v/>
      </c>
      <c r="P102" s="161">
        <f>SUM(P65:P101)</f>
        <v/>
      </c>
      <c r="Q102" s="161">
        <f>SUM(Q65:Q101)</f>
        <v/>
      </c>
      <c r="R102" s="161">
        <f>SUM(R65:R101)</f>
        <v/>
      </c>
      <c r="S102" s="161">
        <f>SUM(S65:S101)</f>
        <v/>
      </c>
      <c r="T102" s="161" t="n"/>
      <c r="U102" s="161" t="n"/>
      <c r="V102" s="161" t="n"/>
      <c r="W102" s="161" t="n"/>
      <c r="X102" s="161" t="n"/>
      <c r="Y102" s="161" t="n"/>
      <c r="Z102" s="161">
        <f>SUM(Z65:Z101)</f>
        <v/>
      </c>
      <c r="AA102" s="161">
        <f>SUM(AA65:AA101)</f>
        <v/>
      </c>
      <c r="AB102" s="161">
        <f>SUM(AB65:AB101)</f>
        <v/>
      </c>
      <c r="AC102" s="161">
        <f>SUM(AC65:AC101)</f>
        <v/>
      </c>
      <c r="AD102" s="161">
        <f>SUM(AD65:AD101)</f>
        <v/>
      </c>
      <c r="AE102" s="161">
        <f>SUM(AE65:AE101)</f>
        <v/>
      </c>
      <c r="AF102" s="161">
        <f>SUM(AF65:AF101)</f>
        <v/>
      </c>
      <c r="AG102" s="161" t="n"/>
      <c r="AH102" s="161" t="n"/>
      <c r="AI102" s="161">
        <f>SUM(AI65:AI101)</f>
        <v/>
      </c>
      <c r="AJ102" s="161">
        <f>SUM(AJ65:AJ101)</f>
        <v/>
      </c>
      <c r="AK102" s="161">
        <f>SUM(AK65:AK101)</f>
        <v/>
      </c>
      <c r="AL102" s="77" t="n"/>
    </row>
    <row r="103">
      <c r="A103" s="19" t="n"/>
      <c r="B103" s="19" t="n"/>
      <c r="C103" s="19" t="n"/>
      <c r="D103" s="29" t="inlineStr">
        <is>
          <t>（七）安全费</t>
        </is>
      </c>
      <c r="E103" s="25" t="n"/>
      <c r="F103" s="25" t="n"/>
      <c r="G103" s="25" t="n"/>
      <c r="H103" s="139" t="n"/>
      <c r="I103" s="139" t="n"/>
      <c r="J103" s="134" t="n">
        <v>0</v>
      </c>
      <c r="K103" s="163" t="n"/>
      <c r="L103" s="150">
        <f>J63-N63-P63</f>
        <v/>
      </c>
      <c r="M103" s="139" t="n"/>
      <c r="N103" s="139" t="n"/>
      <c r="O103" s="139">
        <f>L63-M63</f>
        <v/>
      </c>
      <c r="P103" s="139">
        <f>K63-N63</f>
        <v/>
      </c>
      <c r="Q103" s="139">
        <f>M63+O63</f>
        <v/>
      </c>
      <c r="R103" s="139">
        <f>M63+N63+O63+P63</f>
        <v/>
      </c>
      <c r="S103" s="162" t="n"/>
      <c r="T103" s="162" t="n"/>
      <c r="U103" s="162" t="n"/>
      <c r="V103" s="162" t="n"/>
      <c r="W103" s="162" t="n"/>
      <c r="X103" s="162" t="n"/>
      <c r="Y103" s="162" t="n"/>
      <c r="Z103" s="160" t="n"/>
      <c r="AA103" s="146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K103" s="140" t="n"/>
      <c r="AL103" s="77" t="n"/>
    </row>
    <row r="104">
      <c r="A104" s="19" t="n"/>
      <c r="B104" s="19" t="n"/>
      <c r="C104" s="19" t="n"/>
      <c r="D104" s="29" t="n"/>
      <c r="E104" s="25" t="n"/>
      <c r="F104" s="25" t="n"/>
      <c r="G104" s="25" t="n"/>
      <c r="H104" s="139" t="n"/>
      <c r="I104" s="139" t="n"/>
      <c r="J104" s="134">
        <f>H64+I64</f>
        <v/>
      </c>
      <c r="K104" s="139" t="n"/>
      <c r="L104" s="150">
        <f>J64-K64</f>
        <v/>
      </c>
      <c r="M104" s="139" t="n"/>
      <c r="N104" s="139" t="n"/>
      <c r="O104" s="139">
        <f>L64-M64</f>
        <v/>
      </c>
      <c r="P104" s="139">
        <f>K64-N64</f>
        <v/>
      </c>
      <c r="Q104" s="139">
        <f>M64+O64</f>
        <v/>
      </c>
      <c r="R104" s="139">
        <f>M64+N64+O64+P64</f>
        <v/>
      </c>
      <c r="S104" s="146" t="n"/>
      <c r="T104" s="146" t="n"/>
      <c r="U104" s="146" t="n"/>
      <c r="V104" s="146" t="n"/>
      <c r="W104" s="146" t="n"/>
      <c r="X104" s="146" t="n"/>
      <c r="Y104" s="146" t="n"/>
      <c r="Z104" s="146" t="n"/>
      <c r="AA104" s="146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K104" s="140" t="n"/>
      <c r="AL104" s="77" t="n"/>
    </row>
    <row r="105">
      <c r="A105" s="19" t="n"/>
      <c r="B105" s="19" t="n"/>
      <c r="C105" s="19" t="n"/>
      <c r="D105" s="29" t="n"/>
      <c r="E105" s="25" t="n"/>
      <c r="F105" s="25" t="n"/>
      <c r="G105" s="25" t="n"/>
      <c r="H105" s="139" t="n"/>
      <c r="I105" s="139" t="n"/>
      <c r="J105" s="134">
        <f>H65+I65</f>
        <v/>
      </c>
      <c r="K105" s="139" t="n"/>
      <c r="L105" s="150">
        <f>J65-K65</f>
        <v/>
      </c>
      <c r="M105" s="139" t="n"/>
      <c r="N105" s="139" t="n"/>
      <c r="O105" s="139">
        <f>L65-M65</f>
        <v/>
      </c>
      <c r="P105" s="139">
        <f>K65-N65</f>
        <v/>
      </c>
      <c r="Q105" s="139">
        <f>M65+O65</f>
        <v/>
      </c>
      <c r="R105" s="139">
        <f>M65+N65+O65+P65</f>
        <v/>
      </c>
      <c r="S105" s="146" t="n"/>
      <c r="T105" s="146" t="n"/>
      <c r="U105" s="146" t="n"/>
      <c r="V105" s="146" t="n"/>
      <c r="W105" s="146" t="n"/>
      <c r="X105" s="146" t="n"/>
      <c r="Y105" s="146" t="n"/>
      <c r="Z105" s="146" t="n"/>
      <c r="AA105" s="146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77" t="n"/>
    </row>
    <row r="106">
      <c r="A106" s="19" t="n"/>
      <c r="B106" s="19" t="n"/>
      <c r="C106" s="19" t="n"/>
      <c r="D106" s="29" t="n"/>
      <c r="E106" s="25" t="n"/>
      <c r="F106" s="25" t="n"/>
      <c r="G106" s="25" t="n"/>
      <c r="H106" s="139" t="n"/>
      <c r="I106" s="139" t="n"/>
      <c r="J106" s="134">
        <f>H66+I66</f>
        <v/>
      </c>
      <c r="K106" s="139" t="n"/>
      <c r="L106" s="150">
        <f>J66-K66</f>
        <v/>
      </c>
      <c r="M106" s="139" t="n"/>
      <c r="N106" s="139" t="n"/>
      <c r="O106" s="139">
        <f>L66-M66</f>
        <v/>
      </c>
      <c r="P106" s="139">
        <f>K66-N66</f>
        <v/>
      </c>
      <c r="Q106" s="139">
        <f>M66+O66</f>
        <v/>
      </c>
      <c r="R106" s="139">
        <f>M66+N66+O66+P66</f>
        <v/>
      </c>
      <c r="S106" s="146" t="n"/>
      <c r="T106" s="146" t="n"/>
      <c r="U106" s="146" t="n"/>
      <c r="V106" s="146" t="n"/>
      <c r="W106" s="146" t="n"/>
      <c r="X106" s="146" t="n"/>
      <c r="Y106" s="146" t="n"/>
      <c r="Z106" s="146" t="n"/>
      <c r="AA106" s="146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K106" s="140" t="n"/>
      <c r="AL106" s="77" t="n"/>
    </row>
    <row r="107">
      <c r="A107" s="19" t="n"/>
      <c r="B107" s="19" t="n"/>
      <c r="C107" s="19" t="n"/>
      <c r="D107" s="29" t="n"/>
      <c r="E107" s="25" t="n"/>
      <c r="F107" s="25" t="n"/>
      <c r="G107" s="25" t="n"/>
      <c r="H107" s="139" t="n"/>
      <c r="I107" s="139" t="n"/>
      <c r="J107" s="134">
        <f>H67+I67</f>
        <v/>
      </c>
      <c r="K107" s="139" t="n"/>
      <c r="L107" s="150">
        <f>J67-K67</f>
        <v/>
      </c>
      <c r="M107" s="139" t="n"/>
      <c r="N107" s="139" t="n"/>
      <c r="O107" s="139">
        <f>L67-M67</f>
        <v/>
      </c>
      <c r="P107" s="139">
        <f>K67-N67</f>
        <v/>
      </c>
      <c r="Q107" s="139">
        <f>M67+O67</f>
        <v/>
      </c>
      <c r="R107" s="139">
        <f>M67+N67+O67+P67</f>
        <v/>
      </c>
      <c r="S107" s="146" t="n"/>
      <c r="T107" s="146" t="n"/>
      <c r="U107" s="146" t="n"/>
      <c r="V107" s="146" t="n"/>
      <c r="W107" s="146" t="n"/>
      <c r="X107" s="146" t="n"/>
      <c r="Y107" s="146" t="n"/>
      <c r="Z107" s="146" t="n"/>
      <c r="AA107" s="146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K107" s="140" t="n"/>
      <c r="AL107" s="77" t="n"/>
    </row>
    <row r="108">
      <c r="A108" s="39" t="n"/>
      <c r="B108" s="39" t="n"/>
      <c r="C108" s="39" t="n"/>
      <c r="D108" s="38" t="inlineStr">
        <is>
          <t>安全费小计：</t>
        </is>
      </c>
      <c r="E108" s="38" t="n"/>
      <c r="F108" s="38" t="n"/>
      <c r="G108" s="38" t="n"/>
      <c r="H108" s="152">
        <f>SUM(H103:H107)</f>
        <v/>
      </c>
      <c r="I108" s="152">
        <f>SUM(I103:I107)</f>
        <v/>
      </c>
      <c r="J108" s="152" t="n">
        <v>0</v>
      </c>
      <c r="K108" s="152" t="n">
        <v>0</v>
      </c>
      <c r="L108" s="150">
        <f>J68-K68</f>
        <v/>
      </c>
      <c r="M108" s="164" t="n"/>
      <c r="N108" s="164" t="n"/>
      <c r="O108" s="161">
        <f>SUM(O103:O107)</f>
        <v/>
      </c>
      <c r="P108" s="161">
        <f>SUM(P103:P107)</f>
        <v/>
      </c>
      <c r="Q108" s="161">
        <f>SUM(Q103:Q107)</f>
        <v/>
      </c>
      <c r="R108" s="161">
        <f>SUM(R103:R107)</f>
        <v/>
      </c>
      <c r="S108" s="161">
        <f>SUM(S103:S107)</f>
        <v/>
      </c>
      <c r="T108" s="164" t="n"/>
      <c r="U108" s="164" t="n"/>
      <c r="V108" s="164" t="n"/>
      <c r="W108" s="164" t="n"/>
      <c r="X108" s="164" t="n"/>
      <c r="Y108" s="164" t="n"/>
      <c r="Z108" s="164" t="n"/>
      <c r="AA108" s="164">
        <f>SUM(AA103:AA107)</f>
        <v/>
      </c>
      <c r="AB108" s="164">
        <f>SUM(AB103:AB107)</f>
        <v/>
      </c>
      <c r="AC108" s="164">
        <f>SUM(AC103:AC107)</f>
        <v/>
      </c>
      <c r="AD108" s="164">
        <f>SUM(AD103:AD107)</f>
        <v/>
      </c>
      <c r="AE108" s="164">
        <f>SUM(AE103:AE107)</f>
        <v/>
      </c>
      <c r="AF108" s="164">
        <f>SUM(AF103:AF107)</f>
        <v/>
      </c>
      <c r="AG108" s="164" t="n"/>
      <c r="AH108" s="164" t="n"/>
      <c r="AI108" s="164">
        <f>SUM(AI103:AI107)</f>
        <v/>
      </c>
      <c r="AJ108" s="164">
        <f>SUM(AJ103:AJ107)</f>
        <v/>
      </c>
      <c r="AK108" s="164">
        <f>SUM(AK103:AK107)</f>
        <v/>
      </c>
      <c r="AL108" s="111" t="n"/>
    </row>
    <row r="109">
      <c r="A109" s="39" t="n"/>
      <c r="B109" s="39" t="n"/>
      <c r="C109" s="39" t="n"/>
      <c r="D109" s="38" t="inlineStr">
        <is>
          <t>三、成本合计：</t>
        </is>
      </c>
      <c r="E109" s="40" t="n"/>
      <c r="F109" s="40" t="n"/>
      <c r="G109" s="40" t="n"/>
      <c r="H109" s="152">
        <f>H17+H23+H35+H39+H47+H62+H68</f>
        <v/>
      </c>
      <c r="I109" s="152">
        <f>I17+I23+I35+I39+I47+I62+I68</f>
        <v/>
      </c>
      <c r="J109" s="152">
        <f>J17+J23+J35+J39+J47+J62+J68</f>
        <v/>
      </c>
      <c r="K109" s="152">
        <f>K17+K23+K35+K39+K47+K62+K68</f>
        <v/>
      </c>
      <c r="L109" s="161">
        <f>L17+L23+L35+L39+L47+L62+L68</f>
        <v/>
      </c>
      <c r="M109" s="164">
        <f>M17+M23+M35+M39+M47+M62+M68</f>
        <v/>
      </c>
      <c r="N109" s="164">
        <f>N17+N23+N35+N39+N47+N62+N68</f>
        <v/>
      </c>
      <c r="O109" s="164">
        <f>O17+O23+O35+O39+O47+O62+O68</f>
        <v/>
      </c>
      <c r="P109" s="164">
        <f>P17+P23+P35+P39+P47+P62+P68</f>
        <v/>
      </c>
      <c r="Q109" s="164">
        <f>Q17+Q23+Q35+Q39+Q47+Q62+Q68</f>
        <v/>
      </c>
      <c r="R109" s="164">
        <f>R17+R23+R35+R39+R47+R62+R68</f>
        <v/>
      </c>
      <c r="S109" s="164">
        <f>S17+S23+S35+S39+S47+S62+S68</f>
        <v/>
      </c>
      <c r="T109" s="164" t="n"/>
      <c r="U109" s="164" t="n"/>
      <c r="V109" s="164" t="n"/>
      <c r="W109" s="164" t="n"/>
      <c r="X109" s="164" t="n"/>
      <c r="Y109" s="164" t="n"/>
      <c r="Z109" s="164">
        <f>Z17+Z23+Z35+Z39+Z47+Z62+Z68</f>
        <v/>
      </c>
      <c r="AA109" s="164">
        <f>AA17+AA23+AA35+AA39+AA47+AA62+AA68</f>
        <v/>
      </c>
      <c r="AB109" s="164">
        <f>AB17+AB23+AB35+AB39+AB47+AB62+AB68</f>
        <v/>
      </c>
      <c r="AC109" s="164">
        <f>AC17+AC23+AC35+AC39+AC47+AC62+AC68</f>
        <v/>
      </c>
      <c r="AD109" s="164">
        <f>AD17+AD23+AD35+AD39+AD47+AD62+AD68</f>
        <v/>
      </c>
      <c r="AE109" s="164">
        <f>AE17+AE23+AE35+AE39+AE47+AE62+AE68</f>
        <v/>
      </c>
      <c r="AF109" s="164">
        <f>AF17+AF23+AF35+AF39+AF47+AF62+AF68</f>
        <v/>
      </c>
      <c r="AG109" s="164" t="n"/>
      <c r="AH109" s="164" t="n"/>
      <c r="AI109" s="164">
        <f>AI17+AI23+AI35+AI39+AI47+AI62+AI68</f>
        <v/>
      </c>
      <c r="AJ109" s="164">
        <f>AJ17+AJ23+AJ35+AJ39+AJ47+AJ62+AJ68</f>
        <v/>
      </c>
      <c r="AK109" s="164">
        <f>AK17+AK23+AK35+AK39+AK47+AK62+AK68</f>
        <v/>
      </c>
      <c r="AL109" s="111" t="n"/>
    </row>
    <row r="110">
      <c r="A110" s="19" t="n"/>
      <c r="B110" s="19" t="n"/>
      <c r="C110" s="19" t="n"/>
      <c r="D110" s="29" t="inlineStr">
        <is>
          <t>四、计提保修金</t>
        </is>
      </c>
      <c r="E110" s="80" t="inlineStr">
        <is>
          <t>（在建：房建0.6%，其它0.4%；在保修期间的按0.3~0.5%自行确定;保修期结束为0）</t>
        </is>
      </c>
      <c r="F110" s="80" t="n"/>
      <c r="G110" s="80" t="n"/>
      <c r="H110" s="134" t="n"/>
      <c r="I110" s="134" t="n"/>
      <c r="J110" s="134">
        <f>H70+I70</f>
        <v/>
      </c>
      <c r="K110" s="134" t="n"/>
      <c r="L110" s="150">
        <f>J70-K70</f>
        <v/>
      </c>
      <c r="M110" s="139" t="n"/>
      <c r="N110" s="139" t="n"/>
      <c r="O110" s="139">
        <f>L70-M70</f>
        <v/>
      </c>
      <c r="P110" s="139">
        <f>K70-N70</f>
        <v/>
      </c>
      <c r="Q110" s="139">
        <f>M70+O70</f>
        <v/>
      </c>
      <c r="R110" s="139">
        <f>M70+N70+O70+P70</f>
        <v/>
      </c>
      <c r="S110" s="146" t="n"/>
      <c r="T110" s="146" t="n"/>
      <c r="U110" s="146" t="n"/>
      <c r="V110" s="146" t="n"/>
      <c r="W110" s="146" t="n"/>
      <c r="X110" s="146" t="n"/>
      <c r="Y110" s="146" t="n"/>
      <c r="Z110" s="146" t="n"/>
      <c r="AA110" s="146">
        <f>Q70-S70</f>
        <v/>
      </c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40" t="n"/>
      <c r="AL110" s="111" t="n"/>
    </row>
    <row r="111">
      <c r="A111" s="19" t="n"/>
      <c r="B111" s="19" t="n"/>
      <c r="C111" s="19" t="n"/>
      <c r="D111" s="29" t="inlineStr">
        <is>
          <t>五、过程节点奖金</t>
        </is>
      </c>
      <c r="E111" s="25" t="n"/>
      <c r="F111" s="25" t="n"/>
      <c r="G111" s="25" t="n"/>
      <c r="H111" s="134" t="n"/>
      <c r="I111" s="134" t="n"/>
      <c r="J111" s="134">
        <f>H71+I71</f>
        <v/>
      </c>
      <c r="K111" s="134" t="n"/>
      <c r="L111" s="150">
        <f>J71-K71</f>
        <v/>
      </c>
      <c r="M111" s="139" t="n"/>
      <c r="N111" s="139" t="n"/>
      <c r="O111" s="139">
        <f>L71-M71</f>
        <v/>
      </c>
      <c r="P111" s="139">
        <f>K71-N71</f>
        <v/>
      </c>
      <c r="Q111" s="139">
        <f>M71+O71</f>
        <v/>
      </c>
      <c r="R111" s="139">
        <f>M71+N71+O71+P71</f>
        <v/>
      </c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K111" s="140" t="n"/>
      <c r="AL111" s="77" t="n"/>
    </row>
    <row r="112">
      <c r="A112" s="19" t="n"/>
      <c r="B112" s="19" t="n"/>
      <c r="C112" s="19" t="n"/>
      <c r="D112" s="29" t="inlineStr">
        <is>
          <t>六、资金占用费用</t>
        </is>
      </c>
      <c r="E112" s="25" t="n"/>
      <c r="F112" s="25" t="n"/>
      <c r="G112" s="25" t="n"/>
      <c r="H112" s="139" t="n"/>
      <c r="I112" s="139" t="n"/>
      <c r="J112" s="134">
        <f>H72+I72</f>
        <v/>
      </c>
      <c r="K112" s="139" t="n"/>
      <c r="L112" s="150">
        <f>J72-K72</f>
        <v/>
      </c>
      <c r="M112" s="156" t="n">
        <v>762837.87</v>
      </c>
      <c r="N112" s="139" t="n"/>
      <c r="O112" s="139">
        <f>L72-M72</f>
        <v/>
      </c>
      <c r="P112" s="139">
        <f>K72-N72</f>
        <v/>
      </c>
      <c r="Q112" s="139">
        <f>M72+O72</f>
        <v/>
      </c>
      <c r="R112" s="139">
        <f>M72+N72+O72+P72</f>
        <v/>
      </c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K112" s="140" t="n"/>
      <c r="AL112" s="77" t="n"/>
    </row>
    <row r="113">
      <c r="A113" s="19" t="n"/>
      <c r="B113" s="19" t="n"/>
      <c r="C113" s="19" t="n"/>
      <c r="D113" s="29" t="inlineStr">
        <is>
          <t>七、局投资收益（局投资项目选填）</t>
        </is>
      </c>
      <c r="E113" s="25" t="n"/>
      <c r="F113" s="25" t="n"/>
      <c r="G113" s="25" t="n"/>
      <c r="H113" s="139" t="n"/>
      <c r="I113" s="139" t="n"/>
      <c r="J113" s="134">
        <f>H73+I73</f>
        <v/>
      </c>
      <c r="K113" s="139" t="n"/>
      <c r="L113" s="150">
        <f>J73-K73</f>
        <v/>
      </c>
      <c r="M113" s="139" t="n"/>
      <c r="N113" s="139" t="n"/>
      <c r="O113" s="139">
        <f>L73-M73</f>
        <v/>
      </c>
      <c r="P113" s="139">
        <f>K73-N73</f>
        <v/>
      </c>
      <c r="Q113" s="139">
        <f>M73+O73</f>
        <v/>
      </c>
      <c r="R113" s="139">
        <f>M73+N73+O73+P73</f>
        <v/>
      </c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K113" s="140" t="n"/>
      <c r="AL113" s="77" t="n"/>
    </row>
    <row r="114">
      <c r="A114" s="39" t="n"/>
      <c r="B114" s="39" t="n"/>
      <c r="C114" s="39" t="n"/>
      <c r="D114" s="38" t="inlineStr">
        <is>
          <t>八、研发费用</t>
        </is>
      </c>
      <c r="E114" s="40" t="n"/>
      <c r="F114" s="40" t="n"/>
      <c r="G114" s="40" t="n"/>
      <c r="H114" s="152" t="n"/>
      <c r="I114" s="152" t="n"/>
      <c r="J114" s="152">
        <f>H74+I74</f>
        <v/>
      </c>
      <c r="K114" s="152" t="n"/>
      <c r="L114" s="161">
        <f>J74-K74</f>
        <v/>
      </c>
      <c r="M114" s="164">
        <f>SUM(M75:M77)</f>
        <v/>
      </c>
      <c r="N114" s="164">
        <f>SUM(N75:N77)</f>
        <v/>
      </c>
      <c r="O114" s="164">
        <f>SUM(O75:O77)</f>
        <v/>
      </c>
      <c r="P114" s="164">
        <f>SUM(P75:P77)</f>
        <v/>
      </c>
      <c r="Q114" s="164">
        <f>SUM(Q75:Q77)</f>
        <v/>
      </c>
      <c r="R114" s="164">
        <f>SUM(R75:R77)</f>
        <v/>
      </c>
      <c r="S114" s="164">
        <f>SUM(S75:S77)</f>
        <v/>
      </c>
      <c r="T114" s="164">
        <f>SUM(T75:T77)</f>
        <v/>
      </c>
      <c r="U114" s="164">
        <f>SUM(U75:U77)</f>
        <v/>
      </c>
      <c r="V114" s="164">
        <f>SUM(V75:V77)</f>
        <v/>
      </c>
      <c r="W114" s="164">
        <f>SUM(W75:W77)</f>
        <v/>
      </c>
      <c r="X114" s="164">
        <f>SUM(X75:X77)</f>
        <v/>
      </c>
      <c r="Y114" s="164">
        <f>SUM(Y75:Y77)</f>
        <v/>
      </c>
      <c r="Z114" s="164">
        <f>SUM(Z75:Z77)</f>
        <v/>
      </c>
      <c r="AA114" s="164">
        <f>SUM(AA75:AA77)</f>
        <v/>
      </c>
      <c r="AB114" s="164">
        <f>SUM(AB75:AB77)</f>
        <v/>
      </c>
      <c r="AC114" s="164">
        <f>SUM(AC75:AC77)</f>
        <v/>
      </c>
      <c r="AD114" s="164">
        <f>SUM(AD75:AD77)</f>
        <v/>
      </c>
      <c r="AE114" s="164">
        <f>SUM(AE75:AE77)</f>
        <v/>
      </c>
      <c r="AF114" s="164">
        <f>SUM(AF75:AF77)</f>
        <v/>
      </c>
      <c r="AG114" s="164">
        <f>SUM(AG75:AG77)</f>
        <v/>
      </c>
      <c r="AH114" s="164">
        <f>SUM(AH75:AH77)</f>
        <v/>
      </c>
      <c r="AI114" s="164">
        <f>SUM(AI75:AI77)</f>
        <v/>
      </c>
      <c r="AJ114" s="164">
        <f>SUM(AJ75:AJ77)</f>
        <v/>
      </c>
      <c r="AK114" s="164">
        <f>SUM(AK75:AK77)</f>
        <v/>
      </c>
      <c r="AL114" s="111" t="n"/>
    </row>
    <row r="115">
      <c r="A115" s="147" t="n"/>
      <c r="B115" s="147" t="n"/>
      <c r="C115" s="148" t="n"/>
      <c r="D115" s="148" t="inlineStr">
        <is>
          <t>材料费</t>
        </is>
      </c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9" t="n">
        <v>3926272.64</v>
      </c>
      <c r="N115" s="147" t="n"/>
      <c r="O115" s="147">
        <f>L115-M115</f>
        <v/>
      </c>
      <c r="P115" s="147">
        <f>K115-N115</f>
        <v/>
      </c>
      <c r="Q115" s="147">
        <f>M115+O115</f>
        <v/>
      </c>
      <c r="R115" s="147">
        <f>M115+N115+O115+P115</f>
        <v/>
      </c>
      <c r="S115" s="147" t="n"/>
      <c r="T115" s="147" t="n"/>
      <c r="U115" s="147" t="n"/>
      <c r="V115" s="147" t="n"/>
    </row>
    <row r="116">
      <c r="A116" s="19" t="n"/>
      <c r="B116" s="19" t="n"/>
      <c r="C116" s="19" t="n"/>
      <c r="D116" s="29" t="n"/>
      <c r="E116" s="25" t="n"/>
      <c r="F116" s="25" t="n"/>
      <c r="G116" s="25" t="n"/>
      <c r="H116" s="139" t="n"/>
      <c r="I116" s="139" t="n"/>
      <c r="J116" s="134">
        <f>H75+I75</f>
        <v/>
      </c>
      <c r="K116" s="139" t="n"/>
      <c r="L116" s="150">
        <f>J75-K75</f>
        <v/>
      </c>
      <c r="M116" s="139" t="n"/>
      <c r="N116" s="139" t="n"/>
      <c r="O116" s="139">
        <f>L75-M75</f>
        <v/>
      </c>
      <c r="P116" s="139">
        <f>K75-N75</f>
        <v/>
      </c>
      <c r="Q116" s="139">
        <f>M75+O75</f>
        <v/>
      </c>
      <c r="R116" s="139">
        <f>M75+N75+O75+P75</f>
        <v/>
      </c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 t="n"/>
      <c r="K117" s="139" t="n"/>
      <c r="L117" s="150" t="n"/>
      <c r="M117" s="139" t="n"/>
      <c r="N117" s="139" t="n"/>
      <c r="O117" s="139">
        <f>L76-M76</f>
        <v/>
      </c>
      <c r="P117" s="139">
        <f>K76-N76</f>
        <v/>
      </c>
      <c r="Q117" s="139">
        <f>M76+O76</f>
        <v/>
      </c>
      <c r="R117" s="139">
        <f>M76+N76+O76+P76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 t="n"/>
      <c r="K118" s="139" t="n"/>
      <c r="L118" s="150" t="n"/>
      <c r="M118" s="139" t="n"/>
      <c r="N118" s="139" t="n"/>
      <c r="O118" s="139">
        <f>L77-M77</f>
        <v/>
      </c>
      <c r="P118" s="139">
        <f>K77-N77</f>
        <v/>
      </c>
      <c r="Q118" s="139">
        <f>M77+O77</f>
        <v/>
      </c>
      <c r="R118" s="139">
        <f>M77+N77+O77+P77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26" t="n"/>
      <c r="B119" s="26" t="n"/>
      <c r="C119" s="26" t="n"/>
      <c r="D119" s="38" t="inlineStr">
        <is>
          <t>八、成本及费用合计（三+四+五+六+七）</t>
        </is>
      </c>
      <c r="E119" s="18" t="n"/>
      <c r="F119" s="18" t="n"/>
      <c r="G119" s="18" t="n"/>
      <c r="H119" s="152">
        <f>H69+H70+H71+H72+#REF!</f>
        <v/>
      </c>
      <c r="I119" s="152">
        <f>I69+I70+I71+I72+#REF!</f>
        <v/>
      </c>
      <c r="J119" s="93">
        <f>J69+J70+J71+J72+#REF!</f>
        <v/>
      </c>
      <c r="K119" s="152">
        <f>K69+K70+K71+K72+#REF!</f>
        <v/>
      </c>
      <c r="L119" s="94">
        <f>L69+L70+L71+L72+#REF!</f>
        <v/>
      </c>
      <c r="M119" s="94">
        <f>M69+M70+M71+M72</f>
        <v/>
      </c>
      <c r="N119" s="94">
        <f>N69+N70+N71+N72</f>
        <v/>
      </c>
      <c r="O119" s="94">
        <f>O69+O70+O71+O72</f>
        <v/>
      </c>
      <c r="P119" s="94">
        <f>P69+P70+P71+P72</f>
        <v/>
      </c>
      <c r="Q119" s="94">
        <f>Q69+Q70+Q71+Q72</f>
        <v/>
      </c>
      <c r="R119" s="94">
        <f>R69+R70+R71+R72</f>
        <v/>
      </c>
      <c r="S119" s="164">
        <f>S69+S70+S71+S72</f>
        <v/>
      </c>
      <c r="T119" s="164" t="n"/>
      <c r="U119" s="164" t="n"/>
      <c r="V119" s="164" t="n"/>
      <c r="W119" s="164" t="n"/>
      <c r="X119" s="164" t="n"/>
      <c r="Y119" s="164" t="n"/>
      <c r="Z119" s="164">
        <f>Z69+Z70+Z71+Z72</f>
        <v/>
      </c>
      <c r="AA119" s="164">
        <f>AA69+AA70+AA71+AA72</f>
        <v/>
      </c>
      <c r="AB119" s="166" t="n"/>
      <c r="AC119" s="166" t="n"/>
      <c r="AD119" s="166" t="n"/>
      <c r="AE119" s="166" t="n"/>
      <c r="AF119" s="166" t="n"/>
      <c r="AG119" s="166" t="n"/>
      <c r="AH119" s="166" t="n"/>
      <c r="AI119" s="166" t="n"/>
      <c r="AJ119" s="166" t="n"/>
      <c r="AK119" s="167" t="n"/>
      <c r="AL119" s="113" t="n"/>
    </row>
    <row r="120">
      <c r="A120" s="26" t="n"/>
      <c r="B120" s="26" t="n"/>
      <c r="C120" s="26" t="n"/>
      <c r="D120" s="38" t="inlineStr">
        <is>
          <t>九、增值税实际税负（按财务数据）</t>
        </is>
      </c>
      <c r="E120" s="18" t="inlineStr">
        <is>
          <t>根据财务账面实际已缴纳增值税额+尚需缴纳的增值税额</t>
        </is>
      </c>
      <c r="F120" s="18" t="n"/>
      <c r="G120" s="18" t="n"/>
      <c r="H120" s="152" t="n"/>
      <c r="I120" s="152" t="n"/>
      <c r="J120" s="93">
        <f>H79+I79</f>
        <v/>
      </c>
      <c r="K120" s="152" t="inlineStr">
        <is>
          <t>/</t>
        </is>
      </c>
      <c r="L120" s="94" t="inlineStr">
        <is>
          <t>/</t>
        </is>
      </c>
      <c r="M120" s="94" t="n"/>
      <c r="N120" s="94">
        <f>N6-N78</f>
        <v/>
      </c>
      <c r="O120" s="94" t="n"/>
      <c r="P120" s="94" t="n"/>
      <c r="Q120" s="94" t="inlineStr">
        <is>
          <t>/</t>
        </is>
      </c>
      <c r="R120" s="94">
        <f>N79+P79</f>
        <v/>
      </c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6" t="n"/>
      <c r="AC120" s="166" t="n"/>
      <c r="AD120" s="166" t="n"/>
      <c r="AE120" s="166" t="n"/>
      <c r="AF120" s="166" t="n"/>
      <c r="AG120" s="166" t="n"/>
      <c r="AH120" s="166" t="n"/>
      <c r="AI120" s="166" t="n"/>
      <c r="AJ120" s="166" t="n"/>
      <c r="AK120" s="167" t="n"/>
      <c r="AL120" s="113" t="n"/>
    </row>
    <row r="121">
      <c r="A121" s="26" t="n"/>
      <c r="B121" s="26" t="n"/>
      <c r="C121" s="26" t="n"/>
      <c r="D121" s="38" t="inlineStr">
        <is>
          <t>十、税金及附加（按财务数据）</t>
        </is>
      </c>
      <c r="E121" s="18" t="inlineStr">
        <is>
          <t>根据财务账面实际已缴纳税金及附加+尚需缴纳的税金及附加</t>
        </is>
      </c>
      <c r="F121" s="18" t="n"/>
      <c r="G121" s="18" t="n"/>
      <c r="H121" s="152" t="n"/>
      <c r="I121" s="152" t="n"/>
      <c r="J121" s="93">
        <f>H80+I80</f>
        <v/>
      </c>
      <c r="K121" s="152" t="n"/>
      <c r="L121" s="94">
        <f>J80</f>
        <v/>
      </c>
      <c r="M121" s="168" t="n">
        <v>260389.37</v>
      </c>
      <c r="N121" s="94" t="n"/>
      <c r="O121" s="94">
        <f>L80-M80</f>
        <v/>
      </c>
      <c r="P121" s="94" t="n"/>
      <c r="Q121" s="94">
        <f>M80+O80</f>
        <v/>
      </c>
      <c r="R121" s="94">
        <f>Q80</f>
        <v/>
      </c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6" t="n"/>
      <c r="AC121" s="166" t="n"/>
      <c r="AD121" s="166" t="n"/>
      <c r="AE121" s="166" t="n"/>
      <c r="AF121" s="166" t="n"/>
      <c r="AG121" s="166" t="n"/>
      <c r="AH121" s="166" t="n"/>
      <c r="AI121" s="166" t="n"/>
      <c r="AJ121" s="166" t="n"/>
      <c r="AK121" s="167" t="n"/>
      <c r="AL121" s="113" t="n"/>
    </row>
    <row r="122">
      <c r="A122" s="26" t="n"/>
      <c r="B122" s="26" t="n"/>
      <c r="C122" s="26" t="n"/>
      <c r="D122" s="38" t="inlineStr">
        <is>
          <t>十一、利润</t>
        </is>
      </c>
      <c r="E122" s="18" t="n"/>
      <c r="F122" s="18" t="n"/>
      <c r="G122" s="18" t="n"/>
      <c r="H122" s="152" t="n"/>
      <c r="I122" s="152" t="n"/>
      <c r="J122" s="93">
        <f>J6-J78-J79-J80</f>
        <v/>
      </c>
      <c r="K122" s="152" t="n"/>
      <c r="L122" s="94" t="n"/>
      <c r="M122" s="94" t="n"/>
      <c r="N122" s="94" t="n"/>
      <c r="O122" s="94" t="n"/>
      <c r="P122" s="94" t="n"/>
      <c r="Q122" s="94" t="n"/>
      <c r="R122" s="9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6" t="n"/>
      <c r="AC122" s="166" t="n"/>
      <c r="AD122" s="166" t="n"/>
      <c r="AE122" s="166" t="n"/>
      <c r="AF122" s="166" t="n"/>
      <c r="AG122" s="166" t="n"/>
      <c r="AH122" s="166" t="n"/>
      <c r="AI122" s="166" t="n"/>
      <c r="AJ122" s="166" t="n"/>
      <c r="AK122" s="167" t="n"/>
      <c r="AL122" s="113" t="n"/>
    </row>
    <row r="123">
      <c r="A123" s="26" t="n"/>
      <c r="B123" s="26" t="n"/>
      <c r="C123" s="26" t="n"/>
      <c r="D123" s="38" t="inlineStr">
        <is>
          <t>十二、利润率</t>
        </is>
      </c>
      <c r="E123" s="18" t="n"/>
      <c r="F123" s="18" t="n"/>
      <c r="G123" s="18" t="n"/>
      <c r="H123" s="152" t="n"/>
      <c r="I123" s="152" t="n"/>
      <c r="J123" s="93">
        <f>J81/J6</f>
        <v/>
      </c>
      <c r="K123" s="152" t="n"/>
      <c r="L123" s="94">
        <f>L81/L6</f>
        <v/>
      </c>
      <c r="M123" s="94">
        <f>M81/M6</f>
        <v/>
      </c>
      <c r="N123" s="94" t="n"/>
      <c r="O123" s="94" t="n"/>
      <c r="P123" s="94" t="n"/>
      <c r="Q123" s="94">
        <f>Q81/Q6</f>
        <v/>
      </c>
      <c r="R123" s="94">
        <f>R81/R6</f>
        <v/>
      </c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6" t="n"/>
      <c r="AC123" s="166" t="n"/>
      <c r="AD123" s="166" t="n"/>
      <c r="AE123" s="166" t="n"/>
      <c r="AF123" s="166" t="n"/>
      <c r="AG123" s="166" t="n"/>
      <c r="AH123" s="166" t="n"/>
      <c r="AI123" s="166" t="n"/>
      <c r="AJ123" s="166" t="n"/>
      <c r="AK123" s="167" t="n"/>
      <c r="AL123" s="113" t="n"/>
    </row>
    <row r="124">
      <c r="A124" s="81" t="n"/>
      <c r="B124" s="81" t="n"/>
      <c r="C124" s="81" t="n"/>
      <c r="D124" s="82" t="n"/>
      <c r="E124" s="83" t="n"/>
      <c r="F124" s="83" t="n"/>
      <c r="G124" s="83" t="n"/>
      <c r="H124" s="169" t="n"/>
      <c r="I124" s="169" t="n"/>
      <c r="J124" s="170" t="inlineStr">
        <is>
          <t>含税利润率</t>
        </is>
      </c>
      <c r="K124" s="171" t="n"/>
      <c r="L124" s="172" t="inlineStr">
        <is>
          <t>不含税利润率</t>
        </is>
      </c>
      <c r="M124" s="173" t="n"/>
      <c r="N124" s="173" t="n"/>
      <c r="O124" s="173" t="n"/>
      <c r="P124" s="173" t="n"/>
      <c r="Q124" s="173" t="n"/>
      <c r="R124" s="173" t="n"/>
      <c r="S124" s="173" t="n"/>
      <c r="T124" s="173" t="n"/>
      <c r="U124" s="173" t="n"/>
      <c r="V124" s="173" t="n"/>
      <c r="W124" s="173" t="n"/>
      <c r="X124" s="173" t="n"/>
      <c r="Y124" s="173" t="n"/>
      <c r="Z124" s="174" t="n"/>
      <c r="AA124" s="117" t="n"/>
      <c r="AB124" s="109" t="n"/>
      <c r="AC124" s="109" t="n"/>
      <c r="AD124" s="109" t="n"/>
      <c r="AE124" s="109" t="n"/>
      <c r="AF124" s="109" t="n"/>
      <c r="AG124" s="109" t="n"/>
      <c r="AH124" s="109" t="n"/>
      <c r="AI124" s="109" t="n"/>
      <c r="AJ124" s="109" t="n"/>
      <c r="AK124" s="109" t="n"/>
      <c r="AL124" s="109" t="n"/>
    </row>
    <row r="125">
      <c r="A125" s="81" t="n"/>
      <c r="B125" s="81" t="n"/>
      <c r="C125" s="81" t="n"/>
      <c r="D125" s="82" t="n"/>
      <c r="E125" s="83" t="n"/>
      <c r="F125" s="83" t="n"/>
      <c r="G125" s="83" t="n"/>
      <c r="H125" s="169" t="n"/>
      <c r="I125" s="169" t="n"/>
      <c r="J125" s="175" t="n"/>
      <c r="K125" s="169" t="n"/>
      <c r="L125" s="176" t="n"/>
      <c r="M125" s="173" t="n"/>
      <c r="N125" s="173" t="n"/>
      <c r="O125" s="173" t="n"/>
      <c r="P125" s="173" t="n"/>
      <c r="Q125" s="173" t="n"/>
      <c r="R125" s="173" t="n"/>
      <c r="S125" s="173" t="n"/>
      <c r="T125" s="173" t="n"/>
      <c r="U125" s="173" t="n"/>
      <c r="V125" s="173" t="n"/>
      <c r="W125" s="173" t="n"/>
      <c r="X125" s="173" t="n"/>
      <c r="Y125" s="173" t="n"/>
      <c r="Z125" s="174" t="n"/>
      <c r="AA125" s="117" t="n"/>
      <c r="AB125" s="109" t="n"/>
      <c r="AC125" s="109" t="n"/>
      <c r="AD125" s="109" t="n"/>
      <c r="AE125" s="109" t="n"/>
      <c r="AF125" s="109" t="n"/>
      <c r="AG125" s="109" t="n"/>
      <c r="AH125" s="109" t="n"/>
      <c r="AI125" s="109" t="n"/>
      <c r="AJ125" s="109" t="n"/>
      <c r="AK125" s="109" t="n"/>
      <c r="AL125" s="109" t="n"/>
    </row>
    <row r="126">
      <c r="A126" s="85" t="n"/>
      <c r="B126" s="85" t="n"/>
      <c r="C126" s="85" t="n"/>
      <c r="D126" s="86" t="n"/>
      <c r="E126" s="87" t="n"/>
      <c r="F126" s="87" t="n"/>
      <c r="G126" s="87" t="n"/>
      <c r="H126" s="88" t="n"/>
      <c r="I126" s="88" t="n"/>
      <c r="J126" s="101" t="n"/>
      <c r="K126" s="177" t="n"/>
      <c r="L126" s="177" t="n"/>
      <c r="M126" s="178" t="n"/>
      <c r="N126" s="177" t="n"/>
      <c r="O126" s="177" t="n"/>
      <c r="P126" s="179" t="n"/>
      <c r="Q126" s="179" t="n"/>
      <c r="R126" s="177" t="n"/>
      <c r="S126" s="86" t="n"/>
      <c r="T126" s="86" t="n"/>
      <c r="U126" s="86" t="n"/>
      <c r="V126" s="86" t="n"/>
      <c r="W126" s="86" t="n"/>
      <c r="X126" s="86" t="n"/>
      <c r="Y126" s="86" t="n"/>
      <c r="Z126" s="87" t="n"/>
      <c r="AA126" s="180" t="n"/>
      <c r="AD126" s="89" t="n"/>
      <c r="AE126" s="89" t="n"/>
      <c r="AF126" s="89" t="n"/>
      <c r="AG126" s="89" t="n"/>
      <c r="AH126" s="89" t="n"/>
      <c r="AI126" s="89" t="n"/>
      <c r="AJ126" s="89" t="n"/>
      <c r="AK126" s="89" t="n"/>
      <c r="AL126" s="89" t="n"/>
    </row>
    <row r="127">
      <c r="A127" s="89" t="n"/>
      <c r="B127" s="89" t="n"/>
      <c r="C127" s="89" t="n"/>
      <c r="D127" s="89" t="n"/>
      <c r="E127" s="90" t="n"/>
      <c r="F127" s="90" t="n"/>
      <c r="G127" s="90" t="n"/>
      <c r="H127" s="90" t="n"/>
      <c r="I127" s="90" t="n"/>
      <c r="J127" s="90" t="n"/>
      <c r="K127" s="181" t="n"/>
      <c r="L127" s="90" t="n"/>
      <c r="M127" s="90" t="n"/>
      <c r="N127" s="90" t="n"/>
      <c r="O127" s="90" t="n"/>
      <c r="P127" s="90" t="n"/>
      <c r="Q127" s="90" t="n"/>
      <c r="R127" s="90" t="n"/>
      <c r="S127" s="86" t="n"/>
      <c r="T127" s="86" t="n"/>
      <c r="U127" s="86" t="n"/>
      <c r="V127" s="86" t="n"/>
      <c r="W127" s="86" t="n"/>
      <c r="X127" s="86" t="n"/>
      <c r="Y127" s="86" t="n"/>
      <c r="Z127" s="90" t="n"/>
      <c r="AA127" s="89" t="n"/>
      <c r="AB127" s="89" t="n"/>
      <c r="AC127" s="89" t="n"/>
      <c r="AD127" s="89" t="n"/>
      <c r="AE127" s="89" t="n"/>
      <c r="AF127" s="89" t="n"/>
      <c r="AG127" s="89" t="n"/>
      <c r="AH127" s="89" t="n"/>
      <c r="AI127" s="89" t="n"/>
      <c r="AJ127" s="89" t="n"/>
      <c r="AK127" s="89" t="n"/>
      <c r="AL127" s="89" t="n"/>
    </row>
    <row r="128">
      <c r="A128" s="89" t="n"/>
      <c r="B128" s="89" t="n"/>
      <c r="C128" s="89" t="n"/>
      <c r="D128" s="89" t="n"/>
      <c r="E128" s="90" t="n"/>
      <c r="F128" s="90" t="n"/>
      <c r="G128" s="90" t="n"/>
      <c r="H128" s="90" t="n"/>
      <c r="I128" s="90" t="n"/>
      <c r="J128" s="90" t="n"/>
      <c r="K128" s="181" t="n"/>
      <c r="L128" s="90" t="n"/>
      <c r="M128" s="90" t="n"/>
      <c r="N128" s="90" t="n"/>
      <c r="O128" s="90" t="n"/>
      <c r="P128" s="90" t="n"/>
      <c r="Q128" s="90" t="n"/>
      <c r="R128" s="90" t="n"/>
      <c r="S128" s="86" t="n"/>
      <c r="T128" s="86" t="n"/>
      <c r="U128" s="86" t="n"/>
      <c r="V128" s="86" t="n"/>
      <c r="W128" s="86" t="n"/>
      <c r="X128" s="86" t="n"/>
      <c r="Y128" s="86" t="n"/>
      <c r="Z128" s="90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</row>
    <row r="129">
      <c r="A129" s="89" t="n"/>
      <c r="B129" s="89" t="n"/>
      <c r="C129" s="89" t="n"/>
      <c r="D129" s="89" t="n"/>
      <c r="E129" s="91" t="n"/>
      <c r="F129" s="91" t="n"/>
      <c r="G129" s="91" t="n"/>
      <c r="H129" s="90" t="n"/>
      <c r="I129" s="90" t="n"/>
      <c r="J129" s="90" t="n"/>
      <c r="K129" s="91" t="n"/>
      <c r="L129" s="90" t="n"/>
      <c r="M129" s="90" t="n"/>
      <c r="N129" s="87" t="n"/>
      <c r="O129" s="90" t="n"/>
      <c r="P129" s="90" t="n"/>
      <c r="Q129" s="90" t="n"/>
      <c r="R129" s="177" t="n"/>
      <c r="S129" s="86" t="n"/>
      <c r="T129" s="86" t="n"/>
      <c r="U129" s="86" t="n"/>
      <c r="V129" s="86" t="n"/>
      <c r="W129" s="86" t="n"/>
      <c r="X129" s="86" t="n"/>
      <c r="Y129" s="86" t="n"/>
      <c r="Z129" s="90" t="n"/>
      <c r="AA129" s="89" t="n"/>
      <c r="AB129" s="89" t="n"/>
      <c r="AC129" s="89" t="n"/>
      <c r="AD129" s="89" t="n"/>
      <c r="AE129" s="89" t="n"/>
      <c r="AF129" s="89" t="n"/>
      <c r="AG129" s="89" t="n"/>
      <c r="AH129" s="89" t="n"/>
      <c r="AI129" s="89" t="n"/>
      <c r="AJ129" s="89" t="n"/>
      <c r="AK129" s="89" t="n"/>
      <c r="AL129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2026-04-18T16:24:03Z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