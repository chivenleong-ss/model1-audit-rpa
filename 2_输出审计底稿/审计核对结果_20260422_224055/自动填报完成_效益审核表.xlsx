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8" authorId="1" shapeId="0">
      <text>
        <t xml:space="preserve">**同财务账面合同履约成本/工程施工成本/机械租赁费数据一致**
</t>
      </text>
    </comment>
    <comment ref="M146" authorId="0" shapeId="0">
      <text>
        <t>于:
**同财务账面合同履约成本/工程施工成本其他直接费数据一致**</t>
      </text>
    </comment>
    <comment ref="M188" authorId="1" shapeId="0">
      <text>
        <t>**同财务账面合同履约成本/工程施工成本/间接费数据一致**</t>
      </text>
    </comment>
    <comment ref="D197" authorId="2" shapeId="0">
      <text>
        <t>（在建：房建0.6%，其它0.4%；在保修期间的按0.3~0.5%自行确定;保修期结束为0）</t>
      </text>
    </comment>
    <comment ref="E211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2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0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33" t="n"/>
      <c r="B33" s="199" t="n"/>
      <c r="C33" s="199" t="n"/>
      <c r="D33" s="211" t="inlineStr">
        <is>
          <t>**财务未列部分需增列***</t>
        </is>
      </c>
      <c r="E33" s="212" t="n"/>
      <c r="F33" s="212" t="n"/>
      <c r="G33" s="212" t="n"/>
      <c r="H33" s="189" t="n"/>
      <c r="I33" s="189" t="n"/>
      <c r="J33" s="189" t="n"/>
      <c r="K33" s="201" t="n"/>
      <c r="L33" s="202" t="n"/>
      <c r="M33" s="189" t="n"/>
      <c r="N33" s="189" t="n"/>
      <c r="O33" s="189">
        <f>L33-M33</f>
        <v/>
      </c>
      <c r="P33" s="189">
        <f>K33-N33</f>
        <v/>
      </c>
      <c r="Q33" s="189">
        <f>M33+O33</f>
        <v/>
      </c>
      <c r="R33" s="189">
        <f>M33+N33+O33+P33</f>
        <v/>
      </c>
      <c r="S33" s="203">
        <f>SUM(T33:V33)</f>
        <v/>
      </c>
      <c r="T33" s="189" t="n"/>
      <c r="U33" s="189" t="n"/>
      <c r="V33" s="189" t="n"/>
      <c r="W33" s="189" t="n"/>
      <c r="X33" s="189" t="n"/>
      <c r="Y33" s="189" t="n"/>
      <c r="Z33" s="189">
        <f>SUM(AA16:AJ16)</f>
        <v/>
      </c>
      <c r="AA33" s="213" t="n"/>
      <c r="AB33" s="188" t="n"/>
      <c r="AC33" s="188" t="n"/>
      <c r="AD33" s="188" t="n"/>
      <c r="AE33" s="188" t="n"/>
      <c r="AF33" s="188" t="n"/>
      <c r="AG33" s="188" t="n"/>
      <c r="AH33" s="188" t="n"/>
      <c r="AI33" s="188" t="n"/>
      <c r="AJ33" s="188" t="n"/>
      <c r="AK33" s="188">
        <f>AB16/1.17*0.17+AC16/1.16*0.16+AD16/1.11*0.11+AE16/1.1*0.1+AF16/1.09*0.09+AI16/1.03*0.03</f>
        <v/>
      </c>
      <c r="AL33" s="214" t="n"/>
    </row>
    <row r="34" ht="14" customFormat="1" customHeight="1" s="180">
      <c r="A34" s="41" t="n"/>
      <c r="B34" s="215" t="n"/>
      <c r="C34" s="215" t="n"/>
      <c r="D34" s="216" t="inlineStr">
        <is>
          <t>人工费小计：</t>
        </is>
      </c>
      <c r="E34" s="217">
        <f>SUM(E12:E33)</f>
        <v/>
      </c>
      <c r="F34" s="217">
        <f>SUM(F12:F33)</f>
        <v/>
      </c>
      <c r="G34" s="217">
        <f>SUM(G12:G33)</f>
        <v/>
      </c>
      <c r="H34" s="217">
        <f>SUM(H12:H33)</f>
        <v/>
      </c>
      <c r="I34" s="217">
        <f>SUM(I12:I33)</f>
        <v/>
      </c>
      <c r="J34" s="217">
        <f>SUM(J12:J33)</f>
        <v/>
      </c>
      <c r="K34" s="217">
        <f>SUM(K12:K33)</f>
        <v/>
      </c>
      <c r="L34" s="217">
        <f>SUM(L12:L33)</f>
        <v/>
      </c>
      <c r="M34" s="217">
        <f>SUM(M12:M33)</f>
        <v/>
      </c>
      <c r="N34" s="217">
        <f>SUM(N12:N33)</f>
        <v/>
      </c>
      <c r="O34" s="217">
        <f>SUM(O12:O33)</f>
        <v/>
      </c>
      <c r="P34" s="217">
        <f>SUM(P12:P33)</f>
        <v/>
      </c>
      <c r="Q34" s="217">
        <f>SUM(Q12:Q33)</f>
        <v/>
      </c>
      <c r="R34" s="217">
        <f>SUM(R12:R33)</f>
        <v/>
      </c>
      <c r="S34" s="217">
        <f>SUM(S12:S33)</f>
        <v/>
      </c>
      <c r="T34" s="217">
        <f>SUM(T12:T33)</f>
        <v/>
      </c>
      <c r="U34" s="217">
        <f>SUM(U12:U33)</f>
        <v/>
      </c>
      <c r="V34" s="217">
        <f>SUM(V12:V33)</f>
        <v/>
      </c>
      <c r="W34" s="217">
        <f>SUM(W12:W33)</f>
        <v/>
      </c>
      <c r="X34" s="217">
        <f>SUM(X12:X33)</f>
        <v/>
      </c>
      <c r="Y34" s="217">
        <f>SUM(Y12:Y33)</f>
        <v/>
      </c>
      <c r="Z34" s="217">
        <f>SUM(Z12:Z33)</f>
        <v/>
      </c>
      <c r="AA34" s="217">
        <f>SUM(AA12:AA33)</f>
        <v/>
      </c>
      <c r="AB34" s="217">
        <f>SUM(AB12:AB33)</f>
        <v/>
      </c>
      <c r="AC34" s="217">
        <f>SUM(AC12:AC33)</f>
        <v/>
      </c>
      <c r="AD34" s="217">
        <f>SUM(AD12:AD33)</f>
        <v/>
      </c>
      <c r="AE34" s="217">
        <f>SUM(AE12:AE33)</f>
        <v/>
      </c>
      <c r="AF34" s="217">
        <f>SUM(AF12:AF33)</f>
        <v/>
      </c>
      <c r="AG34" s="217">
        <f>SUM(AG12:AG33)</f>
        <v/>
      </c>
      <c r="AH34" s="217">
        <f>SUM(AH12:AH33)</f>
        <v/>
      </c>
      <c r="AI34" s="217">
        <f>SUM(AI12:AI33)</f>
        <v/>
      </c>
      <c r="AJ34" s="217">
        <f>SUM(AJ12:AJ33)</f>
        <v/>
      </c>
      <c r="AK34" s="217">
        <f>SUM(AK12:AK33)</f>
        <v/>
      </c>
      <c r="AL34" s="204" t="n"/>
    </row>
    <row r="35" ht="14" customFormat="1" customHeight="1" s="180">
      <c r="A35" s="33" t="n"/>
      <c r="B35" s="199" t="n"/>
      <c r="C35" s="199" t="n"/>
      <c r="D35" s="218" t="inlineStr">
        <is>
          <t>（二）分包工程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203" t="n"/>
      <c r="AF35" s="203" t="n"/>
      <c r="AG35" s="203" t="n"/>
      <c r="AH35" s="203" t="n"/>
      <c r="AI35" s="203" t="n"/>
      <c r="AJ35" s="203" t="n"/>
      <c r="AK35" s="188">
        <f>AB18/1.17*0.17+AC18/1.16*0.16+AD18/1.11*0.11+AE18/1.1*0.1+AF18/1.09*0.09+AI18/1.03*0.03</f>
        <v/>
      </c>
      <c r="AL35" s="204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33" t="n"/>
      <c r="B64" s="199" t="n"/>
      <c r="C64" s="199" t="n"/>
      <c r="D64" s="211" t="inlineStr">
        <is>
          <t>**财务未列部分需增列***</t>
        </is>
      </c>
      <c r="E64" s="219" t="n"/>
      <c r="F64" s="219" t="n"/>
      <c r="G64" s="21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189" t="n"/>
      <c r="U64" s="189" t="n"/>
      <c r="V64" s="189" t="n"/>
      <c r="W64" s="189" t="n"/>
      <c r="X64" s="189" t="n"/>
      <c r="Y64" s="189" t="n"/>
      <c r="Z64" s="203" t="n"/>
      <c r="AA64" s="203" t="n"/>
      <c r="AB64" s="188" t="n"/>
      <c r="AC64" s="188" t="n"/>
      <c r="AD64" s="188" t="n"/>
      <c r="AE64" s="188" t="n"/>
      <c r="AF64" s="188" t="n"/>
      <c r="AG64" s="188" t="n"/>
      <c r="AH64" s="188" t="n"/>
      <c r="AI64" s="188" t="n"/>
      <c r="AJ64" s="188" t="n"/>
      <c r="AK64" s="188">
        <f>AB22/1.17*0.17+AC22/1.16*0.16+AD22/1.11*0.11+AE22/1.1*0.1+AF22/1.09*0.09+AI22/1.03*0.03</f>
        <v/>
      </c>
      <c r="AL64" s="214" t="n"/>
    </row>
    <row r="65" ht="14" customFormat="1" customHeight="1" s="180">
      <c r="A65" s="41" t="n"/>
      <c r="B65" s="215" t="n"/>
      <c r="C65" s="215" t="n"/>
      <c r="D65" s="216" t="inlineStr">
        <is>
          <t>分包工程小计：</t>
        </is>
      </c>
      <c r="E65" s="217">
        <f>SUM(E35:E64)</f>
        <v/>
      </c>
      <c r="F65" s="217">
        <f>SUM(F35:F64)</f>
        <v/>
      </c>
      <c r="G65" s="217">
        <f>SUM(G35:G64)</f>
        <v/>
      </c>
      <c r="H65" s="217">
        <f>SUM(H35:H64)</f>
        <v/>
      </c>
      <c r="I65" s="217">
        <f>SUM(I35:I64)</f>
        <v/>
      </c>
      <c r="J65" s="217">
        <f>SUM(J35:J64)</f>
        <v/>
      </c>
      <c r="K65" s="217">
        <f>SUM(K35:K64)</f>
        <v/>
      </c>
      <c r="L65" s="217">
        <f>SUM(L35:L64)</f>
        <v/>
      </c>
      <c r="M65" s="217">
        <f>SUM(M35:M64)</f>
        <v/>
      </c>
      <c r="N65" s="217">
        <f>SUM(N35:N64)</f>
        <v/>
      </c>
      <c r="O65" s="217">
        <f>SUM(O35:O64)</f>
        <v/>
      </c>
      <c r="P65" s="217">
        <f>SUM(P35:P64)</f>
        <v/>
      </c>
      <c r="Q65" s="217">
        <f>SUM(Q35:Q64)</f>
        <v/>
      </c>
      <c r="R65" s="217">
        <f>SUM(R35:R64)</f>
        <v/>
      </c>
      <c r="S65" s="217">
        <f>SUM(S35:S64)</f>
        <v/>
      </c>
      <c r="T65" s="217">
        <f>SUM(T35:T64)</f>
        <v/>
      </c>
      <c r="U65" s="217">
        <f>SUM(U35:U64)</f>
        <v/>
      </c>
      <c r="V65" s="217">
        <f>SUM(V35:V64)</f>
        <v/>
      </c>
      <c r="W65" s="217">
        <f>SUM(W35:W64)</f>
        <v/>
      </c>
      <c r="X65" s="217">
        <f>SUM(X35:X64)</f>
        <v/>
      </c>
      <c r="Y65" s="217">
        <f>SUM(Y35:Y64)</f>
        <v/>
      </c>
      <c r="Z65" s="217">
        <f>SUM(Z35:Z64)</f>
        <v/>
      </c>
      <c r="AA65" s="217">
        <f>SUM(AA35:AA64)</f>
        <v/>
      </c>
      <c r="AB65" s="217">
        <f>SUM(AB35:AB64)</f>
        <v/>
      </c>
      <c r="AC65" s="217">
        <f>SUM(AC35:AC64)</f>
        <v/>
      </c>
      <c r="AD65" s="217">
        <f>SUM(AD35:AD64)</f>
        <v/>
      </c>
      <c r="AE65" s="217">
        <f>SUM(AE35:AE64)</f>
        <v/>
      </c>
      <c r="AF65" s="217">
        <f>SUM(AF35:AF64)</f>
        <v/>
      </c>
      <c r="AG65" s="217">
        <f>SUM(AG35:AG64)</f>
        <v/>
      </c>
      <c r="AH65" s="217">
        <f>SUM(AH35:AH64)</f>
        <v/>
      </c>
      <c r="AI65" s="217">
        <f>SUM(AI35:AI64)</f>
        <v/>
      </c>
      <c r="AJ65" s="217">
        <f>SUM(AJ35:AJ64)</f>
        <v/>
      </c>
      <c r="AK65" s="217">
        <f>SUM(AK35:AK64)</f>
        <v/>
      </c>
      <c r="AL65" s="204" t="n"/>
    </row>
    <row r="66" ht="14" customFormat="1" customHeight="1" s="180">
      <c r="A66" s="33" t="n"/>
      <c r="B66" s="199" t="n"/>
      <c r="C66" s="199" t="n"/>
      <c r="D66" s="218" t="inlineStr">
        <is>
          <t>(三)材料费</t>
        </is>
      </c>
      <c r="E66" s="199" t="n"/>
      <c r="F66" s="199" t="n"/>
      <c r="G66" s="199" t="n"/>
      <c r="H66" s="189" t="n"/>
      <c r="I66" s="189" t="n"/>
      <c r="J66" s="189" t="n"/>
      <c r="K66" s="201" t="n"/>
      <c r="L66" s="202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03" t="n"/>
      <c r="U66" s="203" t="n"/>
      <c r="V66" s="203" t="n"/>
      <c r="W66" s="203" t="n"/>
      <c r="X66" s="203" t="n"/>
      <c r="Y66" s="203" t="n"/>
      <c r="Z66" s="203" t="n"/>
      <c r="AA66" s="203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188">
        <f>AB24/1.17*0.17+AC24/1.16*0.16+AD24/1.11*0.11+AE24/1.1*0.1+AF24/1.09*0.09+AI24/1.03*0.03</f>
        <v/>
      </c>
      <c r="AL66" s="221" t="n"/>
    </row>
    <row r="67" ht="14" customFormat="1" customHeight="1" s="180">
      <c r="A67" s="33" t="n"/>
      <c r="B67" s="199" t="n"/>
      <c r="C67" s="199" t="n"/>
      <c r="D67" s="189" t="inlineStr">
        <is>
          <t>（1）集中采购</t>
        </is>
      </c>
      <c r="E67" s="199" t="n"/>
      <c r="F67" s="199" t="n"/>
      <c r="G67" s="199" t="n"/>
      <c r="H67" s="189" t="n"/>
      <c r="I67" s="189" t="n"/>
      <c r="J67" s="189" t="n"/>
      <c r="K67" s="201" t="n"/>
      <c r="L67" s="202" t="n"/>
      <c r="M67" s="189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203" t="n"/>
      <c r="U67" s="203" t="n"/>
      <c r="V67" s="203" t="n"/>
      <c r="W67" s="203" t="n"/>
      <c r="X67" s="203" t="n"/>
      <c r="Y67" s="203" t="n"/>
      <c r="Z67" s="203" t="n"/>
      <c r="AA67" s="203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188">
        <f>AB25/1.17*0.17+AC25/1.16*0.16+AD25/1.11*0.11+AE25/1.1*0.1+AF25/1.09*0.09+AI25/1.03*0.03</f>
        <v/>
      </c>
      <c r="AL67" s="221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202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202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202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33" t="n"/>
      <c r="B71" s="199" t="n"/>
      <c r="C71" s="199" t="n"/>
      <c r="D71" s="189" t="inlineStr">
        <is>
          <t>（2）自行采购</t>
        </is>
      </c>
      <c r="E71" s="219" t="n"/>
      <c r="F71" s="219" t="n"/>
      <c r="G71" s="219" t="n"/>
      <c r="H71" s="189" t="n"/>
      <c r="I71" s="189" t="n"/>
      <c r="J71" s="189" t="n"/>
      <c r="K71" s="201" t="n"/>
      <c r="L71" s="202" t="n"/>
      <c r="M71" s="189" t="n"/>
      <c r="N71" s="189" t="n"/>
      <c r="O71" s="189">
        <f>L71-M71</f>
        <v/>
      </c>
      <c r="P71" s="189">
        <f>K71-N71</f>
        <v/>
      </c>
      <c r="Q71" s="189">
        <f>M71+O71</f>
        <v/>
      </c>
      <c r="R71" s="189">
        <f>M71+N71+O71+P71</f>
        <v/>
      </c>
      <c r="S71" s="203">
        <f>SUM(T71:V71)</f>
        <v/>
      </c>
      <c r="T71" s="203" t="n"/>
      <c r="U71" s="203" t="n"/>
      <c r="V71" s="203" t="n"/>
      <c r="W71" s="203" t="n"/>
      <c r="X71" s="203" t="n"/>
      <c r="Y71" s="203" t="n"/>
      <c r="Z71" s="189">
        <f>SUM(AA29:AJ29)</f>
        <v/>
      </c>
      <c r="AA71" s="203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188">
        <f>AB29/1.17*0.17+AC29/1.16*0.16+AD29/1.11*0.11+AE29/1.1*0.1+AF29/1.09*0.09+AI29/1.03*0.03</f>
        <v/>
      </c>
      <c r="AL71" s="221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9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9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9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9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9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9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</row>
    <row r="114">
      <c r="A114" s="206" t="n">
        <v>43</v>
      </c>
      <c r="B114" s="206" t="n"/>
      <c r="C114" s="207" t="n"/>
      <c r="D114" s="207" t="inlineStr">
        <is>
          <t>废旧物资处置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9" t="n"/>
      <c r="M114" s="210" t="n">
        <v>-1401180.1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206" t="n">
        <v>44</v>
      </c>
      <c r="B115" s="206" t="n"/>
      <c r="C115" s="207" t="n"/>
      <c r="D115" s="207" t="inlineStr">
        <is>
          <t>材料调入+CFK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9" t="n"/>
      <c r="M115" s="210" t="n">
        <v>17996069.15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</row>
    <row r="116">
      <c r="A116" s="206" t="n">
        <v>45</v>
      </c>
      <c r="B116" s="206" t="n"/>
      <c r="C116" s="207" t="n"/>
      <c r="D116" s="207" t="inlineStr">
        <is>
          <t>研发支出-材料费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9" t="n"/>
      <c r="M116" s="210" t="n">
        <v>-25030932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</row>
    <row r="117">
      <c r="A117" s="33" t="n"/>
      <c r="B117" s="199" t="n"/>
      <c r="C117" s="199" t="n"/>
      <c r="D117" s="218" t="inlineStr">
        <is>
          <t>材料调入</t>
        </is>
      </c>
      <c r="E117" s="199" t="n"/>
      <c r="F117" s="199" t="n"/>
      <c r="G117" s="199" t="n"/>
      <c r="H117" s="189" t="n"/>
      <c r="I117" s="189" t="n"/>
      <c r="J117" s="189" t="n"/>
      <c r="K117" s="201" t="n"/>
      <c r="L117" s="202" t="n"/>
      <c r="M117" s="189" t="n"/>
      <c r="N117" s="189" t="n"/>
      <c r="O117" s="189">
        <f>L117-M117</f>
        <v/>
      </c>
      <c r="P117" s="189">
        <f>K117-N117</f>
        <v/>
      </c>
      <c r="Q117" s="189">
        <f>M117+O117</f>
        <v/>
      </c>
      <c r="R117" s="189">
        <f>M117+N117+O117+P117</f>
        <v/>
      </c>
      <c r="S117" s="203">
        <f>SUM(T117:V117)</f>
        <v/>
      </c>
      <c r="T117" s="203" t="n"/>
      <c r="U117" s="203" t="n"/>
      <c r="V117" s="203" t="n"/>
      <c r="W117" s="203" t="n"/>
      <c r="X117" s="203" t="n"/>
      <c r="Y117" s="203" t="n"/>
      <c r="Z117" s="189">
        <f>SUM(AA30:AJ30)</f>
        <v/>
      </c>
      <c r="AA117" s="203" t="n"/>
      <c r="AB117" s="220" t="n"/>
      <c r="AC117" s="220" t="n"/>
      <c r="AD117" s="220" t="n"/>
      <c r="AE117" s="220" t="n"/>
      <c r="AF117" s="220" t="n"/>
      <c r="AG117" s="220" t="n"/>
      <c r="AH117" s="220" t="n"/>
      <c r="AI117" s="220" t="n"/>
      <c r="AJ117" s="220" t="n"/>
      <c r="AK117" s="188">
        <f>AB30/1.17*0.17+AC30/1.16*0.16+AD30/1.11*0.11+AE30/1.1*0.1+AF30/1.09*0.09+AI30/1.03*0.03</f>
        <v/>
      </c>
      <c r="AL117" s="221" t="n"/>
    </row>
    <row r="118">
      <c r="A118" s="33" t="n">
        <v>46</v>
      </c>
      <c r="B118" s="199" t="n"/>
      <c r="C118" s="199" t="n"/>
      <c r="D118" s="218" t="inlineStr">
        <is>
          <t>材料调出（注：负数填报）</t>
        </is>
      </c>
      <c r="E118" s="223" t="n"/>
      <c r="F118" s="223" t="n"/>
      <c r="G118" s="223" t="n"/>
      <c r="H118" s="224" t="n"/>
      <c r="I118" s="224" t="n"/>
      <c r="J118" s="189" t="n"/>
      <c r="K118" s="201" t="n"/>
      <c r="L118" s="202" t="n"/>
      <c r="M118" s="225" t="n">
        <v>-8003517.42</v>
      </c>
      <c r="N118" s="224" t="n"/>
      <c r="O118" s="189">
        <f>L118-M118</f>
        <v/>
      </c>
      <c r="P118" s="189">
        <f>K118-N118</f>
        <v/>
      </c>
      <c r="Q118" s="189">
        <f>M118+O118</f>
        <v/>
      </c>
      <c r="R118" s="189">
        <f>M118+N118+O118+P118</f>
        <v/>
      </c>
      <c r="S118" s="203">
        <f>SUM(T118:V118)</f>
        <v/>
      </c>
      <c r="T118" s="224" t="n"/>
      <c r="U118" s="224" t="n"/>
      <c r="V118" s="224" t="n"/>
      <c r="W118" s="224" t="n"/>
      <c r="X118" s="224" t="n"/>
      <c r="Y118" s="224" t="n"/>
      <c r="Z118" s="189">
        <f>SUM(AA31:AJ31)</f>
        <v/>
      </c>
      <c r="AA118" s="224" t="n"/>
      <c r="AB118" s="226" t="n"/>
      <c r="AC118" s="226" t="n"/>
      <c r="AD118" s="226" t="n"/>
      <c r="AE118" s="226" t="n"/>
      <c r="AF118" s="226" t="n"/>
      <c r="AG118" s="226" t="n"/>
      <c r="AH118" s="226" t="n"/>
      <c r="AI118" s="226" t="n"/>
      <c r="AJ118" s="226" t="n"/>
      <c r="AK118" s="188">
        <f>AB31/1.17*0.17+AC31/1.16*0.16+AD31/1.11*0.11+AE31/1.1*0.1+AF31/1.09*0.09+AI31/1.03*0.03</f>
        <v/>
      </c>
      <c r="AL118" s="227" t="n"/>
    </row>
    <row r="119">
      <c r="A119" s="33" t="n"/>
      <c r="B119" s="199" t="n"/>
      <c r="C119" s="199" t="n"/>
      <c r="D119" s="218" t="inlineStr">
        <is>
          <t>材料库存（注：项目已结算未使用材料冲减项目成本，负数填报）</t>
        </is>
      </c>
      <c r="E119" s="223" t="n"/>
      <c r="F119" s="223" t="n"/>
      <c r="G119" s="223" t="n"/>
      <c r="H119" s="224" t="n"/>
      <c r="I119" s="224" t="n"/>
      <c r="J119" s="189" t="n"/>
      <c r="K119" s="201" t="n"/>
      <c r="L119" s="202" t="n"/>
      <c r="M119" s="224" t="n"/>
      <c r="N119" s="224" t="n"/>
      <c r="O119" s="189" t="n"/>
      <c r="P119" s="189" t="n"/>
      <c r="Q119" s="189" t="n"/>
      <c r="R119" s="189" t="n"/>
      <c r="S119" s="203" t="n"/>
      <c r="T119" s="224" t="n"/>
      <c r="U119" s="224" t="n"/>
      <c r="V119" s="224" t="n"/>
      <c r="W119" s="224" t="n"/>
      <c r="X119" s="224" t="n"/>
      <c r="Y119" s="224" t="n"/>
      <c r="Z119" s="189" t="n"/>
      <c r="AA119" s="224" t="n"/>
      <c r="AB119" s="226" t="n"/>
      <c r="AC119" s="226" t="n"/>
      <c r="AD119" s="226" t="n"/>
      <c r="AE119" s="226" t="n"/>
      <c r="AF119" s="226" t="n"/>
      <c r="AG119" s="226" t="n"/>
      <c r="AH119" s="226" t="n"/>
      <c r="AI119" s="226" t="n"/>
      <c r="AJ119" s="226" t="n"/>
      <c r="AK119" s="188" t="n"/>
      <c r="AL119" s="227" t="n"/>
    </row>
    <row r="120">
      <c r="A120" s="33" t="n"/>
      <c r="B120" s="199" t="n"/>
      <c r="C120" s="199" t="n"/>
      <c r="D120" s="211" t="inlineStr">
        <is>
          <t>**财务未列部分需增列***</t>
        </is>
      </c>
      <c r="E120" s="219" t="n"/>
      <c r="F120" s="219" t="n"/>
      <c r="G120" s="219" t="n"/>
      <c r="H120" s="189" t="n"/>
      <c r="I120" s="189" t="n"/>
      <c r="J120" s="189" t="n"/>
      <c r="K120" s="201" t="n"/>
      <c r="L120" s="202" t="n"/>
      <c r="M120" s="189" t="n"/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220" t="n"/>
      <c r="AC120" s="220" t="n"/>
      <c r="AD120" s="220" t="n"/>
      <c r="AE120" s="220" t="n"/>
      <c r="AF120" s="220" t="n"/>
      <c r="AG120" s="220" t="n"/>
      <c r="AH120" s="220" t="n"/>
      <c r="AI120" s="220" t="n"/>
      <c r="AJ120" s="220" t="n"/>
      <c r="AK120" s="188">
        <f>AB33/1.17*0.17+AC33/1.16*0.16+AD33/1.11*0.11+AE33/1.1*0.1+AF33/1.09*0.09+AI33/1.03*0.03</f>
        <v/>
      </c>
      <c r="AL120" s="221" t="n"/>
    </row>
    <row r="121">
      <c r="A121" s="41" t="n"/>
      <c r="B121" s="215" t="n"/>
      <c r="C121" s="215" t="n"/>
      <c r="D121" s="216" t="inlineStr">
        <is>
          <t>材料费小计：</t>
        </is>
      </c>
      <c r="E121" s="217">
        <f>SUM(E66:E120)</f>
        <v/>
      </c>
      <c r="F121" s="217">
        <f>SUM(F66:F120)</f>
        <v/>
      </c>
      <c r="G121" s="217">
        <f>SUM(G66:G120)</f>
        <v/>
      </c>
      <c r="H121" s="217">
        <f>SUM(H66:H120)</f>
        <v/>
      </c>
      <c r="I121" s="217">
        <f>SUM(I66:I120)</f>
        <v/>
      </c>
      <c r="J121" s="217">
        <f>SUM(J66:J120)</f>
        <v/>
      </c>
      <c r="K121" s="217">
        <f>SUM(K66:K120)</f>
        <v/>
      </c>
      <c r="L121" s="217">
        <f>SUM(L66:L120)</f>
        <v/>
      </c>
      <c r="M121" s="217">
        <f>SUM(M66:M120)</f>
        <v/>
      </c>
      <c r="N121" s="217">
        <f>SUM(N66:N120)</f>
        <v/>
      </c>
      <c r="O121" s="217">
        <f>SUM(O66:O120)</f>
        <v/>
      </c>
      <c r="P121" s="217">
        <f>SUM(P66:P120)</f>
        <v/>
      </c>
      <c r="Q121" s="217">
        <f>SUM(Q66:Q120)</f>
        <v/>
      </c>
      <c r="R121" s="217">
        <f>SUM(R66:R120)</f>
        <v/>
      </c>
      <c r="S121" s="217">
        <f>SUM(S66:S120)</f>
        <v/>
      </c>
      <c r="T121" s="217">
        <f>SUM(T66:T120)</f>
        <v/>
      </c>
      <c r="U121" s="217">
        <f>SUM(U66:U120)</f>
        <v/>
      </c>
      <c r="V121" s="217">
        <f>SUM(V66:V120)</f>
        <v/>
      </c>
      <c r="W121" s="217">
        <f>SUM(W66:W120)</f>
        <v/>
      </c>
      <c r="X121" s="217">
        <f>SUM(X66:X120)</f>
        <v/>
      </c>
      <c r="Y121" s="217">
        <f>SUM(Y66:Y120)</f>
        <v/>
      </c>
      <c r="Z121" s="217">
        <f>SUM(Z66:Z120)</f>
        <v/>
      </c>
      <c r="AA121" s="217">
        <f>SUM(AA66:AA120)</f>
        <v/>
      </c>
      <c r="AB121" s="217">
        <f>SUM(AB66:AB120)</f>
        <v/>
      </c>
      <c r="AC121" s="217">
        <f>SUM(AC66:AC120)</f>
        <v/>
      </c>
      <c r="AD121" s="217">
        <f>SUM(AD66:AD120)</f>
        <v/>
      </c>
      <c r="AE121" s="217">
        <f>SUM(AE66:AE120)</f>
        <v/>
      </c>
      <c r="AF121" s="217">
        <f>SUM(AF66:AF120)</f>
        <v/>
      </c>
      <c r="AG121" s="217">
        <f>SUM(AG66:AG120)</f>
        <v/>
      </c>
      <c r="AH121" s="217">
        <f>SUM(AH66:AH120)</f>
        <v/>
      </c>
      <c r="AI121" s="217">
        <f>SUM(AI66:AI120)</f>
        <v/>
      </c>
      <c r="AJ121" s="217">
        <f>SUM(AJ66:AJ120)</f>
        <v/>
      </c>
      <c r="AK121" s="217">
        <f>SUM(AK66:AK120)</f>
        <v/>
      </c>
      <c r="AL121" s="204" t="n"/>
    </row>
    <row r="122">
      <c r="A122" s="33" t="n"/>
      <c r="B122" s="199" t="n"/>
      <c r="C122" s="199" t="n"/>
      <c r="D122" s="218" t="inlineStr">
        <is>
          <t>(四）机械租赁费</t>
        </is>
      </c>
      <c r="E122" s="212" t="n"/>
      <c r="F122" s="212" t="n"/>
      <c r="G122" s="212" t="n"/>
      <c r="H122" s="189" t="n"/>
      <c r="I122" s="189" t="n"/>
      <c r="J122" s="189" t="n"/>
      <c r="K122" s="201" t="n">
        <v>0</v>
      </c>
      <c r="L122" s="202">
        <f>J122-K122</f>
        <v/>
      </c>
      <c r="M122" s="184" t="n"/>
      <c r="N122" s="184" t="n"/>
      <c r="O122" s="189">
        <f>L122-M122</f>
        <v/>
      </c>
      <c r="P122" s="189">
        <f>K122-N122</f>
        <v/>
      </c>
      <c r="Q122" s="189">
        <f>M122+O122</f>
        <v/>
      </c>
      <c r="R122" s="189">
        <f>M122+N122+O122+P122</f>
        <v/>
      </c>
      <c r="S122" s="203">
        <f>SUM(T122:V122)</f>
        <v/>
      </c>
      <c r="T122" s="203" t="n"/>
      <c r="U122" s="203" t="n"/>
      <c r="V122" s="203" t="n"/>
      <c r="W122" s="203" t="n"/>
      <c r="X122" s="203" t="n"/>
      <c r="Y122" s="203" t="n"/>
      <c r="Z122" s="203" t="n"/>
      <c r="AA122" s="203" t="n"/>
      <c r="AB122" s="203" t="n"/>
      <c r="AC122" s="203" t="n"/>
      <c r="AD122" s="203" t="n"/>
      <c r="AE122" s="203" t="n"/>
      <c r="AF122" s="203" t="n"/>
      <c r="AG122" s="203" t="n"/>
      <c r="AH122" s="203" t="n"/>
      <c r="AI122" s="203" t="n"/>
      <c r="AJ122" s="203" t="n"/>
      <c r="AK122" s="188">
        <f>AB35/1.17*0.17+AC35/1.16*0.16+AD35/1.11*0.11+AE35/1.1*0.1+AF35/1.09*0.09+AI35/1.03*0.03</f>
        <v/>
      </c>
      <c r="AL122" s="204" t="n"/>
    </row>
    <row r="123">
      <c r="A123" s="206" t="n">
        <v>1</v>
      </c>
      <c r="B123" s="206" t="n"/>
      <c r="C123" s="207" t="inlineStr">
        <is>
          <t>中建四局0200202101805009</t>
        </is>
      </c>
      <c r="D123" s="207" t="inlineStr">
        <is>
          <t>研发支出-机械租赁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-63495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</row>
    <row r="124">
      <c r="A124" s="206" t="n">
        <v>2</v>
      </c>
      <c r="B124" s="206" t="inlineStr">
        <is>
          <t>100217442</t>
        </is>
      </c>
      <c r="C124" s="207" t="inlineStr">
        <is>
          <t>中建四局0200202101805001</t>
        </is>
      </c>
      <c r="D124" s="207" t="inlineStr">
        <is>
          <t>任丘市嘉宇运输有限公司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39943.9</v>
      </c>
      <c r="N124" s="210" t="n">
        <v>3594.95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43538.85</v>
      </c>
      <c r="U124" s="206" t="n"/>
      <c r="V124" s="206" t="n"/>
    </row>
    <row r="125">
      <c r="A125" s="206" t="n">
        <v>3</v>
      </c>
      <c r="B125" s="206" t="inlineStr">
        <is>
          <t>100051486</t>
        </is>
      </c>
      <c r="C125" s="207" t="inlineStr">
        <is>
          <t>中建四局0200202101805009</t>
        </is>
      </c>
      <c r="D125" s="207" t="inlineStr">
        <is>
          <t>佛山市赢鑫建筑机械租赁有限公司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5518783.19</v>
      </c>
      <c r="N125" s="210" t="n">
        <v>738597.9399999999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6405720.63</v>
      </c>
      <c r="U125" s="206" t="n"/>
      <c r="V125" s="206" t="n"/>
    </row>
    <row r="126">
      <c r="A126" s="206" t="n">
        <v>4</v>
      </c>
      <c r="B126" s="206" t="inlineStr">
        <is>
          <t>200363935</t>
        </is>
      </c>
      <c r="C126" s="207" t="inlineStr">
        <is>
          <t>中建四局0200202101805006</t>
        </is>
      </c>
      <c r="D126" s="207" t="inlineStr">
        <is>
          <t>佛山市雄壮建筑工程有限公司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1197689.75</v>
      </c>
      <c r="N126" s="210" t="n">
        <v>36663.97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1258000</v>
      </c>
      <c r="U126" s="206" t="n"/>
      <c r="V126" s="206" t="n"/>
    </row>
    <row r="127">
      <c r="A127" s="206" t="n">
        <v>5</v>
      </c>
      <c r="B127" s="206" t="inlineStr">
        <is>
          <t>200477323</t>
        </is>
      </c>
      <c r="C127" s="207" t="inlineStr">
        <is>
          <t>中建四局0200202101805011</t>
        </is>
      </c>
      <c r="D127" s="207" t="inlineStr">
        <is>
          <t>佛山市霸伟建筑工程有限公司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947713.86</v>
      </c>
      <c r="N127" s="210" t="n">
        <v>29244.62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999000</v>
      </c>
      <c r="U127" s="206" t="n"/>
      <c r="V127" s="206" t="n"/>
    </row>
    <row r="128">
      <c r="A128" s="206" t="n">
        <v>6</v>
      </c>
      <c r="B128" s="206" t="inlineStr">
        <is>
          <t>100093859</t>
        </is>
      </c>
      <c r="C128" s="207" t="inlineStr">
        <is>
          <t>中建四局0200202101805010</t>
        </is>
      </c>
      <c r="D128" s="207" t="inlineStr">
        <is>
          <t>嘉兴浩锐机械设备有限公司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1387247.1</v>
      </c>
      <c r="N128" s="210" t="n">
        <v>180342.12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1567589.22</v>
      </c>
      <c r="U128" s="206" t="n"/>
      <c r="V128" s="206" t="n"/>
    </row>
    <row r="129">
      <c r="A129" s="206" t="n">
        <v>7</v>
      </c>
      <c r="B129" s="206" t="inlineStr">
        <is>
          <t>100117504</t>
        </is>
      </c>
      <c r="C129" s="207" t="inlineStr">
        <is>
          <t>中建四局0200202101805005</t>
        </is>
      </c>
      <c r="D129" s="207" t="inlineStr">
        <is>
          <t>广州大丰工程机械设备有限公司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1065730.14</v>
      </c>
      <c r="N129" s="210" t="n">
        <v>138544.93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1204275.07</v>
      </c>
      <c r="U129" s="206" t="n"/>
      <c r="V129" s="206" t="n"/>
    </row>
    <row r="130">
      <c r="A130" s="206" t="n">
        <v>8</v>
      </c>
      <c r="B130" s="206" t="inlineStr">
        <is>
          <t>200353812</t>
        </is>
      </c>
      <c r="C130" s="207" t="inlineStr">
        <is>
          <t>中建四局0200202101805007</t>
        </is>
      </c>
      <c r="D130" s="207" t="inlineStr">
        <is>
          <t>广州小老虎建筑机械租赁有限公司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11189319.59</v>
      </c>
      <c r="N130" s="210" t="n">
        <v>1022884.43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12388266.76</v>
      </c>
      <c r="U130" s="206" t="n"/>
      <c r="V130" s="206" t="n"/>
    </row>
    <row r="131">
      <c r="A131" s="206" t="n">
        <v>9</v>
      </c>
      <c r="B131" s="206" t="inlineStr">
        <is>
          <t>200162948</t>
        </is>
      </c>
      <c r="C131" s="207" t="inlineStr">
        <is>
          <t>中建四局0200202101805004</t>
        </is>
      </c>
      <c r="D131" s="207" t="inlineStr">
        <is>
          <t>广州市仁发运输有限公司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183165.02</v>
      </c>
      <c r="N131" s="210" t="n">
        <v>5494.92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188659.94</v>
      </c>
      <c r="U131" s="206" t="n"/>
      <c r="V131" s="206" t="n"/>
    </row>
    <row r="132">
      <c r="A132" s="206" t="n">
        <v>10</v>
      </c>
      <c r="B132" s="206" t="inlineStr">
        <is>
          <t>100217539</t>
        </is>
      </c>
      <c r="C132" s="207" t="inlineStr">
        <is>
          <t>中建四局0200202101805003</t>
        </is>
      </c>
      <c r="D132" s="207" t="inlineStr">
        <is>
          <t>广州易达运输有限公司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213962.98</v>
      </c>
      <c r="N132" s="210" t="n">
        <v>4631.78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218594.76</v>
      </c>
      <c r="U132" s="206" t="n"/>
      <c r="V132" s="206" t="n"/>
    </row>
    <row r="133">
      <c r="A133" s="206" t="n">
        <v>11</v>
      </c>
      <c r="B133" s="206" t="inlineStr">
        <is>
          <t>100217502</t>
        </is>
      </c>
      <c r="C133" s="207" t="inlineStr">
        <is>
          <t>中建四局0200202101805002</t>
        </is>
      </c>
      <c r="D133" s="207" t="inlineStr">
        <is>
          <t>广州湘亿货运代理有限公司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68419.10000000001</v>
      </c>
      <c r="N133" s="210" t="n">
        <v>6157.73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74576.83</v>
      </c>
      <c r="U133" s="206" t="n"/>
      <c r="V133" s="206" t="n"/>
    </row>
    <row r="134">
      <c r="A134" s="206" t="n">
        <v>12</v>
      </c>
      <c r="B134" s="206" t="n"/>
      <c r="C134" s="207" t="n"/>
      <c r="D134" s="207" t="inlineStr">
        <is>
          <t>ZGD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-709.27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</row>
    <row r="135">
      <c r="A135" s="206" t="n"/>
      <c r="B135" s="206" t="n"/>
      <c r="C135" s="207" t="n"/>
      <c r="D135" s="207" t="n"/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5438.34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206" t="n">
        <v>13</v>
      </c>
      <c r="B136" s="206" t="n"/>
      <c r="C136" s="207" t="n"/>
      <c r="D136" s="207" t="inlineStr">
        <is>
          <t>JXZ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9">
        <f>J136-K136</f>
        <v/>
      </c>
      <c r="M136" s="210" t="n">
        <v>30661.52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</row>
    <row r="137">
      <c r="A137" s="33" t="n"/>
      <c r="B137" s="199" t="n"/>
      <c r="C137" s="199" t="n"/>
      <c r="D137" s="211" t="inlineStr">
        <is>
          <t>**财务未列部分需增列***</t>
        </is>
      </c>
      <c r="E137" s="228" t="n"/>
      <c r="F137" s="228" t="n"/>
      <c r="G137" s="228" t="n"/>
      <c r="H137" s="189" t="n"/>
      <c r="I137" s="189" t="n"/>
      <c r="J137" s="189" t="n"/>
      <c r="K137" s="201" t="n">
        <v>0</v>
      </c>
      <c r="L137" s="202">
        <f>J137-K137</f>
        <v/>
      </c>
      <c r="M137" s="229" t="n"/>
      <c r="N137" s="229" t="n"/>
      <c r="O137" s="189">
        <f>L137-M137</f>
        <v/>
      </c>
      <c r="P137" s="189">
        <f>K137-N137</f>
        <v/>
      </c>
      <c r="Q137" s="189">
        <f>M137+O137</f>
        <v/>
      </c>
      <c r="R137" s="189">
        <f>M137+N137+O137+P137</f>
        <v/>
      </c>
      <c r="S137" s="203">
        <f>SUM(T137:V137)</f>
        <v/>
      </c>
      <c r="T137" s="229" t="n"/>
      <c r="U137" s="229" t="n"/>
      <c r="V137" s="229" t="n"/>
      <c r="W137" s="229" t="n"/>
      <c r="X137" s="229" t="n"/>
      <c r="Y137" s="229" t="n"/>
      <c r="Z137" s="229" t="n"/>
      <c r="AA137" s="203" t="n"/>
      <c r="AB137" s="188" t="n"/>
      <c r="AC137" s="188" t="n"/>
      <c r="AD137" s="188" t="n"/>
      <c r="AE137" s="188" t="n"/>
      <c r="AF137" s="188" t="n"/>
      <c r="AG137" s="188" t="n"/>
      <c r="AH137" s="188" t="n"/>
      <c r="AI137" s="188" t="n"/>
      <c r="AJ137" s="188" t="n"/>
      <c r="AK137" s="188">
        <f>AB37/1.17*0.17+AC37/1.16*0.16+AD37/1.11*0.11+AE37/1.1*0.1+AF37/1.09*0.09+AI37/1.03*0.03</f>
        <v/>
      </c>
      <c r="AL137" s="214" t="n"/>
    </row>
    <row r="138">
      <c r="A138" s="41" t="n"/>
      <c r="B138" s="215" t="n"/>
      <c r="C138" s="215" t="n"/>
      <c r="D138" s="230" t="inlineStr">
        <is>
          <t>机械费小计：</t>
        </is>
      </c>
      <c r="E138" s="231" t="n"/>
      <c r="F138" s="231" t="n"/>
      <c r="G138" s="231" t="n"/>
      <c r="H138" s="217">
        <f>SUM(H122:H137)</f>
        <v/>
      </c>
      <c r="I138" s="217">
        <f>SUM(I122:I137)</f>
        <v/>
      </c>
      <c r="J138" s="217">
        <f>SUM(J122:J137)</f>
        <v/>
      </c>
      <c r="K138" s="217">
        <f>SUM(K122:K137)</f>
        <v/>
      </c>
      <c r="L138" s="232">
        <f>SUM(L122:L137)</f>
        <v/>
      </c>
      <c r="M138" s="217">
        <f>SUM(M122:M137)</f>
        <v/>
      </c>
      <c r="N138" s="217">
        <f>SUM(N122:N137)</f>
        <v/>
      </c>
      <c r="O138" s="217">
        <f>SUM(O122:O137)</f>
        <v/>
      </c>
      <c r="P138" s="217">
        <f>SUM(P122:P137)</f>
        <v/>
      </c>
      <c r="Q138" s="217">
        <f>SUM(Q122:Q137)</f>
        <v/>
      </c>
      <c r="R138" s="217">
        <f>SUM(R122:R137)</f>
        <v/>
      </c>
      <c r="S138" s="217">
        <f>SUM(S122:S137)</f>
        <v/>
      </c>
      <c r="T138" s="217" t="n"/>
      <c r="U138" s="217" t="n"/>
      <c r="V138" s="217" t="n"/>
      <c r="W138" s="217" t="n"/>
      <c r="X138" s="217" t="n"/>
      <c r="Y138" s="217" t="n"/>
      <c r="Z138" s="217">
        <f>SUM(Z122:Z137)</f>
        <v/>
      </c>
      <c r="AA138" s="217">
        <f>SUM(AA122:AA137)</f>
        <v/>
      </c>
      <c r="AB138" s="217" t="n"/>
      <c r="AC138" s="217" t="n"/>
      <c r="AD138" s="217" t="n"/>
      <c r="AE138" s="217" t="n"/>
      <c r="AF138" s="217" t="n"/>
      <c r="AG138" s="217" t="n"/>
      <c r="AH138" s="217" t="n"/>
      <c r="AI138" s="217" t="n"/>
      <c r="AJ138" s="217" t="n"/>
      <c r="AK138" s="217" t="n"/>
      <c r="AL138" s="204" t="n"/>
    </row>
    <row r="139">
      <c r="A139" s="33" t="n"/>
      <c r="B139" s="199" t="n"/>
      <c r="C139" s="199" t="n"/>
      <c r="D139" s="218" t="inlineStr">
        <is>
          <t>（五）其他直接费</t>
        </is>
      </c>
      <c r="E139" s="212" t="n"/>
      <c r="F139" s="212" t="n"/>
      <c r="G139" s="212" t="n"/>
      <c r="H139" s="189" t="n"/>
      <c r="I139" s="189" t="n"/>
      <c r="J139" s="184" t="n">
        <v>0</v>
      </c>
      <c r="K139" s="201" t="n">
        <v>0</v>
      </c>
      <c r="L139" s="202">
        <f>J139-N139-P139</f>
        <v/>
      </c>
      <c r="M139" s="184" t="n"/>
      <c r="N139" s="184" t="n"/>
      <c r="O139" s="189">
        <f>L139-M139</f>
        <v/>
      </c>
      <c r="P139" s="189">
        <f>K139-N139</f>
        <v/>
      </c>
      <c r="Q139" s="189">
        <f>M139+O139</f>
        <v/>
      </c>
      <c r="R139" s="189">
        <f>M139+N139+O139+P139</f>
        <v/>
      </c>
      <c r="S139" s="203">
        <f>SUM(T139:V139)</f>
        <v/>
      </c>
      <c r="T139" s="203" t="n"/>
      <c r="U139" s="203" t="n"/>
      <c r="V139" s="203" t="n"/>
      <c r="W139" s="203" t="n"/>
      <c r="X139" s="203" t="n"/>
      <c r="Y139" s="203" t="n"/>
      <c r="Z139" s="203" t="n"/>
      <c r="AA139" s="203" t="n"/>
      <c r="AB139" s="203" t="n"/>
      <c r="AC139" s="203" t="n"/>
      <c r="AD139" s="203" t="n"/>
      <c r="AE139" s="203" t="n"/>
      <c r="AF139" s="203" t="n"/>
      <c r="AG139" s="203" t="n"/>
      <c r="AH139" s="203" t="n"/>
      <c r="AI139" s="203" t="n"/>
      <c r="AJ139" s="203" t="n"/>
      <c r="AK139" s="188" t="n"/>
      <c r="AL139" s="204" t="n"/>
    </row>
    <row r="140">
      <c r="A140" s="206" t="n"/>
      <c r="B140" s="206" t="n"/>
      <c r="C140" s="207" t="n"/>
      <c r="D140" s="207" t="inlineStr">
        <is>
          <t>保险费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2060794.4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其他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4351039.99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/>
      <c r="B142" s="206" t="n"/>
      <c r="C142" s="207" t="n"/>
      <c r="D142" s="207" t="inlineStr">
        <is>
          <t>咨询费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1165.05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检验试验费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2298882.29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206" t="n"/>
      <c r="B144" s="206" t="n"/>
      <c r="C144" s="207" t="n"/>
      <c r="D144" s="207" t="inlineStr">
        <is>
          <t>水电费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9">
        <f>J144-K144</f>
        <v/>
      </c>
      <c r="M144" s="210" t="n">
        <v>8300988.65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</row>
    <row r="145">
      <c r="A145" s="33" t="n"/>
      <c r="B145" s="199" t="n"/>
      <c r="C145" s="199" t="n"/>
      <c r="D145" s="211" t="inlineStr">
        <is>
          <t>**财务未列部分需增列***</t>
        </is>
      </c>
      <c r="E145" s="212" t="n"/>
      <c r="F145" s="212" t="n"/>
      <c r="G145" s="212" t="n"/>
      <c r="H145" s="189" t="n"/>
      <c r="I145" s="189" t="n"/>
      <c r="J145" s="184" t="n"/>
      <c r="K145" s="201" t="n"/>
      <c r="L145" s="202">
        <f>J145-K145</f>
        <v/>
      </c>
      <c r="M145" s="233" t="n"/>
      <c r="N145" s="233" t="n"/>
      <c r="O145" s="189">
        <f>L145-M145</f>
        <v/>
      </c>
      <c r="P145" s="189">
        <f>K145-N145</f>
        <v/>
      </c>
      <c r="Q145" s="189">
        <f>M145+O145</f>
        <v/>
      </c>
      <c r="R145" s="189">
        <f>M145+N145+O145+P145</f>
        <v/>
      </c>
      <c r="S145" s="203">
        <f>SUM(T145:V145)</f>
        <v/>
      </c>
      <c r="T145" s="233" t="n"/>
      <c r="U145" s="233" t="n"/>
      <c r="V145" s="233" t="n"/>
      <c r="W145" s="233" t="n"/>
      <c r="X145" s="233" t="n"/>
      <c r="Y145" s="233" t="n"/>
      <c r="Z145" s="189">
        <f>SUM(AA45:AJ45)</f>
        <v/>
      </c>
      <c r="AA145" s="203" t="n"/>
      <c r="AB145" s="203" t="n"/>
      <c r="AC145" s="203" t="n"/>
      <c r="AD145" s="203" t="n"/>
      <c r="AE145" s="203" t="n"/>
      <c r="AF145" s="203" t="n"/>
      <c r="AG145" s="203" t="n"/>
      <c r="AH145" s="203" t="n"/>
      <c r="AI145" s="203" t="n"/>
      <c r="AJ145" s="203" t="n"/>
      <c r="AK145" s="188" t="n"/>
      <c r="AL145" s="204" t="n"/>
    </row>
    <row r="146">
      <c r="A146" s="55" t="n"/>
      <c r="B146" s="234" t="n"/>
      <c r="C146" s="234" t="n"/>
      <c r="D146" s="230" t="inlineStr">
        <is>
          <t>其他直接费小计：</t>
        </is>
      </c>
      <c r="E146" s="235" t="n"/>
      <c r="F146" s="235" t="n"/>
      <c r="G146" s="235" t="n"/>
      <c r="H146" s="217">
        <f>SUM(H139:H145)</f>
        <v/>
      </c>
      <c r="I146" s="217">
        <f>SUM(I139:I145)</f>
        <v/>
      </c>
      <c r="J146" s="217">
        <f>SUM(J139:J145)</f>
        <v/>
      </c>
      <c r="K146" s="217">
        <f>SUM(K139:K145)</f>
        <v/>
      </c>
      <c r="L146" s="232">
        <f>SUM(L139:L145)</f>
        <v/>
      </c>
      <c r="M146" s="217">
        <f>SUM(M139:M145)</f>
        <v/>
      </c>
      <c r="N146" s="217">
        <f>SUM(N139:N145)</f>
        <v/>
      </c>
      <c r="O146" s="217">
        <f>L146-M146</f>
        <v/>
      </c>
      <c r="P146" s="217">
        <f>SUM(P139:P145)</f>
        <v/>
      </c>
      <c r="Q146" s="217">
        <f>M146+O146</f>
        <v/>
      </c>
      <c r="R146" s="217">
        <f>SUM(R139:R145)</f>
        <v/>
      </c>
      <c r="S146" s="217">
        <f>SUM(S139:S145)</f>
        <v/>
      </c>
      <c r="T146" s="217" t="n"/>
      <c r="U146" s="217" t="n"/>
      <c r="V146" s="217" t="n"/>
      <c r="W146" s="217" t="n"/>
      <c r="X146" s="217" t="n"/>
      <c r="Y146" s="217" t="n"/>
      <c r="Z146" s="217">
        <f>SUM(Z139:Z145)</f>
        <v/>
      </c>
      <c r="AA146" s="217">
        <f>SUM(AA139:AA145)</f>
        <v/>
      </c>
      <c r="AB146" s="217">
        <f>SUM(AB139:AB145)</f>
        <v/>
      </c>
      <c r="AC146" s="217">
        <f>SUM(AC139:AC145)</f>
        <v/>
      </c>
      <c r="AD146" s="217">
        <f>SUM(AD139:AD145)</f>
        <v/>
      </c>
      <c r="AE146" s="217">
        <f>SUM(AE139:AE145)</f>
        <v/>
      </c>
      <c r="AF146" s="217">
        <f>SUM(AF139:AF145)</f>
        <v/>
      </c>
      <c r="AG146" s="217" t="n"/>
      <c r="AH146" s="217" t="n"/>
      <c r="AI146" s="217">
        <f>SUM(AI139:AI145)</f>
        <v/>
      </c>
      <c r="AJ146" s="217">
        <f>SUM(AJ139:AJ145)</f>
        <v/>
      </c>
      <c r="AK146" s="217">
        <f>SUM(AK139:AK145)</f>
        <v/>
      </c>
      <c r="AL146" s="204" t="n"/>
    </row>
    <row r="147">
      <c r="A147" s="33" t="n"/>
      <c r="B147" s="199" t="n"/>
      <c r="C147" s="199" t="n"/>
      <c r="D147" s="218" t="inlineStr">
        <is>
          <t>（六）间接费</t>
        </is>
      </c>
      <c r="E147" s="212" t="n"/>
      <c r="F147" s="212" t="n"/>
      <c r="G147" s="212" t="n"/>
      <c r="H147" s="184" t="n"/>
      <c r="I147" s="189" t="n"/>
      <c r="J147" s="189" t="n">
        <v>0</v>
      </c>
      <c r="K147" s="201" t="n">
        <v>0</v>
      </c>
      <c r="L147" s="202">
        <f>J147-N147-P147</f>
        <v/>
      </c>
      <c r="M147" s="184" t="n"/>
      <c r="N147" s="184" t="n"/>
      <c r="O147" s="189">
        <f>L147-M147</f>
        <v/>
      </c>
      <c r="P147" s="189">
        <f>K147-N147</f>
        <v/>
      </c>
      <c r="Q147" s="189">
        <f>M147+O147</f>
        <v/>
      </c>
      <c r="R147" s="189">
        <f>M147+N147+O147+P147</f>
        <v/>
      </c>
      <c r="S147" s="203">
        <f>SUM(T147:V147)</f>
        <v/>
      </c>
      <c r="T147" s="203" t="n"/>
      <c r="U147" s="203" t="n"/>
      <c r="V147" s="203" t="n"/>
      <c r="W147" s="203" t="n"/>
      <c r="X147" s="203" t="n"/>
      <c r="Y147" s="203" t="n"/>
      <c r="Z147" s="203" t="n"/>
      <c r="AA147" s="203" t="n"/>
      <c r="AB147" s="203" t="n"/>
      <c r="AC147" s="203" t="n"/>
      <c r="AD147" s="203" t="n"/>
      <c r="AE147" s="203" t="n"/>
      <c r="AF147" s="203" t="n"/>
      <c r="AG147" s="203" t="n"/>
      <c r="AH147" s="203" t="n"/>
      <c r="AI147" s="203" t="n"/>
      <c r="AJ147" s="203" t="n"/>
      <c r="AK147" s="188" t="n"/>
      <c r="AL147" s="204" t="n"/>
    </row>
    <row r="148">
      <c r="A148" s="206" t="n"/>
      <c r="B148" s="206" t="n"/>
      <c r="C148" s="207" t="n"/>
      <c r="D148" s="207" t="inlineStr">
        <is>
          <t>ZGD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73932.02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书报资料费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220.88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企业年金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186548.56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会议费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5867.37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住房公积金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921583.74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保险费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4245.28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修理费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27769.38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其他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445466.64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其他补充保险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87.84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冲晒印刷费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112428.15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办公用品费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607692.39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医疗保险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453554.98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基本养老保险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1111816.95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境内差旅费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28860.18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失业保险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45975.32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206" t="n"/>
      <c r="B163" s="206" t="n"/>
      <c r="C163" s="207" t="n"/>
      <c r="D163" s="207" t="inlineStr">
        <is>
          <t>工会经费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9">
        <f>J163-K163</f>
        <v/>
      </c>
      <c r="M163" s="210" t="n">
        <v>150995.69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</row>
    <row r="164">
      <c r="A164" s="206" t="n"/>
      <c r="B164" s="206" t="n"/>
      <c r="C164" s="207" t="n"/>
      <c r="D164" s="207" t="inlineStr">
        <is>
          <t>工伤保险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9">
        <f>J164-K164</f>
        <v/>
      </c>
      <c r="M164" s="210" t="n">
        <v>43560.14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</row>
    <row r="165">
      <c r="A165" s="206" t="n"/>
      <c r="B165" s="206" t="n"/>
      <c r="C165" s="207" t="n"/>
      <c r="D165" s="207" t="inlineStr">
        <is>
          <t>工资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21079637.05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市内交通费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5663.74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律师费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14327.83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折旧费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65460.13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水电费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1915223.39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206" t="n"/>
      <c r="B170" s="206" t="n"/>
      <c r="C170" s="207" t="n"/>
      <c r="D170" s="207" t="inlineStr">
        <is>
          <t>燃油费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9">
        <f>J170-K170</f>
        <v/>
      </c>
      <c r="M170" s="210" t="n">
        <v>210747.51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</row>
    <row r="171">
      <c r="A171" s="206" t="n"/>
      <c r="B171" s="206" t="n"/>
      <c r="C171" s="207" t="n"/>
      <c r="D171" s="207" t="inlineStr">
        <is>
          <t>物业租赁费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9">
        <f>J171-K171</f>
        <v/>
      </c>
      <c r="M171" s="210" t="n">
        <v>223298.47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</row>
    <row r="172">
      <c r="A172" s="206" t="n"/>
      <c r="B172" s="206" t="n"/>
      <c r="C172" s="207" t="n"/>
      <c r="D172" s="207" t="inlineStr">
        <is>
          <t>物业管理费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9">
        <f>J172-K172</f>
        <v/>
      </c>
      <c r="M172" s="210" t="n">
        <v>463287.94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</row>
    <row r="173">
      <c r="A173" s="206" t="n"/>
      <c r="B173" s="206" t="n"/>
      <c r="C173" s="207" t="n"/>
      <c r="D173" s="207" t="inlineStr">
        <is>
          <t>物料消耗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9">
        <f>J173-K173</f>
        <v/>
      </c>
      <c r="M173" s="210" t="n">
        <v>4059.41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</row>
    <row r="174">
      <c r="A174" s="206" t="n"/>
      <c r="B174" s="206" t="n"/>
      <c r="C174" s="207" t="n"/>
      <c r="D174" s="207" t="inlineStr">
        <is>
          <t>生育保险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9">
        <f>J174-K174</f>
        <v/>
      </c>
      <c r="M174" s="210" t="n">
        <v>4798.28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</row>
    <row r="175">
      <c r="A175" s="206" t="n"/>
      <c r="B175" s="206" t="n"/>
      <c r="C175" s="207" t="n"/>
      <c r="D175" s="207" t="inlineStr">
        <is>
          <t>社保及公积金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9">
        <f>J175-K175</f>
        <v/>
      </c>
      <c r="M175" s="210" t="n">
        <v>1410339.33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</row>
    <row r="176">
      <c r="A176" s="206" t="n"/>
      <c r="B176" s="206" t="n"/>
      <c r="C176" s="207" t="n"/>
      <c r="D176" s="207" t="inlineStr">
        <is>
          <t>租车费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9">
        <f>J176-K176</f>
        <v/>
      </c>
      <c r="M176" s="210" t="n">
        <v>429894.83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维修保养费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9">
        <f>J177-K177</f>
        <v/>
      </c>
      <c r="M177" s="210" t="n">
        <v>34521.89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网络使用费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9">
        <f>J178-K178</f>
        <v/>
      </c>
      <c r="M178" s="210" t="n">
        <v>114830.51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206" t="n"/>
      <c r="B179" s="206" t="n"/>
      <c r="C179" s="207" t="n"/>
      <c r="D179" s="207" t="inlineStr">
        <is>
          <t>职工教育经费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9">
        <f>J179-K179</f>
        <v/>
      </c>
      <c r="M179" s="210" t="n">
        <v>135820.32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</row>
    <row r="180">
      <c r="A180" s="206" t="n"/>
      <c r="B180" s="206" t="n"/>
      <c r="C180" s="207" t="n"/>
      <c r="D180" s="207" t="inlineStr">
        <is>
          <t>职工福利费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9">
        <f>J180-K180</f>
        <v/>
      </c>
      <c r="M180" s="210" t="n">
        <v>824342.88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</row>
    <row r="181">
      <c r="A181" s="206" t="n"/>
      <c r="B181" s="206" t="n"/>
      <c r="C181" s="207" t="n"/>
      <c r="D181" s="207" t="inlineStr">
        <is>
          <t>补充医疗保险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9">
        <f>J181-K181</f>
        <v/>
      </c>
      <c r="M181" s="210" t="n">
        <v>7322.89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</row>
    <row r="182">
      <c r="A182" s="206" t="n"/>
      <c r="B182" s="206" t="n"/>
      <c r="C182" s="207" t="n"/>
      <c r="D182" s="207" t="inlineStr">
        <is>
          <t>诉讼费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9">
        <f>J182-K182</f>
        <v/>
      </c>
      <c r="M182" s="210" t="n">
        <v>36638.87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</row>
    <row r="183">
      <c r="A183" s="206" t="n"/>
      <c r="B183" s="206" t="n"/>
      <c r="C183" s="207" t="n"/>
      <c r="D183" s="207" t="inlineStr">
        <is>
          <t>路桥及停车费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9">
        <f>J183-K183</f>
        <v/>
      </c>
      <c r="M183" s="210" t="n">
        <v>78817.39999999999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</row>
    <row r="184">
      <c r="A184" s="206" t="n"/>
      <c r="B184" s="206" t="n"/>
      <c r="C184" s="207" t="n"/>
      <c r="D184" s="207" t="inlineStr">
        <is>
          <t>软件费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9">
        <f>J184-K184</f>
        <v/>
      </c>
      <c r="M184" s="210" t="n">
        <v>209326.47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</row>
    <row r="185">
      <c r="A185" s="206" t="n"/>
      <c r="B185" s="206" t="n"/>
      <c r="C185" s="207" t="n"/>
      <c r="D185" s="207" t="inlineStr">
        <is>
          <t>通信费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9">
        <f>J185-K185</f>
        <v/>
      </c>
      <c r="M185" s="210" t="n">
        <v>192969.09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</row>
    <row r="186">
      <c r="A186" s="206" t="n"/>
      <c r="B186" s="206" t="n"/>
      <c r="C186" s="207" t="n"/>
      <c r="D186" s="207" t="inlineStr">
        <is>
          <t>邮寄费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9">
        <f>J186-K186</f>
        <v/>
      </c>
      <c r="M186" s="210" t="n">
        <v>1030.72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</row>
    <row r="187">
      <c r="A187" s="33" t="n"/>
      <c r="B187" s="199" t="n"/>
      <c r="C187" s="199" t="n"/>
      <c r="D187" s="211" t="inlineStr">
        <is>
          <t>**财务未列部分需增列***</t>
        </is>
      </c>
      <c r="E187" s="212" t="n"/>
      <c r="F187" s="212" t="n"/>
      <c r="G187" s="212" t="n"/>
      <c r="H187" s="233" t="n"/>
      <c r="I187" s="189" t="n"/>
      <c r="J187" s="233" t="n"/>
      <c r="K187" s="201" t="n"/>
      <c r="L187" s="202" t="n"/>
      <c r="M187" s="233" t="n"/>
      <c r="N187" s="189" t="n"/>
      <c r="O187" s="189">
        <f>L187-M187</f>
        <v/>
      </c>
      <c r="P187" s="189">
        <f>K187-N187</f>
        <v/>
      </c>
      <c r="Q187" s="189">
        <f>M187+O187</f>
        <v/>
      </c>
      <c r="R187" s="189">
        <f>M187+N187+O187+P187</f>
        <v/>
      </c>
      <c r="S187" s="203">
        <f>SUM(T187:V187)</f>
        <v/>
      </c>
      <c r="T187" s="233" t="n"/>
      <c r="U187" s="233" t="n"/>
      <c r="V187" s="233" t="n"/>
      <c r="W187" s="233" t="n"/>
      <c r="X187" s="233" t="n"/>
      <c r="Y187" s="233" t="n"/>
      <c r="Z187" s="233" t="n"/>
      <c r="AA187" s="203" t="n"/>
      <c r="AB187" s="188" t="n"/>
      <c r="AC187" s="188" t="n"/>
      <c r="AD187" s="188" t="n"/>
      <c r="AE187" s="188" t="n"/>
      <c r="AF187" s="188" t="n"/>
      <c r="AG187" s="188" t="n"/>
      <c r="AH187" s="188" t="n"/>
      <c r="AI187" s="188" t="n"/>
      <c r="AJ187" s="188" t="n"/>
      <c r="AK187" s="188" t="n"/>
      <c r="AL187" s="214" t="n"/>
    </row>
    <row r="188">
      <c r="A188" s="55" t="n"/>
      <c r="B188" s="234" t="n"/>
      <c r="C188" s="234" t="n"/>
      <c r="D188" s="230" t="inlineStr">
        <is>
          <t>间接费小计：</t>
        </is>
      </c>
      <c r="E188" s="235" t="n"/>
      <c r="F188" s="235" t="n"/>
      <c r="G188" s="235" t="n"/>
      <c r="H188" s="217">
        <f>SUM(H147:H187)</f>
        <v/>
      </c>
      <c r="I188" s="217">
        <f>SUM(I147:I187)</f>
        <v/>
      </c>
      <c r="J188" s="217">
        <f>SUM(J147:J187)</f>
        <v/>
      </c>
      <c r="K188" s="217">
        <f>SUM(K147:K187)</f>
        <v/>
      </c>
      <c r="L188" s="232">
        <f>SUM(L147:L187)</f>
        <v/>
      </c>
      <c r="M188" s="232">
        <f>SUM(M147:M187)</f>
        <v/>
      </c>
      <c r="N188" s="232">
        <f>SUM(N147:N187)</f>
        <v/>
      </c>
      <c r="O188" s="232">
        <f>SUM(O147:O187)</f>
        <v/>
      </c>
      <c r="P188" s="232">
        <f>SUM(P147:P187)</f>
        <v/>
      </c>
      <c r="Q188" s="232">
        <f>SUM(Q147:Q187)</f>
        <v/>
      </c>
      <c r="R188" s="232">
        <f>SUM(R147:R187)</f>
        <v/>
      </c>
      <c r="S188" s="232">
        <f>SUM(S147:S187)</f>
        <v/>
      </c>
      <c r="T188" s="232" t="n"/>
      <c r="U188" s="232" t="n"/>
      <c r="V188" s="232" t="n"/>
      <c r="W188" s="232" t="n"/>
      <c r="X188" s="232" t="n"/>
      <c r="Y188" s="232" t="n"/>
      <c r="Z188" s="232">
        <f>SUM(Z147:Z187)</f>
        <v/>
      </c>
      <c r="AA188" s="232">
        <f>SUM(AA147:AA187)</f>
        <v/>
      </c>
      <c r="AB188" s="232">
        <f>SUM(AB147:AB187)</f>
        <v/>
      </c>
      <c r="AC188" s="232">
        <f>SUM(AC147:AC187)</f>
        <v/>
      </c>
      <c r="AD188" s="232">
        <f>SUM(AD147:AD187)</f>
        <v/>
      </c>
      <c r="AE188" s="232">
        <f>SUM(AE147:AE187)</f>
        <v/>
      </c>
      <c r="AF188" s="232">
        <f>SUM(AF147:AF187)</f>
        <v/>
      </c>
      <c r="AG188" s="232" t="n"/>
      <c r="AH188" s="232" t="n"/>
      <c r="AI188" s="232">
        <f>SUM(AI147:AI187)</f>
        <v/>
      </c>
      <c r="AJ188" s="232">
        <f>SUM(AJ147:AJ187)</f>
        <v/>
      </c>
      <c r="AK188" s="232">
        <f>SUM(AK147:AK187)</f>
        <v/>
      </c>
      <c r="AL188" s="214" t="n"/>
    </row>
    <row r="189">
      <c r="A189" s="33" t="n"/>
      <c r="B189" s="199" t="n"/>
      <c r="C189" s="199" t="n"/>
      <c r="D189" s="218" t="inlineStr">
        <is>
          <t>（七）安全费</t>
        </is>
      </c>
      <c r="E189" s="212" t="n"/>
      <c r="F189" s="212" t="n"/>
      <c r="G189" s="212" t="n"/>
      <c r="H189" s="189" t="n"/>
      <c r="I189" s="189" t="n"/>
      <c r="J189" s="184" t="n">
        <v>0</v>
      </c>
      <c r="K189" s="236" t="n"/>
      <c r="L189" s="202">
        <f>J189-N189-P189</f>
        <v/>
      </c>
      <c r="M189" s="189" t="n"/>
      <c r="N189" s="189" t="n"/>
      <c r="O189" s="189">
        <f>L189-M189</f>
        <v/>
      </c>
      <c r="P189" s="189">
        <f>K189-N189</f>
        <v/>
      </c>
      <c r="Q189" s="189">
        <f>M189+O189</f>
        <v/>
      </c>
      <c r="R189" s="189">
        <f>M189+N189+O189+P189</f>
        <v/>
      </c>
      <c r="S189" s="203">
        <f>SUM(T189:V189)</f>
        <v/>
      </c>
      <c r="T189" s="233" t="n"/>
      <c r="U189" s="233" t="n"/>
      <c r="V189" s="233" t="n"/>
      <c r="W189" s="233" t="n"/>
      <c r="X189" s="233" t="n"/>
      <c r="Y189" s="233" t="n"/>
      <c r="Z189" s="229" t="n"/>
      <c r="AA189" s="203" t="n"/>
      <c r="AB189" s="188" t="n"/>
      <c r="AC189" s="188" t="n"/>
      <c r="AD189" s="188" t="n"/>
      <c r="AE189" s="188" t="n"/>
      <c r="AF189" s="188" t="n"/>
      <c r="AG189" s="188" t="n"/>
      <c r="AH189" s="188" t="n"/>
      <c r="AI189" s="188" t="n"/>
      <c r="AJ189" s="188" t="n"/>
      <c r="AK189" s="188" t="n"/>
      <c r="AL189" s="214" t="n"/>
    </row>
    <row r="190">
      <c r="A190" s="206" t="n"/>
      <c r="B190" s="206" t="n"/>
      <c r="C190" s="207" t="n"/>
      <c r="D190" s="207" t="inlineStr">
        <is>
          <t>ZGD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9">
        <f>J190-K190</f>
        <v/>
      </c>
      <c r="M190" s="210" t="n">
        <v>7872000.25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</row>
    <row r="191">
      <c r="A191" s="206" t="n"/>
      <c r="B191" s="206" t="n"/>
      <c r="C191" s="207" t="n"/>
      <c r="D191" s="207" t="inlineStr">
        <is>
          <t>安全生产-人工费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9">
        <f>J191-K191</f>
        <v/>
      </c>
      <c r="M191" s="210" t="n">
        <v>2852405.63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</row>
    <row r="192">
      <c r="A192" s="206" t="n"/>
      <c r="B192" s="206" t="n"/>
      <c r="C192" s="207" t="n"/>
      <c r="D192" s="207" t="inlineStr">
        <is>
          <t>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9">
        <f>J192-K192</f>
        <v/>
      </c>
      <c r="M192" s="210" t="n">
        <v>4674095.6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</row>
    <row r="193">
      <c r="A193" s="206" t="n"/>
      <c r="B193" s="206" t="n"/>
      <c r="C193" s="207" t="n"/>
      <c r="D193" s="207" t="inlineStr">
        <is>
          <t>安全生产-机械使用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9">
        <f>J193-K193</f>
        <v/>
      </c>
      <c r="M193" s="210" t="n">
        <v>326856.87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</row>
    <row r="194">
      <c r="A194" s="206" t="n"/>
      <c r="B194" s="206" t="n"/>
      <c r="C194" s="207" t="n"/>
      <c r="D194" s="207" t="inlineStr">
        <is>
          <t>安全生产费-报销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9">
        <f>J194-K194</f>
        <v/>
      </c>
      <c r="M194" s="210" t="n">
        <v>2066826.1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</row>
    <row r="195">
      <c r="A195" s="55" t="n"/>
      <c r="B195" s="234" t="n"/>
      <c r="C195" s="234" t="n"/>
      <c r="D195" s="230" t="inlineStr">
        <is>
          <t>安全费小计：</t>
        </is>
      </c>
      <c r="E195" s="230" t="n"/>
      <c r="F195" s="230" t="n"/>
      <c r="G195" s="230" t="n"/>
      <c r="H195" s="217">
        <f>SUM(H189:H194)</f>
        <v/>
      </c>
      <c r="I195" s="217">
        <f>SUM(I189:I194)</f>
        <v/>
      </c>
      <c r="J195" s="217" t="n">
        <v>0</v>
      </c>
      <c r="K195" s="217" t="n">
        <v>0</v>
      </c>
      <c r="L195" s="202">
        <f>J195-K195</f>
        <v/>
      </c>
      <c r="M195" s="232">
        <f>SUM(M189:M194)</f>
        <v/>
      </c>
      <c r="N195" s="232">
        <f>SUM(N189:N194)</f>
        <v/>
      </c>
      <c r="O195" s="232">
        <f>SUM(O189:O194)</f>
        <v/>
      </c>
      <c r="P195" s="232">
        <f>SUM(P189:P194)</f>
        <v/>
      </c>
      <c r="Q195" s="232">
        <f>SUM(Q189:Q194)</f>
        <v/>
      </c>
      <c r="R195" s="232">
        <f>SUM(R189:R194)</f>
        <v/>
      </c>
      <c r="S195" s="232">
        <f>SUM(S189:S194)</f>
        <v/>
      </c>
      <c r="T195" s="237" t="n"/>
      <c r="U195" s="237" t="n"/>
      <c r="V195" s="237" t="n"/>
      <c r="W195" s="237" t="n"/>
      <c r="X195" s="237" t="n"/>
      <c r="Y195" s="237" t="n"/>
      <c r="Z195" s="237" t="n"/>
      <c r="AA195" s="237">
        <f>SUM(AA189:AA194)</f>
        <v/>
      </c>
      <c r="AB195" s="237">
        <f>SUM(AB189:AB194)</f>
        <v/>
      </c>
      <c r="AC195" s="237">
        <f>SUM(AC189:AC194)</f>
        <v/>
      </c>
      <c r="AD195" s="237">
        <f>SUM(AD189:AD194)</f>
        <v/>
      </c>
      <c r="AE195" s="237">
        <f>SUM(AE189:AE194)</f>
        <v/>
      </c>
      <c r="AF195" s="237">
        <f>SUM(AF189:AF194)</f>
        <v/>
      </c>
      <c r="AG195" s="237" t="n"/>
      <c r="AH195" s="237" t="n"/>
      <c r="AI195" s="237">
        <f>SUM(AI189:AI194)</f>
        <v/>
      </c>
      <c r="AJ195" s="237">
        <f>SUM(AJ189:AJ194)</f>
        <v/>
      </c>
      <c r="AK195" s="237">
        <f>SUM(AK189:AK194)</f>
        <v/>
      </c>
      <c r="AL195" s="238" t="n"/>
    </row>
    <row r="196">
      <c r="A196" s="55" t="n"/>
      <c r="B196" s="234" t="n"/>
      <c r="C196" s="234" t="n"/>
      <c r="D196" s="230" t="inlineStr">
        <is>
          <t>三、成本合计：</t>
        </is>
      </c>
      <c r="E196" s="235" t="n"/>
      <c r="F196" s="235" t="n"/>
      <c r="G196" s="235" t="n"/>
      <c r="H196" s="217">
        <f>H34+H65+H121+H138+H146+H188+H195</f>
        <v/>
      </c>
      <c r="I196" s="217">
        <f>I34+I65+I121+I138+I146+I188+I195</f>
        <v/>
      </c>
      <c r="J196" s="217">
        <f>J34+J65+J121+J138+J146+J188+J195</f>
        <v/>
      </c>
      <c r="K196" s="217">
        <f>K34+K65+K121+K138+K146+K188+K195</f>
        <v/>
      </c>
      <c r="L196" s="232">
        <f>L34+L65+L121+L138+L146+L188+L195</f>
        <v/>
      </c>
      <c r="M196" s="237">
        <f>M34+M65+M121+M138+M146+M188+M195</f>
        <v/>
      </c>
      <c r="N196" s="237">
        <f>N34+N65+N121+N138+N146+N188+N195</f>
        <v/>
      </c>
      <c r="O196" s="237">
        <f>O34+O65+O121+O138+O146+O188+O195</f>
        <v/>
      </c>
      <c r="P196" s="237">
        <f>P34+P65+P121+P138+P146+P188+P195</f>
        <v/>
      </c>
      <c r="Q196" s="237">
        <f>Q34+Q65+Q121+Q138+Q146+Q188+Q195</f>
        <v/>
      </c>
      <c r="R196" s="237">
        <f>R34+R65+R121+R138+R146+R188+R195</f>
        <v/>
      </c>
      <c r="S196" s="237">
        <f>S34+S65+S121+S138+S146+S188+S195</f>
        <v/>
      </c>
      <c r="T196" s="237" t="n"/>
      <c r="U196" s="237" t="n"/>
      <c r="V196" s="237" t="n"/>
      <c r="W196" s="237" t="n"/>
      <c r="X196" s="237" t="n"/>
      <c r="Y196" s="237" t="n"/>
      <c r="Z196" s="237">
        <f>Z34+Z65+Z121+Z138+Z146+Z188+Z195</f>
        <v/>
      </c>
      <c r="AA196" s="237">
        <f>AA34+AA65+AA121+AA138+AA146+AA188+AA195</f>
        <v/>
      </c>
      <c r="AB196" s="237">
        <f>AB34+AB65+AB121+AB138+AB146+AB188+AB195</f>
        <v/>
      </c>
      <c r="AC196" s="237">
        <f>AC34+AC65+AC121+AC138+AC146+AC188+AC195</f>
        <v/>
      </c>
      <c r="AD196" s="237">
        <f>AD34+AD65+AD121+AD138+AD146+AD188+AD195</f>
        <v/>
      </c>
      <c r="AE196" s="237">
        <f>AE34+AE65+AE121+AE138+AE146+AE188+AE195</f>
        <v/>
      </c>
      <c r="AF196" s="237">
        <f>AF34+AF65+AF121+AF138+AF146+AF188+AF195</f>
        <v/>
      </c>
      <c r="AG196" s="237" t="n"/>
      <c r="AH196" s="237" t="n"/>
      <c r="AI196" s="237">
        <f>AI34+AI65+AI121+AI138+AI146+AI188+AI195</f>
        <v/>
      </c>
      <c r="AJ196" s="237">
        <f>AJ34+AJ65+AJ121+AJ138+AJ146+AJ188+AJ195</f>
        <v/>
      </c>
      <c r="AK196" s="237">
        <f>AK34+AK65+AK121+AK138+AK146+AK188+AK195</f>
        <v/>
      </c>
      <c r="AL196" s="238" t="n"/>
    </row>
    <row r="197">
      <c r="A197" s="33" t="n"/>
      <c r="B197" s="199" t="n"/>
      <c r="C197" s="199" t="n"/>
      <c r="D197" s="218" t="inlineStr">
        <is>
          <t>四、计提保修金</t>
        </is>
      </c>
      <c r="E197" s="239" t="inlineStr">
        <is>
          <t>（在建：房建0.6%，其它0.4%；在保修期间的按0.3~0.5%自行确定;保修期结束为0）</t>
        </is>
      </c>
      <c r="F197" s="239" t="n"/>
      <c r="G197" s="239" t="n"/>
      <c r="H197" s="184" t="n"/>
      <c r="I197" s="184" t="n"/>
      <c r="J197" s="184">
        <f>H197+I197</f>
        <v/>
      </c>
      <c r="K197" s="184" t="n"/>
      <c r="L197" s="202">
        <f>J197-K197</f>
        <v/>
      </c>
      <c r="M197" s="189" t="n"/>
      <c r="N197" s="189" t="n"/>
      <c r="O197" s="189">
        <f>L197-M197</f>
        <v/>
      </c>
      <c r="P197" s="189">
        <f>K197-N197</f>
        <v/>
      </c>
      <c r="Q197" s="189">
        <f>M197+O197</f>
        <v/>
      </c>
      <c r="R197" s="189">
        <f>M197+N197+O197+P197</f>
        <v/>
      </c>
      <c r="S197" s="203">
        <f>SUM(T197:V197)</f>
        <v/>
      </c>
      <c r="T197" s="203" t="n"/>
      <c r="U197" s="203" t="n"/>
      <c r="V197" s="203" t="n"/>
      <c r="W197" s="203" t="n"/>
      <c r="X197" s="203" t="n"/>
      <c r="Y197" s="203" t="n"/>
      <c r="Z197" s="203" t="n"/>
      <c r="AA197" s="203">
        <f>Q69-S69</f>
        <v/>
      </c>
      <c r="AB197" s="240" t="n"/>
      <c r="AC197" s="240" t="n"/>
      <c r="AD197" s="240" t="n"/>
      <c r="AE197" s="240" t="n"/>
      <c r="AF197" s="240" t="n"/>
      <c r="AG197" s="240" t="n"/>
      <c r="AH197" s="240" t="n"/>
      <c r="AI197" s="240" t="n"/>
      <c r="AJ197" s="240" t="n"/>
      <c r="AK197" s="188" t="n"/>
      <c r="AL197" s="238" t="n"/>
    </row>
    <row r="198">
      <c r="A198" s="33" t="n"/>
      <c r="B198" s="199" t="n"/>
      <c r="C198" s="199" t="n"/>
      <c r="D198" s="218" t="inlineStr">
        <is>
          <t>五、过程节点奖金</t>
        </is>
      </c>
      <c r="E198" s="212" t="n"/>
      <c r="F198" s="212" t="n"/>
      <c r="G198" s="212" t="n"/>
      <c r="H198" s="184" t="n"/>
      <c r="I198" s="184" t="n"/>
      <c r="J198" s="184">
        <f>H198+I198</f>
        <v/>
      </c>
      <c r="K198" s="184" t="n"/>
      <c r="L198" s="202">
        <f>J198-K198</f>
        <v/>
      </c>
      <c r="M198" s="189" t="n"/>
      <c r="N198" s="189" t="n"/>
      <c r="O198" s="189">
        <f>L198-M198</f>
        <v/>
      </c>
      <c r="P198" s="189">
        <f>K198-N198</f>
        <v/>
      </c>
      <c r="Q198" s="189">
        <f>M198+O198</f>
        <v/>
      </c>
      <c r="R198" s="189">
        <f>M198+N198+O198+P198</f>
        <v/>
      </c>
      <c r="S198" s="203">
        <f>SUM(T198:V198)</f>
        <v/>
      </c>
      <c r="T198" s="203" t="n"/>
      <c r="U198" s="203" t="n"/>
      <c r="V198" s="203" t="n"/>
      <c r="W198" s="203" t="n"/>
      <c r="X198" s="203" t="n"/>
      <c r="Y198" s="203" t="n"/>
      <c r="Z198" s="203" t="n"/>
      <c r="AA198" s="203" t="n"/>
      <c r="AB198" s="188" t="n"/>
      <c r="AC198" s="188" t="n"/>
      <c r="AD198" s="188" t="n"/>
      <c r="AE198" s="188" t="n"/>
      <c r="AF198" s="188" t="n"/>
      <c r="AG198" s="188" t="n"/>
      <c r="AH198" s="188" t="n"/>
      <c r="AI198" s="188" t="n"/>
      <c r="AJ198" s="188" t="n"/>
      <c r="AK198" s="188" t="n"/>
      <c r="AL198" s="214" t="n"/>
    </row>
    <row r="199">
      <c r="A199" s="33" t="n"/>
      <c r="B199" s="199" t="n"/>
      <c r="C199" s="199" t="n"/>
      <c r="D199" s="218" t="inlineStr">
        <is>
          <t>六、资金占用费用</t>
        </is>
      </c>
      <c r="E199" s="212" t="n"/>
      <c r="F199" s="212" t="n"/>
      <c r="G199" s="212" t="n"/>
      <c r="H199" s="189" t="n"/>
      <c r="I199" s="189" t="n"/>
      <c r="J199" s="184">
        <f>H199+I199</f>
        <v/>
      </c>
      <c r="K199" s="189" t="n"/>
      <c r="L199" s="202">
        <f>J199-K199</f>
        <v/>
      </c>
      <c r="M199" s="241" t="n">
        <v>6780777.21</v>
      </c>
      <c r="N199" s="189" t="n"/>
      <c r="O199" s="189">
        <f>L199-M199</f>
        <v/>
      </c>
      <c r="P199" s="189">
        <f>K199-N199</f>
        <v/>
      </c>
      <c r="Q199" s="189">
        <f>M199+O199</f>
        <v/>
      </c>
      <c r="R199" s="189">
        <f>M199+N199+O199+P199</f>
        <v/>
      </c>
      <c r="S199" s="203">
        <f>SUM(T199:V199)</f>
        <v/>
      </c>
      <c r="T199" s="203" t="n"/>
      <c r="U199" s="203" t="n"/>
      <c r="V199" s="203" t="n"/>
      <c r="W199" s="203" t="n"/>
      <c r="X199" s="203" t="n"/>
      <c r="Y199" s="203" t="n"/>
      <c r="Z199" s="203" t="n"/>
      <c r="AA199" s="203" t="n"/>
      <c r="AB199" s="188" t="n"/>
      <c r="AC199" s="188" t="n"/>
      <c r="AD199" s="188" t="n"/>
      <c r="AE199" s="188" t="n"/>
      <c r="AF199" s="188" t="n"/>
      <c r="AG199" s="188" t="n"/>
      <c r="AH199" s="188" t="n"/>
      <c r="AI199" s="188" t="n"/>
      <c r="AJ199" s="188" t="n"/>
      <c r="AK199" s="188" t="n"/>
      <c r="AL199" s="214" t="n"/>
    </row>
    <row r="200">
      <c r="A200" s="33" t="n"/>
      <c r="B200" s="199" t="n"/>
      <c r="C200" s="199" t="n"/>
      <c r="D200" s="218" t="inlineStr">
        <is>
          <t>七、局投资收益（局投资项目选填）</t>
        </is>
      </c>
      <c r="E200" s="212" t="n"/>
      <c r="F200" s="212" t="n"/>
      <c r="G200" s="212" t="n"/>
      <c r="H200" s="189" t="n"/>
      <c r="I200" s="189" t="n"/>
      <c r="J200" s="184">
        <f>H200+I200</f>
        <v/>
      </c>
      <c r="K200" s="189" t="n"/>
      <c r="L200" s="202">
        <f>J200-K200</f>
        <v/>
      </c>
      <c r="M200" s="189" t="n"/>
      <c r="N200" s="189" t="n"/>
      <c r="O200" s="189">
        <f>L200-M200</f>
        <v/>
      </c>
      <c r="P200" s="189">
        <f>K200-N200</f>
        <v/>
      </c>
      <c r="Q200" s="189">
        <f>M200+O200</f>
        <v/>
      </c>
      <c r="R200" s="189">
        <f>M200+N200+O200+P200</f>
        <v/>
      </c>
      <c r="S200" s="203">
        <f>SUM(T200:V200)</f>
        <v/>
      </c>
      <c r="T200" s="203" t="n"/>
      <c r="U200" s="203" t="n"/>
      <c r="V200" s="203" t="n"/>
      <c r="W200" s="203" t="n"/>
      <c r="X200" s="203" t="n"/>
      <c r="Y200" s="203" t="n"/>
      <c r="Z200" s="203" t="n"/>
      <c r="AA200" s="203" t="n"/>
      <c r="AB200" s="188" t="n"/>
      <c r="AC200" s="188" t="n"/>
      <c r="AD200" s="188" t="n"/>
      <c r="AE200" s="188" t="n"/>
      <c r="AF200" s="188" t="n"/>
      <c r="AG200" s="188" t="n"/>
      <c r="AH200" s="188" t="n"/>
      <c r="AI200" s="188" t="n"/>
      <c r="AJ200" s="188" t="n"/>
      <c r="AK200" s="188" t="n"/>
      <c r="AL200" s="214" t="n"/>
    </row>
    <row r="201">
      <c r="A201" s="55" t="n"/>
      <c r="B201" s="234" t="n"/>
      <c r="C201" s="234" t="n"/>
      <c r="D201" s="230" t="inlineStr">
        <is>
          <t>八、研发费用</t>
        </is>
      </c>
      <c r="E201" s="235" t="n"/>
      <c r="F201" s="235" t="n"/>
      <c r="G201" s="235" t="n"/>
      <c r="H201" s="217" t="n"/>
      <c r="I201" s="217" t="n"/>
      <c r="J201" s="217">
        <f>H201+I201</f>
        <v/>
      </c>
      <c r="K201" s="217" t="n"/>
      <c r="L201" s="232">
        <f>J201-K201</f>
        <v/>
      </c>
      <c r="M201" s="237">
        <f>SUM(M74:M76)</f>
        <v/>
      </c>
      <c r="N201" s="237">
        <f>SUM(N74:N76)</f>
        <v/>
      </c>
      <c r="O201" s="237">
        <f>SUM(O74:O76)</f>
        <v/>
      </c>
      <c r="P201" s="237">
        <f>SUM(P74:P76)</f>
        <v/>
      </c>
      <c r="Q201" s="237">
        <f>SUM(Q74:Q76)</f>
        <v/>
      </c>
      <c r="R201" s="237">
        <f>SUM(R74:R76)</f>
        <v/>
      </c>
      <c r="S201" s="237">
        <f>SUM(S74:S76)</f>
        <v/>
      </c>
      <c r="T201" s="237">
        <f>SUM(T74:T76)</f>
        <v/>
      </c>
      <c r="U201" s="237">
        <f>SUM(U74:U76)</f>
        <v/>
      </c>
      <c r="V201" s="237">
        <f>SUM(V74:V76)</f>
        <v/>
      </c>
      <c r="W201" s="237">
        <f>SUM(W74:W76)</f>
        <v/>
      </c>
      <c r="X201" s="237">
        <f>SUM(X74:X76)</f>
        <v/>
      </c>
      <c r="Y201" s="237">
        <f>SUM(Y74:Y76)</f>
        <v/>
      </c>
      <c r="Z201" s="237">
        <f>SUM(Z74:Z76)</f>
        <v/>
      </c>
      <c r="AA201" s="237">
        <f>SUM(AA74:AA76)</f>
        <v/>
      </c>
      <c r="AB201" s="237">
        <f>SUM(AB74:AB76)</f>
        <v/>
      </c>
      <c r="AC201" s="237">
        <f>SUM(AC74:AC76)</f>
        <v/>
      </c>
      <c r="AD201" s="237">
        <f>SUM(AD74:AD76)</f>
        <v/>
      </c>
      <c r="AE201" s="237">
        <f>SUM(AE74:AE76)</f>
        <v/>
      </c>
      <c r="AF201" s="237">
        <f>SUM(AF74:AF76)</f>
        <v/>
      </c>
      <c r="AG201" s="237">
        <f>SUM(AG74:AG76)</f>
        <v/>
      </c>
      <c r="AH201" s="237">
        <f>SUM(AH74:AH76)</f>
        <v/>
      </c>
      <c r="AI201" s="237">
        <f>SUM(AI74:AI76)</f>
        <v/>
      </c>
      <c r="AJ201" s="237">
        <f>SUM(AJ74:AJ76)</f>
        <v/>
      </c>
      <c r="AK201" s="237">
        <f>SUM(AK74:AK76)</f>
        <v/>
      </c>
      <c r="AL201" s="238" t="n"/>
    </row>
    <row r="202">
      <c r="A202" s="206" t="n"/>
      <c r="B202" s="206" t="n"/>
      <c r="C202" s="207" t="n"/>
      <c r="D202" s="207" t="inlineStr">
        <is>
          <t>研发费用-人工成本</t>
        </is>
      </c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10" t="n">
        <v>2069939.18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</row>
    <row r="203">
      <c r="A203" s="206" t="n"/>
      <c r="B203" s="206" t="n"/>
      <c r="C203" s="207" t="n"/>
      <c r="D203" s="207" t="inlineStr">
        <is>
          <t>研发费用-内部结转</t>
        </is>
      </c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10" t="n">
        <v>2358.5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</row>
    <row r="204">
      <c r="A204" s="206" t="n"/>
      <c r="B204" s="206" t="n"/>
      <c r="C204" s="207" t="n"/>
      <c r="D204" s="207" t="inlineStr">
        <is>
          <t>研发费用-折旧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6857.02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</row>
    <row r="205">
      <c r="A205" s="206" t="n"/>
      <c r="B205" s="206" t="n"/>
      <c r="C205" s="207" t="n"/>
      <c r="D205" s="207" t="inlineStr">
        <is>
          <t>研发费用-机械租赁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63495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</row>
    <row r="206">
      <c r="A206" s="206" t="n"/>
      <c r="B206" s="206" t="n"/>
      <c r="C206" s="207" t="n"/>
      <c r="D206" s="207" t="inlineStr">
        <is>
          <t>研发费用-材料费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25030932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</row>
    <row r="207">
      <c r="A207" s="33" t="n">
        <v>1</v>
      </c>
      <c r="B207" s="199" t="n"/>
      <c r="C207" s="199" t="n"/>
      <c r="D207" s="218" t="n"/>
      <c r="E207" s="212" t="n"/>
      <c r="F207" s="212" t="n"/>
      <c r="G207" s="212" t="n"/>
      <c r="H207" s="189" t="n"/>
      <c r="I207" s="189" t="n"/>
      <c r="J207" s="184">
        <f>H207+I207</f>
        <v/>
      </c>
      <c r="K207" s="189" t="n"/>
      <c r="L207" s="202">
        <f>J207-K207</f>
        <v/>
      </c>
      <c r="M207" s="189" t="n"/>
      <c r="N207" s="189" t="n"/>
      <c r="O207" s="189">
        <f>L207-M207</f>
        <v/>
      </c>
      <c r="P207" s="189">
        <f>K207-N207</f>
        <v/>
      </c>
      <c r="Q207" s="189">
        <f>M207+O207</f>
        <v/>
      </c>
      <c r="R207" s="189">
        <f>M207+N207+O207+P207</f>
        <v/>
      </c>
      <c r="S207" s="203">
        <f>SUM(T207:V207)</f>
        <v/>
      </c>
      <c r="T207" s="203" t="n"/>
      <c r="U207" s="203" t="n"/>
      <c r="V207" s="203" t="n"/>
      <c r="W207" s="203" t="n"/>
      <c r="X207" s="203" t="n"/>
      <c r="Y207" s="203" t="n"/>
      <c r="Z207" s="203" t="n"/>
      <c r="AA207" s="203" t="n"/>
      <c r="AB207" s="188" t="n"/>
      <c r="AC207" s="188" t="n"/>
      <c r="AD207" s="188" t="n"/>
      <c r="AE207" s="188" t="n"/>
      <c r="AF207" s="188" t="n"/>
      <c r="AG207" s="188" t="n"/>
      <c r="AH207" s="188" t="n"/>
      <c r="AI207" s="188" t="n"/>
      <c r="AJ207" s="188" t="n"/>
      <c r="AK207" s="188" t="n"/>
      <c r="AL207" s="214" t="n"/>
    </row>
    <row r="208">
      <c r="A208" s="33" t="n">
        <v>2</v>
      </c>
      <c r="B208" s="199" t="n"/>
      <c r="C208" s="199" t="n"/>
      <c r="D208" s="218" t="n"/>
      <c r="E208" s="212" t="n"/>
      <c r="F208" s="212" t="n"/>
      <c r="G208" s="212" t="n"/>
      <c r="H208" s="189" t="n"/>
      <c r="I208" s="189" t="n"/>
      <c r="J208" s="184" t="n"/>
      <c r="K208" s="189" t="n"/>
      <c r="L208" s="202" t="n"/>
      <c r="M208" s="189" t="n"/>
      <c r="N208" s="189" t="n"/>
      <c r="O208" s="189">
        <f>L208-M208</f>
        <v/>
      </c>
      <c r="P208" s="189">
        <f>K208-N208</f>
        <v/>
      </c>
      <c r="Q208" s="189">
        <f>M208+O208</f>
        <v/>
      </c>
      <c r="R208" s="189">
        <f>M208+N208+O208+P208</f>
        <v/>
      </c>
      <c r="S208" s="203">
        <f>SUM(T208:V208)</f>
        <v/>
      </c>
      <c r="T208" s="203" t="n"/>
      <c r="U208" s="203" t="n"/>
      <c r="V208" s="203" t="n"/>
      <c r="W208" s="203" t="n"/>
      <c r="X208" s="203" t="n"/>
      <c r="Y208" s="203" t="n"/>
      <c r="Z208" s="203" t="n"/>
      <c r="AA208" s="203" t="n"/>
      <c r="AB208" s="188" t="n"/>
      <c r="AC208" s="188" t="n"/>
      <c r="AD208" s="188" t="n"/>
      <c r="AE208" s="188" t="n"/>
      <c r="AF208" s="188" t="n"/>
      <c r="AG208" s="188" t="n"/>
      <c r="AH208" s="188" t="n"/>
      <c r="AI208" s="188" t="n"/>
      <c r="AJ208" s="188" t="n"/>
      <c r="AK208" s="188" t="n"/>
      <c r="AL208" s="214" t="n"/>
    </row>
    <row r="209">
      <c r="A209" s="33" t="n">
        <v>3</v>
      </c>
      <c r="B209" s="199" t="n"/>
      <c r="C209" s="199" t="n"/>
      <c r="D209" s="218" t="n"/>
      <c r="E209" s="212" t="n"/>
      <c r="F209" s="212" t="n"/>
      <c r="G209" s="212" t="n"/>
      <c r="H209" s="189" t="n"/>
      <c r="I209" s="189" t="n"/>
      <c r="J209" s="184" t="n"/>
      <c r="K209" s="189" t="n"/>
      <c r="L209" s="202" t="n"/>
      <c r="M209" s="189" t="n"/>
      <c r="N209" s="189" t="n"/>
      <c r="O209" s="189">
        <f>L209-M209</f>
        <v/>
      </c>
      <c r="P209" s="189">
        <f>K209-N209</f>
        <v/>
      </c>
      <c r="Q209" s="189">
        <f>M209+O209</f>
        <v/>
      </c>
      <c r="R209" s="189">
        <f>M209+N209+O209+P209</f>
        <v/>
      </c>
      <c r="S209" s="203">
        <f>SUM(T209:V209)</f>
        <v/>
      </c>
      <c r="T209" s="203" t="n"/>
      <c r="U209" s="203" t="n"/>
      <c r="V209" s="203" t="n"/>
      <c r="W209" s="203" t="n"/>
      <c r="X209" s="203" t="n"/>
      <c r="Y209" s="203" t="n"/>
      <c r="Z209" s="203" t="n"/>
      <c r="AA209" s="203" t="n"/>
      <c r="AB209" s="188" t="n"/>
      <c r="AC209" s="188" t="n"/>
      <c r="AD209" s="188" t="n"/>
      <c r="AE209" s="188" t="n"/>
      <c r="AF209" s="188" t="n"/>
      <c r="AG209" s="188" t="n"/>
      <c r="AH209" s="188" t="n"/>
      <c r="AI209" s="188" t="n"/>
      <c r="AJ209" s="188" t="n"/>
      <c r="AK209" s="188" t="n"/>
      <c r="AL209" s="214" t="n"/>
    </row>
    <row r="210">
      <c r="A210" s="41" t="n"/>
      <c r="B210" s="215" t="n"/>
      <c r="C210" s="215" t="n"/>
      <c r="D210" s="230" t="inlineStr">
        <is>
          <t>九、成本及费用合计（三+四+五+六+七）</t>
        </is>
      </c>
      <c r="E210" s="231" t="n"/>
      <c r="F210" s="231" t="n"/>
      <c r="G210" s="231" t="n"/>
      <c r="H210" s="217">
        <f>H68+H69+H70+H71+#REF!</f>
        <v/>
      </c>
      <c r="I210" s="217">
        <f>I68+I69+I70+I71+#REF!</f>
        <v/>
      </c>
      <c r="J210" s="242">
        <f>J68+J69+J70+J71+#REF!</f>
        <v/>
      </c>
      <c r="K210" s="217">
        <f>K68+K69+K70+K71+#REF!</f>
        <v/>
      </c>
      <c r="L210" s="243">
        <f>L68+L69+L70+L71+#REF!</f>
        <v/>
      </c>
      <c r="M210" s="243">
        <f>M68+M69+M70+M71</f>
        <v/>
      </c>
      <c r="N210" s="243">
        <f>N68+N69+N70+N71</f>
        <v/>
      </c>
      <c r="O210" s="243">
        <f>O68+O69+O70+O71</f>
        <v/>
      </c>
      <c r="P210" s="243">
        <f>P68+P69+P70+P71</f>
        <v/>
      </c>
      <c r="Q210" s="243">
        <f>Q68+Q69+Q70+Q71</f>
        <v/>
      </c>
      <c r="R210" s="243">
        <f>R68+R69+R70+R71</f>
        <v/>
      </c>
      <c r="S210" s="237">
        <f>S68+S69+S70+S71</f>
        <v/>
      </c>
      <c r="T210" s="237" t="n"/>
      <c r="U210" s="237" t="n"/>
      <c r="V210" s="237" t="n"/>
      <c r="W210" s="237" t="n"/>
      <c r="X210" s="237" t="n"/>
      <c r="Y210" s="237" t="n"/>
      <c r="Z210" s="237">
        <f>Z68+Z69+Z70+Z71</f>
        <v/>
      </c>
      <c r="AA210" s="237">
        <f>AA68+AA69+AA70+AA71</f>
        <v/>
      </c>
      <c r="AB210" s="244" t="n"/>
      <c r="AC210" s="244" t="n"/>
      <c r="AD210" s="244" t="n"/>
      <c r="AE210" s="244" t="n"/>
      <c r="AF210" s="244" t="n"/>
      <c r="AG210" s="244" t="n"/>
      <c r="AH210" s="244" t="n"/>
      <c r="AI210" s="244" t="n"/>
      <c r="AJ210" s="244" t="n"/>
      <c r="AK210" s="245" t="n"/>
      <c r="AL210" s="246" t="n"/>
    </row>
    <row r="211">
      <c r="A211" s="41" t="n"/>
      <c r="B211" s="215" t="n"/>
      <c r="C211" s="215" t="n"/>
      <c r="D211" s="230" t="inlineStr">
        <is>
          <t>十、增值税实际税负（按财务数据）</t>
        </is>
      </c>
      <c r="E211" s="231" t="inlineStr">
        <is>
          <t>根据财务账面实际已缴纳增值税额+尚需缴纳的增值税额</t>
        </is>
      </c>
      <c r="F211" s="231" t="n"/>
      <c r="G211" s="231" t="n"/>
      <c r="H211" s="217" t="n"/>
      <c r="I211" s="217" t="n"/>
      <c r="J211" s="242">
        <f>H78+I78</f>
        <v/>
      </c>
      <c r="K211" s="217" t="inlineStr">
        <is>
          <t>/</t>
        </is>
      </c>
      <c r="L211" s="243" t="inlineStr">
        <is>
          <t>/</t>
        </is>
      </c>
      <c r="M211" s="243" t="n"/>
      <c r="N211" s="243">
        <f>N6-N77</f>
        <v/>
      </c>
      <c r="O211" s="243" t="n"/>
      <c r="P211" s="243" t="n"/>
      <c r="Q211" s="243" t="inlineStr">
        <is>
          <t>/</t>
        </is>
      </c>
      <c r="R211" s="243">
        <f>N78+P78</f>
        <v/>
      </c>
      <c r="S211" s="237" t="n"/>
      <c r="T211" s="237" t="n"/>
      <c r="U211" s="237" t="n"/>
      <c r="V211" s="237" t="n"/>
      <c r="W211" s="237" t="n"/>
      <c r="X211" s="237" t="n"/>
      <c r="Y211" s="237" t="n"/>
      <c r="Z211" s="237" t="n"/>
      <c r="AA211" s="237" t="n"/>
      <c r="AB211" s="244" t="n"/>
      <c r="AC211" s="244" t="n"/>
      <c r="AD211" s="244" t="n"/>
      <c r="AE211" s="244" t="n"/>
      <c r="AF211" s="244" t="n"/>
      <c r="AG211" s="244" t="n"/>
      <c r="AH211" s="244" t="n"/>
      <c r="AI211" s="244" t="n"/>
      <c r="AJ211" s="244" t="n"/>
      <c r="AK211" s="245" t="n"/>
      <c r="AL211" s="246" t="n"/>
    </row>
    <row r="212">
      <c r="A212" s="41" t="n"/>
      <c r="B212" s="215" t="n"/>
      <c r="C212" s="215" t="n"/>
      <c r="D212" s="230" t="inlineStr">
        <is>
          <t>十一、税金及附加（按财务数据）</t>
        </is>
      </c>
      <c r="E212" s="231" t="inlineStr">
        <is>
          <t>根据财务账面实际已缴纳税金及附加+尚需缴纳的税金及附加</t>
        </is>
      </c>
      <c r="F212" s="231" t="n"/>
      <c r="G212" s="231" t="n"/>
      <c r="H212" s="217" t="n"/>
      <c r="I212" s="217" t="n"/>
      <c r="J212" s="242">
        <f>H79+I79</f>
        <v/>
      </c>
      <c r="K212" s="217" t="n"/>
      <c r="L212" s="243">
        <f>J79</f>
        <v/>
      </c>
      <c r="M212" s="247" t="n">
        <v>349670.26</v>
      </c>
      <c r="N212" s="243" t="n"/>
      <c r="O212" s="243">
        <f>L79-M79</f>
        <v/>
      </c>
      <c r="P212" s="243" t="n"/>
      <c r="Q212" s="243">
        <f>M79+O79</f>
        <v/>
      </c>
      <c r="R212" s="243">
        <f>Q79</f>
        <v/>
      </c>
      <c r="S212" s="237" t="n"/>
      <c r="T212" s="237" t="n"/>
      <c r="U212" s="237" t="n"/>
      <c r="V212" s="237" t="n"/>
      <c r="W212" s="237" t="n"/>
      <c r="X212" s="237" t="n"/>
      <c r="Y212" s="237" t="n"/>
      <c r="Z212" s="237" t="n"/>
      <c r="AA212" s="237" t="n"/>
      <c r="AB212" s="244" t="n"/>
      <c r="AC212" s="244" t="n"/>
      <c r="AD212" s="244" t="n"/>
      <c r="AE212" s="244" t="n"/>
      <c r="AF212" s="244" t="n"/>
      <c r="AG212" s="244" t="n"/>
      <c r="AH212" s="244" t="n"/>
      <c r="AI212" s="244" t="n"/>
      <c r="AJ212" s="244" t="n"/>
      <c r="AK212" s="245" t="n"/>
      <c r="AL212" s="246" t="n"/>
    </row>
    <row r="213">
      <c r="A213" s="41" t="n"/>
      <c r="B213" s="215" t="n"/>
      <c r="C213" s="215" t="n"/>
      <c r="D213" s="230" t="inlineStr">
        <is>
          <t>十二、利润</t>
        </is>
      </c>
      <c r="E213" s="231" t="n"/>
      <c r="F213" s="231" t="n"/>
      <c r="G213" s="231" t="n"/>
      <c r="H213" s="217" t="n"/>
      <c r="I213" s="217" t="n"/>
      <c r="J213" s="242">
        <f>J6-J77-J78-J79</f>
        <v/>
      </c>
      <c r="K213" s="217" t="n"/>
      <c r="L213" s="243" t="n"/>
      <c r="M213" s="243" t="n"/>
      <c r="N213" s="243" t="n"/>
      <c r="O213" s="243" t="n"/>
      <c r="P213" s="243" t="n"/>
      <c r="Q213" s="243" t="n"/>
      <c r="R213" s="243" t="n"/>
      <c r="S213" s="237" t="n"/>
      <c r="T213" s="237" t="n"/>
      <c r="U213" s="237" t="n"/>
      <c r="V213" s="237" t="n"/>
      <c r="W213" s="237" t="n"/>
      <c r="X213" s="237" t="n"/>
      <c r="Y213" s="237" t="n"/>
      <c r="Z213" s="237" t="n"/>
      <c r="AA213" s="237" t="n"/>
      <c r="AB213" s="244" t="n"/>
      <c r="AC213" s="244" t="n"/>
      <c r="AD213" s="244" t="n"/>
      <c r="AE213" s="244" t="n"/>
      <c r="AF213" s="244" t="n"/>
      <c r="AG213" s="244" t="n"/>
      <c r="AH213" s="244" t="n"/>
      <c r="AI213" s="244" t="n"/>
      <c r="AJ213" s="244" t="n"/>
      <c r="AK213" s="245" t="n"/>
      <c r="AL213" s="246" t="n"/>
    </row>
    <row r="214">
      <c r="A214" s="105" t="n"/>
      <c r="B214" s="106" t="n"/>
      <c r="C214" s="106" t="n"/>
      <c r="D214" s="107" t="inlineStr">
        <is>
          <t>十三、利润率</t>
        </is>
      </c>
      <c r="E214" s="108" t="n"/>
      <c r="F214" s="108" t="n"/>
      <c r="G214" s="108" t="n"/>
      <c r="H214" s="109" t="n"/>
      <c r="I214" s="109" t="n"/>
      <c r="J214" s="109">
        <f>J80/J6</f>
        <v/>
      </c>
      <c r="K214" s="109" t="n"/>
      <c r="L214" s="127">
        <f>L80/L6</f>
        <v/>
      </c>
      <c r="M214" s="127">
        <f>M80/M6</f>
        <v/>
      </c>
      <c r="N214" s="127" t="n"/>
      <c r="O214" s="127" t="n"/>
      <c r="P214" s="127" t="n"/>
      <c r="Q214" s="127">
        <f>Q80/Q6</f>
        <v/>
      </c>
      <c r="R214" s="127">
        <f>R80/R6</f>
        <v/>
      </c>
      <c r="S214" s="142" t="n"/>
      <c r="T214" s="142" t="n"/>
      <c r="U214" s="142" t="n"/>
      <c r="V214" s="142" t="n"/>
      <c r="W214" s="142" t="n"/>
      <c r="X214" s="142" t="n"/>
      <c r="Y214" s="142" t="n"/>
      <c r="Z214" s="142" t="n"/>
      <c r="AA214" s="142" t="n"/>
      <c r="AB214" s="146" t="n"/>
      <c r="AC214" s="146" t="n"/>
      <c r="AD214" s="146" t="n"/>
      <c r="AE214" s="146" t="n"/>
      <c r="AF214" s="146" t="n"/>
      <c r="AG214" s="146" t="n"/>
      <c r="AH214" s="146" t="n"/>
      <c r="AI214" s="146" t="n"/>
      <c r="AJ214" s="146" t="n"/>
      <c r="AK214" s="154" t="n"/>
      <c r="AL214" s="155" t="n"/>
    </row>
    <row r="215">
      <c r="A215" s="111" t="n"/>
      <c r="B215" s="111" t="n"/>
      <c r="C215" s="111" t="n"/>
      <c r="D215" s="112" t="n"/>
      <c r="E215" s="113" t="n"/>
      <c r="F215" s="113" t="n"/>
      <c r="G215" s="113" t="n"/>
      <c r="H215" s="248" t="n"/>
      <c r="I215" s="248" t="n"/>
      <c r="J215" s="249" t="inlineStr">
        <is>
          <t>含税利润率</t>
        </is>
      </c>
      <c r="K215" s="250" t="n"/>
      <c r="L215" s="251" t="inlineStr">
        <is>
          <t>不含税利润率</t>
        </is>
      </c>
      <c r="M215" s="252" t="n"/>
      <c r="N215" s="252" t="n"/>
      <c r="O215" s="252" t="n"/>
      <c r="P215" s="252" t="n"/>
      <c r="Q215" s="252" t="n"/>
      <c r="R215" s="252" t="n"/>
      <c r="S215" s="252" t="n"/>
      <c r="T215" s="252" t="n"/>
      <c r="U215" s="252" t="n"/>
      <c r="V215" s="252" t="n"/>
      <c r="W215" s="252" t="n"/>
      <c r="X215" s="252" t="n"/>
      <c r="Y215" s="252" t="n"/>
      <c r="Z215" s="253" t="n"/>
      <c r="AA215" s="162" t="n"/>
      <c r="AB215" s="254" t="n"/>
      <c r="AC215" s="254" t="n"/>
      <c r="AD215" s="254" t="n"/>
      <c r="AE215" s="254" t="n"/>
      <c r="AF215" s="254" t="n"/>
      <c r="AG215" s="254" t="n"/>
      <c r="AH215" s="254" t="n"/>
      <c r="AI215" s="254" t="n"/>
      <c r="AJ215" s="254" t="n"/>
      <c r="AK215" s="254" t="n"/>
      <c r="AL215" s="156" t="n"/>
    </row>
    <row r="216">
      <c r="A216" s="111" t="n"/>
      <c r="B216" s="111" t="n"/>
      <c r="C216" s="111" t="n"/>
      <c r="D216" s="112" t="n"/>
      <c r="E216" s="113" t="n"/>
      <c r="F216" s="113" t="n"/>
      <c r="G216" s="113" t="n"/>
      <c r="H216" s="248" t="n"/>
      <c r="I216" s="248" t="n"/>
      <c r="J216" s="255" t="n"/>
      <c r="K216" s="248" t="n"/>
      <c r="L216" s="256" t="n"/>
      <c r="M216" s="252" t="n"/>
      <c r="N216" s="252" t="n"/>
      <c r="O216" s="252" t="n"/>
      <c r="P216" s="252" t="n"/>
      <c r="Q216" s="252" t="n"/>
      <c r="R216" s="252" t="n"/>
      <c r="S216" s="252" t="n"/>
      <c r="T216" s="252" t="n"/>
      <c r="U216" s="252" t="n"/>
      <c r="V216" s="252" t="n"/>
      <c r="W216" s="252" t="n"/>
      <c r="X216" s="252" t="n"/>
      <c r="Y216" s="252" t="n"/>
      <c r="Z216" s="253" t="n"/>
      <c r="AA216" s="162" t="n"/>
      <c r="AB216" s="254" t="n"/>
      <c r="AC216" s="254" t="n"/>
      <c r="AD216" s="254" t="n"/>
      <c r="AE216" s="254" t="n"/>
      <c r="AF216" s="254" t="n"/>
      <c r="AG216" s="254" t="n"/>
      <c r="AH216" s="254" t="n"/>
      <c r="AI216" s="254" t="n"/>
      <c r="AJ216" s="254" t="n"/>
      <c r="AK216" s="254" t="n"/>
      <c r="AL216" s="156" t="n"/>
    </row>
    <row r="217">
      <c r="A217" s="116" t="n"/>
      <c r="B217" s="116" t="n"/>
      <c r="C217" s="116" t="n"/>
      <c r="D217" s="117" t="n"/>
      <c r="E217" s="118" t="n"/>
      <c r="F217" s="118" t="n"/>
      <c r="G217" s="118" t="n"/>
      <c r="H217" s="119" t="n"/>
      <c r="I217" s="119" t="n"/>
      <c r="J217" s="134" t="n"/>
      <c r="K217" s="257" t="n"/>
      <c r="L217" s="257" t="n"/>
      <c r="M217" s="258" t="n"/>
      <c r="N217" s="257" t="n"/>
      <c r="O217" s="257" t="n"/>
      <c r="P217" s="259" t="n"/>
      <c r="Q217" s="259" t="n"/>
      <c r="R217" s="257" t="n"/>
      <c r="S217" s="260" t="n"/>
      <c r="T217" s="260" t="n"/>
      <c r="U217" s="260" t="n"/>
      <c r="V217" s="260" t="n"/>
      <c r="W217" s="260" t="n"/>
      <c r="X217" s="260" t="n"/>
      <c r="Y217" s="260" t="n"/>
      <c r="Z217" s="261" t="n"/>
      <c r="AA217" s="262" t="n"/>
      <c r="AD217" s="263" t="n"/>
      <c r="AE217" s="263" t="n"/>
      <c r="AF217" s="263" t="n"/>
      <c r="AG217" s="263" t="n"/>
      <c r="AH217" s="263" t="n"/>
      <c r="AI217" s="263" t="n"/>
      <c r="AJ217" s="263" t="n"/>
      <c r="AK217" s="263" t="n"/>
      <c r="AL217" s="121" t="n"/>
    </row>
    <row r="218">
      <c r="A218" s="121" t="n"/>
      <c r="B218" s="121" t="n"/>
      <c r="C218" s="121" t="n"/>
      <c r="D218" s="121" t="n"/>
      <c r="E218" s="122" t="n"/>
      <c r="F218" s="122" t="n"/>
      <c r="G218" s="122" t="n"/>
      <c r="H218" s="122" t="n"/>
      <c r="I218" s="122" t="n"/>
      <c r="J218" s="122" t="n"/>
      <c r="K218" s="264" t="n"/>
      <c r="L218" s="122" t="n"/>
      <c r="M218" s="265" t="n"/>
      <c r="N218" s="265" t="n"/>
      <c r="O218" s="265" t="n"/>
      <c r="P218" s="265" t="n"/>
      <c r="Q218" s="265" t="n"/>
      <c r="R218" s="265" t="n"/>
      <c r="S218" s="260" t="n"/>
      <c r="T218" s="260" t="n"/>
      <c r="U218" s="260" t="n"/>
      <c r="V218" s="260" t="n"/>
      <c r="W218" s="260" t="n"/>
      <c r="X218" s="260" t="n"/>
      <c r="Y218" s="260" t="n"/>
      <c r="Z218" s="265" t="n"/>
      <c r="AA218" s="263" t="n"/>
      <c r="AB218" s="263" t="n"/>
      <c r="AC218" s="263" t="n"/>
      <c r="AD218" s="263" t="n"/>
      <c r="AE218" s="263" t="n"/>
      <c r="AF218" s="263" t="n"/>
      <c r="AG218" s="263" t="n"/>
      <c r="AH218" s="263" t="n"/>
      <c r="AI218" s="263" t="n"/>
      <c r="AJ218" s="263" t="n"/>
      <c r="AK218" s="263" t="n"/>
      <c r="AL218" s="121" t="n"/>
    </row>
    <row r="219">
      <c r="A219" s="121" t="n"/>
      <c r="B219" s="121" t="n"/>
      <c r="C219" s="121" t="n"/>
      <c r="D219" s="121" t="n"/>
      <c r="E219" s="122" t="n"/>
      <c r="F219" s="122" t="n"/>
      <c r="G219" s="122" t="n"/>
      <c r="H219" s="122" t="n"/>
      <c r="I219" s="122" t="n"/>
      <c r="J219" s="122" t="n"/>
      <c r="K219" s="264" t="n"/>
      <c r="L219" s="122" t="n"/>
      <c r="M219" s="265" t="n"/>
      <c r="N219" s="265" t="n"/>
      <c r="O219" s="265" t="n"/>
      <c r="P219" s="265" t="n"/>
      <c r="Q219" s="265" t="n"/>
      <c r="R219" s="265" t="n"/>
      <c r="S219" s="260" t="n"/>
      <c r="T219" s="260" t="n"/>
      <c r="U219" s="260" t="n"/>
      <c r="V219" s="260" t="n"/>
      <c r="W219" s="260" t="n"/>
      <c r="X219" s="260" t="n"/>
      <c r="Y219" s="260" t="n"/>
      <c r="Z219" s="265" t="n"/>
      <c r="AA219" s="263" t="n"/>
      <c r="AB219" s="263" t="n"/>
      <c r="AC219" s="263" t="n"/>
      <c r="AD219" s="263" t="n"/>
      <c r="AE219" s="263" t="n"/>
      <c r="AF219" s="263" t="n"/>
      <c r="AG219" s="263" t="n"/>
      <c r="AH219" s="263" t="n"/>
      <c r="AI219" s="263" t="n"/>
      <c r="AJ219" s="263" t="n"/>
      <c r="AK219" s="263" t="n"/>
      <c r="AL219" s="121" t="n"/>
    </row>
    <row r="220">
      <c r="A220" s="121" t="n"/>
      <c r="B220" s="121" t="n"/>
      <c r="C220" s="121" t="n"/>
      <c r="D220" s="121" t="n"/>
      <c r="E220" s="123" t="n"/>
      <c r="F220" s="123" t="n"/>
      <c r="G220" s="123" t="n"/>
      <c r="H220" s="122" t="n"/>
      <c r="I220" s="122" t="n"/>
      <c r="J220" s="122" t="n"/>
      <c r="K220" s="123" t="n"/>
      <c r="L220" s="122" t="n"/>
      <c r="M220" s="265" t="n"/>
      <c r="N220" s="261" t="n"/>
      <c r="O220" s="265" t="n"/>
      <c r="P220" s="265" t="n"/>
      <c r="Q220" s="265" t="n"/>
      <c r="R220" s="257" t="n"/>
      <c r="S220" s="260" t="n"/>
      <c r="T220" s="260" t="n"/>
      <c r="U220" s="260" t="n"/>
      <c r="V220" s="260" t="n"/>
      <c r="W220" s="260" t="n"/>
      <c r="X220" s="260" t="n"/>
      <c r="Y220" s="260" t="n"/>
      <c r="Z220" s="265" t="n"/>
      <c r="AA220" s="263" t="n"/>
      <c r="AB220" s="263" t="n"/>
      <c r="AC220" s="263" t="n"/>
      <c r="AD220" s="263" t="n"/>
      <c r="AE220" s="263" t="n"/>
      <c r="AF220" s="263" t="n"/>
      <c r="AG220" s="263" t="n"/>
      <c r="AH220" s="263" t="n"/>
      <c r="AI220" s="263" t="n"/>
      <c r="AJ220" s="263" t="n"/>
      <c r="AK220" s="263" t="n"/>
      <c r="AL220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2026-04-22T14:43:13Z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