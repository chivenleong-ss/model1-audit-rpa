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63" authorId="0" shapeId="0">
      <text>
        <t>于:
**同财务账面合同履约成本/工程施工成本/直接人工费数据一致**</t>
      </text>
    </comment>
    <comment ref="F63" authorId="0" shapeId="0">
      <text>
        <t>于:
**同财务账面合同履约成本/工程施工成本/直接人工费数据一致**</t>
      </text>
    </comment>
    <comment ref="G63" authorId="0" shapeId="0">
      <text>
        <t>于:
**同财务账面合同履约成本/工程施工成本/直接人工费数据一致**</t>
      </text>
    </comment>
    <comment ref="H63" authorId="0" shapeId="0">
      <text>
        <t>于:
**同财务账面合同履约成本/工程施工成本/直接人工费数据一致**</t>
      </text>
    </comment>
    <comment ref="I63" authorId="0" shapeId="0">
      <text>
        <t>于:
**同财务账面合同履约成本/工程施工成本/直接人工费数据一致**</t>
      </text>
    </comment>
    <comment ref="J63" authorId="0" shapeId="0">
      <text>
        <t>于:
**同财务账面合同履约成本/工程施工成本/直接人工费数据一致**</t>
      </text>
    </comment>
    <comment ref="K63" authorId="0" shapeId="0">
      <text>
        <t>于:
**同财务账面合同履约成本/工程施工成本/直接人工费数据一致**</t>
      </text>
    </comment>
    <comment ref="L63" authorId="0" shapeId="0">
      <text>
        <t>于:
**同财务账面合同履约成本/工程施工成本/直接人工费数据一致**</t>
      </text>
    </comment>
    <comment ref="M63" authorId="0" shapeId="0">
      <text>
        <t>于:
**同财务账面合同履约成本/工程施工成本/直接人工费数据一致**</t>
      </text>
    </comment>
    <comment ref="N63" authorId="0" shapeId="0">
      <text>
        <t>于:
**同财务账面合同履约成本/工程施工成本/直接人工费数据一致**</t>
      </text>
    </comment>
    <comment ref="O63" authorId="0" shapeId="0">
      <text>
        <t>于:
**同财务账面合同履约成本/工程施工成本/直接人工费数据一致**</t>
      </text>
    </comment>
    <comment ref="P63" authorId="0" shapeId="0">
      <text>
        <t>于:
**同财务账面合同履约成本/工程施工成本/直接人工费数据一致**</t>
      </text>
    </comment>
    <comment ref="Q63" authorId="0" shapeId="0">
      <text>
        <t>于:
**同财务账面合同履约成本/工程施工成本/直接人工费数据一致**</t>
      </text>
    </comment>
    <comment ref="R63" authorId="0" shapeId="0">
      <text>
        <t>于:
**同财务账面合同履约成本/工程施工成本/直接人工费数据一致**</t>
      </text>
    </comment>
    <comment ref="S63" authorId="0" shapeId="0">
      <text>
        <t>于:
**同财务账面合同履约成本/工程施工成本/直接人工费数据一致**</t>
      </text>
    </comment>
    <comment ref="T63" authorId="0" shapeId="0">
      <text>
        <t>于:
**同财务账面合同履约成本/工程施工成本/直接人工费数据一致**</t>
      </text>
    </comment>
    <comment ref="U63" authorId="0" shapeId="0">
      <text>
        <t>于:
**同财务账面合同履约成本/工程施工成本/直接人工费数据一致**</t>
      </text>
    </comment>
    <comment ref="V63" authorId="0" shapeId="0">
      <text>
        <t>于:
**同财务账面合同履约成本/工程施工成本/直接人工费数据一致**</t>
      </text>
    </comment>
    <comment ref="W63" authorId="0" shapeId="0">
      <text>
        <t>于:
**同财务账面合同履约成本/工程施工成本/直接人工费数据一致**</t>
      </text>
    </comment>
    <comment ref="X63" authorId="0" shapeId="0">
      <text>
        <t>于:
**同财务账面合同履约成本/工程施工成本/直接人工费数据一致**</t>
      </text>
    </comment>
    <comment ref="Y63" authorId="0" shapeId="0">
      <text>
        <t>于:
**同财务账面合同履约成本/工程施工成本/直接人工费数据一致**</t>
      </text>
    </comment>
    <comment ref="Z63" authorId="0" shapeId="0">
      <text>
        <t>于:
**同财务账面合同履约成本/工程施工成本/直接人工费数据一致**</t>
      </text>
    </comment>
    <comment ref="AA63" authorId="0" shapeId="0">
      <text>
        <t>于:
**同财务账面合同履约成本/工程施工成本/直接人工费数据一致**</t>
      </text>
    </comment>
    <comment ref="AB63" authorId="0" shapeId="0">
      <text>
        <t>于:
**同财务账面合同履约成本/工程施工成本/直接人工费数据一致**</t>
      </text>
    </comment>
    <comment ref="AC63" authorId="0" shapeId="0">
      <text>
        <t>于:
**同财务账面合同履约成本/工程施工成本/直接人工费数据一致**</t>
      </text>
    </comment>
    <comment ref="AD63" authorId="0" shapeId="0">
      <text>
        <t>于:
**同财务账面合同履约成本/工程施工成本/直接人工费数据一致**</t>
      </text>
    </comment>
    <comment ref="AE63" authorId="0" shapeId="0">
      <text>
        <t>于:
**同财务账面合同履约成本/工程施工成本/直接人工费数据一致**</t>
      </text>
    </comment>
    <comment ref="AF63" authorId="0" shapeId="0">
      <text>
        <t>于:
**同财务账面合同履约成本/工程施工成本/直接人工费数据一致**</t>
      </text>
    </comment>
    <comment ref="AG63" authorId="0" shapeId="0">
      <text>
        <t>于:
**同财务账面合同履约成本/工程施工成本/直接人工费数据一致**</t>
      </text>
    </comment>
    <comment ref="AH63" authorId="0" shapeId="0">
      <text>
        <t>于:
**同财务账面合同履约成本/工程施工成本/直接人工费数据一致**</t>
      </text>
    </comment>
    <comment ref="AI63" authorId="0" shapeId="0">
      <text>
        <t>于:
**同财务账面合同履约成本/工程施工成本/直接人工费数据一致**</t>
      </text>
    </comment>
    <comment ref="AJ63" authorId="0" shapeId="0">
      <text>
        <t>于:
**同财务账面合同履约成本/工程施工成本/直接人工费数据一致**</t>
      </text>
    </comment>
    <comment ref="AK63" authorId="0" shapeId="0">
      <text>
        <t>于:
**同财务账面合同履约成本/工程施工成本/直接人工费数据一致**</t>
      </text>
    </comment>
    <comment ref="M121" authorId="1" shapeId="0">
      <text>
        <t xml:space="preserve">**同财务账面合同履约成本/工程施工成本/机械租赁费数据一致**
</t>
      </text>
    </comment>
    <comment ref="M130" authorId="0" shapeId="0">
      <text>
        <t>于:
**同财务账面合同履约成本/工程施工成本其他直接费数据一致**</t>
      </text>
    </comment>
    <comment ref="M164" authorId="1" shapeId="0">
      <text>
        <t>**同财务账面合同履约成本/工程施工成本/间接费数据一致**</t>
      </text>
    </comment>
    <comment ref="D172" authorId="2" shapeId="0">
      <text>
        <t>（在建：房建0.6%，其它0.4%；在保修期间的按0.3~0.5%自行确定;保修期结束为0）</t>
      </text>
    </comment>
    <comment ref="E184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85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3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L400100262</t>
        </is>
      </c>
      <c r="C6" s="11" t="n">
        <v>1220141096</v>
      </c>
      <c r="D6" s="181" t="inlineStr">
        <is>
          <t>保利阅旭台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164746137.21</v>
      </c>
      <c r="N6" s="186" t="n">
        <v>13540142.74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200436105</t>
        </is>
      </c>
      <c r="C13" s="207" t="inlineStr">
        <is>
          <t>中建四局0200202104504002</t>
        </is>
      </c>
      <c r="D13" s="207" t="inlineStr">
        <is>
          <t>广东纬地建筑劳务有限公司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315595.13</v>
      </c>
      <c r="N13" s="210" t="n">
        <v>9916.99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272300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100217147</t>
        </is>
      </c>
      <c r="C14" s="207" t="inlineStr">
        <is>
          <t>中建四局0200202104504001</t>
        </is>
      </c>
      <c r="D14" s="207" t="inlineStr">
        <is>
          <t>广州精诚建筑劳务有限公司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3815327.99</v>
      </c>
      <c r="N14" s="210" t="n">
        <v>119405.02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4099572.61</v>
      </c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2719625.81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无客商-2022年10月总承包公司工资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-28762.29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无客商-2022年10月总承包分公司公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-2784.21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无客商-2022年10月总承包分公司社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-4608.77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无客商-2022年11月总承包公司工资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-22955.37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206" t="n">
        <v>8</v>
      </c>
      <c r="B20" s="206" t="n"/>
      <c r="C20" s="207" t="n"/>
      <c r="D20" s="207" t="inlineStr">
        <is>
          <t>无客商-2022年11月总承包分公司公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9" t="n"/>
      <c r="M20" s="210" t="n">
        <v>-2866.15</v>
      </c>
      <c r="N20" s="206" t="n"/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06" t="n"/>
      <c r="U20" s="206" t="n"/>
      <c r="V20" s="206" t="n"/>
    </row>
    <row r="21" ht="14" customFormat="1" customHeight="1" s="180">
      <c r="A21" s="206" t="n">
        <v>9</v>
      </c>
      <c r="B21" s="206" t="n"/>
      <c r="C21" s="207" t="n"/>
      <c r="D21" s="207" t="inlineStr">
        <is>
          <t>无客商-2022年11月总承包分公司社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9" t="n"/>
      <c r="M21" s="210" t="n">
        <v>-4750.75</v>
      </c>
      <c r="N21" s="206" t="n"/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06" t="n"/>
      <c r="U21" s="206" t="n"/>
      <c r="V21" s="206" t="n"/>
    </row>
    <row r="22" ht="14" customFormat="1" customHeight="1" s="180">
      <c r="A22" s="206" t="n">
        <v>10</v>
      </c>
      <c r="B22" s="206" t="n"/>
      <c r="C22" s="207" t="n"/>
      <c r="D22" s="207" t="inlineStr">
        <is>
          <t>无客商-2022年12月总承包分公司公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9" t="n"/>
      <c r="M22" s="210" t="n">
        <v>-2858.83</v>
      </c>
      <c r="N22" s="206" t="n"/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06" t="n"/>
      <c r="U22" s="206" t="n"/>
      <c r="V22" s="206" t="n"/>
    </row>
    <row r="23" ht="14" customFormat="1" customHeight="1" s="180">
      <c r="A23" s="206" t="n">
        <v>11</v>
      </c>
      <c r="B23" s="206" t="n"/>
      <c r="C23" s="207" t="n"/>
      <c r="D23" s="207" t="inlineStr">
        <is>
          <t>无客商-2022年12月总承包分公司社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-4627.3</v>
      </c>
      <c r="N23" s="206" t="n"/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06" t="n"/>
      <c r="U23" s="206" t="n"/>
      <c r="V23" s="206" t="n"/>
    </row>
    <row r="24" ht="14" customFormat="1" customHeight="1" s="180">
      <c r="A24" s="206" t="n">
        <v>12</v>
      </c>
      <c r="B24" s="206" t="n"/>
      <c r="C24" s="207" t="n"/>
      <c r="D24" s="207" t="inlineStr">
        <is>
          <t>无客商-2022年4月总承包公司公积金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-679.38</v>
      </c>
      <c r="N24" s="206" t="n"/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06" t="n"/>
      <c r="U24" s="206" t="n"/>
      <c r="V24" s="206" t="n"/>
    </row>
    <row r="25" ht="14" customFormat="1" customHeight="1" s="180">
      <c r="A25" s="206" t="n">
        <v>13</v>
      </c>
      <c r="B25" s="206" t="n"/>
      <c r="C25" s="207" t="n"/>
      <c r="D25" s="207" t="inlineStr">
        <is>
          <t>无客商-2022年4月总承包公司工资计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-11349.6</v>
      </c>
      <c r="N25" s="206" t="n"/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06" t="n"/>
      <c r="U25" s="206" t="n"/>
      <c r="V25" s="206" t="n"/>
    </row>
    <row r="26" ht="14" customFormat="1" customHeight="1" s="180">
      <c r="A26" s="206" t="n">
        <v>14</v>
      </c>
      <c r="B26" s="206" t="n"/>
      <c r="C26" s="207" t="n"/>
      <c r="D26" s="207" t="inlineStr">
        <is>
          <t>无客商-2022年4月总承包公司社保企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-1239.4</v>
      </c>
      <c r="N26" s="206" t="n"/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06" t="n"/>
      <c r="U26" s="206" t="n"/>
      <c r="V26" s="206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无客商-2022年5月总承包公司五险一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-1925.58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无客商-2022年5月总承包公司工资计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-40321.48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无客商-2022年6月总承包公司五险一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-16054.15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无客商-2022年6月总承包公司工资计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-42321.26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无客商-2022年7月总承包公司五险一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-20310.47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无客商-2022年7月总承包公司工资计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9" t="n"/>
      <c r="M32" s="210" t="n">
        <v>-53877.01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</row>
    <row r="33" ht="14" customFormat="1" customHeight="1" s="180">
      <c r="A33" s="206" t="n">
        <v>21</v>
      </c>
      <c r="B33" s="206" t="n"/>
      <c r="C33" s="207" t="n"/>
      <c r="D33" s="207" t="inlineStr">
        <is>
          <t>无客商-2022年8月总承包公司工资-</t>
        </is>
      </c>
      <c r="E33" s="206" t="n"/>
      <c r="F33" s="206" t="n"/>
      <c r="G33" s="206" t="n"/>
      <c r="H33" s="206" t="n"/>
      <c r="I33" s="206" t="n"/>
      <c r="J33" s="206" t="n"/>
      <c r="K33" s="208" t="n"/>
      <c r="L33" s="209" t="n"/>
      <c r="M33" s="210" t="n">
        <v>-34918.77</v>
      </c>
      <c r="N33" s="206" t="n"/>
      <c r="O33" s="206">
        <f>L33-M33</f>
        <v/>
      </c>
      <c r="P33" s="206">
        <f>K33-N33</f>
        <v/>
      </c>
      <c r="Q33" s="206">
        <f>M33+O33</f>
        <v/>
      </c>
      <c r="R33" s="206">
        <f>M33+N33+O33+P33</f>
        <v/>
      </c>
      <c r="S33" s="206" t="n"/>
      <c r="T33" s="206" t="n"/>
      <c r="U33" s="206" t="n"/>
      <c r="V33" s="206" t="n"/>
    </row>
    <row r="34" ht="14" customFormat="1" customHeight="1" s="180">
      <c r="A34" s="206" t="n">
        <v>22</v>
      </c>
      <c r="B34" s="206" t="n"/>
      <c r="C34" s="207" t="n"/>
      <c r="D34" s="207" t="inlineStr">
        <is>
          <t>无客商-2022年8月总承包分公司公积</t>
        </is>
      </c>
      <c r="E34" s="206" t="n"/>
      <c r="F34" s="206" t="n"/>
      <c r="G34" s="206" t="n"/>
      <c r="H34" s="206" t="n"/>
      <c r="I34" s="206" t="n"/>
      <c r="J34" s="206" t="n"/>
      <c r="K34" s="208" t="n"/>
      <c r="L34" s="209" t="n"/>
      <c r="M34" s="210" t="n">
        <v>-6129.27</v>
      </c>
      <c r="N34" s="206" t="n"/>
      <c r="O34" s="206">
        <f>L34-M34</f>
        <v/>
      </c>
      <c r="P34" s="206">
        <f>K34-N34</f>
        <v/>
      </c>
      <c r="Q34" s="206">
        <f>M34+O34</f>
        <v/>
      </c>
      <c r="R34" s="206">
        <f>M34+N34+O34+P34</f>
        <v/>
      </c>
      <c r="S34" s="206" t="n"/>
      <c r="T34" s="206" t="n"/>
      <c r="U34" s="206" t="n"/>
      <c r="V34" s="206" t="n"/>
    </row>
    <row r="35" ht="14" customFormat="1" customHeight="1" s="180">
      <c r="A35" s="206" t="n">
        <v>23</v>
      </c>
      <c r="B35" s="206" t="n"/>
      <c r="C35" s="207" t="n"/>
      <c r="D35" s="207" t="inlineStr">
        <is>
          <t>无客商-2022年8月总承包分公司社保</t>
        </is>
      </c>
      <c r="E35" s="206" t="n"/>
      <c r="F35" s="206" t="n"/>
      <c r="G35" s="206" t="n"/>
      <c r="H35" s="206" t="n"/>
      <c r="I35" s="206" t="n"/>
      <c r="J35" s="206" t="n"/>
      <c r="K35" s="208" t="n"/>
      <c r="L35" s="209" t="n"/>
      <c r="M35" s="210" t="n">
        <v>-10149.67</v>
      </c>
      <c r="N35" s="206" t="n"/>
      <c r="O35" s="206">
        <f>L35-M35</f>
        <v/>
      </c>
      <c r="P35" s="206">
        <f>K35-N35</f>
        <v/>
      </c>
      <c r="Q35" s="206">
        <f>M35+O35</f>
        <v/>
      </c>
      <c r="R35" s="206">
        <f>M35+N35+O35+P35</f>
        <v/>
      </c>
      <c r="S35" s="206" t="n"/>
      <c r="T35" s="206" t="n"/>
      <c r="U35" s="206" t="n"/>
      <c r="V35" s="206" t="n"/>
    </row>
    <row r="36" ht="14" customFormat="1" customHeight="1" s="180">
      <c r="A36" s="206" t="n">
        <v>24</v>
      </c>
      <c r="B36" s="206" t="n"/>
      <c r="C36" s="207" t="n"/>
      <c r="D36" s="207" t="inlineStr">
        <is>
          <t>无客商-2022年9月总承包公司工资-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9" t="n"/>
      <c r="M36" s="210" t="n">
        <v>-22544.06</v>
      </c>
      <c r="N36" s="206" t="n"/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06" t="n"/>
      <c r="U36" s="206" t="n"/>
      <c r="V36" s="206" t="n"/>
    </row>
    <row r="37" ht="14" customFormat="1" customHeight="1" s="180">
      <c r="A37" s="206" t="n">
        <v>25</v>
      </c>
      <c r="B37" s="206" t="n"/>
      <c r="C37" s="207" t="n"/>
      <c r="D37" s="207" t="inlineStr">
        <is>
          <t>无客商-2022年9月总承包分公司公积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9" t="n"/>
      <c r="M37" s="210" t="n">
        <v>-2871.98</v>
      </c>
      <c r="N37" s="206" t="n"/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06" t="n"/>
      <c r="U37" s="206" t="n"/>
      <c r="V37" s="206" t="n"/>
    </row>
    <row r="38" ht="14" customFormat="1" customHeight="1" s="180">
      <c r="A38" s="206" t="n">
        <v>26</v>
      </c>
      <c r="B38" s="206" t="n"/>
      <c r="C38" s="207" t="n"/>
      <c r="D38" s="207" t="inlineStr">
        <is>
          <t>无客商-2022年9月总承包分公司社保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9" t="n"/>
      <c r="M38" s="210" t="n">
        <v>-4760.74</v>
      </c>
      <c r="N38" s="206" t="n"/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06" t="n"/>
      <c r="U38" s="206" t="n"/>
      <c r="V38" s="206" t="n"/>
    </row>
    <row r="39" ht="14" customFormat="1" customHeight="1" s="180">
      <c r="A39" s="206" t="n">
        <v>27</v>
      </c>
      <c r="B39" s="206" t="n"/>
      <c r="C39" s="207" t="n"/>
      <c r="D39" s="207" t="inlineStr">
        <is>
          <t>无客商-2023年3月总承包公司工资-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9" t="n"/>
      <c r="M39" s="210" t="n">
        <v>-25847.07</v>
      </c>
      <c r="N39" s="206" t="n"/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06" t="n"/>
      <c r="U39" s="206" t="n"/>
      <c r="V39" s="206" t="n"/>
    </row>
    <row r="40" ht="14" customFormat="1" customHeight="1" s="180">
      <c r="A40" s="206" t="n">
        <v>28</v>
      </c>
      <c r="B40" s="206" t="n"/>
      <c r="C40" s="207" t="n"/>
      <c r="D40" s="207" t="inlineStr">
        <is>
          <t>无客商-2023年3月总承包分公司公积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-2821.77</v>
      </c>
      <c r="N40" s="206" t="n"/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06" t="n"/>
      <c r="U40" s="206" t="n"/>
      <c r="V40" s="206" t="n"/>
    </row>
    <row r="41" ht="14" customFormat="1" customHeight="1" s="180">
      <c r="A41" s="206" t="n">
        <v>29</v>
      </c>
      <c r="B41" s="206" t="n"/>
      <c r="C41" s="207" t="n"/>
      <c r="D41" s="207" t="inlineStr">
        <is>
          <t>无客商-2023年3月总承包分公司社保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-5571.13</v>
      </c>
      <c r="N41" s="206" t="n"/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06" t="n"/>
      <c r="U41" s="206" t="n"/>
      <c r="V41" s="206" t="n"/>
    </row>
    <row r="42" ht="14" customFormat="1" customHeight="1" s="180">
      <c r="A42" s="206" t="n">
        <v>30</v>
      </c>
      <c r="B42" s="206" t="n"/>
      <c r="C42" s="207" t="n"/>
      <c r="D42" s="207" t="inlineStr">
        <is>
          <t>无客商-2023年4月总承包分公司公积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-3419.93</v>
      </c>
      <c r="N42" s="206" t="n"/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06" t="n"/>
      <c r="U42" s="206" t="n"/>
      <c r="V42" s="206" t="n"/>
    </row>
    <row r="43" ht="14" customFormat="1" customHeight="1" s="180">
      <c r="A43" s="206" t="n">
        <v>31</v>
      </c>
      <c r="B43" s="206" t="n"/>
      <c r="C43" s="207" t="n"/>
      <c r="D43" s="207" t="inlineStr">
        <is>
          <t>无客商-2023年4月总承包分公司社保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-7648.03</v>
      </c>
      <c r="N43" s="206" t="n"/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32</v>
      </c>
      <c r="B44" s="206" t="n"/>
      <c r="C44" s="207" t="n"/>
      <c r="D44" s="207" t="inlineStr">
        <is>
          <t>无客商-2023年5月总承包公司工资-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-38462.23</v>
      </c>
      <c r="N44" s="206" t="n"/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06" t="n"/>
      <c r="U44" s="206" t="n"/>
      <c r="V44" s="206" t="n"/>
    </row>
    <row r="45" ht="14" customFormat="1" customHeight="1" s="180">
      <c r="A45" s="206" t="n">
        <v>33</v>
      </c>
      <c r="B45" s="206" t="n"/>
      <c r="C45" s="207" t="n"/>
      <c r="D45" s="207" t="inlineStr">
        <is>
          <t>无客商-2023年5月总承包分公司公积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-4839.48</v>
      </c>
      <c r="N45" s="206" t="n"/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06" t="n"/>
      <c r="U45" s="206" t="n"/>
      <c r="V45" s="206" t="n"/>
    </row>
    <row r="46" ht="14" customFormat="1" customHeight="1" s="180">
      <c r="A46" s="206" t="n">
        <v>34</v>
      </c>
      <c r="B46" s="206" t="n"/>
      <c r="C46" s="207" t="n"/>
      <c r="D46" s="207" t="inlineStr">
        <is>
          <t>无客商-2023年5月总承包分公司社保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-9863.540000000001</v>
      </c>
      <c r="N46" s="206" t="n"/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06" t="n"/>
      <c r="U46" s="206" t="n"/>
      <c r="V46" s="206" t="n"/>
    </row>
    <row r="47" ht="14" customFormat="1" customHeight="1" s="180">
      <c r="A47" s="206" t="n">
        <v>35</v>
      </c>
      <c r="B47" s="206" t="n"/>
      <c r="C47" s="207" t="n"/>
      <c r="D47" s="207" t="inlineStr">
        <is>
          <t>无客商-2023年6月总承包公司工资-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-43775.85</v>
      </c>
      <c r="N47" s="206" t="n"/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06" t="n"/>
      <c r="U47" s="206" t="n"/>
      <c r="V47" s="206" t="n"/>
    </row>
    <row r="48" ht="14" customFormat="1" customHeight="1" s="180">
      <c r="A48" s="206" t="n">
        <v>36</v>
      </c>
      <c r="B48" s="206" t="n"/>
      <c r="C48" s="207" t="n"/>
      <c r="D48" s="207" t="inlineStr">
        <is>
          <t>无客商-2023年6月总承包分公司公积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-3380.11</v>
      </c>
      <c r="N48" s="206" t="n"/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06" t="n"/>
      <c r="U48" s="206" t="n"/>
      <c r="V48" s="206" t="n"/>
    </row>
    <row r="49" ht="14" customFormat="1" customHeight="1" s="180">
      <c r="A49" s="206" t="n">
        <v>37</v>
      </c>
      <c r="B49" s="206" t="n"/>
      <c r="C49" s="207" t="n"/>
      <c r="D49" s="207" t="inlineStr">
        <is>
          <t>无客商-2023年6月总承包分公司社保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-7682.54</v>
      </c>
      <c r="N49" s="206" t="n"/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06" t="n"/>
      <c r="U49" s="206" t="n"/>
      <c r="V49" s="206" t="n"/>
    </row>
    <row r="50" ht="14" customFormat="1" customHeight="1" s="180">
      <c r="A50" s="206" t="n">
        <v>38</v>
      </c>
      <c r="B50" s="206" t="n"/>
      <c r="C50" s="207" t="n"/>
      <c r="D50" s="207" t="inlineStr">
        <is>
          <t>无客商-2023年7月总承包公司工资-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-55557.65</v>
      </c>
      <c r="N50" s="206" t="n"/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06" t="n"/>
      <c r="U50" s="206" t="n"/>
      <c r="V50" s="206" t="n"/>
    </row>
    <row r="51" ht="14" customFormat="1" customHeight="1" s="180">
      <c r="A51" s="206" t="n">
        <v>39</v>
      </c>
      <c r="B51" s="206" t="n"/>
      <c r="C51" s="207" t="n"/>
      <c r="D51" s="207" t="inlineStr">
        <is>
          <t>无客商-2023年7月总承包分公司公积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-3536</v>
      </c>
      <c r="N51" s="206" t="n"/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06" t="n"/>
      <c r="U51" s="206" t="n"/>
      <c r="V51" s="206" t="n"/>
    </row>
    <row r="52" ht="14" customFormat="1" customHeight="1" s="180">
      <c r="A52" s="206" t="n">
        <v>40</v>
      </c>
      <c r="B52" s="206" t="n"/>
      <c r="C52" s="207" t="n"/>
      <c r="D52" s="207" t="inlineStr">
        <is>
          <t>无客商-2023年7月总承包分公司社保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-7061.24</v>
      </c>
      <c r="N52" s="206" t="n"/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06" t="n"/>
      <c r="U52" s="206" t="n"/>
      <c r="V52" s="206" t="n"/>
    </row>
    <row r="53" ht="14" customFormat="1" customHeight="1" s="180">
      <c r="A53" s="206" t="n">
        <v>41</v>
      </c>
      <c r="B53" s="206" t="n"/>
      <c r="C53" s="207" t="n"/>
      <c r="D53" s="207" t="inlineStr">
        <is>
          <t>无客商-2023年8月总承包公司工资-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-41442.39</v>
      </c>
      <c r="N53" s="206" t="n"/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06" t="n"/>
      <c r="U53" s="206" t="n"/>
      <c r="V53" s="206" t="n"/>
    </row>
    <row r="54" ht="14" customFormat="1" customHeight="1" s="180">
      <c r="A54" s="206" t="n">
        <v>42</v>
      </c>
      <c r="B54" s="206" t="n"/>
      <c r="C54" s="207" t="n"/>
      <c r="D54" s="207" t="inlineStr">
        <is>
          <t>无客商-2023年8月总承包分公司公积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-3602.37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43</v>
      </c>
      <c r="B55" s="206" t="n"/>
      <c r="C55" s="207" t="n"/>
      <c r="D55" s="207" t="inlineStr">
        <is>
          <t>无客商-2023年8月总承包分公司社保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-7191.31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44</v>
      </c>
      <c r="B56" s="206" t="n"/>
      <c r="C56" s="207" t="n"/>
      <c r="D56" s="207" t="inlineStr">
        <is>
          <t>无客商-2023年9月总承包分公司公积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-6263.97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206" t="n">
        <v>45</v>
      </c>
      <c r="B57" s="206" t="n"/>
      <c r="C57" s="207" t="n"/>
      <c r="D57" s="207" t="inlineStr">
        <is>
          <t>无客商-2023年9月总承包分公司社保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9" t="n"/>
      <c r="M57" s="210" t="n">
        <v>-12130.97</v>
      </c>
      <c r="N57" s="206" t="n"/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06" t="n"/>
      <c r="U57" s="206" t="n"/>
      <c r="V57" s="206" t="n"/>
    </row>
    <row r="58" ht="14" customFormat="1" customHeight="1" s="180">
      <c r="A58" s="206" t="n">
        <v>46</v>
      </c>
      <c r="B58" s="206" t="n"/>
      <c r="C58" s="207" t="n"/>
      <c r="D58" s="207" t="inlineStr">
        <is>
          <t>无客商-关于 《超厚淤泥地层基础构造技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9" t="n"/>
      <c r="M58" s="210" t="n">
        <v>129908.09</v>
      </c>
      <c r="N58" s="206" t="n"/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06" t="n"/>
      <c r="U58" s="206" t="n"/>
      <c r="V58" s="206" t="n"/>
    </row>
    <row r="59" ht="14" customFormat="1" customHeight="1" s="180">
      <c r="A59" s="206" t="n">
        <v>47</v>
      </c>
      <c r="B59" s="206" t="n"/>
      <c r="C59" s="207" t="n"/>
      <c r="D59" s="207" t="inlineStr">
        <is>
          <t>无客商-计提装配式框架结构钢柱模原位预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9" t="n"/>
      <c r="M59" s="210" t="n">
        <v>-37091.95</v>
      </c>
      <c r="N59" s="206" t="n"/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06" t="n"/>
      <c r="U59" s="206" t="n"/>
      <c r="V59" s="206" t="n"/>
    </row>
    <row r="60" ht="14" customFormat="1" customHeight="1" s="180">
      <c r="A60" s="206" t="n">
        <v>48</v>
      </c>
      <c r="B60" s="206" t="n"/>
      <c r="C60" s="207" t="n"/>
      <c r="D60" s="207" t="inlineStr">
        <is>
          <t>无客商-计提超厚淤泥地层基础构造技术及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9" t="n"/>
      <c r="M60" s="210" t="n">
        <v>-16584.61</v>
      </c>
      <c r="N60" s="206" t="n"/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06" t="n"/>
      <c r="U60" s="206" t="n"/>
      <c r="V60" s="206" t="n"/>
    </row>
    <row r="61" ht="14" customFormat="1" customHeight="1" s="180">
      <c r="A61" s="206" t="n">
        <v>49</v>
      </c>
      <c r="B61" s="206" t="n"/>
      <c r="C61" s="207" t="n"/>
      <c r="D61" s="207" t="inlineStr">
        <is>
          <t>无客商-调整亲力峰行劳务派遣费用至直接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9" t="n"/>
      <c r="M61" s="210" t="n">
        <v>80558.22</v>
      </c>
      <c r="N61" s="206" t="n"/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06" t="n"/>
      <c r="U61" s="206" t="n"/>
      <c r="V61" s="206" t="n"/>
    </row>
    <row r="62" ht="14" customFormat="1" customHeight="1" s="180">
      <c r="A62" s="33" t="n"/>
      <c r="B62" s="199" t="n"/>
      <c r="C62" s="199" t="n"/>
      <c r="D62" s="211" t="inlineStr">
        <is>
          <t>**财务未列部分需增列***</t>
        </is>
      </c>
      <c r="E62" s="212" t="n"/>
      <c r="F62" s="212" t="n"/>
      <c r="G62" s="212" t="n"/>
      <c r="H62" s="189" t="n"/>
      <c r="I62" s="189" t="n"/>
      <c r="J62" s="189" t="n"/>
      <c r="K62" s="201" t="n"/>
      <c r="L62" s="202" t="n"/>
      <c r="M62" s="189" t="n"/>
      <c r="N62" s="189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189" t="n"/>
      <c r="U62" s="189" t="n"/>
      <c r="V62" s="189" t="n"/>
      <c r="W62" s="189" t="n"/>
      <c r="X62" s="189" t="n"/>
      <c r="Y62" s="189" t="n"/>
      <c r="Z62" s="189">
        <f>SUM(AA16:AJ16)</f>
        <v/>
      </c>
      <c r="AA62" s="213" t="n"/>
      <c r="AB62" s="188" t="n"/>
      <c r="AC62" s="188" t="n"/>
      <c r="AD62" s="188" t="n"/>
      <c r="AE62" s="188" t="n"/>
      <c r="AF62" s="188" t="n"/>
      <c r="AG62" s="188" t="n"/>
      <c r="AH62" s="188" t="n"/>
      <c r="AI62" s="188" t="n"/>
      <c r="AJ62" s="188" t="n"/>
      <c r="AK62" s="188">
        <f>AB16/1.17*0.17+AC16/1.16*0.16+AD16/1.11*0.11+AE16/1.1*0.1+AF16/1.09*0.09+AI16/1.03*0.03</f>
        <v/>
      </c>
      <c r="AL62" s="214" t="n"/>
    </row>
    <row r="63" ht="14" customFormat="1" customHeight="1" s="180">
      <c r="A63" s="41" t="n"/>
      <c r="B63" s="215" t="n"/>
      <c r="C63" s="215" t="n"/>
      <c r="D63" s="216" t="inlineStr">
        <is>
          <t>人工费小计：</t>
        </is>
      </c>
      <c r="E63" s="217">
        <f>SUM(E12:E62)</f>
        <v/>
      </c>
      <c r="F63" s="217">
        <f>SUM(F12:F62)</f>
        <v/>
      </c>
      <c r="G63" s="217">
        <f>SUM(G12:G62)</f>
        <v/>
      </c>
      <c r="H63" s="217">
        <f>SUM(H12:H62)</f>
        <v/>
      </c>
      <c r="I63" s="217">
        <f>SUM(I12:I62)</f>
        <v/>
      </c>
      <c r="J63" s="217">
        <f>SUM(J12:J62)</f>
        <v/>
      </c>
      <c r="K63" s="217">
        <f>SUM(K12:K62)</f>
        <v/>
      </c>
      <c r="L63" s="217">
        <f>SUM(L12:L62)</f>
        <v/>
      </c>
      <c r="M63" s="217">
        <f>SUM(M12:M62)</f>
        <v/>
      </c>
      <c r="N63" s="217">
        <f>SUM(N12:N62)</f>
        <v/>
      </c>
      <c r="O63" s="217">
        <f>SUM(O12:O62)</f>
        <v/>
      </c>
      <c r="P63" s="217">
        <f>SUM(P12:P62)</f>
        <v/>
      </c>
      <c r="Q63" s="217">
        <f>SUM(Q12:Q62)</f>
        <v/>
      </c>
      <c r="R63" s="217">
        <f>SUM(R12:R62)</f>
        <v/>
      </c>
      <c r="S63" s="217">
        <f>SUM(S12:S62)</f>
        <v/>
      </c>
      <c r="T63" s="217">
        <f>SUM(T12:T62)</f>
        <v/>
      </c>
      <c r="U63" s="217">
        <f>SUM(U12:U62)</f>
        <v/>
      </c>
      <c r="V63" s="217">
        <f>SUM(V12:V62)</f>
        <v/>
      </c>
      <c r="W63" s="217">
        <f>SUM(W12:W62)</f>
        <v/>
      </c>
      <c r="X63" s="217">
        <f>SUM(X12:X62)</f>
        <v/>
      </c>
      <c r="Y63" s="217">
        <f>SUM(Y12:Y62)</f>
        <v/>
      </c>
      <c r="Z63" s="217">
        <f>SUM(Z12:Z62)</f>
        <v/>
      </c>
      <c r="AA63" s="217">
        <f>SUM(AA12:AA62)</f>
        <v/>
      </c>
      <c r="AB63" s="217">
        <f>SUM(AB12:AB62)</f>
        <v/>
      </c>
      <c r="AC63" s="217">
        <f>SUM(AC12:AC62)</f>
        <v/>
      </c>
      <c r="AD63" s="217">
        <f>SUM(AD12:AD62)</f>
        <v/>
      </c>
      <c r="AE63" s="217">
        <f>SUM(AE12:AE62)</f>
        <v/>
      </c>
      <c r="AF63" s="217">
        <f>SUM(AF12:AF62)</f>
        <v/>
      </c>
      <c r="AG63" s="217">
        <f>SUM(AG12:AG62)</f>
        <v/>
      </c>
      <c r="AH63" s="217">
        <f>SUM(AH12:AH62)</f>
        <v/>
      </c>
      <c r="AI63" s="217">
        <f>SUM(AI12:AI62)</f>
        <v/>
      </c>
      <c r="AJ63" s="217">
        <f>SUM(AJ12:AJ62)</f>
        <v/>
      </c>
      <c r="AK63" s="217">
        <f>SUM(AK12:AK62)</f>
        <v/>
      </c>
      <c r="AL63" s="204" t="n"/>
    </row>
    <row r="64" ht="14" customFormat="1" customHeight="1" s="180">
      <c r="A64" s="33" t="n"/>
      <c r="B64" s="199" t="n"/>
      <c r="C64" s="199" t="n"/>
      <c r="D64" s="218" t="inlineStr">
        <is>
          <t>（二）分包工程</t>
        </is>
      </c>
      <c r="E64" s="199" t="n"/>
      <c r="F64" s="199" t="n"/>
      <c r="G64" s="199" t="n"/>
      <c r="H64" s="189" t="n"/>
      <c r="I64" s="189" t="n"/>
      <c r="J64" s="189" t="n"/>
      <c r="K64" s="201" t="n"/>
      <c r="L64" s="202" t="n"/>
      <c r="M64" s="189" t="n"/>
      <c r="N64" s="189" t="n"/>
      <c r="O64" s="189">
        <f>L64-M64</f>
        <v/>
      </c>
      <c r="P64" s="189">
        <f>K64-N64</f>
        <v/>
      </c>
      <c r="Q64" s="189">
        <f>M64+O64</f>
        <v/>
      </c>
      <c r="R64" s="189">
        <f>M64+N64+O64+P64</f>
        <v/>
      </c>
      <c r="S64" s="203">
        <f>SUM(T64:V64)</f>
        <v/>
      </c>
      <c r="T64" s="203" t="n"/>
      <c r="U64" s="203" t="n"/>
      <c r="V64" s="203" t="n"/>
      <c r="W64" s="203" t="n"/>
      <c r="X64" s="203" t="n"/>
      <c r="Y64" s="203" t="n"/>
      <c r="Z64" s="203" t="n"/>
      <c r="AA64" s="203" t="n"/>
      <c r="AB64" s="203" t="n"/>
      <c r="AC64" s="203" t="n"/>
      <c r="AD64" s="203" t="n"/>
      <c r="AE64" s="203" t="n"/>
      <c r="AF64" s="203" t="n"/>
      <c r="AG64" s="203" t="n"/>
      <c r="AH64" s="203" t="n"/>
      <c r="AI64" s="203" t="n"/>
      <c r="AJ64" s="203" t="n"/>
      <c r="AK64" s="188">
        <f>AB18/1.17*0.17+AC18/1.16*0.16+AD18/1.11*0.11+AE18/1.1*0.1+AF18/1.09*0.09+AI18/1.03*0.03</f>
        <v/>
      </c>
      <c r="AL64" s="204" t="n"/>
    </row>
    <row r="65" ht="14" customFormat="1" customHeight="1" s="180">
      <c r="A65" s="206" t="n">
        <v>1</v>
      </c>
      <c r="B65" s="206" t="inlineStr">
        <is>
          <t>200147390</t>
        </is>
      </c>
      <c r="C65" s="207" t="inlineStr">
        <is>
          <t>中建四局0200202104503001</t>
        </is>
      </c>
      <c r="D65" s="207" t="inlineStr">
        <is>
          <t>佛山市劲辉鑫业建筑工程有限公司</t>
        </is>
      </c>
      <c r="E65" s="206" t="n"/>
      <c r="F65" s="206" t="n"/>
      <c r="G65" s="206" t="n"/>
      <c r="H65" s="206" t="n"/>
      <c r="I65" s="206" t="n"/>
      <c r="J65" s="206" t="n"/>
      <c r="K65" s="208" t="n"/>
      <c r="L65" s="209" t="n"/>
      <c r="M65" s="210" t="n">
        <v>2745444.28</v>
      </c>
      <c r="N65" s="210" t="n">
        <v>375692.37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1905250</v>
      </c>
      <c r="U65" s="206" t="n"/>
      <c r="V65" s="206" t="n"/>
    </row>
    <row r="66" ht="14" customFormat="1" customHeight="1" s="180">
      <c r="A66" s="206" t="n">
        <v>2</v>
      </c>
      <c r="B66" s="206" t="inlineStr">
        <is>
          <t>200199796</t>
        </is>
      </c>
      <c r="C66" s="207" t="inlineStr">
        <is>
          <t>中建四局0200202104503005</t>
        </is>
      </c>
      <c r="D66" s="207" t="inlineStr">
        <is>
          <t>佛山市喜润鑫建筑工程有限公司</t>
        </is>
      </c>
      <c r="E66" s="206" t="n"/>
      <c r="F66" s="206" t="n"/>
      <c r="G66" s="206" t="n"/>
      <c r="H66" s="206" t="n"/>
      <c r="I66" s="206" t="n"/>
      <c r="J66" s="206" t="n"/>
      <c r="K66" s="208" t="n"/>
      <c r="L66" s="209" t="n"/>
      <c r="M66" s="210" t="n">
        <v>758788.1800000001</v>
      </c>
      <c r="N66" s="210" t="n">
        <v>23961.74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575800</v>
      </c>
      <c r="U66" s="206" t="n"/>
      <c r="V66" s="206" t="n"/>
    </row>
    <row r="67" ht="14" customFormat="1" customHeight="1" s="180">
      <c r="A67" s="206" t="n">
        <v>3</v>
      </c>
      <c r="B67" s="206" t="inlineStr">
        <is>
          <t>100217528</t>
        </is>
      </c>
      <c r="C67" s="207" t="inlineStr">
        <is>
          <t>中建四局0200202104503006</t>
        </is>
      </c>
      <c r="D67" s="207" t="inlineStr">
        <is>
          <t>佛山市耀盈活动房屋有限公司</t>
        </is>
      </c>
      <c r="E67" s="206" t="n"/>
      <c r="F67" s="206" t="n"/>
      <c r="G67" s="206" t="n"/>
      <c r="H67" s="206" t="n"/>
      <c r="I67" s="206" t="n"/>
      <c r="J67" s="206" t="n"/>
      <c r="K67" s="208" t="n"/>
      <c r="L67" s="209" t="n"/>
      <c r="M67" s="210" t="n">
        <v>264623.8</v>
      </c>
      <c r="N67" s="210" t="n">
        <v>36211.68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215000</v>
      </c>
      <c r="U67" s="206" t="n"/>
      <c r="V67" s="206" t="n"/>
    </row>
    <row r="68" ht="14" customFormat="1" customHeight="1" s="180">
      <c r="A68" s="206" t="n">
        <v>4</v>
      </c>
      <c r="B68" s="206" t="inlineStr">
        <is>
          <t>100174525</t>
        </is>
      </c>
      <c r="C68" s="207" t="inlineStr">
        <is>
          <t>中建四局0200202104503004</t>
        </is>
      </c>
      <c r="D68" s="207" t="inlineStr">
        <is>
          <t>四川湘盛建筑工程有限公司</t>
        </is>
      </c>
      <c r="E68" s="206" t="n"/>
      <c r="F68" s="206" t="n"/>
      <c r="G68" s="206" t="n"/>
      <c r="H68" s="206" t="n"/>
      <c r="I68" s="206" t="n"/>
      <c r="J68" s="206" t="n"/>
      <c r="K68" s="208" t="n"/>
      <c r="L68" s="209" t="n"/>
      <c r="M68" s="210" t="n">
        <v>2552571.71</v>
      </c>
      <c r="N68" s="210" t="n">
        <v>241571.53</v>
      </c>
      <c r="O68" s="206">
        <f>L68-M68</f>
        <v/>
      </c>
      <c r="P68" s="206">
        <f>K68-N68</f>
        <v/>
      </c>
      <c r="Q68" s="206">
        <f>M68+O68</f>
        <v/>
      </c>
      <c r="R68" s="206">
        <f>M68+N68+O68+P68</f>
        <v/>
      </c>
      <c r="S68" s="206" t="n"/>
      <c r="T68" s="210" t="n">
        <v>1895600</v>
      </c>
      <c r="U68" s="206" t="n"/>
      <c r="V68" s="206" t="n"/>
    </row>
    <row r="69" ht="39" customFormat="1" customHeight="1" s="180">
      <c r="A69" s="206" t="n">
        <v>5</v>
      </c>
      <c r="B69" s="206" t="inlineStr">
        <is>
          <t>200540519</t>
        </is>
      </c>
      <c r="C69" s="207" t="inlineStr">
        <is>
          <t>中建四局0200202104503002</t>
        </is>
      </c>
      <c r="D69" s="207" t="inlineStr">
        <is>
          <t>广东湘庆建筑工程有限公司</t>
        </is>
      </c>
      <c r="E69" s="206" t="n"/>
      <c r="F69" s="206" t="n"/>
      <c r="G69" s="206" t="n"/>
      <c r="H69" s="206" t="n"/>
      <c r="I69" s="206" t="n"/>
      <c r="J69" s="206" t="n"/>
      <c r="K69" s="208" t="n"/>
      <c r="L69" s="209" t="n"/>
      <c r="M69" s="210" t="n">
        <v>1021000.84</v>
      </c>
      <c r="N69" s="210" t="n">
        <v>96726.39</v>
      </c>
      <c r="O69" s="206">
        <f>L69-M69</f>
        <v/>
      </c>
      <c r="P69" s="206">
        <f>K69-N69</f>
        <v/>
      </c>
      <c r="Q69" s="206">
        <f>M69+O69</f>
        <v/>
      </c>
      <c r="R69" s="206">
        <f>M69+N69+O69+P69</f>
        <v/>
      </c>
      <c r="S69" s="206" t="n"/>
      <c r="T69" s="210" t="n">
        <v>819800</v>
      </c>
      <c r="U69" s="206" t="n"/>
      <c r="V69" s="206" t="n"/>
    </row>
    <row r="70" ht="14" customFormat="1" customHeight="1" s="180">
      <c r="A70" s="206" t="n">
        <v>6</v>
      </c>
      <c r="B70" s="206" t="inlineStr">
        <is>
          <t>200053581</t>
        </is>
      </c>
      <c r="C70" s="207" t="inlineStr">
        <is>
          <t>中建四局020020210045030002</t>
        </is>
      </c>
      <c r="D70" s="207" t="inlineStr">
        <is>
          <t>广东粤忠晟保安服务有限公司</t>
        </is>
      </c>
      <c r="E70" s="206" t="n"/>
      <c r="F70" s="206" t="n"/>
      <c r="G70" s="206" t="n"/>
      <c r="H70" s="206" t="n"/>
      <c r="I70" s="206" t="n"/>
      <c r="J70" s="206" t="n"/>
      <c r="K70" s="208" t="n"/>
      <c r="L70" s="209" t="n"/>
      <c r="M70" s="210" t="n">
        <v>532349.4300000001</v>
      </c>
      <c r="N70" s="210" t="n">
        <v>28018.39</v>
      </c>
      <c r="O70" s="206">
        <f>L70-M70</f>
        <v/>
      </c>
      <c r="P70" s="206">
        <f>K70-N70</f>
        <v/>
      </c>
      <c r="Q70" s="206">
        <f>M70+O70</f>
        <v/>
      </c>
      <c r="R70" s="206">
        <f>M70+N70+O70+P70</f>
        <v/>
      </c>
      <c r="S70" s="206" t="n"/>
      <c r="T70" s="210" t="n">
        <v>394070.52</v>
      </c>
      <c r="U70" s="206" t="n"/>
      <c r="V70" s="206" t="n"/>
    </row>
    <row r="71" ht="14" customFormat="1" customHeight="1" s="180">
      <c r="A71" s="206" t="n">
        <v>7</v>
      </c>
      <c r="B71" s="206" t="inlineStr">
        <is>
          <t>200436105</t>
        </is>
      </c>
      <c r="C71" s="207" t="inlineStr">
        <is>
          <t>中建四局0200202104503003</t>
        </is>
      </c>
      <c r="D71" s="207" t="inlineStr">
        <is>
          <t>广东纬地建筑劳务有限公司</t>
        </is>
      </c>
      <c r="E71" s="206" t="n"/>
      <c r="F71" s="206" t="n"/>
      <c r="G71" s="206" t="n"/>
      <c r="H71" s="206" t="n"/>
      <c r="I71" s="206" t="n"/>
      <c r="J71" s="206" t="n"/>
      <c r="K71" s="208" t="n"/>
      <c r="L71" s="209" t="n"/>
      <c r="M71" s="210" t="n">
        <v>45524068.08</v>
      </c>
      <c r="N71" s="210" t="n">
        <v>1437441.88</v>
      </c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10" t="n">
        <v>41605917</v>
      </c>
      <c r="U71" s="206" t="n"/>
      <c r="V71" s="206" t="n"/>
    </row>
    <row r="72" ht="14" customFormat="1" customHeight="1" s="180">
      <c r="A72" s="206" t="n">
        <v>8</v>
      </c>
      <c r="B72" s="206" t="inlineStr">
        <is>
          <t>200436105</t>
        </is>
      </c>
      <c r="C72" s="207" t="inlineStr">
        <is>
          <t>中建四局0200202104504002</t>
        </is>
      </c>
      <c r="D72" s="207" t="inlineStr">
        <is>
          <t>广东纬地建筑劳务有限公司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9" t="n"/>
      <c r="M72" s="210" t="n">
        <v>-1556.78</v>
      </c>
      <c r="N72" s="210" t="n">
        <v>9916.99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272300</v>
      </c>
      <c r="U72" s="206" t="n"/>
      <c r="V72" s="206" t="n"/>
    </row>
    <row r="73" ht="14" customFormat="1" customHeight="1" s="180">
      <c r="A73" s="206" t="n">
        <v>9</v>
      </c>
      <c r="B73" s="206" t="inlineStr">
        <is>
          <t>100217071</t>
        </is>
      </c>
      <c r="C73" s="207" t="inlineStr">
        <is>
          <t>中建四局0200202104503007</t>
        </is>
      </c>
      <c r="D73" s="207" t="inlineStr">
        <is>
          <t>广东邵宇建筑安装工程有限公司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9" t="n"/>
      <c r="M73" s="210" t="n">
        <v>6286297.79</v>
      </c>
      <c r="N73" s="210" t="n">
        <v>595534.53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5353700</v>
      </c>
      <c r="U73" s="206" t="n"/>
      <c r="V73" s="206" t="n"/>
    </row>
    <row r="74" ht="14" customFormat="1" customHeight="1" s="180">
      <c r="A74" s="206" t="n">
        <v>10</v>
      </c>
      <c r="B74" s="206" t="inlineStr">
        <is>
          <t>100187703</t>
        </is>
      </c>
      <c r="C74" s="207" t="inlineStr">
        <is>
          <t>中建四局0200202104503008</t>
        </is>
      </c>
      <c r="D74" s="207" t="inlineStr">
        <is>
          <t>广州市金式广告有限公司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9" t="n"/>
      <c r="M74" s="210" t="n">
        <v>295653.46</v>
      </c>
      <c r="N74" s="210" t="n">
        <v>9336.42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100000</v>
      </c>
      <c r="U74" s="206" t="n"/>
      <c r="V74" s="206" t="n"/>
    </row>
    <row r="75" ht="14" customFormat="1" customHeight="1" s="180">
      <c r="A75" s="206" t="n">
        <v>11</v>
      </c>
      <c r="B75" s="206" t="inlineStr">
        <is>
          <t>200056273</t>
        </is>
      </c>
      <c r="C75" s="207" t="inlineStr">
        <is>
          <t>中建四局020020210045030001</t>
        </is>
      </c>
      <c r="D75" s="207" t="inlineStr">
        <is>
          <t>广州金的建设有限公司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9" t="n"/>
      <c r="M75" s="210" t="n">
        <v>92741.66</v>
      </c>
      <c r="N75" s="210" t="n">
        <v>8786.049999999999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74400</v>
      </c>
      <c r="U75" s="206" t="n"/>
      <c r="V75" s="206" t="n"/>
    </row>
    <row r="76" ht="14" customFormat="1" customHeight="1" s="180">
      <c r="A76" s="33" t="n"/>
      <c r="B76" s="199" t="n"/>
      <c r="C76" s="199" t="n"/>
      <c r="D76" s="211" t="inlineStr">
        <is>
          <t>**财务未列部分需增列***</t>
        </is>
      </c>
      <c r="E76" s="219" t="n"/>
      <c r="F76" s="219" t="n"/>
      <c r="G76" s="219" t="n"/>
      <c r="H76" s="189" t="n"/>
      <c r="I76" s="189" t="n"/>
      <c r="J76" s="189" t="n"/>
      <c r="K76" s="201" t="n"/>
      <c r="L76" s="202" t="n"/>
      <c r="M76" s="189" t="n"/>
      <c r="N76" s="189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189" t="n"/>
      <c r="U76" s="189" t="n"/>
      <c r="V76" s="189" t="n"/>
      <c r="W76" s="189" t="n"/>
      <c r="X76" s="189" t="n"/>
      <c r="Y76" s="189" t="n"/>
      <c r="Z76" s="203" t="n"/>
      <c r="AA76" s="203" t="n"/>
      <c r="AB76" s="188" t="n"/>
      <c r="AC76" s="188" t="n"/>
      <c r="AD76" s="188" t="n"/>
      <c r="AE76" s="188" t="n"/>
      <c r="AF76" s="188" t="n"/>
      <c r="AG76" s="188" t="n"/>
      <c r="AH76" s="188" t="n"/>
      <c r="AI76" s="188" t="n"/>
      <c r="AJ76" s="188" t="n"/>
      <c r="AK76" s="188">
        <f>AB22/1.17*0.17+AC22/1.16*0.16+AD22/1.11*0.11+AE22/1.1*0.1+AF22/1.09*0.09+AI22/1.03*0.03</f>
        <v/>
      </c>
      <c r="AL76" s="214" t="n"/>
    </row>
    <row r="77" ht="14" customFormat="1" customHeight="1" s="180">
      <c r="A77" s="41" t="n"/>
      <c r="B77" s="215" t="n"/>
      <c r="C77" s="215" t="n"/>
      <c r="D77" s="216" t="inlineStr">
        <is>
          <t>分包工程小计：</t>
        </is>
      </c>
      <c r="E77" s="217">
        <f>SUM(E64:E76)</f>
        <v/>
      </c>
      <c r="F77" s="217">
        <f>SUM(F64:F76)</f>
        <v/>
      </c>
      <c r="G77" s="217">
        <f>SUM(G64:G76)</f>
        <v/>
      </c>
      <c r="H77" s="217">
        <f>SUM(H64:H76)</f>
        <v/>
      </c>
      <c r="I77" s="217">
        <f>SUM(I64:I76)</f>
        <v/>
      </c>
      <c r="J77" s="217">
        <f>SUM(J64:J76)</f>
        <v/>
      </c>
      <c r="K77" s="217">
        <f>SUM(K64:K76)</f>
        <v/>
      </c>
      <c r="L77" s="217">
        <f>SUM(L64:L76)</f>
        <v/>
      </c>
      <c r="M77" s="217">
        <f>SUM(M64:M76)</f>
        <v/>
      </c>
      <c r="N77" s="217">
        <f>SUM(N64:N76)</f>
        <v/>
      </c>
      <c r="O77" s="217">
        <f>SUM(O64:O76)</f>
        <v/>
      </c>
      <c r="P77" s="217">
        <f>SUM(P64:P76)</f>
        <v/>
      </c>
      <c r="Q77" s="217">
        <f>SUM(Q64:Q76)</f>
        <v/>
      </c>
      <c r="R77" s="217">
        <f>SUM(R64:R76)</f>
        <v/>
      </c>
      <c r="S77" s="217">
        <f>SUM(S64:S76)</f>
        <v/>
      </c>
      <c r="T77" s="217">
        <f>SUM(T64:T76)</f>
        <v/>
      </c>
      <c r="U77" s="217">
        <f>SUM(U64:U76)</f>
        <v/>
      </c>
      <c r="V77" s="217">
        <f>SUM(V64:V76)</f>
        <v/>
      </c>
      <c r="W77" s="217">
        <f>SUM(W64:W76)</f>
        <v/>
      </c>
      <c r="X77" s="217">
        <f>SUM(X64:X76)</f>
        <v/>
      </c>
      <c r="Y77" s="217">
        <f>SUM(Y64:Y76)</f>
        <v/>
      </c>
      <c r="Z77" s="217">
        <f>SUM(Z64:Z76)</f>
        <v/>
      </c>
      <c r="AA77" s="217">
        <f>SUM(AA64:AA76)</f>
        <v/>
      </c>
      <c r="AB77" s="217">
        <f>SUM(AB64:AB76)</f>
        <v/>
      </c>
      <c r="AC77" s="217">
        <f>SUM(AC64:AC76)</f>
        <v/>
      </c>
      <c r="AD77" s="217">
        <f>SUM(AD64:AD76)</f>
        <v/>
      </c>
      <c r="AE77" s="217">
        <f>SUM(AE64:AE76)</f>
        <v/>
      </c>
      <c r="AF77" s="217">
        <f>SUM(AF64:AF76)</f>
        <v/>
      </c>
      <c r="AG77" s="217">
        <f>SUM(AG64:AG76)</f>
        <v/>
      </c>
      <c r="AH77" s="217">
        <f>SUM(AH64:AH76)</f>
        <v/>
      </c>
      <c r="AI77" s="217">
        <f>SUM(AI64:AI76)</f>
        <v/>
      </c>
      <c r="AJ77" s="217">
        <f>SUM(AJ64:AJ76)</f>
        <v/>
      </c>
      <c r="AK77" s="217">
        <f>SUM(AK64:AK76)</f>
        <v/>
      </c>
      <c r="AL77" s="204" t="n"/>
    </row>
    <row r="78" ht="26" customFormat="1" customHeight="1" s="180">
      <c r="A78" s="33" t="n"/>
      <c r="B78" s="199" t="n"/>
      <c r="C78" s="199" t="n"/>
      <c r="D78" s="218" t="inlineStr">
        <is>
          <t>(三)材料费</t>
        </is>
      </c>
      <c r="E78" s="199" t="n"/>
      <c r="F78" s="199" t="n"/>
      <c r="G78" s="199" t="n"/>
      <c r="H78" s="189" t="n"/>
      <c r="I78" s="189" t="n"/>
      <c r="J78" s="189" t="n"/>
      <c r="K78" s="201" t="n"/>
      <c r="L78" s="202" t="n"/>
      <c r="M78" s="189" t="n"/>
      <c r="N78" s="189" t="n"/>
      <c r="O78" s="189">
        <f>L78-M78</f>
        <v/>
      </c>
      <c r="P78" s="189">
        <f>K78-N78</f>
        <v/>
      </c>
      <c r="Q78" s="189">
        <f>M78+O78</f>
        <v/>
      </c>
      <c r="R78" s="189">
        <f>M78+N78+O78+P78</f>
        <v/>
      </c>
      <c r="S78" s="203">
        <f>SUM(T78:V78)</f>
        <v/>
      </c>
      <c r="T78" s="203" t="n"/>
      <c r="U78" s="203" t="n"/>
      <c r="V78" s="203" t="n"/>
      <c r="W78" s="203" t="n"/>
      <c r="X78" s="203" t="n"/>
      <c r="Y78" s="203" t="n"/>
      <c r="Z78" s="203" t="n"/>
      <c r="AA78" s="203" t="n"/>
      <c r="AB78" s="220" t="n"/>
      <c r="AC78" s="220" t="n"/>
      <c r="AD78" s="220" t="n"/>
      <c r="AE78" s="220" t="n"/>
      <c r="AF78" s="220" t="n"/>
      <c r="AG78" s="220" t="n"/>
      <c r="AH78" s="220" t="n"/>
      <c r="AI78" s="220" t="n"/>
      <c r="AJ78" s="220" t="n"/>
      <c r="AK78" s="188">
        <f>AB24/1.17*0.17+AC24/1.16*0.16+AD24/1.11*0.11+AE24/1.1*0.1+AF24/1.09*0.09+AI24/1.03*0.03</f>
        <v/>
      </c>
      <c r="AL78" s="221" t="n"/>
    </row>
    <row r="79" ht="26" customFormat="1" customHeight="1" s="180">
      <c r="A79" s="33" t="n"/>
      <c r="B79" s="199" t="n"/>
      <c r="C79" s="199" t="n"/>
      <c r="D79" s="189" t="inlineStr">
        <is>
          <t>（1）集中采购</t>
        </is>
      </c>
      <c r="E79" s="199" t="n"/>
      <c r="F79" s="199" t="n"/>
      <c r="G79" s="199" t="n"/>
      <c r="H79" s="189" t="n"/>
      <c r="I79" s="189" t="n"/>
      <c r="J79" s="189" t="n"/>
      <c r="K79" s="201" t="n"/>
      <c r="L79" s="202" t="n"/>
      <c r="M79" s="189" t="n"/>
      <c r="N79" s="189" t="n"/>
      <c r="O79" s="189">
        <f>L79-M79</f>
        <v/>
      </c>
      <c r="P79" s="189">
        <f>K79-N79</f>
        <v/>
      </c>
      <c r="Q79" s="189">
        <f>M79+O79</f>
        <v/>
      </c>
      <c r="R79" s="189">
        <f>M79+N79+O79+P79</f>
        <v/>
      </c>
      <c r="S79" s="203">
        <f>SUM(T79:V79)</f>
        <v/>
      </c>
      <c r="T79" s="203" t="n"/>
      <c r="U79" s="203" t="n"/>
      <c r="V79" s="203" t="n"/>
      <c r="W79" s="203" t="n"/>
      <c r="X79" s="203" t="n"/>
      <c r="Y79" s="203" t="n"/>
      <c r="Z79" s="203" t="n"/>
      <c r="AA79" s="203" t="n"/>
      <c r="AB79" s="220" t="n"/>
      <c r="AC79" s="220" t="n"/>
      <c r="AD79" s="220" t="n"/>
      <c r="AE79" s="220" t="n"/>
      <c r="AF79" s="220" t="n"/>
      <c r="AG79" s="220" t="n"/>
      <c r="AH79" s="220" t="n"/>
      <c r="AI79" s="220" t="n"/>
      <c r="AJ79" s="220" t="n"/>
      <c r="AK79" s="188">
        <f>AB25/1.17*0.17+AC25/1.16*0.16+AD25/1.11*0.11+AE25/1.1*0.1+AF25/1.09*0.09+AI25/1.03*0.03</f>
        <v/>
      </c>
      <c r="AL79" s="221" t="n"/>
    </row>
    <row r="80" ht="14" customFormat="1" customHeight="1" s="180">
      <c r="A80" s="33" t="n"/>
      <c r="B80" s="199" t="n"/>
      <c r="C80" s="199" t="n"/>
      <c r="D80" s="222" t="n"/>
      <c r="E80" s="213" t="n"/>
      <c r="F80" s="213" t="n"/>
      <c r="G80" s="213" t="n"/>
      <c r="H80" s="189" t="n"/>
      <c r="I80" s="189" t="n"/>
      <c r="J80" s="189" t="n"/>
      <c r="K80" s="201" t="n"/>
      <c r="L80" s="202" t="n"/>
      <c r="M80" s="189" t="n"/>
      <c r="N80" s="189" t="n"/>
      <c r="O80" s="189">
        <f>L80-M80</f>
        <v/>
      </c>
      <c r="P80" s="189">
        <f>K80-N80</f>
        <v/>
      </c>
      <c r="Q80" s="189">
        <f>M80+O80</f>
        <v/>
      </c>
      <c r="R80" s="189">
        <f>M80+N80+O80+P80</f>
        <v/>
      </c>
      <c r="S80" s="203">
        <f>SUM(T80:V80)</f>
        <v/>
      </c>
      <c r="T80" s="203" t="n"/>
      <c r="U80" s="203" t="n"/>
      <c r="V80" s="203" t="n"/>
      <c r="W80" s="203" t="n"/>
      <c r="X80" s="203" t="n"/>
      <c r="Y80" s="203" t="n"/>
      <c r="Z80" s="189">
        <f>SUM(AA26:AJ26)</f>
        <v/>
      </c>
      <c r="AA80" s="203" t="n"/>
      <c r="AB80" s="220" t="n"/>
      <c r="AC80" s="220" t="n"/>
      <c r="AD80" s="220" t="n"/>
      <c r="AE80" s="220" t="n"/>
      <c r="AF80" s="220" t="n"/>
      <c r="AG80" s="220" t="n"/>
      <c r="AH80" s="220" t="n"/>
      <c r="AI80" s="220" t="n"/>
      <c r="AJ80" s="220" t="n"/>
      <c r="AK80" s="188">
        <f>AB26/1.17*0.17+AC26/1.16*0.16+AD26/1.11*0.11+AE26/1.1*0.1+AF26/1.09*0.09+AI26/1.03*0.03</f>
        <v/>
      </c>
      <c r="AL80" s="221" t="n"/>
    </row>
    <row r="81" ht="14" customFormat="1" customHeight="1" s="3">
      <c r="A81" s="33" t="n"/>
      <c r="B81" s="199" t="n"/>
      <c r="C81" s="199" t="n"/>
      <c r="D81" s="222" t="n"/>
      <c r="E81" s="213" t="n"/>
      <c r="F81" s="213" t="n"/>
      <c r="G81" s="213" t="n"/>
      <c r="H81" s="189" t="n"/>
      <c r="I81" s="189" t="n"/>
      <c r="J81" s="189" t="n"/>
      <c r="K81" s="201" t="n"/>
      <c r="L81" s="202" t="n"/>
      <c r="M81" s="189" t="n"/>
      <c r="N81" s="189" t="n"/>
      <c r="O81" s="189">
        <f>L81-M81</f>
        <v/>
      </c>
      <c r="P81" s="189">
        <f>K81-N81</f>
        <v/>
      </c>
      <c r="Q81" s="189">
        <f>M81+O81</f>
        <v/>
      </c>
      <c r="R81" s="189">
        <f>M81+N81+O81+P81</f>
        <v/>
      </c>
      <c r="S81" s="203">
        <f>SUM(T81:V81)</f>
        <v/>
      </c>
      <c r="T81" s="203" t="n"/>
      <c r="U81" s="203" t="n"/>
      <c r="V81" s="203" t="n"/>
      <c r="W81" s="203" t="n"/>
      <c r="X81" s="203" t="n"/>
      <c r="Y81" s="203" t="n"/>
      <c r="Z81" s="189">
        <f>SUM(AA27:AJ27)</f>
        <v/>
      </c>
      <c r="AA81" s="203" t="n"/>
      <c r="AB81" s="220" t="n"/>
      <c r="AC81" s="220" t="n"/>
      <c r="AD81" s="220" t="n"/>
      <c r="AE81" s="220" t="n"/>
      <c r="AF81" s="220" t="n"/>
      <c r="AG81" s="220" t="n"/>
      <c r="AH81" s="220" t="n"/>
      <c r="AI81" s="220" t="n"/>
      <c r="AJ81" s="220" t="n"/>
      <c r="AK81" s="188">
        <f>AB27/1.17*0.17+AC27/1.16*0.16+AD27/1.11*0.11+AE27/1.1*0.1+AF27/1.09*0.09+AI27/1.03*0.03</f>
        <v/>
      </c>
      <c r="AL81" s="221" t="n"/>
    </row>
    <row r="82" ht="14" customHeight="1" s="159">
      <c r="A82" s="33" t="n"/>
      <c r="B82" s="199" t="n"/>
      <c r="C82" s="199" t="n"/>
      <c r="D82" s="222" t="n"/>
      <c r="E82" s="213" t="n"/>
      <c r="F82" s="213" t="n"/>
      <c r="G82" s="213" t="n"/>
      <c r="H82" s="189" t="n"/>
      <c r="I82" s="189" t="n"/>
      <c r="J82" s="189" t="n"/>
      <c r="K82" s="201" t="n"/>
      <c r="L82" s="202" t="n"/>
      <c r="M82" s="189" t="n"/>
      <c r="N82" s="189" t="n"/>
      <c r="O82" s="189">
        <f>L82-M82</f>
        <v/>
      </c>
      <c r="P82" s="189">
        <f>K82-N82</f>
        <v/>
      </c>
      <c r="Q82" s="189">
        <f>M82+O82</f>
        <v/>
      </c>
      <c r="R82" s="189">
        <f>M82+N82+O82+P82</f>
        <v/>
      </c>
      <c r="S82" s="203">
        <f>SUM(T82:V82)</f>
        <v/>
      </c>
      <c r="T82" s="203" t="n"/>
      <c r="U82" s="203" t="n"/>
      <c r="V82" s="203" t="n"/>
      <c r="W82" s="203" t="n"/>
      <c r="X82" s="203" t="n"/>
      <c r="Y82" s="203" t="n"/>
      <c r="Z82" s="189">
        <f>SUM(AA28:AJ28)</f>
        <v/>
      </c>
      <c r="AA82" s="203" t="n"/>
      <c r="AB82" s="220" t="n"/>
      <c r="AC82" s="220" t="n"/>
      <c r="AD82" s="220" t="n"/>
      <c r="AE82" s="220" t="n"/>
      <c r="AF82" s="220" t="n"/>
      <c r="AG82" s="220" t="n"/>
      <c r="AH82" s="220" t="n"/>
      <c r="AI82" s="220" t="n"/>
      <c r="AJ82" s="220" t="n"/>
      <c r="AK82" s="188">
        <f>AB28/1.17*0.17+AC28/1.16*0.16+AD28/1.11*0.11+AE28/1.1*0.1+AF28/1.09*0.09+AI28/1.03*0.03</f>
        <v/>
      </c>
      <c r="AL82" s="221" t="n"/>
    </row>
    <row r="83" ht="14" customHeight="1" s="159">
      <c r="A83" s="33" t="n"/>
      <c r="B83" s="199" t="n"/>
      <c r="C83" s="199" t="n"/>
      <c r="D83" s="189" t="inlineStr">
        <is>
          <t>（2）自行采购</t>
        </is>
      </c>
      <c r="E83" s="219" t="n"/>
      <c r="F83" s="219" t="n"/>
      <c r="G83" s="219" t="n"/>
      <c r="H83" s="189" t="n"/>
      <c r="I83" s="189" t="n"/>
      <c r="J83" s="189" t="n"/>
      <c r="K83" s="201" t="n"/>
      <c r="L83" s="202" t="n"/>
      <c r="M83" s="189" t="n"/>
      <c r="N83" s="189" t="n"/>
      <c r="O83" s="189">
        <f>L83-M83</f>
        <v/>
      </c>
      <c r="P83" s="189">
        <f>K83-N83</f>
        <v/>
      </c>
      <c r="Q83" s="189">
        <f>M83+O83</f>
        <v/>
      </c>
      <c r="R83" s="189">
        <f>M83+N83+O83+P83</f>
        <v/>
      </c>
      <c r="S83" s="203">
        <f>SUM(T83:V83)</f>
        <v/>
      </c>
      <c r="T83" s="203" t="n"/>
      <c r="U83" s="203" t="n"/>
      <c r="V83" s="203" t="n"/>
      <c r="W83" s="203" t="n"/>
      <c r="X83" s="203" t="n"/>
      <c r="Y83" s="203" t="n"/>
      <c r="Z83" s="189">
        <f>SUM(AA29:AJ29)</f>
        <v/>
      </c>
      <c r="AA83" s="203" t="n"/>
      <c r="AB83" s="220" t="n"/>
      <c r="AC83" s="220" t="n"/>
      <c r="AD83" s="220" t="n"/>
      <c r="AE83" s="220" t="n"/>
      <c r="AF83" s="220" t="n"/>
      <c r="AG83" s="220" t="n"/>
      <c r="AH83" s="220" t="n"/>
      <c r="AI83" s="220" t="n"/>
      <c r="AJ83" s="220" t="n"/>
      <c r="AK83" s="188">
        <f>AB29/1.17*0.17+AC29/1.16*0.16+AD29/1.11*0.11+AE29/1.1*0.1+AF29/1.09*0.09+AI29/1.03*0.03</f>
        <v/>
      </c>
      <c r="AL83" s="221" t="n"/>
    </row>
    <row r="84">
      <c r="A84" s="206" t="n">
        <v>1</v>
      </c>
      <c r="B84" s="206" t="inlineStr">
        <is>
          <t>100237790</t>
        </is>
      </c>
      <c r="C84" s="207" t="inlineStr">
        <is>
          <t>中建四局0200202104506006</t>
        </is>
      </c>
      <c r="D84" s="207" t="inlineStr">
        <is>
          <t>佛山唐贵五金电器有限公司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9" t="n"/>
      <c r="M84" s="210" t="n">
        <v>36234</v>
      </c>
      <c r="N84" s="210" t="n">
        <v>4710.42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40944.42</v>
      </c>
      <c r="U84" s="206" t="n"/>
      <c r="V84" s="206" t="n"/>
    </row>
    <row r="85">
      <c r="A85" s="206" t="n">
        <v>2</v>
      </c>
      <c r="B85" s="206" t="inlineStr">
        <is>
          <t>100082646</t>
        </is>
      </c>
      <c r="C85" s="207" t="inlineStr">
        <is>
          <t>中建四局0200202104506020</t>
        </is>
      </c>
      <c r="D85" s="207" t="inlineStr">
        <is>
          <t>佛山市南海升辉水泥预制件厂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9" t="n"/>
      <c r="M85" s="210" t="n">
        <v>88252.49000000001</v>
      </c>
      <c r="N85" s="210" t="n">
        <v>11472.83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20000</v>
      </c>
      <c r="U85" s="206" t="n"/>
      <c r="V85" s="206" t="n"/>
    </row>
    <row r="86">
      <c r="A86" s="206" t="n">
        <v>3</v>
      </c>
      <c r="B86" s="206" t="inlineStr">
        <is>
          <t>200086855</t>
        </is>
      </c>
      <c r="C86" s="207" t="inlineStr">
        <is>
          <t>中建四局0200202104506011</t>
        </is>
      </c>
      <c r="D86" s="207" t="inlineStr">
        <is>
          <t>佛山市拓海电气设备有限公司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9" t="n"/>
      <c r="M86" s="210" t="n">
        <v>52325.54</v>
      </c>
      <c r="N86" s="210" t="n">
        <v>6802.32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20000</v>
      </c>
      <c r="U86" s="206" t="n"/>
      <c r="V86" s="206" t="n"/>
    </row>
    <row r="87">
      <c r="A87" s="206" t="n">
        <v>4</v>
      </c>
      <c r="B87" s="206" t="inlineStr">
        <is>
          <t>200571072</t>
        </is>
      </c>
      <c r="C87" s="207" t="inlineStr">
        <is>
          <t>中建四局0200202104506023</t>
        </is>
      </c>
      <c r="D87" s="207" t="inlineStr">
        <is>
          <t>佛山市益晋建筑材料销售有限公司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9" t="n"/>
      <c r="M87" s="210" t="n">
        <v>32235427.77</v>
      </c>
      <c r="N87" s="210" t="n">
        <v>4190605.59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21170000</v>
      </c>
      <c r="U87" s="206" t="n"/>
      <c r="V87" s="206" t="n"/>
    </row>
    <row r="88">
      <c r="A88" s="206" t="n">
        <v>5</v>
      </c>
      <c r="B88" s="206" t="inlineStr">
        <is>
          <t>200162951</t>
        </is>
      </c>
      <c r="C88" s="207" t="inlineStr">
        <is>
          <t>中建四局0200202104506004</t>
        </is>
      </c>
      <c r="D88" s="207" t="inlineStr">
        <is>
          <t>佛山市翊德通新型环保科技建材有限公司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9" t="n"/>
      <c r="M88" s="210" t="n">
        <v>500281.97</v>
      </c>
      <c r="N88" s="210" t="n">
        <v>65036.66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470000</v>
      </c>
      <c r="U88" s="206" t="n"/>
      <c r="V88" s="206" t="n"/>
    </row>
    <row r="89">
      <c r="A89" s="206" t="n">
        <v>6</v>
      </c>
      <c r="B89" s="206" t="inlineStr">
        <is>
          <t>100217517</t>
        </is>
      </c>
      <c r="C89" s="207" t="inlineStr">
        <is>
          <t>中建四局020020210045060001</t>
        </is>
      </c>
      <c r="D89" s="207" t="inlineStr">
        <is>
          <t>佛山市顺德区恒锦源贸易有限公司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9" t="n"/>
      <c r="M89" s="210" t="n">
        <v>203010</v>
      </c>
      <c r="N89" s="210" t="n">
        <v>26391.3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>
        <v>7</v>
      </c>
      <c r="B90" s="206" t="inlineStr">
        <is>
          <t>100217517</t>
        </is>
      </c>
      <c r="C90" s="207" t="inlineStr">
        <is>
          <t>中建四局0200202104506005</t>
        </is>
      </c>
      <c r="D90" s="207" t="inlineStr">
        <is>
          <t>佛山市顺德区恒锦源贸易有限公司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9" t="n"/>
      <c r="M90" s="210" t="n">
        <v>776841.17</v>
      </c>
      <c r="N90" s="210" t="n">
        <v>100989.34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646000</v>
      </c>
      <c r="U90" s="206" t="n"/>
      <c r="V90" s="206" t="n"/>
    </row>
    <row r="91">
      <c r="A91" s="206" t="n">
        <v>8</v>
      </c>
      <c r="B91" s="206" t="inlineStr">
        <is>
          <t>100217517</t>
        </is>
      </c>
      <c r="C91" s="207" t="inlineStr">
        <is>
          <t>中建四局0200202104506009</t>
        </is>
      </c>
      <c r="D91" s="207" t="inlineStr">
        <is>
          <t>佛山市顺德区恒锦源贸易有限公司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9" t="n"/>
      <c r="M91" s="210" t="n">
        <v>361593.1</v>
      </c>
      <c r="N91" s="210" t="n">
        <v>47007.09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140000</v>
      </c>
      <c r="U91" s="206" t="n"/>
      <c r="V91" s="206" t="n"/>
    </row>
    <row r="92">
      <c r="A92" s="206" t="n">
        <v>9</v>
      </c>
      <c r="B92" s="206" t="inlineStr">
        <is>
          <t>200417828</t>
        </is>
      </c>
      <c r="C92" s="207" t="inlineStr">
        <is>
          <t>中建四局0200202104506015</t>
        </is>
      </c>
      <c r="D92" s="207" t="inlineStr">
        <is>
          <t>佛山市顺德区联皓科技开发有限公司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9" t="n"/>
      <c r="M92" s="210" t="n">
        <v>2661431.4</v>
      </c>
      <c r="N92" s="210" t="n">
        <v>345986.09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2100000</v>
      </c>
      <c r="U92" s="206" t="n"/>
      <c r="V92" s="206" t="n"/>
    </row>
    <row r="93">
      <c r="A93" s="206" t="n">
        <v>10</v>
      </c>
      <c r="B93" s="206" t="inlineStr">
        <is>
          <t>100006706</t>
        </is>
      </c>
      <c r="C93" s="207" t="inlineStr">
        <is>
          <t>中建四局0200202104506025</t>
        </is>
      </c>
      <c r="D93" s="207" t="inlineStr">
        <is>
          <t>品茗科技股份有限公司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9" t="n"/>
      <c r="M93" s="210" t="n">
        <v>38641.38</v>
      </c>
      <c r="N93" s="210" t="n">
        <v>5023.38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39000</v>
      </c>
      <c r="U93" s="206" t="n"/>
      <c r="V93" s="206" t="n"/>
    </row>
    <row r="94">
      <c r="A94" s="206" t="n">
        <v>11</v>
      </c>
      <c r="B94" s="206" t="inlineStr">
        <is>
          <t>200228960</t>
        </is>
      </c>
      <c r="C94" s="207" t="inlineStr">
        <is>
          <t>中建四局0200202104506010</t>
        </is>
      </c>
      <c r="D94" s="207" t="inlineStr">
        <is>
          <t>地兴实业（广州）有限公司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9" t="n"/>
      <c r="M94" s="210" t="n">
        <v>152645.27</v>
      </c>
      <c r="N94" s="210" t="n">
        <v>19843.86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120000</v>
      </c>
      <c r="U94" s="206" t="n"/>
      <c r="V94" s="206" t="n"/>
    </row>
    <row r="95">
      <c r="A95" s="206" t="n">
        <v>12</v>
      </c>
      <c r="B95" s="206" t="inlineStr">
        <is>
          <t>200563704</t>
        </is>
      </c>
      <c r="C95" s="207" t="inlineStr">
        <is>
          <t>中建四局0200202104506022</t>
        </is>
      </c>
      <c r="D95" s="207" t="inlineStr">
        <is>
          <t>山东晟初供应链管理有限责任公司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9" t="n"/>
      <c r="M95" s="210" t="n">
        <v>5302261.73</v>
      </c>
      <c r="N95" s="210" t="n">
        <v>689294.02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4743834.61</v>
      </c>
      <c r="U95" s="206" t="n"/>
      <c r="V95" s="206" t="n"/>
    </row>
    <row r="96">
      <c r="A96" s="206" t="n">
        <v>13</v>
      </c>
      <c r="B96" s="206" t="inlineStr">
        <is>
          <t>200486755</t>
        </is>
      </c>
      <c r="C96" s="207" t="inlineStr">
        <is>
          <t>中建四局0200202104506024</t>
        </is>
      </c>
      <c r="D96" s="207" t="inlineStr">
        <is>
          <t>广东冠祥新型建材有限公司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9" t="n"/>
      <c r="M96" s="210" t="n">
        <v>608304.67</v>
      </c>
      <c r="N96" s="210" t="n">
        <v>79079.60000000001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374000</v>
      </c>
      <c r="U96" s="206" t="n"/>
      <c r="V96" s="206" t="n"/>
    </row>
    <row r="97">
      <c r="A97" s="206" t="n">
        <v>14</v>
      </c>
      <c r="B97" s="206" t="inlineStr">
        <is>
          <t>100217564</t>
        </is>
      </c>
      <c r="C97" s="207" t="inlineStr">
        <is>
          <t>中建四局0200202104506002</t>
        </is>
      </c>
      <c r="D97" s="207" t="inlineStr">
        <is>
          <t>广东顺德雍强贸易有限公司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9" t="n"/>
      <c r="M97" s="210" t="n">
        <v>475239.69</v>
      </c>
      <c r="N97" s="210" t="n">
        <v>61781.16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120000</v>
      </c>
      <c r="U97" s="206" t="n"/>
      <c r="V97" s="206" t="n"/>
    </row>
    <row r="98">
      <c r="A98" s="206" t="n">
        <v>15</v>
      </c>
      <c r="B98" s="206" t="inlineStr">
        <is>
          <t>100217350</t>
        </is>
      </c>
      <c r="C98" s="207" t="inlineStr">
        <is>
          <t>中建四局0200202104506003</t>
        </is>
      </c>
      <c r="D98" s="207" t="inlineStr">
        <is>
          <t>广州市嘉宇金属制品有限公司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9" t="n"/>
      <c r="M98" s="210" t="n">
        <v>5220</v>
      </c>
      <c r="N98" s="210" t="n">
        <v>678.6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5898.6</v>
      </c>
      <c r="U98" s="206" t="n"/>
      <c r="V98" s="206" t="n"/>
    </row>
    <row r="99">
      <c r="A99" s="206" t="n">
        <v>16</v>
      </c>
      <c r="B99" s="206" t="inlineStr">
        <is>
          <t>100006014</t>
        </is>
      </c>
      <c r="C99" s="207" t="inlineStr">
        <is>
          <t>中建四局0200202104506013</t>
        </is>
      </c>
      <c r="D99" s="207" t="inlineStr">
        <is>
          <t>广州市番禺区石楼镇沙南建材二厂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9" t="n"/>
      <c r="M99" s="210" t="n">
        <v>1393544.89</v>
      </c>
      <c r="N99" s="210" t="n">
        <v>181160.83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1031000</v>
      </c>
      <c r="U99" s="206" t="n"/>
      <c r="V99" s="206" t="n"/>
    </row>
    <row r="100">
      <c r="A100" s="206" t="n">
        <v>17</v>
      </c>
      <c r="B100" s="206" t="inlineStr">
        <is>
          <t>100119801</t>
        </is>
      </c>
      <c r="C100" s="207" t="inlineStr">
        <is>
          <t>中建四局0200202104506014</t>
        </is>
      </c>
      <c r="D100" s="207" t="inlineStr">
        <is>
          <t>广州禄臻贸易有限公司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9" t="n"/>
      <c r="M100" s="210" t="n">
        <v>64927.94</v>
      </c>
      <c r="N100" s="210" t="n">
        <v>8440.610000000001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54000</v>
      </c>
      <c r="U100" s="206" t="n"/>
      <c r="V100" s="206" t="n"/>
    </row>
    <row r="101">
      <c r="A101" s="206" t="n">
        <v>18</v>
      </c>
      <c r="B101" s="206" t="inlineStr">
        <is>
          <t>100237088</t>
        </is>
      </c>
      <c r="C101" s="207" t="inlineStr">
        <is>
          <t>中建四局0200202104506021</t>
        </is>
      </c>
      <c r="D101" s="207" t="inlineStr">
        <is>
          <t>无锡市恒顺金属材料有限公司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9" t="n"/>
      <c r="M101" s="210" t="n">
        <v>18441166.94</v>
      </c>
      <c r="N101" s="210" t="n">
        <v>2397351.73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9585000</v>
      </c>
      <c r="U101" s="206" t="n"/>
      <c r="V101" s="206" t="n"/>
    </row>
    <row r="102">
      <c r="A102" s="206" t="n">
        <v>19</v>
      </c>
      <c r="B102" s="206" t="inlineStr">
        <is>
          <t>200132050</t>
        </is>
      </c>
      <c r="C102" s="207" t="inlineStr">
        <is>
          <t>中建四局0200202104506019</t>
        </is>
      </c>
      <c r="D102" s="207" t="inlineStr">
        <is>
          <t>江门市擎宏科技实业有限公司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9" t="n"/>
      <c r="M102" s="210" t="n">
        <v>513151.15</v>
      </c>
      <c r="N102" s="210" t="n">
        <v>66709.64999999999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396000</v>
      </c>
      <c r="U102" s="206" t="n"/>
      <c r="V102" s="206" t="n"/>
    </row>
    <row r="103">
      <c r="A103" s="206" t="n">
        <v>20</v>
      </c>
      <c r="B103" s="206" t="inlineStr">
        <is>
          <t>100022585</t>
        </is>
      </c>
      <c r="C103" s="207" t="inlineStr">
        <is>
          <t>中建四局0200202104506001</t>
        </is>
      </c>
      <c r="D103" s="207" t="inlineStr">
        <is>
          <t>漳州路桥物资发展有限公司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9" t="n"/>
      <c r="M103" s="210" t="n">
        <v>4104767.08</v>
      </c>
      <c r="N103" s="210" t="n">
        <v>533619.72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3321130.53</v>
      </c>
      <c r="U103" s="206" t="n"/>
      <c r="V103" s="206" t="n"/>
    </row>
    <row r="104">
      <c r="A104" s="206" t="n">
        <v>21</v>
      </c>
      <c r="B104" s="206" t="inlineStr">
        <is>
          <t>100199057</t>
        </is>
      </c>
      <c r="C104" s="207" t="inlineStr">
        <is>
          <t>中建四局0200202104506007</t>
        </is>
      </c>
      <c r="D104" s="207" t="inlineStr">
        <is>
          <t>福建省莆田市龙兴劳保用品有限公司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9" t="n"/>
      <c r="M104" s="210" t="n">
        <v>96272</v>
      </c>
      <c r="N104" s="210" t="n">
        <v>12515.36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>
        <v>22</v>
      </c>
      <c r="B105" s="206" t="inlineStr">
        <is>
          <t>100199057</t>
        </is>
      </c>
      <c r="C105" s="207" t="inlineStr">
        <is>
          <t>中建四局0200202104506008</t>
        </is>
      </c>
      <c r="D105" s="207" t="inlineStr">
        <is>
          <t>福建省莆田市龙兴劳保用品有限公司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9" t="n"/>
      <c r="M105" s="210" t="n">
        <v>87520</v>
      </c>
      <c r="N105" s="210" t="n">
        <v>11377.6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>
        <v>23</v>
      </c>
      <c r="B106" s="206" t="n"/>
      <c r="C106" s="207" t="n"/>
      <c r="D106" s="207" t="inlineStr">
        <is>
          <t>其他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9" t="n"/>
      <c r="M106" s="210" t="n">
        <v>1769.91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>
        <v>24</v>
      </c>
      <c r="B107" s="206" t="n"/>
      <c r="C107" s="207" t="n"/>
      <c r="D107" s="207" t="inlineStr">
        <is>
          <t>废旧物资处置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9" t="n"/>
      <c r="M107" s="210" t="n">
        <v>-202535.6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>
        <v>25</v>
      </c>
      <c r="B108" s="206" t="n"/>
      <c r="C108" s="207" t="n"/>
      <c r="D108" s="207" t="inlineStr">
        <is>
          <t>研发支出-材料费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9" t="n"/>
      <c r="M108" s="210" t="n">
        <v>-8056947.95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>
        <v>26</v>
      </c>
      <c r="B109" s="199" t="n"/>
      <c r="C109" s="199" t="n"/>
      <c r="D109" s="218" t="inlineStr">
        <is>
          <t>材料调入</t>
        </is>
      </c>
      <c r="E109" s="199" t="n"/>
      <c r="F109" s="199" t="n"/>
      <c r="G109" s="199" t="n"/>
      <c r="H109" s="189" t="n"/>
      <c r="I109" s="189" t="n"/>
      <c r="J109" s="189" t="n"/>
      <c r="K109" s="201" t="n"/>
      <c r="L109" s="202" t="n"/>
      <c r="M109" s="223" t="n">
        <v>7208164.12</v>
      </c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03" t="n"/>
      <c r="U109" s="203" t="n"/>
      <c r="V109" s="203" t="n"/>
      <c r="W109" s="203" t="n"/>
      <c r="X109" s="203" t="n"/>
      <c r="Y109" s="203" t="n"/>
      <c r="Z109" s="189">
        <f>SUM(AA30:AJ30)</f>
        <v/>
      </c>
      <c r="AA109" s="203" t="n"/>
      <c r="AB109" s="220" t="n"/>
      <c r="AC109" s="220" t="n"/>
      <c r="AD109" s="220" t="n"/>
      <c r="AE109" s="220" t="n"/>
      <c r="AF109" s="220" t="n"/>
      <c r="AG109" s="220" t="n"/>
      <c r="AH109" s="220" t="n"/>
      <c r="AI109" s="220" t="n"/>
      <c r="AJ109" s="220" t="n"/>
      <c r="AK109" s="188">
        <f>AB30/1.17*0.17+AC30/1.16*0.16+AD30/1.11*0.11+AE30/1.1*0.1+AF30/1.09*0.09+AI30/1.03*0.03</f>
        <v/>
      </c>
      <c r="AL109" s="221" t="n"/>
    </row>
    <row r="110">
      <c r="A110" s="33" t="n">
        <v>27</v>
      </c>
      <c r="B110" s="199" t="n"/>
      <c r="C110" s="199" t="n"/>
      <c r="D110" s="218" t="inlineStr">
        <is>
          <t>材料调出（注：负数填报）</t>
        </is>
      </c>
      <c r="E110" s="224" t="n"/>
      <c r="F110" s="224" t="n"/>
      <c r="G110" s="224" t="n"/>
      <c r="H110" s="225" t="n"/>
      <c r="I110" s="225" t="n"/>
      <c r="J110" s="189" t="n"/>
      <c r="K110" s="201" t="n"/>
      <c r="L110" s="202" t="n"/>
      <c r="M110" s="226" t="n">
        <v>-2516875.22</v>
      </c>
      <c r="N110" s="225" t="n"/>
      <c r="O110" s="189">
        <f>L110-M110</f>
        <v/>
      </c>
      <c r="P110" s="189">
        <f>K110-N110</f>
        <v/>
      </c>
      <c r="Q110" s="189">
        <f>M110+O110</f>
        <v/>
      </c>
      <c r="R110" s="189">
        <f>M110+N110+O110+P110</f>
        <v/>
      </c>
      <c r="S110" s="203">
        <f>SUM(T110:V110)</f>
        <v/>
      </c>
      <c r="T110" s="225" t="n"/>
      <c r="U110" s="225" t="n"/>
      <c r="V110" s="225" t="n"/>
      <c r="W110" s="225" t="n"/>
      <c r="X110" s="225" t="n"/>
      <c r="Y110" s="225" t="n"/>
      <c r="Z110" s="189">
        <f>SUM(AA31:AJ31)</f>
        <v/>
      </c>
      <c r="AA110" s="225" t="n"/>
      <c r="AB110" s="227" t="n"/>
      <c r="AC110" s="227" t="n"/>
      <c r="AD110" s="227" t="n"/>
      <c r="AE110" s="227" t="n"/>
      <c r="AF110" s="227" t="n"/>
      <c r="AG110" s="227" t="n"/>
      <c r="AH110" s="227" t="n"/>
      <c r="AI110" s="227" t="n"/>
      <c r="AJ110" s="227" t="n"/>
      <c r="AK110" s="188">
        <f>AB31/1.17*0.17+AC31/1.16*0.16+AD31/1.11*0.11+AE31/1.1*0.1+AF31/1.09*0.09+AI31/1.03*0.03</f>
        <v/>
      </c>
      <c r="AL110" s="228" t="n"/>
    </row>
    <row r="111">
      <c r="A111" s="33" t="n"/>
      <c r="B111" s="199" t="n"/>
      <c r="C111" s="199" t="n"/>
      <c r="D111" s="218" t="inlineStr">
        <is>
          <t>材料库存（注：项目已结算未使用材料冲减项目成本，负数填报）</t>
        </is>
      </c>
      <c r="E111" s="224" t="n"/>
      <c r="F111" s="224" t="n"/>
      <c r="G111" s="224" t="n"/>
      <c r="H111" s="225" t="n"/>
      <c r="I111" s="225" t="n"/>
      <c r="J111" s="189" t="n"/>
      <c r="K111" s="201" t="n"/>
      <c r="L111" s="202" t="n"/>
      <c r="M111" s="225" t="n"/>
      <c r="N111" s="225" t="n"/>
      <c r="O111" s="189" t="n"/>
      <c r="P111" s="189" t="n"/>
      <c r="Q111" s="189" t="n"/>
      <c r="R111" s="189" t="n"/>
      <c r="S111" s="203" t="n"/>
      <c r="T111" s="225" t="n"/>
      <c r="U111" s="225" t="n"/>
      <c r="V111" s="225" t="n"/>
      <c r="W111" s="225" t="n"/>
      <c r="X111" s="225" t="n"/>
      <c r="Y111" s="225" t="n"/>
      <c r="Z111" s="189" t="n"/>
      <c r="AA111" s="225" t="n"/>
      <c r="AB111" s="227" t="n"/>
      <c r="AC111" s="227" t="n"/>
      <c r="AD111" s="227" t="n"/>
      <c r="AE111" s="227" t="n"/>
      <c r="AF111" s="227" t="n"/>
      <c r="AG111" s="227" t="n"/>
      <c r="AH111" s="227" t="n"/>
      <c r="AI111" s="227" t="n"/>
      <c r="AJ111" s="227" t="n"/>
      <c r="AK111" s="188" t="n"/>
      <c r="AL111" s="228" t="n"/>
    </row>
    <row r="112">
      <c r="A112" s="33" t="n"/>
      <c r="B112" s="199" t="n"/>
      <c r="C112" s="199" t="n"/>
      <c r="D112" s="211" t="inlineStr">
        <is>
          <t>**财务未列部分需增列***</t>
        </is>
      </c>
      <c r="E112" s="219" t="n"/>
      <c r="F112" s="219" t="n"/>
      <c r="G112" s="219" t="n"/>
      <c r="H112" s="189" t="n"/>
      <c r="I112" s="189" t="n"/>
      <c r="J112" s="189" t="n"/>
      <c r="K112" s="201" t="n"/>
      <c r="L112" s="202" t="n"/>
      <c r="M112" s="189" t="n"/>
      <c r="N112" s="189" t="n"/>
      <c r="O112" s="189">
        <f>L112-M112</f>
        <v/>
      </c>
      <c r="P112" s="189">
        <f>K112-N112</f>
        <v/>
      </c>
      <c r="Q112" s="189">
        <f>M112+O112</f>
        <v/>
      </c>
      <c r="R112" s="189">
        <f>M112+N112+O112+P112</f>
        <v/>
      </c>
      <c r="S112" s="203">
        <f>SUM(T112:V112)</f>
        <v/>
      </c>
      <c r="T112" s="203" t="n"/>
      <c r="U112" s="203" t="n"/>
      <c r="V112" s="203" t="n"/>
      <c r="W112" s="203" t="n"/>
      <c r="X112" s="203" t="n"/>
      <c r="Y112" s="203" t="n"/>
      <c r="Z112" s="203" t="n"/>
      <c r="AA112" s="203" t="n"/>
      <c r="AB112" s="220" t="n"/>
      <c r="AC112" s="220" t="n"/>
      <c r="AD112" s="220" t="n"/>
      <c r="AE112" s="220" t="n"/>
      <c r="AF112" s="220" t="n"/>
      <c r="AG112" s="220" t="n"/>
      <c r="AH112" s="220" t="n"/>
      <c r="AI112" s="220" t="n"/>
      <c r="AJ112" s="220" t="n"/>
      <c r="AK112" s="188">
        <f>AB33/1.17*0.17+AC33/1.16*0.16+AD33/1.11*0.11+AE33/1.1*0.1+AF33/1.09*0.09+AI33/1.03*0.03</f>
        <v/>
      </c>
      <c r="AL112" s="221" t="n"/>
    </row>
    <row r="113">
      <c r="A113" s="41" t="n"/>
      <c r="B113" s="215" t="n"/>
      <c r="C113" s="215" t="n"/>
      <c r="D113" s="216" t="inlineStr">
        <is>
          <t>材料费小计：</t>
        </is>
      </c>
      <c r="E113" s="217">
        <f>SUM(E78:E112)</f>
        <v/>
      </c>
      <c r="F113" s="217">
        <f>SUM(F78:F112)</f>
        <v/>
      </c>
      <c r="G113" s="217">
        <f>SUM(G78:G112)</f>
        <v/>
      </c>
      <c r="H113" s="217">
        <f>SUM(H78:H112)</f>
        <v/>
      </c>
      <c r="I113" s="217">
        <f>SUM(I78:I112)</f>
        <v/>
      </c>
      <c r="J113" s="217">
        <f>SUM(J78:J112)</f>
        <v/>
      </c>
      <c r="K113" s="217">
        <f>SUM(K78:K112)</f>
        <v/>
      </c>
      <c r="L113" s="217">
        <f>SUM(L78:L112)</f>
        <v/>
      </c>
      <c r="M113" s="217">
        <f>SUM(M78:M112)</f>
        <v/>
      </c>
      <c r="N113" s="217">
        <f>SUM(N78:N112)</f>
        <v/>
      </c>
      <c r="O113" s="217">
        <f>SUM(O78:O112)</f>
        <v/>
      </c>
      <c r="P113" s="217">
        <f>SUM(P78:P112)</f>
        <v/>
      </c>
      <c r="Q113" s="217">
        <f>SUM(Q78:Q112)</f>
        <v/>
      </c>
      <c r="R113" s="217">
        <f>SUM(R78:R112)</f>
        <v/>
      </c>
      <c r="S113" s="217">
        <f>SUM(S78:S112)</f>
        <v/>
      </c>
      <c r="T113" s="217">
        <f>SUM(T78:T112)</f>
        <v/>
      </c>
      <c r="U113" s="217">
        <f>SUM(U78:U112)</f>
        <v/>
      </c>
      <c r="V113" s="217">
        <f>SUM(V78:V112)</f>
        <v/>
      </c>
      <c r="W113" s="217">
        <f>SUM(W78:W112)</f>
        <v/>
      </c>
      <c r="X113" s="217">
        <f>SUM(X78:X112)</f>
        <v/>
      </c>
      <c r="Y113" s="217">
        <f>SUM(Y78:Y112)</f>
        <v/>
      </c>
      <c r="Z113" s="217">
        <f>SUM(Z78:Z112)</f>
        <v/>
      </c>
      <c r="AA113" s="217">
        <f>SUM(AA78:AA112)</f>
        <v/>
      </c>
      <c r="AB113" s="217">
        <f>SUM(AB78:AB112)</f>
        <v/>
      </c>
      <c r="AC113" s="217">
        <f>SUM(AC78:AC112)</f>
        <v/>
      </c>
      <c r="AD113" s="217">
        <f>SUM(AD78:AD112)</f>
        <v/>
      </c>
      <c r="AE113" s="217">
        <f>SUM(AE78:AE112)</f>
        <v/>
      </c>
      <c r="AF113" s="217">
        <f>SUM(AF78:AF112)</f>
        <v/>
      </c>
      <c r="AG113" s="217">
        <f>SUM(AG78:AG112)</f>
        <v/>
      </c>
      <c r="AH113" s="217">
        <f>SUM(AH78:AH112)</f>
        <v/>
      </c>
      <c r="AI113" s="217">
        <f>SUM(AI78:AI112)</f>
        <v/>
      </c>
      <c r="AJ113" s="217">
        <f>SUM(AJ78:AJ112)</f>
        <v/>
      </c>
      <c r="AK113" s="217">
        <f>SUM(AK78:AK112)</f>
        <v/>
      </c>
      <c r="AL113" s="204" t="n"/>
    </row>
    <row r="114">
      <c r="A114" s="33" t="n"/>
      <c r="B114" s="199" t="n"/>
      <c r="C114" s="199" t="n"/>
      <c r="D114" s="218" t="inlineStr">
        <is>
          <t>(四）机械租赁费</t>
        </is>
      </c>
      <c r="E114" s="212" t="n"/>
      <c r="F114" s="212" t="n"/>
      <c r="G114" s="212" t="n"/>
      <c r="H114" s="189" t="n"/>
      <c r="I114" s="189" t="n"/>
      <c r="J114" s="189" t="n"/>
      <c r="K114" s="201" t="n">
        <v>0</v>
      </c>
      <c r="L114" s="202">
        <f>J114-K114</f>
        <v/>
      </c>
      <c r="M114" s="184" t="n"/>
      <c r="N114" s="184" t="n"/>
      <c r="O114" s="189">
        <f>L114-M114</f>
        <v/>
      </c>
      <c r="P114" s="189">
        <f>K114-N114</f>
        <v/>
      </c>
      <c r="Q114" s="189">
        <f>M114+O114</f>
        <v/>
      </c>
      <c r="R114" s="189">
        <f>M114+N114+O114+P114</f>
        <v/>
      </c>
      <c r="S114" s="203">
        <f>SUM(T114:V114)</f>
        <v/>
      </c>
      <c r="T114" s="203" t="n"/>
      <c r="U114" s="203" t="n"/>
      <c r="V114" s="203" t="n"/>
      <c r="W114" s="203" t="n"/>
      <c r="X114" s="203" t="n"/>
      <c r="Y114" s="203" t="n"/>
      <c r="Z114" s="203" t="n"/>
      <c r="AA114" s="203" t="n"/>
      <c r="AB114" s="203" t="n"/>
      <c r="AC114" s="203" t="n"/>
      <c r="AD114" s="203" t="n"/>
      <c r="AE114" s="203" t="n"/>
      <c r="AF114" s="203" t="n"/>
      <c r="AG114" s="203" t="n"/>
      <c r="AH114" s="203" t="n"/>
      <c r="AI114" s="203" t="n"/>
      <c r="AJ114" s="203" t="n"/>
      <c r="AK114" s="188">
        <f>AB35/1.17*0.17+AC35/1.16*0.16+AD35/1.11*0.11+AE35/1.1*0.1+AF35/1.09*0.09+AI35/1.03*0.03</f>
        <v/>
      </c>
      <c r="AL114" s="204" t="n"/>
    </row>
    <row r="115">
      <c r="A115" s="206" t="n">
        <v>1</v>
      </c>
      <c r="B115" s="206" t="inlineStr">
        <is>
          <t>100051486</t>
        </is>
      </c>
      <c r="C115" s="207" t="inlineStr">
        <is>
          <t>中建四局0200202104505001</t>
        </is>
      </c>
      <c r="D115" s="207" t="inlineStr">
        <is>
          <t>佛山市赢鑫建筑机械租赁有限公司</t>
        </is>
      </c>
      <c r="E115" s="206" t="n"/>
      <c r="F115" s="206" t="n"/>
      <c r="G115" s="206" t="n"/>
      <c r="H115" s="206" t="n"/>
      <c r="I115" s="206" t="n"/>
      <c r="J115" s="206">
        <f>H115+I115</f>
        <v/>
      </c>
      <c r="K115" s="208" t="n"/>
      <c r="L115" s="209">
        <f>J115-K115</f>
        <v/>
      </c>
      <c r="M115" s="210" t="n">
        <v>2336488.06</v>
      </c>
      <c r="N115" s="210" t="n">
        <v>384884.26</v>
      </c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10" t="n">
        <v>2589487</v>
      </c>
      <c r="U115" s="206" t="n"/>
      <c r="V115" s="206" t="n"/>
    </row>
    <row r="116">
      <c r="A116" s="206" t="n">
        <v>2</v>
      </c>
      <c r="B116" s="206" t="inlineStr">
        <is>
          <t>100051486</t>
        </is>
      </c>
      <c r="C116" s="207" t="inlineStr">
        <is>
          <t>中建四局0200202104505006</t>
        </is>
      </c>
      <c r="D116" s="207" t="inlineStr">
        <is>
          <t>佛山市赢鑫建筑机械租赁有限公司</t>
        </is>
      </c>
      <c r="E116" s="206" t="n"/>
      <c r="F116" s="206" t="n"/>
      <c r="G116" s="206" t="n"/>
      <c r="H116" s="206" t="n"/>
      <c r="I116" s="206" t="n"/>
      <c r="J116" s="206">
        <f>H116+I116</f>
        <v/>
      </c>
      <c r="K116" s="208" t="n"/>
      <c r="L116" s="209">
        <f>J116-K116</f>
        <v/>
      </c>
      <c r="M116" s="210" t="n">
        <v>1611249.84</v>
      </c>
      <c r="N116" s="210" t="n">
        <v>209938.79</v>
      </c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10" t="n">
        <v>1200000</v>
      </c>
      <c r="U116" s="206" t="n"/>
      <c r="V116" s="206" t="n"/>
    </row>
    <row r="117">
      <c r="A117" s="206" t="n">
        <v>3</v>
      </c>
      <c r="B117" s="206" t="inlineStr">
        <is>
          <t>200210767</t>
        </is>
      </c>
      <c r="C117" s="207" t="inlineStr">
        <is>
          <t>中建四局0200202104505005</t>
        </is>
      </c>
      <c r="D117" s="207" t="inlineStr">
        <is>
          <t>佛山市格瑞卡工程机械有限公司</t>
        </is>
      </c>
      <c r="E117" s="206" t="n"/>
      <c r="F117" s="206" t="n"/>
      <c r="G117" s="206" t="n"/>
      <c r="H117" s="206" t="n"/>
      <c r="I117" s="206" t="n"/>
      <c r="J117" s="206">
        <f>H117+I117</f>
        <v/>
      </c>
      <c r="K117" s="208" t="n"/>
      <c r="L117" s="209">
        <f>J117-K117</f>
        <v/>
      </c>
      <c r="M117" s="210" t="n">
        <v>525678.79</v>
      </c>
      <c r="N117" s="210" t="n">
        <v>68338.25</v>
      </c>
      <c r="O117" s="206">
        <f>L117-M117</f>
        <v/>
      </c>
      <c r="P117" s="206">
        <f>K117-N117</f>
        <v/>
      </c>
      <c r="Q117" s="206">
        <f>M117+O117</f>
        <v/>
      </c>
      <c r="R117" s="206">
        <f>M117+N117+O117+P117</f>
        <v/>
      </c>
      <c r="S117" s="206" t="n"/>
      <c r="T117" s="210" t="n">
        <v>500000</v>
      </c>
      <c r="U117" s="206" t="n"/>
      <c r="V117" s="206" t="n"/>
    </row>
    <row r="118">
      <c r="A118" s="206" t="n">
        <v>4</v>
      </c>
      <c r="B118" s="206" t="inlineStr">
        <is>
          <t>100117504</t>
        </is>
      </c>
      <c r="C118" s="207" t="inlineStr">
        <is>
          <t>中建四局0200202104505003</t>
        </is>
      </c>
      <c r="D118" s="207" t="inlineStr">
        <is>
          <t>广州大丰工程机械设备有限公司</t>
        </is>
      </c>
      <c r="E118" s="206" t="n"/>
      <c r="F118" s="206" t="n"/>
      <c r="G118" s="206" t="n"/>
      <c r="H118" s="206" t="n"/>
      <c r="I118" s="206" t="n"/>
      <c r="J118" s="206">
        <f>H118+I118</f>
        <v/>
      </c>
      <c r="K118" s="208" t="n"/>
      <c r="L118" s="209">
        <f>J118-K118</f>
        <v/>
      </c>
      <c r="M118" s="210" t="n">
        <v>74299.99000000001</v>
      </c>
      <c r="N118" s="210" t="n">
        <v>9659</v>
      </c>
      <c r="O118" s="206">
        <f>L118-M118</f>
        <v/>
      </c>
      <c r="P118" s="206">
        <f>K118-N118</f>
        <v/>
      </c>
      <c r="Q118" s="206">
        <f>M118+O118</f>
        <v/>
      </c>
      <c r="R118" s="206">
        <f>M118+N118+O118+P118</f>
        <v/>
      </c>
      <c r="S118" s="206" t="n"/>
      <c r="T118" s="210" t="n">
        <v>83958.99000000001</v>
      </c>
      <c r="U118" s="206" t="n"/>
      <c r="V118" s="206" t="n"/>
    </row>
    <row r="119">
      <c r="A119" s="206" t="n">
        <v>5</v>
      </c>
      <c r="B119" s="206" t="inlineStr">
        <is>
          <t>100217502</t>
        </is>
      </c>
      <c r="C119" s="207" t="inlineStr">
        <is>
          <t>中建四局0200202104505004</t>
        </is>
      </c>
      <c r="D119" s="207" t="inlineStr">
        <is>
          <t>广州湘亿货运代理有限公司</t>
        </is>
      </c>
      <c r="E119" s="206" t="n"/>
      <c r="F119" s="206" t="n"/>
      <c r="G119" s="206" t="n"/>
      <c r="H119" s="206" t="n"/>
      <c r="I119" s="206" t="n"/>
      <c r="J119" s="206">
        <f>H119+I119</f>
        <v/>
      </c>
      <c r="K119" s="208" t="n"/>
      <c r="L119" s="209">
        <f>J119-K119</f>
        <v/>
      </c>
      <c r="M119" s="210" t="n">
        <v>14793</v>
      </c>
      <c r="N119" s="210" t="n">
        <v>1331.37</v>
      </c>
      <c r="O119" s="206">
        <f>L119-M119</f>
        <v/>
      </c>
      <c r="P119" s="206">
        <f>K119-N119</f>
        <v/>
      </c>
      <c r="Q119" s="206">
        <f>M119+O119</f>
        <v/>
      </c>
      <c r="R119" s="206">
        <f>M119+N119+O119+P119</f>
        <v/>
      </c>
      <c r="S119" s="206" t="n"/>
      <c r="T119" s="210" t="n">
        <v>16124.37</v>
      </c>
      <c r="U119" s="206" t="n"/>
      <c r="V119" s="206" t="n"/>
    </row>
    <row r="120">
      <c r="A120" s="33" t="n"/>
      <c r="B120" s="199" t="n"/>
      <c r="C120" s="199" t="n"/>
      <c r="D120" s="211" t="inlineStr">
        <is>
          <t>**财务未列部分需增列***</t>
        </is>
      </c>
      <c r="E120" s="229" t="n"/>
      <c r="F120" s="229" t="n"/>
      <c r="G120" s="229" t="n"/>
      <c r="H120" s="189" t="n"/>
      <c r="I120" s="189" t="n"/>
      <c r="J120" s="189" t="n"/>
      <c r="K120" s="201" t="n">
        <v>0</v>
      </c>
      <c r="L120" s="202">
        <f>J120-K120</f>
        <v/>
      </c>
      <c r="M120" s="230" t="n"/>
      <c r="N120" s="230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30" t="n"/>
      <c r="U120" s="230" t="n"/>
      <c r="V120" s="230" t="n"/>
      <c r="W120" s="230" t="n"/>
      <c r="X120" s="230" t="n"/>
      <c r="Y120" s="230" t="n"/>
      <c r="Z120" s="230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>
        <f>AB37/1.17*0.17+AC37/1.16*0.16+AD37/1.11*0.11+AE37/1.1*0.1+AF37/1.09*0.09+AI37/1.03*0.03</f>
        <v/>
      </c>
      <c r="AL120" s="214" t="n"/>
    </row>
    <row r="121">
      <c r="A121" s="41" t="n"/>
      <c r="B121" s="215" t="n"/>
      <c r="C121" s="215" t="n"/>
      <c r="D121" s="231" t="inlineStr">
        <is>
          <t>机械费小计：</t>
        </is>
      </c>
      <c r="E121" s="232" t="n"/>
      <c r="F121" s="232" t="n"/>
      <c r="G121" s="232" t="n"/>
      <c r="H121" s="217">
        <f>SUM(H114:H120)</f>
        <v/>
      </c>
      <c r="I121" s="217">
        <f>SUM(I114:I120)</f>
        <v/>
      </c>
      <c r="J121" s="217">
        <f>SUM(J114:J120)</f>
        <v/>
      </c>
      <c r="K121" s="217">
        <f>SUM(K114:K120)</f>
        <v/>
      </c>
      <c r="L121" s="233">
        <f>SUM(L114:L120)</f>
        <v/>
      </c>
      <c r="M121" s="217">
        <f>SUM(M114:M120)</f>
        <v/>
      </c>
      <c r="N121" s="217">
        <f>SUM(N114:N120)</f>
        <v/>
      </c>
      <c r="O121" s="217">
        <f>SUM(O114:O120)</f>
        <v/>
      </c>
      <c r="P121" s="217">
        <f>SUM(P114:P120)</f>
        <v/>
      </c>
      <c r="Q121" s="217">
        <f>SUM(Q114:Q120)</f>
        <v/>
      </c>
      <c r="R121" s="217">
        <f>SUM(R114:R120)</f>
        <v/>
      </c>
      <c r="S121" s="217">
        <f>SUM(S114:S120)</f>
        <v/>
      </c>
      <c r="T121" s="217" t="n"/>
      <c r="U121" s="217" t="n"/>
      <c r="V121" s="217" t="n"/>
      <c r="W121" s="217" t="n"/>
      <c r="X121" s="217" t="n"/>
      <c r="Y121" s="217" t="n"/>
      <c r="Z121" s="217">
        <f>SUM(Z114:Z120)</f>
        <v/>
      </c>
      <c r="AA121" s="217">
        <f>SUM(AA114:AA120)</f>
        <v/>
      </c>
      <c r="AB121" s="217" t="n"/>
      <c r="AC121" s="217" t="n"/>
      <c r="AD121" s="217" t="n"/>
      <c r="AE121" s="217" t="n"/>
      <c r="AF121" s="217" t="n"/>
      <c r="AG121" s="217" t="n"/>
      <c r="AH121" s="217" t="n"/>
      <c r="AI121" s="217" t="n"/>
      <c r="AJ121" s="217" t="n"/>
      <c r="AK121" s="217" t="n"/>
      <c r="AL121" s="204" t="n"/>
    </row>
    <row r="122">
      <c r="A122" s="33" t="n"/>
      <c r="B122" s="199" t="n"/>
      <c r="C122" s="199" t="n"/>
      <c r="D122" s="218" t="inlineStr">
        <is>
          <t>（五）其他直接费</t>
        </is>
      </c>
      <c r="E122" s="212" t="n"/>
      <c r="F122" s="212" t="n"/>
      <c r="G122" s="212" t="n"/>
      <c r="H122" s="189" t="n"/>
      <c r="I122" s="189" t="n"/>
      <c r="J122" s="184" t="n">
        <v>0</v>
      </c>
      <c r="K122" s="201" t="n">
        <v>0</v>
      </c>
      <c r="L122" s="202">
        <f>J122-N122-P122</f>
        <v/>
      </c>
      <c r="M122" s="184" t="n"/>
      <c r="N122" s="184" t="n"/>
      <c r="O122" s="189">
        <f>L122-M122</f>
        <v/>
      </c>
      <c r="P122" s="189">
        <f>K122-N122</f>
        <v/>
      </c>
      <c r="Q122" s="189">
        <f>M122+O122</f>
        <v/>
      </c>
      <c r="R122" s="189">
        <f>M122+N122+O122+P122</f>
        <v/>
      </c>
      <c r="S122" s="203">
        <f>SUM(T122:V122)</f>
        <v/>
      </c>
      <c r="T122" s="203" t="n"/>
      <c r="U122" s="203" t="n"/>
      <c r="V122" s="203" t="n"/>
      <c r="W122" s="203" t="n"/>
      <c r="X122" s="203" t="n"/>
      <c r="Y122" s="203" t="n"/>
      <c r="Z122" s="203" t="n"/>
      <c r="AA122" s="203" t="n"/>
      <c r="AB122" s="203" t="n"/>
      <c r="AC122" s="203" t="n"/>
      <c r="AD122" s="203" t="n"/>
      <c r="AE122" s="203" t="n"/>
      <c r="AF122" s="203" t="n"/>
      <c r="AG122" s="203" t="n"/>
      <c r="AH122" s="203" t="n"/>
      <c r="AI122" s="203" t="n"/>
      <c r="AJ122" s="203" t="n"/>
      <c r="AK122" s="188" t="n"/>
      <c r="AL122" s="204" t="n"/>
    </row>
    <row r="123">
      <c r="A123" s="206" t="n"/>
      <c r="B123" s="206" t="n"/>
      <c r="C123" s="207" t="n"/>
      <c r="D123" s="207" t="inlineStr">
        <is>
          <t>保险费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9">
        <f>J123-K123</f>
        <v/>
      </c>
      <c r="M123" s="210" t="n">
        <v>724899.0600000001</v>
      </c>
      <c r="N123" s="206" t="n"/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06" t="n"/>
      <c r="U123" s="206" t="n"/>
      <c r="V123" s="206" t="n"/>
    </row>
    <row r="124">
      <c r="A124" s="206" t="n"/>
      <c r="B124" s="206" t="n"/>
      <c r="C124" s="207" t="n"/>
      <c r="D124" s="207" t="inlineStr">
        <is>
          <t>其他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9">
        <f>J124-K124</f>
        <v/>
      </c>
      <c r="M124" s="210" t="n">
        <v>79235.21000000001</v>
      </c>
      <c r="N124" s="206" t="n"/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06" t="n"/>
      <c r="U124" s="206" t="n"/>
      <c r="V124" s="206" t="n"/>
    </row>
    <row r="125">
      <c r="A125" s="206" t="n"/>
      <c r="B125" s="206" t="n"/>
      <c r="C125" s="207" t="n"/>
      <c r="D125" s="207" t="inlineStr">
        <is>
          <t>咨询费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9">
        <f>J125-K125</f>
        <v/>
      </c>
      <c r="M125" s="210" t="n">
        <v>39798</v>
      </c>
      <c r="N125" s="206" t="n"/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06" t="n"/>
      <c r="U125" s="206" t="n"/>
      <c r="V125" s="206" t="n"/>
    </row>
    <row r="126">
      <c r="A126" s="206" t="n"/>
      <c r="B126" s="206" t="n"/>
      <c r="C126" s="207" t="n"/>
      <c r="D126" s="207" t="inlineStr">
        <is>
          <t>检验试验费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9">
        <f>J126-K126</f>
        <v/>
      </c>
      <c r="M126" s="210" t="n">
        <v>811573.96</v>
      </c>
      <c r="N126" s="206" t="n"/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06" t="n"/>
      <c r="U126" s="206" t="n"/>
      <c r="V126" s="206" t="n"/>
    </row>
    <row r="127">
      <c r="A127" s="206" t="n"/>
      <c r="B127" s="206" t="n"/>
      <c r="C127" s="207" t="n"/>
      <c r="D127" s="207" t="inlineStr">
        <is>
          <t>水电费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9">
        <f>J127-K127</f>
        <v/>
      </c>
      <c r="M127" s="210" t="n">
        <v>1550912.85</v>
      </c>
      <c r="N127" s="206" t="n"/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06" t="n"/>
      <c r="U127" s="206" t="n"/>
      <c r="V127" s="206" t="n"/>
    </row>
    <row r="128">
      <c r="A128" s="206" t="n"/>
      <c r="B128" s="206" t="n"/>
      <c r="C128" s="207" t="n"/>
      <c r="D128" s="207" t="inlineStr">
        <is>
          <t>测量费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9">
        <f>J128-K128</f>
        <v/>
      </c>
      <c r="M128" s="210" t="n">
        <v>12460.82</v>
      </c>
      <c r="N128" s="206" t="n"/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06" t="n"/>
      <c r="U128" s="206" t="n"/>
      <c r="V128" s="206" t="n"/>
    </row>
    <row r="129">
      <c r="A129" s="33" t="n"/>
      <c r="B129" s="199" t="n"/>
      <c r="C129" s="199" t="n"/>
      <c r="D129" s="211" t="inlineStr">
        <is>
          <t>**财务未列部分需增列***</t>
        </is>
      </c>
      <c r="E129" s="212" t="n"/>
      <c r="F129" s="212" t="n"/>
      <c r="G129" s="212" t="n"/>
      <c r="H129" s="189" t="n"/>
      <c r="I129" s="189" t="n"/>
      <c r="J129" s="184" t="n"/>
      <c r="K129" s="201" t="n"/>
      <c r="L129" s="202">
        <f>J129-K129</f>
        <v/>
      </c>
      <c r="M129" s="234" t="n"/>
      <c r="N129" s="234" t="n"/>
      <c r="O129" s="189">
        <f>L129-M129</f>
        <v/>
      </c>
      <c r="P129" s="189">
        <f>K129-N129</f>
        <v/>
      </c>
      <c r="Q129" s="189">
        <f>M129+O129</f>
        <v/>
      </c>
      <c r="R129" s="189">
        <f>M129+N129+O129+P129</f>
        <v/>
      </c>
      <c r="S129" s="203">
        <f>SUM(T129:V129)</f>
        <v/>
      </c>
      <c r="T129" s="234" t="n"/>
      <c r="U129" s="234" t="n"/>
      <c r="V129" s="234" t="n"/>
      <c r="W129" s="234" t="n"/>
      <c r="X129" s="234" t="n"/>
      <c r="Y129" s="234" t="n"/>
      <c r="Z129" s="189">
        <f>SUM(AA45:AJ45)</f>
        <v/>
      </c>
      <c r="AA129" s="203" t="n"/>
      <c r="AB129" s="203" t="n"/>
      <c r="AC129" s="203" t="n"/>
      <c r="AD129" s="203" t="n"/>
      <c r="AE129" s="203" t="n"/>
      <c r="AF129" s="203" t="n"/>
      <c r="AG129" s="203" t="n"/>
      <c r="AH129" s="203" t="n"/>
      <c r="AI129" s="203" t="n"/>
      <c r="AJ129" s="203" t="n"/>
      <c r="AK129" s="188" t="n"/>
      <c r="AL129" s="204" t="n"/>
    </row>
    <row r="130">
      <c r="A130" s="55" t="n"/>
      <c r="B130" s="235" t="n"/>
      <c r="C130" s="235" t="n"/>
      <c r="D130" s="231" t="inlineStr">
        <is>
          <t>其他直接费小计：</t>
        </is>
      </c>
      <c r="E130" s="236" t="n"/>
      <c r="F130" s="236" t="n"/>
      <c r="G130" s="236" t="n"/>
      <c r="H130" s="217">
        <f>SUM(H122:H129)</f>
        <v/>
      </c>
      <c r="I130" s="217">
        <f>SUM(I122:I129)</f>
        <v/>
      </c>
      <c r="J130" s="217">
        <f>SUM(J122:J129)</f>
        <v/>
      </c>
      <c r="K130" s="217">
        <f>SUM(K122:K129)</f>
        <v/>
      </c>
      <c r="L130" s="233">
        <f>SUM(L122:L129)</f>
        <v/>
      </c>
      <c r="M130" s="217">
        <f>SUM(M122:M129)</f>
        <v/>
      </c>
      <c r="N130" s="217">
        <f>SUM(N122:N129)</f>
        <v/>
      </c>
      <c r="O130" s="217">
        <f>L130-M130</f>
        <v/>
      </c>
      <c r="P130" s="217">
        <f>SUM(P122:P129)</f>
        <v/>
      </c>
      <c r="Q130" s="217">
        <f>M130+O130</f>
        <v/>
      </c>
      <c r="R130" s="217">
        <f>SUM(R122:R129)</f>
        <v/>
      </c>
      <c r="S130" s="217">
        <f>SUM(S122:S129)</f>
        <v/>
      </c>
      <c r="T130" s="217" t="n"/>
      <c r="U130" s="217" t="n"/>
      <c r="V130" s="217" t="n"/>
      <c r="W130" s="217" t="n"/>
      <c r="X130" s="217" t="n"/>
      <c r="Y130" s="217" t="n"/>
      <c r="Z130" s="217">
        <f>SUM(Z122:Z129)</f>
        <v/>
      </c>
      <c r="AA130" s="217">
        <f>SUM(AA122:AA129)</f>
        <v/>
      </c>
      <c r="AB130" s="217">
        <f>SUM(AB122:AB129)</f>
        <v/>
      </c>
      <c r="AC130" s="217">
        <f>SUM(AC122:AC129)</f>
        <v/>
      </c>
      <c r="AD130" s="217">
        <f>SUM(AD122:AD129)</f>
        <v/>
      </c>
      <c r="AE130" s="217">
        <f>SUM(AE122:AE129)</f>
        <v/>
      </c>
      <c r="AF130" s="217">
        <f>SUM(AF122:AF129)</f>
        <v/>
      </c>
      <c r="AG130" s="217" t="n"/>
      <c r="AH130" s="217" t="n"/>
      <c r="AI130" s="217">
        <f>SUM(AI122:AI129)</f>
        <v/>
      </c>
      <c r="AJ130" s="217">
        <f>SUM(AJ122:AJ129)</f>
        <v/>
      </c>
      <c r="AK130" s="217">
        <f>SUM(AK122:AK129)</f>
        <v/>
      </c>
      <c r="AL130" s="204" t="n"/>
    </row>
    <row r="131">
      <c r="A131" s="33" t="n"/>
      <c r="B131" s="199" t="n"/>
      <c r="C131" s="199" t="n"/>
      <c r="D131" s="218" t="inlineStr">
        <is>
          <t>（六）间接费</t>
        </is>
      </c>
      <c r="E131" s="212" t="n"/>
      <c r="F131" s="212" t="n"/>
      <c r="G131" s="212" t="n"/>
      <c r="H131" s="184" t="n"/>
      <c r="I131" s="189" t="n"/>
      <c r="J131" s="189" t="n">
        <v>0</v>
      </c>
      <c r="K131" s="201" t="n">
        <v>0</v>
      </c>
      <c r="L131" s="202">
        <f>J131-N131-P131</f>
        <v/>
      </c>
      <c r="M131" s="184" t="n"/>
      <c r="N131" s="184" t="n"/>
      <c r="O131" s="189">
        <f>L131-M131</f>
        <v/>
      </c>
      <c r="P131" s="189">
        <f>K131-N131</f>
        <v/>
      </c>
      <c r="Q131" s="189">
        <f>M131+O131</f>
        <v/>
      </c>
      <c r="R131" s="189">
        <f>M131+N131+O131+P131</f>
        <v/>
      </c>
      <c r="S131" s="203">
        <f>SUM(T131:V131)</f>
        <v/>
      </c>
      <c r="T131" s="203" t="n"/>
      <c r="U131" s="203" t="n"/>
      <c r="V131" s="203" t="n"/>
      <c r="W131" s="203" t="n"/>
      <c r="X131" s="203" t="n"/>
      <c r="Y131" s="203" t="n"/>
      <c r="Z131" s="203" t="n"/>
      <c r="AA131" s="203" t="n"/>
      <c r="AB131" s="203" t="n"/>
      <c r="AC131" s="203" t="n"/>
      <c r="AD131" s="203" t="n"/>
      <c r="AE131" s="203" t="n"/>
      <c r="AF131" s="203" t="n"/>
      <c r="AG131" s="203" t="n"/>
      <c r="AH131" s="203" t="n"/>
      <c r="AI131" s="203" t="n"/>
      <c r="AJ131" s="203" t="n"/>
      <c r="AK131" s="188" t="n"/>
      <c r="AL131" s="204" t="n"/>
    </row>
    <row r="132">
      <c r="A132" s="206" t="n"/>
      <c r="B132" s="206" t="n"/>
      <c r="C132" s="207" t="n"/>
      <c r="D132" s="207" t="inlineStr">
        <is>
          <t>企业年金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9">
        <f>J132-K132</f>
        <v/>
      </c>
      <c r="M132" s="210" t="n">
        <v>74494.24000000001</v>
      </c>
      <c r="N132" s="206" t="n"/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06" t="n"/>
      <c r="U132" s="206" t="n"/>
      <c r="V132" s="206" t="n"/>
    </row>
    <row r="133">
      <c r="A133" s="206" t="n"/>
      <c r="B133" s="206" t="n"/>
      <c r="C133" s="207" t="n"/>
      <c r="D133" s="207" t="inlineStr">
        <is>
          <t>住房公积金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9">
        <f>J133-K133</f>
        <v/>
      </c>
      <c r="M133" s="210" t="n">
        <v>229800.98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</row>
    <row r="134">
      <c r="A134" s="206" t="n"/>
      <c r="B134" s="206" t="n"/>
      <c r="C134" s="207" t="n"/>
      <c r="D134" s="207" t="inlineStr">
        <is>
          <t>保安保洁费</t>
        </is>
      </c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9">
        <f>J134-K134</f>
        <v/>
      </c>
      <c r="M134" s="210" t="n">
        <v>9375.23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</row>
    <row r="135">
      <c r="A135" s="206" t="n"/>
      <c r="B135" s="206" t="n"/>
      <c r="C135" s="207" t="n"/>
      <c r="D135" s="207" t="inlineStr">
        <is>
          <t>修理费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9">
        <f>J135-K135</f>
        <v/>
      </c>
      <c r="M135" s="210" t="n">
        <v>35150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</row>
    <row r="136">
      <c r="A136" s="206" t="n"/>
      <c r="B136" s="206" t="n"/>
      <c r="C136" s="207" t="n"/>
      <c r="D136" s="207" t="inlineStr">
        <is>
          <t>其他</t>
        </is>
      </c>
      <c r="E136" s="206" t="n"/>
      <c r="F136" s="206" t="n"/>
      <c r="G136" s="206" t="n"/>
      <c r="H136" s="206" t="n"/>
      <c r="I136" s="206" t="n"/>
      <c r="J136" s="206">
        <f>H136+I136</f>
        <v/>
      </c>
      <c r="K136" s="208" t="n"/>
      <c r="L136" s="209">
        <f>J136-K136</f>
        <v/>
      </c>
      <c r="M136" s="210" t="n">
        <v>154505.75</v>
      </c>
      <c r="N136" s="206" t="n"/>
      <c r="O136" s="206">
        <f>L136-M136</f>
        <v/>
      </c>
      <c r="P136" s="206">
        <f>K136-N136</f>
        <v/>
      </c>
      <c r="Q136" s="206">
        <f>M136+O136</f>
        <v/>
      </c>
      <c r="R136" s="206">
        <f>M136+N136+O136+P136</f>
        <v/>
      </c>
      <c r="S136" s="206" t="n"/>
      <c r="T136" s="206" t="n"/>
      <c r="U136" s="206" t="n"/>
      <c r="V136" s="206" t="n"/>
    </row>
    <row r="137">
      <c r="A137" s="206" t="n"/>
      <c r="B137" s="206" t="n"/>
      <c r="C137" s="207" t="n"/>
      <c r="D137" s="207" t="inlineStr">
        <is>
          <t>冲晒印刷费</t>
        </is>
      </c>
      <c r="E137" s="206" t="n"/>
      <c r="F137" s="206" t="n"/>
      <c r="G137" s="206" t="n"/>
      <c r="H137" s="206" t="n"/>
      <c r="I137" s="206" t="n"/>
      <c r="J137" s="206">
        <f>H137+I137</f>
        <v/>
      </c>
      <c r="K137" s="208" t="n"/>
      <c r="L137" s="209">
        <f>J137-K137</f>
        <v/>
      </c>
      <c r="M137" s="210" t="n">
        <v>27505.96</v>
      </c>
      <c r="N137" s="206" t="n"/>
      <c r="O137" s="206">
        <f>L137-M137</f>
        <v/>
      </c>
      <c r="P137" s="206">
        <f>K137-N137</f>
        <v/>
      </c>
      <c r="Q137" s="206">
        <f>M137+O137</f>
        <v/>
      </c>
      <c r="R137" s="206">
        <f>M137+N137+O137+P137</f>
        <v/>
      </c>
      <c r="S137" s="206" t="n"/>
      <c r="T137" s="206" t="n"/>
      <c r="U137" s="206" t="n"/>
      <c r="V137" s="206" t="n"/>
    </row>
    <row r="138">
      <c r="A138" s="206" t="n"/>
      <c r="B138" s="206" t="n"/>
      <c r="C138" s="207" t="n"/>
      <c r="D138" s="207" t="inlineStr">
        <is>
          <t>办公用品费</t>
        </is>
      </c>
      <c r="E138" s="206" t="n"/>
      <c r="F138" s="206" t="n"/>
      <c r="G138" s="206" t="n"/>
      <c r="H138" s="206" t="n"/>
      <c r="I138" s="206" t="n"/>
      <c r="J138" s="206">
        <f>H138+I138</f>
        <v/>
      </c>
      <c r="K138" s="208" t="n"/>
      <c r="L138" s="209">
        <f>J138-K138</f>
        <v/>
      </c>
      <c r="M138" s="210" t="n">
        <v>136910.72</v>
      </c>
      <c r="N138" s="206" t="n"/>
      <c r="O138" s="206">
        <f>L138-M138</f>
        <v/>
      </c>
      <c r="P138" s="206">
        <f>K138-N138</f>
        <v/>
      </c>
      <c r="Q138" s="206">
        <f>M138+O138</f>
        <v/>
      </c>
      <c r="R138" s="206">
        <f>M138+N138+O138+P138</f>
        <v/>
      </c>
      <c r="S138" s="206" t="n"/>
      <c r="T138" s="206" t="n"/>
      <c r="U138" s="206" t="n"/>
      <c r="V138" s="206" t="n"/>
    </row>
    <row r="139">
      <c r="A139" s="206" t="n"/>
      <c r="B139" s="206" t="n"/>
      <c r="C139" s="207" t="n"/>
      <c r="D139" s="207" t="inlineStr">
        <is>
          <t>医疗保险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9">
        <f>J139-K139</f>
        <v/>
      </c>
      <c r="M139" s="210" t="n">
        <v>148081.94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</row>
    <row r="140">
      <c r="A140" s="206" t="n"/>
      <c r="B140" s="206" t="n"/>
      <c r="C140" s="207" t="n"/>
      <c r="D140" s="207" t="inlineStr">
        <is>
          <t>咨询认证费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9">
        <f>J140-K140</f>
        <v/>
      </c>
      <c r="M140" s="210" t="n">
        <v>6886.8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</row>
    <row r="141">
      <c r="A141" s="206" t="n"/>
      <c r="B141" s="206" t="n"/>
      <c r="C141" s="207" t="n"/>
      <c r="D141" s="207" t="inlineStr">
        <is>
          <t>基本养老保险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9">
        <f>J141-K141</f>
        <v/>
      </c>
      <c r="M141" s="210" t="n">
        <v>290914.52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</row>
    <row r="142">
      <c r="A142" s="206" t="n"/>
      <c r="B142" s="206" t="n"/>
      <c r="C142" s="207" t="n"/>
      <c r="D142" s="207" t="inlineStr">
        <is>
          <t>境内差旅费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9">
        <f>J142-K142</f>
        <v/>
      </c>
      <c r="M142" s="210" t="n">
        <v>19963.39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</row>
    <row r="143">
      <c r="A143" s="206" t="n"/>
      <c r="B143" s="206" t="n"/>
      <c r="C143" s="207" t="n"/>
      <c r="D143" s="207" t="inlineStr">
        <is>
          <t>失业保险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9">
        <f>J143-K143</f>
        <v/>
      </c>
      <c r="M143" s="210" t="n">
        <v>12897.21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</row>
    <row r="144">
      <c r="A144" s="206" t="n"/>
      <c r="B144" s="206" t="n"/>
      <c r="C144" s="207" t="n"/>
      <c r="D144" s="207" t="inlineStr">
        <is>
          <t>工伤保险</t>
        </is>
      </c>
      <c r="E144" s="206" t="n"/>
      <c r="F144" s="206" t="n"/>
      <c r="G144" s="206" t="n"/>
      <c r="H144" s="206" t="n"/>
      <c r="I144" s="206" t="n"/>
      <c r="J144" s="206">
        <f>H144+I144</f>
        <v/>
      </c>
      <c r="K144" s="208" t="n"/>
      <c r="L144" s="209">
        <f>J144-K144</f>
        <v/>
      </c>
      <c r="M144" s="210" t="n">
        <v>8279.34</v>
      </c>
      <c r="N144" s="206" t="n"/>
      <c r="O144" s="206">
        <f>L144-M144</f>
        <v/>
      </c>
      <c r="P144" s="206">
        <f>K144-N144</f>
        <v/>
      </c>
      <c r="Q144" s="206">
        <f>M144+O144</f>
        <v/>
      </c>
      <c r="R144" s="206">
        <f>M144+N144+O144+P144</f>
        <v/>
      </c>
      <c r="S144" s="206" t="n"/>
      <c r="T144" s="206" t="n"/>
      <c r="U144" s="206" t="n"/>
      <c r="V144" s="206" t="n"/>
    </row>
    <row r="145">
      <c r="A145" s="206" t="n"/>
      <c r="B145" s="206" t="n"/>
      <c r="C145" s="207" t="n"/>
      <c r="D145" s="207" t="inlineStr">
        <is>
          <t>工资</t>
        </is>
      </c>
      <c r="E145" s="206" t="n"/>
      <c r="F145" s="206" t="n"/>
      <c r="G145" s="206" t="n"/>
      <c r="H145" s="206" t="n"/>
      <c r="I145" s="206" t="n"/>
      <c r="J145" s="206">
        <f>H145+I145</f>
        <v/>
      </c>
      <c r="K145" s="208" t="n"/>
      <c r="L145" s="209">
        <f>J145-K145</f>
        <v/>
      </c>
      <c r="M145" s="210" t="n">
        <v>3489863.54</v>
      </c>
      <c r="N145" s="206" t="n"/>
      <c r="O145" s="206">
        <f>L145-M145</f>
        <v/>
      </c>
      <c r="P145" s="206">
        <f>K145-N145</f>
        <v/>
      </c>
      <c r="Q145" s="206">
        <f>M145+O145</f>
        <v/>
      </c>
      <c r="R145" s="206">
        <f>M145+N145+O145+P145</f>
        <v/>
      </c>
      <c r="S145" s="206" t="n"/>
      <c r="T145" s="206" t="n"/>
      <c r="U145" s="206" t="n"/>
      <c r="V145" s="206" t="n"/>
    </row>
    <row r="146">
      <c r="A146" s="206" t="n"/>
      <c r="B146" s="206" t="n"/>
      <c r="C146" s="207" t="n"/>
      <c r="D146" s="207" t="inlineStr">
        <is>
          <t>市内交通费</t>
        </is>
      </c>
      <c r="E146" s="206" t="n"/>
      <c r="F146" s="206" t="n"/>
      <c r="G146" s="206" t="n"/>
      <c r="H146" s="206" t="n"/>
      <c r="I146" s="206" t="n"/>
      <c r="J146" s="206">
        <f>H146+I146</f>
        <v/>
      </c>
      <c r="K146" s="208" t="n"/>
      <c r="L146" s="209">
        <f>J146-K146</f>
        <v/>
      </c>
      <c r="M146" s="210" t="n">
        <v>1605.51</v>
      </c>
      <c r="N146" s="206" t="n"/>
      <c r="O146" s="206">
        <f>L146-M146</f>
        <v/>
      </c>
      <c r="P146" s="206">
        <f>K146-N146</f>
        <v/>
      </c>
      <c r="Q146" s="206">
        <f>M146+O146</f>
        <v/>
      </c>
      <c r="R146" s="206">
        <f>M146+N146+O146+P146</f>
        <v/>
      </c>
      <c r="S146" s="206" t="n"/>
      <c r="T146" s="206" t="n"/>
      <c r="U146" s="206" t="n"/>
      <c r="V146" s="206" t="n"/>
    </row>
    <row r="147">
      <c r="A147" s="206" t="n"/>
      <c r="B147" s="206" t="n"/>
      <c r="C147" s="207" t="n"/>
      <c r="D147" s="207" t="inlineStr">
        <is>
          <t>排污费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9">
        <f>J147-K147</f>
        <v/>
      </c>
      <c r="M147" s="210" t="n">
        <v>1700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</row>
    <row r="148">
      <c r="A148" s="206" t="n"/>
      <c r="B148" s="206" t="n"/>
      <c r="C148" s="207" t="n"/>
      <c r="D148" s="207" t="inlineStr">
        <is>
          <t>水电费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9">
        <f>J148-K148</f>
        <v/>
      </c>
      <c r="M148" s="210" t="n">
        <v>47486.27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</row>
    <row r="149">
      <c r="A149" s="206" t="n"/>
      <c r="B149" s="206" t="n"/>
      <c r="C149" s="207" t="n"/>
      <c r="D149" s="207" t="inlineStr">
        <is>
          <t>燃油费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9">
        <f>J149-K149</f>
        <v/>
      </c>
      <c r="M149" s="210" t="n">
        <v>13463.44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</row>
    <row r="150">
      <c r="A150" s="206" t="n"/>
      <c r="B150" s="206" t="n"/>
      <c r="C150" s="207" t="n"/>
      <c r="D150" s="207" t="inlineStr">
        <is>
          <t>物业租赁费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9">
        <f>J150-K150</f>
        <v/>
      </c>
      <c r="M150" s="210" t="n">
        <v>107763.8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</row>
    <row r="151">
      <c r="A151" s="206" t="n"/>
      <c r="B151" s="206" t="n"/>
      <c r="C151" s="207" t="n"/>
      <c r="D151" s="207" t="inlineStr">
        <is>
          <t>物业管理费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9">
        <f>J151-K151</f>
        <v/>
      </c>
      <c r="M151" s="210" t="n">
        <v>233637.28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</row>
    <row r="152">
      <c r="A152" s="206" t="n"/>
      <c r="B152" s="206" t="n"/>
      <c r="C152" s="207" t="n"/>
      <c r="D152" s="207" t="inlineStr">
        <is>
          <t>社保及公积金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9">
        <f>J152-K152</f>
        <v/>
      </c>
      <c r="M152" s="210" t="n">
        <v>107223.57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</row>
    <row r="153">
      <c r="A153" s="206" t="n"/>
      <c r="B153" s="206" t="n"/>
      <c r="C153" s="207" t="n"/>
      <c r="D153" s="207" t="inlineStr">
        <is>
          <t>租车费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9">
        <f>J153-K153</f>
        <v/>
      </c>
      <c r="M153" s="210" t="n">
        <v>87891.39999999999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</row>
    <row r="154">
      <c r="A154" s="206" t="n"/>
      <c r="B154" s="206" t="n"/>
      <c r="C154" s="207" t="n"/>
      <c r="D154" s="207" t="inlineStr">
        <is>
          <t>绿化绿植费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9">
        <f>J154-K154</f>
        <v/>
      </c>
      <c r="M154" s="210" t="n">
        <v>33744.04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</row>
    <row r="155">
      <c r="A155" s="206" t="n"/>
      <c r="B155" s="206" t="n"/>
      <c r="C155" s="207" t="n"/>
      <c r="D155" s="207" t="inlineStr">
        <is>
          <t>网络使用费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9">
        <f>J155-K155</f>
        <v/>
      </c>
      <c r="M155" s="210" t="n">
        <v>40931.39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</row>
    <row r="156">
      <c r="A156" s="206" t="n"/>
      <c r="B156" s="206" t="n"/>
      <c r="C156" s="207" t="n"/>
      <c r="D156" s="207" t="inlineStr">
        <is>
          <t>职工教育经费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9">
        <f>J156-K156</f>
        <v/>
      </c>
      <c r="M156" s="210" t="n">
        <v>10809.19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</row>
    <row r="157">
      <c r="A157" s="206" t="n"/>
      <c r="B157" s="206" t="n"/>
      <c r="C157" s="207" t="n"/>
      <c r="D157" s="207" t="inlineStr">
        <is>
          <t>职工福利费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9">
        <f>J157-K157</f>
        <v/>
      </c>
      <c r="M157" s="210" t="n">
        <v>654227.63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</row>
    <row r="158">
      <c r="A158" s="206" t="n"/>
      <c r="B158" s="206" t="n"/>
      <c r="C158" s="207" t="n"/>
      <c r="D158" s="207" t="inlineStr">
        <is>
          <t>补充医疗保险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9">
        <f>J158-K158</f>
        <v/>
      </c>
      <c r="M158" s="210" t="n">
        <v>1688.96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</row>
    <row r="159">
      <c r="A159" s="206" t="n"/>
      <c r="B159" s="206" t="n"/>
      <c r="C159" s="207" t="n"/>
      <c r="D159" s="207" t="inlineStr">
        <is>
          <t>路桥及停车费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9">
        <f>J159-K159</f>
        <v/>
      </c>
      <c r="M159" s="210" t="n">
        <v>22274.68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</row>
    <row r="160">
      <c r="A160" s="206" t="n"/>
      <c r="B160" s="206" t="n"/>
      <c r="C160" s="207" t="n"/>
      <c r="D160" s="207" t="inlineStr">
        <is>
          <t>软件费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9">
        <f>J160-K160</f>
        <v/>
      </c>
      <c r="M160" s="210" t="n">
        <v>2089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</row>
    <row r="161">
      <c r="A161" s="206" t="n"/>
      <c r="B161" s="206" t="n"/>
      <c r="C161" s="207" t="n"/>
      <c r="D161" s="207" t="inlineStr">
        <is>
          <t>通信费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9">
        <f>J161-K161</f>
        <v/>
      </c>
      <c r="M161" s="210" t="n">
        <v>9800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</row>
    <row r="162">
      <c r="A162" s="206" t="n"/>
      <c r="B162" s="206" t="n"/>
      <c r="C162" s="207" t="n"/>
      <c r="D162" s="207" t="inlineStr">
        <is>
          <t>邮寄费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9">
        <f>J162-K162</f>
        <v/>
      </c>
      <c r="M162" s="210" t="n">
        <v>3306.35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</row>
    <row r="163">
      <c r="A163" s="33" t="n"/>
      <c r="B163" s="199" t="n"/>
      <c r="C163" s="199" t="n"/>
      <c r="D163" s="211" t="inlineStr">
        <is>
          <t>**财务未列部分需增列***</t>
        </is>
      </c>
      <c r="E163" s="212" t="n"/>
      <c r="F163" s="212" t="n"/>
      <c r="G163" s="212" t="n"/>
      <c r="H163" s="234" t="n"/>
      <c r="I163" s="189" t="n"/>
      <c r="J163" s="234" t="n"/>
      <c r="K163" s="201" t="n"/>
      <c r="L163" s="202" t="n"/>
      <c r="M163" s="234" t="n"/>
      <c r="N163" s="189" t="n"/>
      <c r="O163" s="189">
        <f>L163-M163</f>
        <v/>
      </c>
      <c r="P163" s="189">
        <f>K163-N163</f>
        <v/>
      </c>
      <c r="Q163" s="189">
        <f>M163+O163</f>
        <v/>
      </c>
      <c r="R163" s="189">
        <f>M163+N163+O163+P163</f>
        <v/>
      </c>
      <c r="S163" s="203">
        <f>SUM(T163:V163)</f>
        <v/>
      </c>
      <c r="T163" s="234" t="n"/>
      <c r="U163" s="234" t="n"/>
      <c r="V163" s="234" t="n"/>
      <c r="W163" s="234" t="n"/>
      <c r="X163" s="234" t="n"/>
      <c r="Y163" s="234" t="n"/>
      <c r="Z163" s="234" t="n"/>
      <c r="AA163" s="203" t="n"/>
      <c r="AB163" s="188" t="n"/>
      <c r="AC163" s="188" t="n"/>
      <c r="AD163" s="188" t="n"/>
      <c r="AE163" s="188" t="n"/>
      <c r="AF163" s="188" t="n"/>
      <c r="AG163" s="188" t="n"/>
      <c r="AH163" s="188" t="n"/>
      <c r="AI163" s="188" t="n"/>
      <c r="AJ163" s="188" t="n"/>
      <c r="AK163" s="188" t="n"/>
      <c r="AL163" s="214" t="n"/>
    </row>
    <row r="164">
      <c r="A164" s="55" t="n"/>
      <c r="B164" s="235" t="n"/>
      <c r="C164" s="235" t="n"/>
      <c r="D164" s="231" t="inlineStr">
        <is>
          <t>间接费小计：</t>
        </is>
      </c>
      <c r="E164" s="236" t="n"/>
      <c r="F164" s="236" t="n"/>
      <c r="G164" s="236" t="n"/>
      <c r="H164" s="217">
        <f>SUM(H131:H163)</f>
        <v/>
      </c>
      <c r="I164" s="217">
        <f>SUM(I131:I163)</f>
        <v/>
      </c>
      <c r="J164" s="217">
        <f>SUM(J131:J163)</f>
        <v/>
      </c>
      <c r="K164" s="217">
        <f>SUM(K131:K163)</f>
        <v/>
      </c>
      <c r="L164" s="233">
        <f>SUM(L131:L163)</f>
        <v/>
      </c>
      <c r="M164" s="233">
        <f>SUM(M131:M163)</f>
        <v/>
      </c>
      <c r="N164" s="233">
        <f>SUM(N131:N163)</f>
        <v/>
      </c>
      <c r="O164" s="233">
        <f>SUM(O131:O163)</f>
        <v/>
      </c>
      <c r="P164" s="233">
        <f>SUM(P131:P163)</f>
        <v/>
      </c>
      <c r="Q164" s="233">
        <f>SUM(Q131:Q163)</f>
        <v/>
      </c>
      <c r="R164" s="233">
        <f>SUM(R131:R163)</f>
        <v/>
      </c>
      <c r="S164" s="233">
        <f>SUM(S131:S163)</f>
        <v/>
      </c>
      <c r="T164" s="233" t="n"/>
      <c r="U164" s="233" t="n"/>
      <c r="V164" s="233" t="n"/>
      <c r="W164" s="233" t="n"/>
      <c r="X164" s="233" t="n"/>
      <c r="Y164" s="233" t="n"/>
      <c r="Z164" s="233">
        <f>SUM(Z131:Z163)</f>
        <v/>
      </c>
      <c r="AA164" s="233">
        <f>SUM(AA131:AA163)</f>
        <v/>
      </c>
      <c r="AB164" s="233">
        <f>SUM(AB131:AB163)</f>
        <v/>
      </c>
      <c r="AC164" s="233">
        <f>SUM(AC131:AC163)</f>
        <v/>
      </c>
      <c r="AD164" s="233">
        <f>SUM(AD131:AD163)</f>
        <v/>
      </c>
      <c r="AE164" s="233">
        <f>SUM(AE131:AE163)</f>
        <v/>
      </c>
      <c r="AF164" s="233">
        <f>SUM(AF131:AF163)</f>
        <v/>
      </c>
      <c r="AG164" s="233" t="n"/>
      <c r="AH164" s="233" t="n"/>
      <c r="AI164" s="233">
        <f>SUM(AI131:AI163)</f>
        <v/>
      </c>
      <c r="AJ164" s="233">
        <f>SUM(AJ131:AJ163)</f>
        <v/>
      </c>
      <c r="AK164" s="233">
        <f>SUM(AK131:AK163)</f>
        <v/>
      </c>
      <c r="AL164" s="214" t="n"/>
    </row>
    <row r="165">
      <c r="A165" s="33" t="n"/>
      <c r="B165" s="199" t="n"/>
      <c r="C165" s="199" t="n"/>
      <c r="D165" s="218" t="inlineStr">
        <is>
          <t>（七）安全费</t>
        </is>
      </c>
      <c r="E165" s="212" t="n"/>
      <c r="F165" s="212" t="n"/>
      <c r="G165" s="212" t="n"/>
      <c r="H165" s="189" t="n"/>
      <c r="I165" s="189" t="n"/>
      <c r="J165" s="184" t="n">
        <v>0</v>
      </c>
      <c r="K165" s="237" t="n"/>
      <c r="L165" s="202">
        <f>J165-N165-P165</f>
        <v/>
      </c>
      <c r="M165" s="189" t="n"/>
      <c r="N165" s="189" t="n"/>
      <c r="O165" s="189">
        <f>L165-M165</f>
        <v/>
      </c>
      <c r="P165" s="189">
        <f>K165-N165</f>
        <v/>
      </c>
      <c r="Q165" s="189">
        <f>M165+O165</f>
        <v/>
      </c>
      <c r="R165" s="189">
        <f>M165+N165+O165+P165</f>
        <v/>
      </c>
      <c r="S165" s="203">
        <f>SUM(T165:V165)</f>
        <v/>
      </c>
      <c r="T165" s="234" t="n"/>
      <c r="U165" s="234" t="n"/>
      <c r="V165" s="234" t="n"/>
      <c r="W165" s="234" t="n"/>
      <c r="X165" s="234" t="n"/>
      <c r="Y165" s="234" t="n"/>
      <c r="Z165" s="230" t="n"/>
      <c r="AA165" s="203" t="n"/>
      <c r="AB165" s="188" t="n"/>
      <c r="AC165" s="188" t="n"/>
      <c r="AD165" s="188" t="n"/>
      <c r="AE165" s="188" t="n"/>
      <c r="AF165" s="188" t="n"/>
      <c r="AG165" s="188" t="n"/>
      <c r="AH165" s="188" t="n"/>
      <c r="AI165" s="188" t="n"/>
      <c r="AJ165" s="188" t="n"/>
      <c r="AK165" s="188" t="n"/>
      <c r="AL165" s="214" t="n"/>
    </row>
    <row r="166">
      <c r="A166" s="206" t="n"/>
      <c r="B166" s="206" t="n"/>
      <c r="C166" s="207" t="n"/>
      <c r="D166" s="207" t="inlineStr">
        <is>
          <t>安全生产-人工费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9">
        <f>J166-K166</f>
        <v/>
      </c>
      <c r="M166" s="210" t="n">
        <v>89127.17999999999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</row>
    <row r="167">
      <c r="A167" s="206" t="n"/>
      <c r="B167" s="206" t="n"/>
      <c r="C167" s="207" t="n"/>
      <c r="D167" s="207" t="inlineStr">
        <is>
          <t>安全生产-分包工程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9">
        <f>J167-K167</f>
        <v/>
      </c>
      <c r="M167" s="210" t="n">
        <v>1578321.3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</row>
    <row r="168">
      <c r="A168" s="206" t="n"/>
      <c r="B168" s="206" t="n"/>
      <c r="C168" s="207" t="n"/>
      <c r="D168" s="207" t="inlineStr">
        <is>
          <t>安全生产-机械使用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9">
        <f>J168-K168</f>
        <v/>
      </c>
      <c r="M168" s="210" t="n">
        <v>81500.96000000001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</row>
    <row r="169">
      <c r="A169" s="206" t="n"/>
      <c r="B169" s="206" t="n"/>
      <c r="C169" s="207" t="n"/>
      <c r="D169" s="207" t="inlineStr">
        <is>
          <t>安全生产费-报销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9">
        <f>J169-K169</f>
        <v/>
      </c>
      <c r="M169" s="210" t="n">
        <v>33278.8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</row>
    <row r="170">
      <c r="A170" s="55" t="n"/>
      <c r="B170" s="235" t="n"/>
      <c r="C170" s="235" t="n"/>
      <c r="D170" s="231" t="inlineStr">
        <is>
          <t>安全费小计：</t>
        </is>
      </c>
      <c r="E170" s="231" t="n"/>
      <c r="F170" s="231" t="n"/>
      <c r="G170" s="231" t="n"/>
      <c r="H170" s="217">
        <f>SUM(H165:H169)</f>
        <v/>
      </c>
      <c r="I170" s="217">
        <f>SUM(I165:I169)</f>
        <v/>
      </c>
      <c r="J170" s="217" t="n">
        <v>0</v>
      </c>
      <c r="K170" s="217" t="n">
        <v>0</v>
      </c>
      <c r="L170" s="202">
        <f>J170-K170</f>
        <v/>
      </c>
      <c r="M170" s="233">
        <f>SUM(M165:M169)</f>
        <v/>
      </c>
      <c r="N170" s="233">
        <f>SUM(N165:N169)</f>
        <v/>
      </c>
      <c r="O170" s="233">
        <f>SUM(O165:O169)</f>
        <v/>
      </c>
      <c r="P170" s="233">
        <f>SUM(P165:P169)</f>
        <v/>
      </c>
      <c r="Q170" s="233">
        <f>SUM(Q165:Q169)</f>
        <v/>
      </c>
      <c r="R170" s="233">
        <f>SUM(R165:R169)</f>
        <v/>
      </c>
      <c r="S170" s="233">
        <f>SUM(S165:S169)</f>
        <v/>
      </c>
      <c r="T170" s="238" t="n"/>
      <c r="U170" s="238" t="n"/>
      <c r="V170" s="238" t="n"/>
      <c r="W170" s="238" t="n"/>
      <c r="X170" s="238" t="n"/>
      <c r="Y170" s="238" t="n"/>
      <c r="Z170" s="238" t="n"/>
      <c r="AA170" s="238">
        <f>SUM(AA165:AA169)</f>
        <v/>
      </c>
      <c r="AB170" s="238">
        <f>SUM(AB165:AB169)</f>
        <v/>
      </c>
      <c r="AC170" s="238">
        <f>SUM(AC165:AC169)</f>
        <v/>
      </c>
      <c r="AD170" s="238">
        <f>SUM(AD165:AD169)</f>
        <v/>
      </c>
      <c r="AE170" s="238">
        <f>SUM(AE165:AE169)</f>
        <v/>
      </c>
      <c r="AF170" s="238">
        <f>SUM(AF165:AF169)</f>
        <v/>
      </c>
      <c r="AG170" s="238" t="n"/>
      <c r="AH170" s="238" t="n"/>
      <c r="AI170" s="238">
        <f>SUM(AI165:AI169)</f>
        <v/>
      </c>
      <c r="AJ170" s="238">
        <f>SUM(AJ165:AJ169)</f>
        <v/>
      </c>
      <c r="AK170" s="238">
        <f>SUM(AK165:AK169)</f>
        <v/>
      </c>
      <c r="AL170" s="239" t="n"/>
    </row>
    <row r="171">
      <c r="A171" s="55" t="n"/>
      <c r="B171" s="235" t="n"/>
      <c r="C171" s="235" t="n"/>
      <c r="D171" s="231" t="inlineStr">
        <is>
          <t>三、成本合计：</t>
        </is>
      </c>
      <c r="E171" s="236" t="n"/>
      <c r="F171" s="236" t="n"/>
      <c r="G171" s="236" t="n"/>
      <c r="H171" s="217">
        <f>H63+H77+H113+H121+H130+H164+H170</f>
        <v/>
      </c>
      <c r="I171" s="217">
        <f>I63+I77+I113+I121+I130+I164+I170</f>
        <v/>
      </c>
      <c r="J171" s="217">
        <f>J63+J77+J113+J121+J130+J164+J170</f>
        <v/>
      </c>
      <c r="K171" s="217">
        <f>K63+K77+K113+K121+K130+K164+K170</f>
        <v/>
      </c>
      <c r="L171" s="233">
        <f>L63+L77+L113+L121+L130+L164+L170</f>
        <v/>
      </c>
      <c r="M171" s="238">
        <f>M63+M77+M113+M121+M130+M164+M170</f>
        <v/>
      </c>
      <c r="N171" s="238">
        <f>N63+N77+N113+N121+N130+N164+N170</f>
        <v/>
      </c>
      <c r="O171" s="238">
        <f>O63+O77+O113+O121+O130+O164+O170</f>
        <v/>
      </c>
      <c r="P171" s="238">
        <f>P63+P77+P113+P121+P130+P164+P170</f>
        <v/>
      </c>
      <c r="Q171" s="238">
        <f>Q63+Q77+Q113+Q121+Q130+Q164+Q170</f>
        <v/>
      </c>
      <c r="R171" s="238">
        <f>R63+R77+R113+R121+R130+R164+R170</f>
        <v/>
      </c>
      <c r="S171" s="238">
        <f>S63+S77+S113+S121+S130+S164+S170</f>
        <v/>
      </c>
      <c r="T171" s="238" t="n"/>
      <c r="U171" s="238" t="n"/>
      <c r="V171" s="238" t="n"/>
      <c r="W171" s="238" t="n"/>
      <c r="X171" s="238" t="n"/>
      <c r="Y171" s="238" t="n"/>
      <c r="Z171" s="238">
        <f>Z63+Z77+Z113+Z121+Z130+Z164+Z170</f>
        <v/>
      </c>
      <c r="AA171" s="238">
        <f>AA63+AA77+AA113+AA121+AA130+AA164+AA170</f>
        <v/>
      </c>
      <c r="AB171" s="238">
        <f>AB63+AB77+AB113+AB121+AB130+AB164+AB170</f>
        <v/>
      </c>
      <c r="AC171" s="238">
        <f>AC63+AC77+AC113+AC121+AC130+AC164+AC170</f>
        <v/>
      </c>
      <c r="AD171" s="238">
        <f>AD63+AD77+AD113+AD121+AD130+AD164+AD170</f>
        <v/>
      </c>
      <c r="AE171" s="238">
        <f>AE63+AE77+AE113+AE121+AE130+AE164+AE170</f>
        <v/>
      </c>
      <c r="AF171" s="238">
        <f>AF63+AF77+AF113+AF121+AF130+AF164+AF170</f>
        <v/>
      </c>
      <c r="AG171" s="238" t="n"/>
      <c r="AH171" s="238" t="n"/>
      <c r="AI171" s="238">
        <f>AI63+AI77+AI113+AI121+AI130+AI164+AI170</f>
        <v/>
      </c>
      <c r="AJ171" s="238">
        <f>AJ63+AJ77+AJ113+AJ121+AJ130+AJ164+AJ170</f>
        <v/>
      </c>
      <c r="AK171" s="238">
        <f>AK63+AK77+AK113+AK121+AK130+AK164+AK170</f>
        <v/>
      </c>
      <c r="AL171" s="239" t="n"/>
    </row>
    <row r="172">
      <c r="A172" s="33" t="n"/>
      <c r="B172" s="199" t="n"/>
      <c r="C172" s="199" t="n"/>
      <c r="D172" s="218" t="inlineStr">
        <is>
          <t>四、计提保修金</t>
        </is>
      </c>
      <c r="E172" s="240" t="inlineStr">
        <is>
          <t>（在建：房建0.6%，其它0.4%；在保修期间的按0.3~0.5%自行确定;保修期结束为0）</t>
        </is>
      </c>
      <c r="F172" s="240" t="n"/>
      <c r="G172" s="240" t="n"/>
      <c r="H172" s="184" t="n"/>
      <c r="I172" s="184" t="n"/>
      <c r="J172" s="184">
        <f>H172+I172</f>
        <v/>
      </c>
      <c r="K172" s="184" t="n"/>
      <c r="L172" s="202">
        <f>J172-K172</f>
        <v/>
      </c>
      <c r="M172" s="189" t="n"/>
      <c r="N172" s="189" t="n"/>
      <c r="O172" s="189">
        <f>L172-M172</f>
        <v/>
      </c>
      <c r="P172" s="189">
        <f>K172-N172</f>
        <v/>
      </c>
      <c r="Q172" s="189">
        <f>M172+O172</f>
        <v/>
      </c>
      <c r="R172" s="189">
        <f>M172+N172+O172+P172</f>
        <v/>
      </c>
      <c r="S172" s="203">
        <f>SUM(T172:V172)</f>
        <v/>
      </c>
      <c r="T172" s="203" t="n"/>
      <c r="U172" s="203" t="n"/>
      <c r="V172" s="203" t="n"/>
      <c r="W172" s="203" t="n"/>
      <c r="X172" s="203" t="n"/>
      <c r="Y172" s="203" t="n"/>
      <c r="Z172" s="203" t="n"/>
      <c r="AA172" s="203">
        <f>Q69-S69</f>
        <v/>
      </c>
      <c r="AB172" s="241" t="n"/>
      <c r="AC172" s="241" t="n"/>
      <c r="AD172" s="241" t="n"/>
      <c r="AE172" s="241" t="n"/>
      <c r="AF172" s="241" t="n"/>
      <c r="AG172" s="241" t="n"/>
      <c r="AH172" s="241" t="n"/>
      <c r="AI172" s="241" t="n"/>
      <c r="AJ172" s="241" t="n"/>
      <c r="AK172" s="188" t="n"/>
      <c r="AL172" s="239" t="n"/>
    </row>
    <row r="173">
      <c r="A173" s="33" t="n"/>
      <c r="B173" s="199" t="n"/>
      <c r="C173" s="199" t="n"/>
      <c r="D173" s="218" t="inlineStr">
        <is>
          <t>五、过程节点奖金</t>
        </is>
      </c>
      <c r="E173" s="212" t="n"/>
      <c r="F173" s="212" t="n"/>
      <c r="G173" s="212" t="n"/>
      <c r="H173" s="184" t="n"/>
      <c r="I173" s="184" t="n"/>
      <c r="J173" s="184">
        <f>H173+I173</f>
        <v/>
      </c>
      <c r="K173" s="184" t="n"/>
      <c r="L173" s="202">
        <f>J173-K173</f>
        <v/>
      </c>
      <c r="M173" s="189" t="n"/>
      <c r="N173" s="189" t="n"/>
      <c r="O173" s="189">
        <f>L173-M173</f>
        <v/>
      </c>
      <c r="P173" s="189">
        <f>K173-N173</f>
        <v/>
      </c>
      <c r="Q173" s="189">
        <f>M173+O173</f>
        <v/>
      </c>
      <c r="R173" s="189">
        <f>M173+N173+O173+P173</f>
        <v/>
      </c>
      <c r="S173" s="203">
        <f>SUM(T173:V173)</f>
        <v/>
      </c>
      <c r="T173" s="203" t="n"/>
      <c r="U173" s="203" t="n"/>
      <c r="V173" s="203" t="n"/>
      <c r="W173" s="203" t="n"/>
      <c r="X173" s="203" t="n"/>
      <c r="Y173" s="203" t="n"/>
      <c r="Z173" s="203" t="n"/>
      <c r="AA173" s="203" t="n"/>
      <c r="AB173" s="188" t="n"/>
      <c r="AC173" s="188" t="n"/>
      <c r="AD173" s="188" t="n"/>
      <c r="AE173" s="188" t="n"/>
      <c r="AF173" s="188" t="n"/>
      <c r="AG173" s="188" t="n"/>
      <c r="AH173" s="188" t="n"/>
      <c r="AI173" s="188" t="n"/>
      <c r="AJ173" s="188" t="n"/>
      <c r="AK173" s="188" t="n"/>
      <c r="AL173" s="214" t="n"/>
    </row>
    <row r="174">
      <c r="A174" s="33" t="n"/>
      <c r="B174" s="199" t="n"/>
      <c r="C174" s="199" t="n"/>
      <c r="D174" s="218" t="inlineStr">
        <is>
          <t>六、资金占用费用</t>
        </is>
      </c>
      <c r="E174" s="212" t="n"/>
      <c r="F174" s="212" t="n"/>
      <c r="G174" s="212" t="n"/>
      <c r="H174" s="189" t="n"/>
      <c r="I174" s="189" t="n"/>
      <c r="J174" s="184">
        <f>H174+I174</f>
        <v/>
      </c>
      <c r="K174" s="189" t="n"/>
      <c r="L174" s="202">
        <f>J174-K174</f>
        <v/>
      </c>
      <c r="M174" s="223" t="n">
        <v>1942071.27</v>
      </c>
      <c r="N174" s="189" t="n"/>
      <c r="O174" s="189">
        <f>L174-M174</f>
        <v/>
      </c>
      <c r="P174" s="189">
        <f>K174-N174</f>
        <v/>
      </c>
      <c r="Q174" s="189">
        <f>M174+O174</f>
        <v/>
      </c>
      <c r="R174" s="189">
        <f>M174+N174+O174+P174</f>
        <v/>
      </c>
      <c r="S174" s="203">
        <f>SUM(T174:V174)</f>
        <v/>
      </c>
      <c r="T174" s="203" t="n"/>
      <c r="U174" s="203" t="n"/>
      <c r="V174" s="203" t="n"/>
      <c r="W174" s="203" t="n"/>
      <c r="X174" s="203" t="n"/>
      <c r="Y174" s="203" t="n"/>
      <c r="Z174" s="203" t="n"/>
      <c r="AA174" s="203" t="n"/>
      <c r="AB174" s="188" t="n"/>
      <c r="AC174" s="188" t="n"/>
      <c r="AD174" s="188" t="n"/>
      <c r="AE174" s="188" t="n"/>
      <c r="AF174" s="188" t="n"/>
      <c r="AG174" s="188" t="n"/>
      <c r="AH174" s="188" t="n"/>
      <c r="AI174" s="188" t="n"/>
      <c r="AJ174" s="188" t="n"/>
      <c r="AK174" s="188" t="n"/>
      <c r="AL174" s="214" t="n"/>
    </row>
    <row r="175">
      <c r="A175" s="33" t="n"/>
      <c r="B175" s="199" t="n"/>
      <c r="C175" s="199" t="n"/>
      <c r="D175" s="218" t="inlineStr">
        <is>
          <t>七、局投资收益（局投资项目选填）</t>
        </is>
      </c>
      <c r="E175" s="212" t="n"/>
      <c r="F175" s="212" t="n"/>
      <c r="G175" s="212" t="n"/>
      <c r="H175" s="189" t="n"/>
      <c r="I175" s="189" t="n"/>
      <c r="J175" s="184">
        <f>H175+I175</f>
        <v/>
      </c>
      <c r="K175" s="189" t="n"/>
      <c r="L175" s="202">
        <f>J175-K175</f>
        <v/>
      </c>
      <c r="M175" s="189" t="n"/>
      <c r="N175" s="189" t="n"/>
      <c r="O175" s="189">
        <f>L175-M175</f>
        <v/>
      </c>
      <c r="P175" s="189">
        <f>K175-N175</f>
        <v/>
      </c>
      <c r="Q175" s="189">
        <f>M175+O175</f>
        <v/>
      </c>
      <c r="R175" s="189">
        <f>M175+N175+O175+P175</f>
        <v/>
      </c>
      <c r="S175" s="203">
        <f>SUM(T175:V175)</f>
        <v/>
      </c>
      <c r="T175" s="203" t="n"/>
      <c r="U175" s="203" t="n"/>
      <c r="V175" s="203" t="n"/>
      <c r="W175" s="203" t="n"/>
      <c r="X175" s="203" t="n"/>
      <c r="Y175" s="203" t="n"/>
      <c r="Z175" s="203" t="n"/>
      <c r="AA175" s="203" t="n"/>
      <c r="AB175" s="188" t="n"/>
      <c r="AC175" s="188" t="n"/>
      <c r="AD175" s="188" t="n"/>
      <c r="AE175" s="188" t="n"/>
      <c r="AF175" s="188" t="n"/>
      <c r="AG175" s="188" t="n"/>
      <c r="AH175" s="188" t="n"/>
      <c r="AI175" s="188" t="n"/>
      <c r="AJ175" s="188" t="n"/>
      <c r="AK175" s="188" t="n"/>
      <c r="AL175" s="214" t="n"/>
    </row>
    <row r="176">
      <c r="A176" s="55" t="n"/>
      <c r="B176" s="235" t="n"/>
      <c r="C176" s="235" t="n"/>
      <c r="D176" s="231" t="inlineStr">
        <is>
          <t>八、研发费用</t>
        </is>
      </c>
      <c r="E176" s="236" t="n"/>
      <c r="F176" s="236" t="n"/>
      <c r="G176" s="236" t="n"/>
      <c r="H176" s="217" t="n"/>
      <c r="I176" s="217" t="n"/>
      <c r="J176" s="217">
        <f>H176+I176</f>
        <v/>
      </c>
      <c r="K176" s="217" t="n"/>
      <c r="L176" s="233">
        <f>J176-K176</f>
        <v/>
      </c>
      <c r="M176" s="238">
        <f>SUM(M74:M76)</f>
        <v/>
      </c>
      <c r="N176" s="238">
        <f>SUM(N74:N76)</f>
        <v/>
      </c>
      <c r="O176" s="238">
        <f>SUM(O74:O76)</f>
        <v/>
      </c>
      <c r="P176" s="238">
        <f>SUM(P74:P76)</f>
        <v/>
      </c>
      <c r="Q176" s="238">
        <f>SUM(Q74:Q76)</f>
        <v/>
      </c>
      <c r="R176" s="238">
        <f>SUM(R74:R76)</f>
        <v/>
      </c>
      <c r="S176" s="238">
        <f>SUM(S74:S76)</f>
        <v/>
      </c>
      <c r="T176" s="238">
        <f>SUM(T74:T76)</f>
        <v/>
      </c>
      <c r="U176" s="238">
        <f>SUM(U74:U76)</f>
        <v/>
      </c>
      <c r="V176" s="238">
        <f>SUM(V74:V76)</f>
        <v/>
      </c>
      <c r="W176" s="238">
        <f>SUM(W74:W76)</f>
        <v/>
      </c>
      <c r="X176" s="238">
        <f>SUM(X74:X76)</f>
        <v/>
      </c>
      <c r="Y176" s="238">
        <f>SUM(Y74:Y76)</f>
        <v/>
      </c>
      <c r="Z176" s="238">
        <f>SUM(Z74:Z76)</f>
        <v/>
      </c>
      <c r="AA176" s="238">
        <f>SUM(AA74:AA76)</f>
        <v/>
      </c>
      <c r="AB176" s="238">
        <f>SUM(AB74:AB76)</f>
        <v/>
      </c>
      <c r="AC176" s="238">
        <f>SUM(AC74:AC76)</f>
        <v/>
      </c>
      <c r="AD176" s="238">
        <f>SUM(AD74:AD76)</f>
        <v/>
      </c>
      <c r="AE176" s="238">
        <f>SUM(AE74:AE76)</f>
        <v/>
      </c>
      <c r="AF176" s="238">
        <f>SUM(AF74:AF76)</f>
        <v/>
      </c>
      <c r="AG176" s="238">
        <f>SUM(AG74:AG76)</f>
        <v/>
      </c>
      <c r="AH176" s="238">
        <f>SUM(AH74:AH76)</f>
        <v/>
      </c>
      <c r="AI176" s="238">
        <f>SUM(AI74:AI76)</f>
        <v/>
      </c>
      <c r="AJ176" s="238">
        <f>SUM(AJ74:AJ76)</f>
        <v/>
      </c>
      <c r="AK176" s="238">
        <f>SUM(AK74:AK76)</f>
        <v/>
      </c>
      <c r="AL176" s="239" t="n"/>
    </row>
    <row r="177">
      <c r="A177" s="209" t="n"/>
      <c r="B177" s="209" t="n"/>
      <c r="C177" s="242" t="n"/>
      <c r="D177" s="242" t="inlineStr">
        <is>
          <t>人工成本</t>
        </is>
      </c>
      <c r="E177" s="209" t="n"/>
      <c r="F177" s="209" t="n"/>
      <c r="G177" s="209" t="n"/>
      <c r="H177" s="209" t="n"/>
      <c r="I177" s="209" t="n"/>
      <c r="J177" s="209" t="n"/>
      <c r="K177" s="209" t="n"/>
      <c r="L177" s="209" t="n"/>
      <c r="M177" s="243" t="n">
        <v>557532.54</v>
      </c>
      <c r="N177" s="244" t="n"/>
      <c r="O177" s="244">
        <f>L177-M177</f>
        <v/>
      </c>
      <c r="P177" s="244">
        <f>K177-N177</f>
        <v/>
      </c>
      <c r="Q177" s="244">
        <f>M177+O177</f>
        <v/>
      </c>
      <c r="R177" s="244">
        <f>M177+N177+O177+P177</f>
        <v/>
      </c>
      <c r="S177" s="244" t="n"/>
      <c r="T177" s="244" t="n"/>
      <c r="U177" s="244" t="n"/>
      <c r="V177" s="244" t="n"/>
    </row>
    <row r="178">
      <c r="A178" s="209" t="n"/>
      <c r="B178" s="209" t="n"/>
      <c r="C178" s="242" t="n"/>
      <c r="D178" s="242" t="inlineStr">
        <is>
          <t>机械租赁</t>
        </is>
      </c>
      <c r="E178" s="209" t="n"/>
      <c r="F178" s="209" t="n"/>
      <c r="G178" s="209" t="n"/>
      <c r="H178" s="209" t="n"/>
      <c r="I178" s="209" t="n"/>
      <c r="J178" s="209" t="n"/>
      <c r="K178" s="209" t="n"/>
      <c r="L178" s="209" t="n"/>
      <c r="M178" s="243" t="n">
        <v>284623.4</v>
      </c>
      <c r="N178" s="244" t="n"/>
      <c r="O178" s="244">
        <f>L178-M178</f>
        <v/>
      </c>
      <c r="P178" s="244">
        <f>K178-N178</f>
        <v/>
      </c>
      <c r="Q178" s="244">
        <f>M178+O178</f>
        <v/>
      </c>
      <c r="R178" s="244">
        <f>M178+N178+O178+P178</f>
        <v/>
      </c>
      <c r="S178" s="244" t="n"/>
      <c r="T178" s="244" t="n"/>
      <c r="U178" s="244" t="n"/>
      <c r="V178" s="244" t="n"/>
    </row>
    <row r="179">
      <c r="A179" s="209" t="n"/>
      <c r="B179" s="209" t="n"/>
      <c r="C179" s="242" t="n"/>
      <c r="D179" s="242" t="inlineStr">
        <is>
          <t>材料费</t>
        </is>
      </c>
      <c r="E179" s="209" t="n"/>
      <c r="F179" s="209" t="n"/>
      <c r="G179" s="209" t="n"/>
      <c r="H179" s="209" t="n"/>
      <c r="I179" s="209" t="n"/>
      <c r="J179" s="209" t="n"/>
      <c r="K179" s="209" t="n"/>
      <c r="L179" s="209" t="n"/>
      <c r="M179" s="243" t="n">
        <v>8056947.95</v>
      </c>
      <c r="N179" s="244" t="n"/>
      <c r="O179" s="244">
        <f>L179-M179</f>
        <v/>
      </c>
      <c r="P179" s="244">
        <f>K179-N179</f>
        <v/>
      </c>
      <c r="Q179" s="244">
        <f>M179+O179</f>
        <v/>
      </c>
      <c r="R179" s="244">
        <f>M179+N179+O179+P179</f>
        <v/>
      </c>
      <c r="S179" s="244" t="n"/>
      <c r="T179" s="244" t="n"/>
      <c r="U179" s="244" t="n"/>
      <c r="V179" s="244" t="n"/>
    </row>
    <row r="180">
      <c r="A180" s="33" t="n">
        <v>1</v>
      </c>
      <c r="B180" s="199" t="n"/>
      <c r="C180" s="199" t="n"/>
      <c r="D180" s="218" t="n"/>
      <c r="E180" s="212" t="n"/>
      <c r="F180" s="212" t="n"/>
      <c r="G180" s="212" t="n"/>
      <c r="H180" s="189" t="n"/>
      <c r="I180" s="189" t="n"/>
      <c r="J180" s="184">
        <f>H180+I180</f>
        <v/>
      </c>
      <c r="K180" s="189" t="n"/>
      <c r="L180" s="202">
        <f>J180-K180</f>
        <v/>
      </c>
      <c r="M180" s="189" t="n"/>
      <c r="N180" s="189" t="n"/>
      <c r="O180" s="189">
        <f>L180-M180</f>
        <v/>
      </c>
      <c r="P180" s="189">
        <f>K180-N180</f>
        <v/>
      </c>
      <c r="Q180" s="189">
        <f>M180+O180</f>
        <v/>
      </c>
      <c r="R180" s="189">
        <f>M180+N180+O180+P180</f>
        <v/>
      </c>
      <c r="S180" s="203">
        <f>SUM(T180:V180)</f>
        <v/>
      </c>
      <c r="T180" s="203" t="n"/>
      <c r="U180" s="203" t="n"/>
      <c r="V180" s="203" t="n"/>
      <c r="W180" s="203" t="n"/>
      <c r="X180" s="203" t="n"/>
      <c r="Y180" s="203" t="n"/>
      <c r="Z180" s="203" t="n"/>
      <c r="AA180" s="203" t="n"/>
      <c r="AB180" s="188" t="n"/>
      <c r="AC180" s="188" t="n"/>
      <c r="AD180" s="188" t="n"/>
      <c r="AE180" s="188" t="n"/>
      <c r="AF180" s="188" t="n"/>
      <c r="AG180" s="188" t="n"/>
      <c r="AH180" s="188" t="n"/>
      <c r="AI180" s="188" t="n"/>
      <c r="AJ180" s="188" t="n"/>
      <c r="AK180" s="188" t="n"/>
      <c r="AL180" s="214" t="n"/>
    </row>
    <row r="181">
      <c r="A181" s="33" t="n">
        <v>2</v>
      </c>
      <c r="B181" s="199" t="n"/>
      <c r="C181" s="199" t="n"/>
      <c r="D181" s="218" t="n"/>
      <c r="E181" s="212" t="n"/>
      <c r="F181" s="212" t="n"/>
      <c r="G181" s="212" t="n"/>
      <c r="H181" s="189" t="n"/>
      <c r="I181" s="189" t="n"/>
      <c r="J181" s="184" t="n"/>
      <c r="K181" s="189" t="n"/>
      <c r="L181" s="202" t="n"/>
      <c r="M181" s="189" t="n"/>
      <c r="N181" s="189" t="n"/>
      <c r="O181" s="189">
        <f>L181-M181</f>
        <v/>
      </c>
      <c r="P181" s="189">
        <f>K181-N181</f>
        <v/>
      </c>
      <c r="Q181" s="189">
        <f>M181+O181</f>
        <v/>
      </c>
      <c r="R181" s="189">
        <f>M181+N181+O181+P181</f>
        <v/>
      </c>
      <c r="S181" s="203">
        <f>SUM(T181:V181)</f>
        <v/>
      </c>
      <c r="T181" s="203" t="n"/>
      <c r="U181" s="203" t="n"/>
      <c r="V181" s="203" t="n"/>
      <c r="W181" s="203" t="n"/>
      <c r="X181" s="203" t="n"/>
      <c r="Y181" s="203" t="n"/>
      <c r="Z181" s="203" t="n"/>
      <c r="AA181" s="203" t="n"/>
      <c r="AB181" s="188" t="n"/>
      <c r="AC181" s="188" t="n"/>
      <c r="AD181" s="188" t="n"/>
      <c r="AE181" s="188" t="n"/>
      <c r="AF181" s="188" t="n"/>
      <c r="AG181" s="188" t="n"/>
      <c r="AH181" s="188" t="n"/>
      <c r="AI181" s="188" t="n"/>
      <c r="AJ181" s="188" t="n"/>
      <c r="AK181" s="188" t="n"/>
      <c r="AL181" s="214" t="n"/>
    </row>
    <row r="182">
      <c r="A182" s="33" t="n">
        <v>3</v>
      </c>
      <c r="B182" s="199" t="n"/>
      <c r="C182" s="199" t="n"/>
      <c r="D182" s="218" t="n"/>
      <c r="E182" s="212" t="n"/>
      <c r="F182" s="212" t="n"/>
      <c r="G182" s="212" t="n"/>
      <c r="H182" s="189" t="n"/>
      <c r="I182" s="189" t="n"/>
      <c r="J182" s="184" t="n"/>
      <c r="K182" s="189" t="n"/>
      <c r="L182" s="202" t="n"/>
      <c r="M182" s="189" t="n"/>
      <c r="N182" s="189" t="n"/>
      <c r="O182" s="189">
        <f>L182-M182</f>
        <v/>
      </c>
      <c r="P182" s="189">
        <f>K182-N182</f>
        <v/>
      </c>
      <c r="Q182" s="189">
        <f>M182+O182</f>
        <v/>
      </c>
      <c r="R182" s="189">
        <f>M182+N182+O182+P182</f>
        <v/>
      </c>
      <c r="S182" s="203">
        <f>SUM(T182:V182)</f>
        <v/>
      </c>
      <c r="T182" s="203" t="n"/>
      <c r="U182" s="203" t="n"/>
      <c r="V182" s="203" t="n"/>
      <c r="W182" s="203" t="n"/>
      <c r="X182" s="203" t="n"/>
      <c r="Y182" s="203" t="n"/>
      <c r="Z182" s="203" t="n"/>
      <c r="AA182" s="203" t="n"/>
      <c r="AB182" s="188" t="n"/>
      <c r="AC182" s="188" t="n"/>
      <c r="AD182" s="188" t="n"/>
      <c r="AE182" s="188" t="n"/>
      <c r="AF182" s="188" t="n"/>
      <c r="AG182" s="188" t="n"/>
      <c r="AH182" s="188" t="n"/>
      <c r="AI182" s="188" t="n"/>
      <c r="AJ182" s="188" t="n"/>
      <c r="AK182" s="188" t="n"/>
      <c r="AL182" s="214" t="n"/>
    </row>
    <row r="183">
      <c r="A183" s="41" t="n"/>
      <c r="B183" s="215" t="n"/>
      <c r="C183" s="215" t="n"/>
      <c r="D183" s="231" t="inlineStr">
        <is>
          <t>九、成本及费用合计（三+四+五+六+七）</t>
        </is>
      </c>
      <c r="E183" s="232" t="n"/>
      <c r="F183" s="232" t="n"/>
      <c r="G183" s="232" t="n"/>
      <c r="H183" s="217">
        <f>H68+H69+H70+H71+#REF!</f>
        <v/>
      </c>
      <c r="I183" s="217">
        <f>I68+I69+I70+I71+#REF!</f>
        <v/>
      </c>
      <c r="J183" s="245">
        <f>J68+J69+J70+J71+#REF!</f>
        <v/>
      </c>
      <c r="K183" s="217">
        <f>K68+K69+K70+K71+#REF!</f>
        <v/>
      </c>
      <c r="L183" s="246">
        <f>L68+L69+L70+L71+#REF!</f>
        <v/>
      </c>
      <c r="M183" s="246">
        <f>M68+M69+M70+M71</f>
        <v/>
      </c>
      <c r="N183" s="246">
        <f>N68+N69+N70+N71</f>
        <v/>
      </c>
      <c r="O183" s="246">
        <f>O68+O69+O70+O71</f>
        <v/>
      </c>
      <c r="P183" s="246">
        <f>P68+P69+P70+P71</f>
        <v/>
      </c>
      <c r="Q183" s="246">
        <f>Q68+Q69+Q70+Q71</f>
        <v/>
      </c>
      <c r="R183" s="246">
        <f>R68+R69+R70+R71</f>
        <v/>
      </c>
      <c r="S183" s="238">
        <f>S68+S69+S70+S71</f>
        <v/>
      </c>
      <c r="T183" s="238" t="n"/>
      <c r="U183" s="238" t="n"/>
      <c r="V183" s="238" t="n"/>
      <c r="W183" s="238" t="n"/>
      <c r="X183" s="238" t="n"/>
      <c r="Y183" s="238" t="n"/>
      <c r="Z183" s="238">
        <f>Z68+Z69+Z70+Z71</f>
        <v/>
      </c>
      <c r="AA183" s="238">
        <f>AA68+AA69+AA70+AA71</f>
        <v/>
      </c>
      <c r="AB183" s="247" t="n"/>
      <c r="AC183" s="247" t="n"/>
      <c r="AD183" s="247" t="n"/>
      <c r="AE183" s="247" t="n"/>
      <c r="AF183" s="247" t="n"/>
      <c r="AG183" s="247" t="n"/>
      <c r="AH183" s="247" t="n"/>
      <c r="AI183" s="247" t="n"/>
      <c r="AJ183" s="247" t="n"/>
      <c r="AK183" s="248" t="n"/>
      <c r="AL183" s="249" t="n"/>
    </row>
    <row r="184">
      <c r="A184" s="41" t="n"/>
      <c r="B184" s="215" t="n"/>
      <c r="C184" s="215" t="n"/>
      <c r="D184" s="231" t="inlineStr">
        <is>
          <t>十、增值税实际税负（按财务数据）</t>
        </is>
      </c>
      <c r="E184" s="232" t="inlineStr">
        <is>
          <t>根据财务账面实际已缴纳增值税额+尚需缴纳的增值税额</t>
        </is>
      </c>
      <c r="F184" s="232" t="n"/>
      <c r="G184" s="232" t="n"/>
      <c r="H184" s="217" t="n"/>
      <c r="I184" s="217" t="n"/>
      <c r="J184" s="245">
        <f>H78+I78</f>
        <v/>
      </c>
      <c r="K184" s="217" t="inlineStr">
        <is>
          <t>/</t>
        </is>
      </c>
      <c r="L184" s="246" t="inlineStr">
        <is>
          <t>/</t>
        </is>
      </c>
      <c r="M184" s="246" t="n"/>
      <c r="N184" s="246">
        <f>N6-N77</f>
        <v/>
      </c>
      <c r="O184" s="246" t="n"/>
      <c r="P184" s="246" t="n"/>
      <c r="Q184" s="246" t="inlineStr">
        <is>
          <t>/</t>
        </is>
      </c>
      <c r="R184" s="246">
        <f>N78+P78</f>
        <v/>
      </c>
      <c r="S184" s="238" t="n"/>
      <c r="T184" s="238" t="n"/>
      <c r="U184" s="238" t="n"/>
      <c r="V184" s="238" t="n"/>
      <c r="W184" s="238" t="n"/>
      <c r="X184" s="238" t="n"/>
      <c r="Y184" s="238" t="n"/>
      <c r="Z184" s="238" t="n"/>
      <c r="AA184" s="238" t="n"/>
      <c r="AB184" s="247" t="n"/>
      <c r="AC184" s="247" t="n"/>
      <c r="AD184" s="247" t="n"/>
      <c r="AE184" s="247" t="n"/>
      <c r="AF184" s="247" t="n"/>
      <c r="AG184" s="247" t="n"/>
      <c r="AH184" s="247" t="n"/>
      <c r="AI184" s="247" t="n"/>
      <c r="AJ184" s="247" t="n"/>
      <c r="AK184" s="248" t="n"/>
      <c r="AL184" s="249" t="n"/>
    </row>
    <row r="185">
      <c r="A185" s="41" t="n"/>
      <c r="B185" s="215" t="n"/>
      <c r="C185" s="215" t="n"/>
      <c r="D185" s="231" t="inlineStr">
        <is>
          <t>十一、税金及附加（按财务数据）</t>
        </is>
      </c>
      <c r="E185" s="232" t="inlineStr">
        <is>
          <t>根据财务账面实际已缴纳税金及附加+尚需缴纳的税金及附加</t>
        </is>
      </c>
      <c r="F185" s="232" t="n"/>
      <c r="G185" s="232" t="n"/>
      <c r="H185" s="217" t="n"/>
      <c r="I185" s="217" t="n"/>
      <c r="J185" s="245">
        <f>H79+I79</f>
        <v/>
      </c>
      <c r="K185" s="217" t="n"/>
      <c r="L185" s="246">
        <f>J79</f>
        <v/>
      </c>
      <c r="M185" s="250" t="n">
        <v>385874.26</v>
      </c>
      <c r="N185" s="246" t="n"/>
      <c r="O185" s="246">
        <f>L79-M79</f>
        <v/>
      </c>
      <c r="P185" s="246" t="n"/>
      <c r="Q185" s="246">
        <f>M79+O79</f>
        <v/>
      </c>
      <c r="R185" s="246">
        <f>Q79</f>
        <v/>
      </c>
      <c r="S185" s="238" t="n"/>
      <c r="T185" s="238" t="n"/>
      <c r="U185" s="238" t="n"/>
      <c r="V185" s="238" t="n"/>
      <c r="W185" s="238" t="n"/>
      <c r="X185" s="238" t="n"/>
      <c r="Y185" s="238" t="n"/>
      <c r="Z185" s="238" t="n"/>
      <c r="AA185" s="238" t="n"/>
      <c r="AB185" s="247" t="n"/>
      <c r="AC185" s="247" t="n"/>
      <c r="AD185" s="247" t="n"/>
      <c r="AE185" s="247" t="n"/>
      <c r="AF185" s="247" t="n"/>
      <c r="AG185" s="247" t="n"/>
      <c r="AH185" s="247" t="n"/>
      <c r="AI185" s="247" t="n"/>
      <c r="AJ185" s="247" t="n"/>
      <c r="AK185" s="248" t="n"/>
      <c r="AL185" s="249" t="n"/>
    </row>
    <row r="186">
      <c r="A186" s="41" t="n"/>
      <c r="B186" s="215" t="n"/>
      <c r="C186" s="215" t="n"/>
      <c r="D186" s="231" t="inlineStr">
        <is>
          <t>十二、利润</t>
        </is>
      </c>
      <c r="E186" s="232" t="n"/>
      <c r="F186" s="232" t="n"/>
      <c r="G186" s="232" t="n"/>
      <c r="H186" s="217" t="n"/>
      <c r="I186" s="217" t="n"/>
      <c r="J186" s="245">
        <f>J6-J77-J78-J79</f>
        <v/>
      </c>
      <c r="K186" s="217" t="n"/>
      <c r="L186" s="246" t="n"/>
      <c r="M186" s="246" t="n"/>
      <c r="N186" s="246" t="n"/>
      <c r="O186" s="246" t="n"/>
      <c r="P186" s="246" t="n"/>
      <c r="Q186" s="246" t="n"/>
      <c r="R186" s="246" t="n"/>
      <c r="S186" s="238" t="n"/>
      <c r="T186" s="238" t="n"/>
      <c r="U186" s="238" t="n"/>
      <c r="V186" s="238" t="n"/>
      <c r="W186" s="238" t="n"/>
      <c r="X186" s="238" t="n"/>
      <c r="Y186" s="238" t="n"/>
      <c r="Z186" s="238" t="n"/>
      <c r="AA186" s="238" t="n"/>
      <c r="AB186" s="247" t="n"/>
      <c r="AC186" s="247" t="n"/>
      <c r="AD186" s="247" t="n"/>
      <c r="AE186" s="247" t="n"/>
      <c r="AF186" s="247" t="n"/>
      <c r="AG186" s="247" t="n"/>
      <c r="AH186" s="247" t="n"/>
      <c r="AI186" s="247" t="n"/>
      <c r="AJ186" s="247" t="n"/>
      <c r="AK186" s="248" t="n"/>
      <c r="AL186" s="249" t="n"/>
    </row>
    <row r="187">
      <c r="A187" s="105" t="n"/>
      <c r="B187" s="106" t="n"/>
      <c r="C187" s="106" t="n"/>
      <c r="D187" s="107" t="inlineStr">
        <is>
          <t>十三、利润率</t>
        </is>
      </c>
      <c r="E187" s="108" t="n"/>
      <c r="F187" s="108" t="n"/>
      <c r="G187" s="108" t="n"/>
      <c r="H187" s="109" t="n"/>
      <c r="I187" s="109" t="n"/>
      <c r="J187" s="109">
        <f>J80/J6</f>
        <v/>
      </c>
      <c r="K187" s="109" t="n"/>
      <c r="L187" s="127">
        <f>L80/L6</f>
        <v/>
      </c>
      <c r="M187" s="127">
        <f>M80/M6</f>
        <v/>
      </c>
      <c r="N187" s="127" t="n"/>
      <c r="O187" s="127" t="n"/>
      <c r="P187" s="127" t="n"/>
      <c r="Q187" s="127">
        <f>Q80/Q6</f>
        <v/>
      </c>
      <c r="R187" s="127">
        <f>R80/R6</f>
        <v/>
      </c>
      <c r="S187" s="142" t="n"/>
      <c r="T187" s="142" t="n"/>
      <c r="U187" s="142" t="n"/>
      <c r="V187" s="142" t="n"/>
      <c r="W187" s="142" t="n"/>
      <c r="X187" s="142" t="n"/>
      <c r="Y187" s="142" t="n"/>
      <c r="Z187" s="142" t="n"/>
      <c r="AA187" s="142" t="n"/>
      <c r="AB187" s="146" t="n"/>
      <c r="AC187" s="146" t="n"/>
      <c r="AD187" s="146" t="n"/>
      <c r="AE187" s="146" t="n"/>
      <c r="AF187" s="146" t="n"/>
      <c r="AG187" s="146" t="n"/>
      <c r="AH187" s="146" t="n"/>
      <c r="AI187" s="146" t="n"/>
      <c r="AJ187" s="146" t="n"/>
      <c r="AK187" s="154" t="n"/>
      <c r="AL187" s="155" t="n"/>
    </row>
    <row r="188">
      <c r="A188" s="111" t="n"/>
      <c r="B188" s="111" t="n"/>
      <c r="C188" s="111" t="n"/>
      <c r="D188" s="112" t="n"/>
      <c r="E188" s="113" t="n"/>
      <c r="F188" s="113" t="n"/>
      <c r="G188" s="113" t="n"/>
      <c r="H188" s="251" t="n"/>
      <c r="I188" s="251" t="n"/>
      <c r="J188" s="252" t="inlineStr">
        <is>
          <t>含税利润率</t>
        </is>
      </c>
      <c r="K188" s="253" t="n"/>
      <c r="L188" s="254" t="inlineStr">
        <is>
          <t>不含税利润率</t>
        </is>
      </c>
      <c r="M188" s="255" t="n"/>
      <c r="N188" s="255" t="n"/>
      <c r="O188" s="255" t="n"/>
      <c r="P188" s="255" t="n"/>
      <c r="Q188" s="255" t="n"/>
      <c r="R188" s="255" t="n"/>
      <c r="S188" s="255" t="n"/>
      <c r="T188" s="255" t="n"/>
      <c r="U188" s="255" t="n"/>
      <c r="V188" s="255" t="n"/>
      <c r="W188" s="255" t="n"/>
      <c r="X188" s="255" t="n"/>
      <c r="Y188" s="255" t="n"/>
      <c r="Z188" s="256" t="n"/>
      <c r="AA188" s="162" t="n"/>
      <c r="AB188" s="257" t="n"/>
      <c r="AC188" s="257" t="n"/>
      <c r="AD188" s="257" t="n"/>
      <c r="AE188" s="257" t="n"/>
      <c r="AF188" s="257" t="n"/>
      <c r="AG188" s="257" t="n"/>
      <c r="AH188" s="257" t="n"/>
      <c r="AI188" s="257" t="n"/>
      <c r="AJ188" s="257" t="n"/>
      <c r="AK188" s="257" t="n"/>
      <c r="AL188" s="156" t="n"/>
    </row>
    <row r="189">
      <c r="A189" s="111" t="n"/>
      <c r="B189" s="111" t="n"/>
      <c r="C189" s="111" t="n"/>
      <c r="D189" s="112" t="n"/>
      <c r="E189" s="113" t="n"/>
      <c r="F189" s="113" t="n"/>
      <c r="G189" s="113" t="n"/>
      <c r="H189" s="251" t="n"/>
      <c r="I189" s="251" t="n"/>
      <c r="J189" s="258" t="n"/>
      <c r="K189" s="251" t="n"/>
      <c r="L189" s="259" t="n"/>
      <c r="M189" s="255" t="n"/>
      <c r="N189" s="255" t="n"/>
      <c r="O189" s="255" t="n"/>
      <c r="P189" s="255" t="n"/>
      <c r="Q189" s="255" t="n"/>
      <c r="R189" s="255" t="n"/>
      <c r="S189" s="255" t="n"/>
      <c r="T189" s="255" t="n"/>
      <c r="U189" s="255" t="n"/>
      <c r="V189" s="255" t="n"/>
      <c r="W189" s="255" t="n"/>
      <c r="X189" s="255" t="n"/>
      <c r="Y189" s="255" t="n"/>
      <c r="Z189" s="256" t="n"/>
      <c r="AA189" s="162" t="n"/>
      <c r="AB189" s="257" t="n"/>
      <c r="AC189" s="257" t="n"/>
      <c r="AD189" s="257" t="n"/>
      <c r="AE189" s="257" t="n"/>
      <c r="AF189" s="257" t="n"/>
      <c r="AG189" s="257" t="n"/>
      <c r="AH189" s="257" t="n"/>
      <c r="AI189" s="257" t="n"/>
      <c r="AJ189" s="257" t="n"/>
      <c r="AK189" s="257" t="n"/>
      <c r="AL189" s="156" t="n"/>
    </row>
    <row r="190">
      <c r="A190" s="116" t="n"/>
      <c r="B190" s="116" t="n"/>
      <c r="C190" s="116" t="n"/>
      <c r="D190" s="117" t="n"/>
      <c r="E190" s="118" t="n"/>
      <c r="F190" s="118" t="n"/>
      <c r="G190" s="118" t="n"/>
      <c r="H190" s="119" t="n"/>
      <c r="I190" s="119" t="n"/>
      <c r="J190" s="134" t="n"/>
      <c r="K190" s="260" t="n"/>
      <c r="L190" s="260" t="n"/>
      <c r="M190" s="261" t="n"/>
      <c r="N190" s="260" t="n"/>
      <c r="O190" s="260" t="n"/>
      <c r="P190" s="262" t="n"/>
      <c r="Q190" s="262" t="n"/>
      <c r="R190" s="260" t="n"/>
      <c r="S190" s="263" t="n"/>
      <c r="T190" s="263" t="n"/>
      <c r="U190" s="263" t="n"/>
      <c r="V190" s="263" t="n"/>
      <c r="W190" s="263" t="n"/>
      <c r="X190" s="263" t="n"/>
      <c r="Y190" s="263" t="n"/>
      <c r="Z190" s="264" t="n"/>
      <c r="AA190" s="265" t="n"/>
      <c r="AD190" s="266" t="n"/>
      <c r="AE190" s="266" t="n"/>
      <c r="AF190" s="266" t="n"/>
      <c r="AG190" s="266" t="n"/>
      <c r="AH190" s="266" t="n"/>
      <c r="AI190" s="266" t="n"/>
      <c r="AJ190" s="266" t="n"/>
      <c r="AK190" s="266" t="n"/>
      <c r="AL190" s="121" t="n"/>
    </row>
    <row r="191">
      <c r="A191" s="121" t="n"/>
      <c r="B191" s="121" t="n"/>
      <c r="C191" s="121" t="n"/>
      <c r="D191" s="121" t="n"/>
      <c r="E191" s="122" t="n"/>
      <c r="F191" s="122" t="n"/>
      <c r="G191" s="122" t="n"/>
      <c r="H191" s="122" t="n"/>
      <c r="I191" s="122" t="n"/>
      <c r="J191" s="122" t="n"/>
      <c r="K191" s="267" t="n"/>
      <c r="L191" s="122" t="n"/>
      <c r="M191" s="268" t="n"/>
      <c r="N191" s="268" t="n"/>
      <c r="O191" s="268" t="n"/>
      <c r="P191" s="268" t="n"/>
      <c r="Q191" s="268" t="n"/>
      <c r="R191" s="268" t="n"/>
      <c r="S191" s="263" t="n"/>
      <c r="T191" s="263" t="n"/>
      <c r="U191" s="263" t="n"/>
      <c r="V191" s="263" t="n"/>
      <c r="W191" s="263" t="n"/>
      <c r="X191" s="263" t="n"/>
      <c r="Y191" s="263" t="n"/>
      <c r="Z191" s="268" t="n"/>
      <c r="AA191" s="266" t="n"/>
      <c r="AB191" s="266" t="n"/>
      <c r="AC191" s="266" t="n"/>
      <c r="AD191" s="266" t="n"/>
      <c r="AE191" s="266" t="n"/>
      <c r="AF191" s="266" t="n"/>
      <c r="AG191" s="266" t="n"/>
      <c r="AH191" s="266" t="n"/>
      <c r="AI191" s="266" t="n"/>
      <c r="AJ191" s="266" t="n"/>
      <c r="AK191" s="266" t="n"/>
      <c r="AL191" s="121" t="n"/>
    </row>
    <row r="192">
      <c r="A192" s="121" t="n"/>
      <c r="B192" s="121" t="n"/>
      <c r="C192" s="121" t="n"/>
      <c r="D192" s="121" t="n"/>
      <c r="E192" s="122" t="n"/>
      <c r="F192" s="122" t="n"/>
      <c r="G192" s="122" t="n"/>
      <c r="H192" s="122" t="n"/>
      <c r="I192" s="122" t="n"/>
      <c r="J192" s="122" t="n"/>
      <c r="K192" s="267" t="n"/>
      <c r="L192" s="122" t="n"/>
      <c r="M192" s="268" t="n"/>
      <c r="N192" s="268" t="n"/>
      <c r="O192" s="268" t="n"/>
      <c r="P192" s="268" t="n"/>
      <c r="Q192" s="268" t="n"/>
      <c r="R192" s="268" t="n"/>
      <c r="S192" s="263" t="n"/>
      <c r="T192" s="263" t="n"/>
      <c r="U192" s="263" t="n"/>
      <c r="V192" s="263" t="n"/>
      <c r="W192" s="263" t="n"/>
      <c r="X192" s="263" t="n"/>
      <c r="Y192" s="263" t="n"/>
      <c r="Z192" s="268" t="n"/>
      <c r="AA192" s="266" t="n"/>
      <c r="AB192" s="266" t="n"/>
      <c r="AC192" s="266" t="n"/>
      <c r="AD192" s="266" t="n"/>
      <c r="AE192" s="266" t="n"/>
      <c r="AF192" s="266" t="n"/>
      <c r="AG192" s="266" t="n"/>
      <c r="AH192" s="266" t="n"/>
      <c r="AI192" s="266" t="n"/>
      <c r="AJ192" s="266" t="n"/>
      <c r="AK192" s="266" t="n"/>
      <c r="AL192" s="121" t="n"/>
    </row>
    <row r="193">
      <c r="A193" s="121" t="n"/>
      <c r="B193" s="121" t="n"/>
      <c r="C193" s="121" t="n"/>
      <c r="D193" s="121" t="n"/>
      <c r="E193" s="123" t="n"/>
      <c r="F193" s="123" t="n"/>
      <c r="G193" s="123" t="n"/>
      <c r="H193" s="122" t="n"/>
      <c r="I193" s="122" t="n"/>
      <c r="J193" s="122" t="n"/>
      <c r="K193" s="123" t="n"/>
      <c r="L193" s="122" t="n"/>
      <c r="M193" s="268" t="n"/>
      <c r="N193" s="264" t="n"/>
      <c r="O193" s="268" t="n"/>
      <c r="P193" s="268" t="n"/>
      <c r="Q193" s="268" t="n"/>
      <c r="R193" s="260" t="n"/>
      <c r="S193" s="263" t="n"/>
      <c r="T193" s="263" t="n"/>
      <c r="U193" s="263" t="n"/>
      <c r="V193" s="263" t="n"/>
      <c r="W193" s="263" t="n"/>
      <c r="X193" s="263" t="n"/>
      <c r="Y193" s="263" t="n"/>
      <c r="Z193" s="268" t="n"/>
      <c r="AA193" s="266" t="n"/>
      <c r="AB193" s="266" t="n"/>
      <c r="AC193" s="266" t="n"/>
      <c r="AD193" s="266" t="n"/>
      <c r="AE193" s="266" t="n"/>
      <c r="AF193" s="266" t="n"/>
      <c r="AG193" s="266" t="n"/>
      <c r="AH193" s="266" t="n"/>
      <c r="AI193" s="266" t="n"/>
      <c r="AJ193" s="266" t="n"/>
      <c r="AK193" s="266" t="n"/>
      <c r="AL193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2026-04-21T15:27:40Z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