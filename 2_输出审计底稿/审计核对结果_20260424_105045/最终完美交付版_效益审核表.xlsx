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减：研发领用材料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79" t="n">
        <v>44</v>
      </c>
      <c r="B115" s="280" t="n"/>
      <c r="C115" s="280" t="n"/>
      <c r="D115" s="299" t="inlineStr">
        <is>
          <t>材料调入</t>
        </is>
      </c>
      <c r="E115" s="280" t="n"/>
      <c r="F115" s="280" t="n"/>
      <c r="G115" s="280" t="n"/>
      <c r="H115" s="282" t="n"/>
      <c r="I115" s="282" t="n"/>
      <c r="J115" s="282" t="n"/>
      <c r="K115" s="283" t="n"/>
      <c r="L115" s="284" t="n"/>
      <c r="M115" s="304" t="n">
        <v>17996069.15</v>
      </c>
      <c r="N115" s="282" t="n"/>
      <c r="O115" s="282">
        <f>L115-M115</f>
        <v/>
      </c>
      <c r="P115" s="282">
        <f>K115-N115</f>
        <v/>
      </c>
      <c r="Q115" s="282">
        <f>M115+O115</f>
        <v/>
      </c>
      <c r="R115" s="282">
        <f>M115+N115+O115+P115</f>
        <v/>
      </c>
      <c r="S115" s="286">
        <f>SUM(T115:V115)</f>
        <v/>
      </c>
      <c r="T115" s="286" t="n"/>
      <c r="U115" s="286" t="n"/>
      <c r="V115" s="286" t="n"/>
      <c r="W115" s="286" t="n"/>
      <c r="X115" s="286" t="n"/>
      <c r="Y115" s="286" t="n"/>
      <c r="Z115" s="282">
        <f>SUM(AA30:AJ30)</f>
        <v/>
      </c>
      <c r="AA115" s="286" t="n"/>
      <c r="AB115" s="301" t="n"/>
      <c r="AC115" s="301" t="n"/>
      <c r="AD115" s="301" t="n"/>
      <c r="AE115" s="301" t="n"/>
      <c r="AF115" s="301" t="n"/>
      <c r="AG115" s="301" t="n"/>
      <c r="AH115" s="301" t="n"/>
      <c r="AI115" s="301" t="n"/>
      <c r="AJ115" s="301" t="n"/>
      <c r="AK115" s="287">
        <f>AB30/1.17*0.17+AC30/1.16*0.16+AD30/1.11*0.11+AE30/1.1*0.1+AF30/1.09*0.09+AI30/1.03*0.03</f>
        <v/>
      </c>
      <c r="AL115" s="302" t="n"/>
    </row>
    <row r="116">
      <c r="A116" s="279" t="n">
        <v>45</v>
      </c>
      <c r="B116" s="280" t="n"/>
      <c r="C116" s="280" t="n"/>
      <c r="D116" s="299" t="inlineStr">
        <is>
          <t>材料调出（注：负数填报）</t>
        </is>
      </c>
      <c r="E116" s="305" t="n"/>
      <c r="F116" s="305" t="n"/>
      <c r="G116" s="305" t="n"/>
      <c r="H116" s="306" t="n"/>
      <c r="I116" s="306" t="n"/>
      <c r="J116" s="282" t="n"/>
      <c r="K116" s="283" t="n"/>
      <c r="L116" s="284" t="n"/>
      <c r="M116" s="307" t="n">
        <v>-8003517.42</v>
      </c>
      <c r="N116" s="306" t="n"/>
      <c r="O116" s="282">
        <f>L116-M116</f>
        <v/>
      </c>
      <c r="P116" s="282">
        <f>K116-N116</f>
        <v/>
      </c>
      <c r="Q116" s="282">
        <f>M116+O116</f>
        <v/>
      </c>
      <c r="R116" s="282">
        <f>M116+N116+O116+P116</f>
        <v/>
      </c>
      <c r="S116" s="286">
        <f>SUM(T116:V116)</f>
        <v/>
      </c>
      <c r="T116" s="306" t="n"/>
      <c r="U116" s="306" t="n"/>
      <c r="V116" s="306" t="n"/>
      <c r="W116" s="306" t="n"/>
      <c r="X116" s="306" t="n"/>
      <c r="Y116" s="306" t="n"/>
      <c r="Z116" s="282">
        <f>SUM(AA31:AJ31)</f>
        <v/>
      </c>
      <c r="AA116" s="306" t="n"/>
      <c r="AB116" s="308" t="n"/>
      <c r="AC116" s="308" t="n"/>
      <c r="AD116" s="308" t="n"/>
      <c r="AE116" s="308" t="n"/>
      <c r="AF116" s="308" t="n"/>
      <c r="AG116" s="308" t="n"/>
      <c r="AH116" s="308" t="n"/>
      <c r="AI116" s="308" t="n"/>
      <c r="AJ116" s="308" t="n"/>
      <c r="AK116" s="287">
        <f>AB31/1.17*0.17+AC31/1.16*0.16+AD31/1.11*0.11+AE31/1.1*0.1+AF31/1.09*0.09+AI31/1.03*0.03</f>
        <v/>
      </c>
      <c r="AL116" s="309" t="n"/>
    </row>
    <row r="117">
      <c r="A117" s="279" t="n"/>
      <c r="B117" s="280" t="n"/>
      <c r="C117" s="280" t="n"/>
      <c r="D117" s="299" t="inlineStr">
        <is>
          <t>材料库存（注：项目已结算未使用材料冲减项目成本，负数填报）</t>
        </is>
      </c>
      <c r="E117" s="305" t="n"/>
      <c r="F117" s="305" t="n"/>
      <c r="G117" s="305" t="n"/>
      <c r="H117" s="306" t="n"/>
      <c r="I117" s="306" t="n"/>
      <c r="J117" s="282" t="n"/>
      <c r="K117" s="283" t="n"/>
      <c r="L117" s="284" t="n"/>
      <c r="M117" s="306" t="n"/>
      <c r="N117" s="306" t="n"/>
      <c r="O117" s="282" t="n"/>
      <c r="P117" s="282" t="n"/>
      <c r="Q117" s="282" t="n"/>
      <c r="R117" s="282" t="n"/>
      <c r="S117" s="286" t="n"/>
      <c r="T117" s="306" t="n"/>
      <c r="U117" s="306" t="n"/>
      <c r="V117" s="306" t="n"/>
      <c r="W117" s="306" t="n"/>
      <c r="X117" s="306" t="n"/>
      <c r="Y117" s="306" t="n"/>
      <c r="Z117" s="282" t="n"/>
      <c r="AA117" s="306" t="n"/>
      <c r="AB117" s="308" t="n"/>
      <c r="AC117" s="308" t="n"/>
      <c r="AD117" s="308" t="n"/>
      <c r="AE117" s="308" t="n"/>
      <c r="AF117" s="308" t="n"/>
      <c r="AG117" s="308" t="n"/>
      <c r="AH117" s="308" t="n"/>
      <c r="AI117" s="308" t="n"/>
      <c r="AJ117" s="308" t="n"/>
      <c r="AK117" s="287" t="n"/>
      <c r="AL117" s="309" t="n"/>
    </row>
    <row r="118">
      <c r="A118" s="279" t="n"/>
      <c r="B118" s="280" t="n"/>
      <c r="C118" s="280" t="n"/>
      <c r="D118" s="291" t="inlineStr">
        <is>
          <t>**财务未列部分需增列***</t>
        </is>
      </c>
      <c r="E118" s="300" t="n"/>
      <c r="F118" s="300" t="n"/>
      <c r="G118" s="300" t="n"/>
      <c r="H118" s="282" t="n"/>
      <c r="I118" s="282" t="n"/>
      <c r="J118" s="282" t="n"/>
      <c r="K118" s="283" t="n"/>
      <c r="L118" s="284" t="n"/>
      <c r="M118" s="282" t="n"/>
      <c r="N118" s="282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286" t="n"/>
      <c r="U118" s="286" t="n"/>
      <c r="V118" s="286" t="n"/>
      <c r="W118" s="286" t="n"/>
      <c r="X118" s="286" t="n"/>
      <c r="Y118" s="286" t="n"/>
      <c r="Z118" s="286" t="n"/>
      <c r="AA118" s="286" t="n"/>
      <c r="AB118" s="301" t="n"/>
      <c r="AC118" s="301" t="n"/>
      <c r="AD118" s="301" t="n"/>
      <c r="AE118" s="301" t="n"/>
      <c r="AF118" s="301" t="n"/>
      <c r="AG118" s="301" t="n"/>
      <c r="AH118" s="301" t="n"/>
      <c r="AI118" s="301" t="n"/>
      <c r="AJ118" s="301" t="n"/>
      <c r="AK118" s="287">
        <f>AB33/1.17*0.17+AC33/1.16*0.16+AD33/1.11*0.11+AE33/1.1*0.1+AF33/1.09*0.09+AI33/1.03*0.03</f>
        <v/>
      </c>
      <c r="AL118" s="302" t="n"/>
    </row>
    <row r="119">
      <c r="A119" s="295" t="n"/>
      <c r="B119" s="296" t="n"/>
      <c r="C119" s="296" t="n"/>
      <c r="D119" s="297" t="inlineStr">
        <is>
          <t>材料费小计：</t>
        </is>
      </c>
      <c r="E119" s="298">
        <f>SUM(E66:E118)</f>
        <v/>
      </c>
      <c r="F119" s="298">
        <f>SUM(F66:F118)</f>
        <v/>
      </c>
      <c r="G119" s="298">
        <f>SUM(G66:G118)</f>
        <v/>
      </c>
      <c r="H119" s="298">
        <f>SUM(H66:H118)</f>
        <v/>
      </c>
      <c r="I119" s="298">
        <f>SUM(I66:I118)</f>
        <v/>
      </c>
      <c r="J119" s="298">
        <f>SUM(J66:J118)</f>
        <v/>
      </c>
      <c r="K119" s="298">
        <f>SUM(K66:K118)</f>
        <v/>
      </c>
      <c r="L119" s="298">
        <f>SUM(L66:L118)</f>
        <v/>
      </c>
      <c r="M119" s="298">
        <f>SUM(M66:M118)</f>
        <v/>
      </c>
      <c r="N119" s="298">
        <f>SUM(N66:N118)</f>
        <v/>
      </c>
      <c r="O119" s="298">
        <f>SUM(O66:O118)</f>
        <v/>
      </c>
      <c r="P119" s="298">
        <f>SUM(P66:P118)</f>
        <v/>
      </c>
      <c r="Q119" s="298">
        <f>SUM(Q66:Q118)</f>
        <v/>
      </c>
      <c r="R119" s="298">
        <f>SUM(R66:R118)</f>
        <v/>
      </c>
      <c r="S119" s="298">
        <f>SUM(S66:S118)</f>
        <v/>
      </c>
      <c r="T119" s="298">
        <f>SUM(T66:T118)</f>
        <v/>
      </c>
      <c r="U119" s="298">
        <f>SUM(U66:U118)</f>
        <v/>
      </c>
      <c r="V119" s="298">
        <f>SUM(V66:V118)</f>
        <v/>
      </c>
      <c r="W119" s="298">
        <f>SUM(W66:W118)</f>
        <v/>
      </c>
      <c r="X119" s="298">
        <f>SUM(X66:X118)</f>
        <v/>
      </c>
      <c r="Y119" s="298">
        <f>SUM(Y66:Y118)</f>
        <v/>
      </c>
      <c r="Z119" s="298">
        <f>SUM(Z66:Z118)</f>
        <v/>
      </c>
      <c r="AA119" s="298">
        <f>SUM(AA66:AA118)</f>
        <v/>
      </c>
      <c r="AB119" s="298">
        <f>SUM(AB66:AB118)</f>
        <v/>
      </c>
      <c r="AC119" s="298">
        <f>SUM(AC66:AC118)</f>
        <v/>
      </c>
      <c r="AD119" s="298">
        <f>SUM(AD66:AD118)</f>
        <v/>
      </c>
      <c r="AE119" s="298">
        <f>SUM(AE66:AE118)</f>
        <v/>
      </c>
      <c r="AF119" s="298">
        <f>SUM(AF66:AF118)</f>
        <v/>
      </c>
      <c r="AG119" s="298">
        <f>SUM(AG66:AG118)</f>
        <v/>
      </c>
      <c r="AH119" s="298">
        <f>SUM(AH66:AH118)</f>
        <v/>
      </c>
      <c r="AI119" s="298">
        <f>SUM(AI66:AI118)</f>
        <v/>
      </c>
      <c r="AJ119" s="298">
        <f>SUM(AJ66:AJ118)</f>
        <v/>
      </c>
      <c r="AK119" s="298">
        <f>SUM(AK66:AK118)</f>
        <v/>
      </c>
      <c r="AL119" s="288" t="n"/>
    </row>
    <row r="120">
      <c r="A120" s="279" t="n"/>
      <c r="B120" s="280" t="n"/>
      <c r="C120" s="280" t="n"/>
      <c r="D120" s="299" t="inlineStr">
        <is>
          <t>(四）机械租赁费</t>
        </is>
      </c>
      <c r="E120" s="292" t="n"/>
      <c r="F120" s="292" t="n"/>
      <c r="G120" s="292" t="n"/>
      <c r="H120" s="282" t="n"/>
      <c r="I120" s="282" t="n"/>
      <c r="J120" s="282" t="n"/>
      <c r="K120" s="283" t="n">
        <v>0</v>
      </c>
      <c r="L120" s="284">
        <f>J120-K120</f>
        <v/>
      </c>
      <c r="M120" s="285" t="n"/>
      <c r="N120" s="285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286" t="n"/>
      <c r="AC120" s="286" t="n"/>
      <c r="AD120" s="286" t="n"/>
      <c r="AE120" s="286" t="n"/>
      <c r="AF120" s="286" t="n"/>
      <c r="AG120" s="286" t="n"/>
      <c r="AH120" s="286" t="n"/>
      <c r="AI120" s="286" t="n"/>
      <c r="AJ120" s="286" t="n"/>
      <c r="AK120" s="287">
        <f>AB35/1.17*0.17+AC35/1.16*0.16+AD35/1.11*0.11+AE35/1.1*0.1+AF35/1.09*0.09+AI35/1.03*0.03</f>
        <v/>
      </c>
      <c r="AL120" s="288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  <c r="W121" s="290" t="n"/>
      <c r="X121" s="290" t="n"/>
      <c r="Y121" s="290" t="n"/>
      <c r="Z121" s="290" t="n"/>
      <c r="AA121" s="290" t="n"/>
      <c r="AB121" s="290" t="n"/>
      <c r="AC121" s="290" t="n"/>
      <c r="AD121" s="290" t="n"/>
      <c r="AE121" s="290" t="n"/>
      <c r="AF121" s="290" t="n"/>
      <c r="AG121" s="290" t="n"/>
      <c r="AH121" s="290" t="n"/>
      <c r="AI121" s="290" t="n"/>
      <c r="AJ121" s="290" t="n"/>
      <c r="AK121" s="290" t="n"/>
      <c r="AL121" s="290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79" t="n"/>
      <c r="B134" s="280" t="n"/>
      <c r="C134" s="280" t="n"/>
      <c r="D134" s="291" t="inlineStr">
        <is>
          <t>**财务未列部分需增列***</t>
        </is>
      </c>
      <c r="E134" s="310" t="n"/>
      <c r="F134" s="310" t="n"/>
      <c r="G134" s="310" t="n"/>
      <c r="H134" s="282" t="n"/>
      <c r="I134" s="282" t="n"/>
      <c r="J134" s="282" t="n"/>
      <c r="K134" s="283" t="n">
        <v>0</v>
      </c>
      <c r="L134" s="284">
        <f>J134-K134</f>
        <v/>
      </c>
      <c r="M134" s="311" t="n"/>
      <c r="N134" s="311" t="n"/>
      <c r="O134" s="282">
        <f>L134-M134</f>
        <v/>
      </c>
      <c r="P134" s="282">
        <f>K134-N134</f>
        <v/>
      </c>
      <c r="Q134" s="282">
        <f>M134+O134</f>
        <v/>
      </c>
      <c r="R134" s="282">
        <f>M134+N134+O134+P134</f>
        <v/>
      </c>
      <c r="S134" s="286">
        <f>SUM(T134:V134)</f>
        <v/>
      </c>
      <c r="T134" s="311" t="n"/>
      <c r="U134" s="311" t="n"/>
      <c r="V134" s="311" t="n"/>
      <c r="W134" s="311" t="n"/>
      <c r="X134" s="311" t="n"/>
      <c r="Y134" s="311" t="n"/>
      <c r="Z134" s="311" t="n"/>
      <c r="AA134" s="286" t="n"/>
      <c r="AB134" s="287" t="n"/>
      <c r="AC134" s="287" t="n"/>
      <c r="AD134" s="287" t="n"/>
      <c r="AE134" s="287" t="n"/>
      <c r="AF134" s="287" t="n"/>
      <c r="AG134" s="287" t="n"/>
      <c r="AH134" s="287" t="n"/>
      <c r="AI134" s="287" t="n"/>
      <c r="AJ134" s="287" t="n"/>
      <c r="AK134" s="287">
        <f>AB37/1.17*0.17+AC37/1.16*0.16+AD37/1.11*0.11+AE37/1.1*0.1+AF37/1.09*0.09+AI37/1.03*0.03</f>
        <v/>
      </c>
      <c r="AL134" s="294" t="n"/>
    </row>
    <row r="135">
      <c r="A135" s="295" t="n"/>
      <c r="B135" s="296" t="n"/>
      <c r="C135" s="296" t="n"/>
      <c r="D135" s="312" t="inlineStr">
        <is>
          <t>机械费小计：</t>
        </is>
      </c>
      <c r="E135" s="313" t="n"/>
      <c r="F135" s="313" t="n"/>
      <c r="G135" s="313" t="n"/>
      <c r="H135" s="298">
        <f>SUM(H120:H134)</f>
        <v/>
      </c>
      <c r="I135" s="298">
        <f>SUM(I120:I134)</f>
        <v/>
      </c>
      <c r="J135" s="298">
        <f>SUM(J120:J134)</f>
        <v/>
      </c>
      <c r="K135" s="298">
        <f>SUM(K120:K134)</f>
        <v/>
      </c>
      <c r="L135" s="314">
        <f>SUM(L120:L134)</f>
        <v/>
      </c>
      <c r="M135" s="298">
        <f>SUM(M120:M134)</f>
        <v/>
      </c>
      <c r="N135" s="298">
        <f>SUM(N120:N134)</f>
        <v/>
      </c>
      <c r="O135" s="298">
        <f>SUM(O120:O134)</f>
        <v/>
      </c>
      <c r="P135" s="298">
        <f>SUM(P120:P134)</f>
        <v/>
      </c>
      <c r="Q135" s="298">
        <f>SUM(Q120:Q134)</f>
        <v/>
      </c>
      <c r="R135" s="298">
        <f>SUM(R120:R134)</f>
        <v/>
      </c>
      <c r="S135" s="298">
        <f>SUM(S120:S134)</f>
        <v/>
      </c>
      <c r="T135" s="298" t="n"/>
      <c r="U135" s="298" t="n"/>
      <c r="V135" s="298" t="n"/>
      <c r="W135" s="298" t="n"/>
      <c r="X135" s="298" t="n"/>
      <c r="Y135" s="298" t="n"/>
      <c r="Z135" s="298">
        <f>SUM(Z120:Z134)</f>
        <v/>
      </c>
      <c r="AA135" s="298">
        <f>SUM(AA120:AA134)</f>
        <v/>
      </c>
      <c r="AB135" s="298" t="n"/>
      <c r="AC135" s="298" t="n"/>
      <c r="AD135" s="298" t="n"/>
      <c r="AE135" s="298" t="n"/>
      <c r="AF135" s="298" t="n"/>
      <c r="AG135" s="298" t="n"/>
      <c r="AH135" s="298" t="n"/>
      <c r="AI135" s="298" t="n"/>
      <c r="AJ135" s="298" t="n"/>
      <c r="AK135" s="298" t="n"/>
      <c r="AL135" s="288" t="n"/>
    </row>
    <row r="136">
      <c r="A136" s="279" t="n"/>
      <c r="B136" s="280" t="n"/>
      <c r="C136" s="280" t="n"/>
      <c r="D136" s="299" t="inlineStr">
        <is>
          <t>（五）其他直接费</t>
        </is>
      </c>
      <c r="E136" s="292" t="n"/>
      <c r="F136" s="292" t="n"/>
      <c r="G136" s="292" t="n"/>
      <c r="H136" s="282" t="n"/>
      <c r="I136" s="282" t="n"/>
      <c r="J136" s="285" t="n">
        <v>0</v>
      </c>
      <c r="K136" s="283" t="n">
        <v>0</v>
      </c>
      <c r="L136" s="284">
        <f>J136-N136-P136</f>
        <v/>
      </c>
      <c r="M136" s="285" t="n"/>
      <c r="N136" s="285" t="n"/>
      <c r="O136" s="282">
        <f>L136-M136</f>
        <v/>
      </c>
      <c r="P136" s="282">
        <f>K136-N136</f>
        <v/>
      </c>
      <c r="Q136" s="282">
        <f>M136+O136</f>
        <v/>
      </c>
      <c r="R136" s="282">
        <f>M136+N136+O136+P136</f>
        <v/>
      </c>
      <c r="S136" s="286">
        <f>SUM(T136:V136)</f>
        <v/>
      </c>
      <c r="T136" s="286" t="n"/>
      <c r="U136" s="286" t="n"/>
      <c r="V136" s="286" t="n"/>
      <c r="W136" s="286" t="n"/>
      <c r="X136" s="286" t="n"/>
      <c r="Y136" s="286" t="n"/>
      <c r="Z136" s="286" t="n"/>
      <c r="AA136" s="286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7" t="n"/>
      <c r="AL136" s="288" t="n"/>
    </row>
    <row r="137">
      <c r="A137" s="206" t="n">
        <v>1</v>
      </c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2</v>
      </c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3</v>
      </c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4</v>
      </c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5</v>
      </c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79" t="n"/>
      <c r="B142" s="280" t="n"/>
      <c r="C142" s="280" t="n"/>
      <c r="D142" s="291" t="inlineStr">
        <is>
          <t>**财务未列部分需增列***</t>
        </is>
      </c>
      <c r="E142" s="292" t="n"/>
      <c r="F142" s="292" t="n"/>
      <c r="G142" s="292" t="n"/>
      <c r="H142" s="282" t="n"/>
      <c r="I142" s="282" t="n"/>
      <c r="J142" s="285" t="n"/>
      <c r="K142" s="283" t="n"/>
      <c r="L142" s="284">
        <f>J142-K142</f>
        <v/>
      </c>
      <c r="M142" s="315" t="n"/>
      <c r="N142" s="315" t="n"/>
      <c r="O142" s="282">
        <f>L142-M142</f>
        <v/>
      </c>
      <c r="P142" s="282">
        <f>K142-N142</f>
        <v/>
      </c>
      <c r="Q142" s="282">
        <f>M142+O142</f>
        <v/>
      </c>
      <c r="R142" s="282">
        <f>M142+N142+O142+P142</f>
        <v/>
      </c>
      <c r="S142" s="286">
        <f>SUM(T142:V142)</f>
        <v/>
      </c>
      <c r="T142" s="315" t="n"/>
      <c r="U142" s="315" t="n"/>
      <c r="V142" s="315" t="n"/>
      <c r="W142" s="315" t="n"/>
      <c r="X142" s="315" t="n"/>
      <c r="Y142" s="315" t="n"/>
      <c r="Z142" s="282">
        <f>SUM(AA45:AJ45)</f>
        <v/>
      </c>
      <c r="AA142" s="286" t="n"/>
      <c r="AB142" s="286" t="n"/>
      <c r="AC142" s="286" t="n"/>
      <c r="AD142" s="286" t="n"/>
      <c r="AE142" s="286" t="n"/>
      <c r="AF142" s="286" t="n"/>
      <c r="AG142" s="286" t="n"/>
      <c r="AH142" s="286" t="n"/>
      <c r="AI142" s="286" t="n"/>
      <c r="AJ142" s="286" t="n"/>
      <c r="AK142" s="287" t="n"/>
      <c r="AL142" s="288" t="n"/>
    </row>
    <row r="143">
      <c r="A143" s="316" t="n"/>
      <c r="B143" s="317" t="n"/>
      <c r="C143" s="317" t="n"/>
      <c r="D143" s="312" t="inlineStr">
        <is>
          <t>其他直接费小计：</t>
        </is>
      </c>
      <c r="E143" s="318" t="n"/>
      <c r="F143" s="318" t="n"/>
      <c r="G143" s="318" t="n"/>
      <c r="H143" s="298">
        <f>SUM(H136:H142)</f>
        <v/>
      </c>
      <c r="I143" s="298">
        <f>SUM(I136:I142)</f>
        <v/>
      </c>
      <c r="J143" s="298">
        <f>SUM(J136:J142)</f>
        <v/>
      </c>
      <c r="K143" s="298">
        <f>SUM(K136:K142)</f>
        <v/>
      </c>
      <c r="L143" s="314">
        <f>SUM(L136:L142)</f>
        <v/>
      </c>
      <c r="M143" s="298">
        <f>SUM(M136:M142)</f>
        <v/>
      </c>
      <c r="N143" s="298">
        <f>SUM(N136:N142)</f>
        <v/>
      </c>
      <c r="O143" s="298">
        <f>L143-M143</f>
        <v/>
      </c>
      <c r="P143" s="298">
        <f>SUM(P136:P142)</f>
        <v/>
      </c>
      <c r="Q143" s="298">
        <f>M143+O143</f>
        <v/>
      </c>
      <c r="R143" s="298">
        <f>SUM(R136:R142)</f>
        <v/>
      </c>
      <c r="S143" s="298">
        <f>SUM(S136:S142)</f>
        <v/>
      </c>
      <c r="T143" s="298" t="n"/>
      <c r="U143" s="298" t="n"/>
      <c r="V143" s="298" t="n"/>
      <c r="W143" s="298" t="n"/>
      <c r="X143" s="298" t="n"/>
      <c r="Y143" s="298" t="n"/>
      <c r="Z143" s="298">
        <f>SUM(Z136:Z142)</f>
        <v/>
      </c>
      <c r="AA143" s="298">
        <f>SUM(AA136:AA142)</f>
        <v/>
      </c>
      <c r="AB143" s="298">
        <f>SUM(AB136:AB142)</f>
        <v/>
      </c>
      <c r="AC143" s="298">
        <f>SUM(AC136:AC142)</f>
        <v/>
      </c>
      <c r="AD143" s="298">
        <f>SUM(AD136:AD142)</f>
        <v/>
      </c>
      <c r="AE143" s="298">
        <f>SUM(AE136:AE142)</f>
        <v/>
      </c>
      <c r="AF143" s="298">
        <f>SUM(AF136:AF142)</f>
        <v/>
      </c>
      <c r="AG143" s="298" t="n"/>
      <c r="AH143" s="298" t="n"/>
      <c r="AI143" s="298">
        <f>SUM(AI136:AI142)</f>
        <v/>
      </c>
      <c r="AJ143" s="298">
        <f>SUM(AJ136:AJ142)</f>
        <v/>
      </c>
      <c r="AK143" s="298">
        <f>SUM(AK136:AK142)</f>
        <v/>
      </c>
      <c r="AL143" s="288" t="n"/>
    </row>
    <row r="144">
      <c r="A144" s="279" t="n"/>
      <c r="B144" s="280" t="n"/>
      <c r="C144" s="280" t="n"/>
      <c r="D144" s="299" t="inlineStr">
        <is>
          <t>（六）间接费</t>
        </is>
      </c>
      <c r="E144" s="292" t="n"/>
      <c r="F144" s="292" t="n"/>
      <c r="G144" s="292" t="n"/>
      <c r="H144" s="285" t="n"/>
      <c r="I144" s="282" t="n"/>
      <c r="J144" s="282" t="n">
        <v>0</v>
      </c>
      <c r="K144" s="283" t="n">
        <v>0</v>
      </c>
      <c r="L144" s="284">
        <f>J144-N144-P144</f>
        <v/>
      </c>
      <c r="M144" s="285" t="n"/>
      <c r="N144" s="285" t="n"/>
      <c r="O144" s="282">
        <f>L144-M144</f>
        <v/>
      </c>
      <c r="P144" s="282">
        <f>K144-N144</f>
        <v/>
      </c>
      <c r="Q144" s="282">
        <f>M144+O144</f>
        <v/>
      </c>
      <c r="R144" s="282">
        <f>M144+N144+O144+P144</f>
        <v/>
      </c>
      <c r="S144" s="286">
        <f>SUM(T144:V144)</f>
        <v/>
      </c>
      <c r="T144" s="286" t="n"/>
      <c r="U144" s="286" t="n"/>
      <c r="V144" s="286" t="n"/>
      <c r="W144" s="286" t="n"/>
      <c r="X144" s="286" t="n"/>
      <c r="Y144" s="286" t="n"/>
      <c r="Z144" s="286" t="n"/>
      <c r="AA144" s="286" t="n"/>
      <c r="AB144" s="286" t="n"/>
      <c r="AC144" s="286" t="n"/>
      <c r="AD144" s="286" t="n"/>
      <c r="AE144" s="286" t="n"/>
      <c r="AF144" s="286" t="n"/>
      <c r="AG144" s="286" t="n"/>
      <c r="AH144" s="286" t="n"/>
      <c r="AI144" s="286" t="n"/>
      <c r="AJ144" s="286" t="n"/>
      <c r="AK144" s="287" t="n"/>
      <c r="AL144" s="288" t="n"/>
    </row>
    <row r="145">
      <c r="A145" s="206" t="n">
        <v>1</v>
      </c>
      <c r="B145" s="206" t="n"/>
      <c r="C145" s="207" t="n"/>
      <c r="D145" s="207" t="inlineStr">
        <is>
          <t>ZGD-境内差旅费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227.68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2</v>
      </c>
      <c r="B146" s="206" t="n"/>
      <c r="C146" s="207" t="n"/>
      <c r="D146" s="207" t="inlineStr">
        <is>
          <t>ZGD-工会经费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115907.8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3</v>
      </c>
      <c r="B147" s="206" t="n"/>
      <c r="C147" s="207" t="n"/>
      <c r="D147" s="207" t="inlineStr">
        <is>
          <t>ZGD-工资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-42912.81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4</v>
      </c>
      <c r="B148" s="206" t="n"/>
      <c r="C148" s="207" t="n"/>
      <c r="D148" s="207" t="inlineStr">
        <is>
          <t>ZGD-折旧费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709.35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5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6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7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8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9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10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11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12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13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14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15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16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17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18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19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20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21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22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23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24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25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26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27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28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29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30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31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32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33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34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35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36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37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38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39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40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41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42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5" t="n"/>
      <c r="I187" s="282" t="n"/>
      <c r="J187" s="315" t="n"/>
      <c r="K187" s="283" t="n"/>
      <c r="L187" s="284" t="n"/>
      <c r="M187" s="315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5" t="n"/>
      <c r="U187" s="315" t="n"/>
      <c r="V187" s="315" t="n"/>
      <c r="W187" s="315" t="n"/>
      <c r="X187" s="315" t="n"/>
      <c r="Y187" s="315" t="n"/>
      <c r="Z187" s="315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6" t="n"/>
      <c r="B188" s="317" t="n"/>
      <c r="C188" s="317" t="n"/>
      <c r="D188" s="312" t="inlineStr">
        <is>
          <t>间接费小计：</t>
        </is>
      </c>
      <c r="E188" s="318" t="n"/>
      <c r="F188" s="318" t="n"/>
      <c r="G188" s="318" t="n"/>
      <c r="H188" s="298">
        <f>SUM(H144:H187)</f>
        <v/>
      </c>
      <c r="I188" s="298">
        <f>SUM(I144:I187)</f>
        <v/>
      </c>
      <c r="J188" s="298">
        <f>SUM(J144:J187)</f>
        <v/>
      </c>
      <c r="K188" s="298">
        <f>SUM(K144:K187)</f>
        <v/>
      </c>
      <c r="L188" s="314">
        <f>SUM(L144:L187)</f>
        <v/>
      </c>
      <c r="M188" s="314">
        <f>SUM(M144:M187)</f>
        <v/>
      </c>
      <c r="N188" s="314">
        <f>SUM(N144:N187)</f>
        <v/>
      </c>
      <c r="O188" s="314">
        <f>SUM(O144:O187)</f>
        <v/>
      </c>
      <c r="P188" s="314">
        <f>SUM(P144:P187)</f>
        <v/>
      </c>
      <c r="Q188" s="314">
        <f>SUM(Q144:Q187)</f>
        <v/>
      </c>
      <c r="R188" s="314">
        <f>SUM(R144:R187)</f>
        <v/>
      </c>
      <c r="S188" s="314">
        <f>SUM(S144:S187)</f>
        <v/>
      </c>
      <c r="T188" s="314" t="n"/>
      <c r="U188" s="314" t="n"/>
      <c r="V188" s="314" t="n"/>
      <c r="W188" s="314" t="n"/>
      <c r="X188" s="314" t="n"/>
      <c r="Y188" s="314" t="n"/>
      <c r="Z188" s="314">
        <f>SUM(Z144:Z187)</f>
        <v/>
      </c>
      <c r="AA188" s="314">
        <f>SUM(AA144:AA187)</f>
        <v/>
      </c>
      <c r="AB188" s="314">
        <f>SUM(AB144:AB187)</f>
        <v/>
      </c>
      <c r="AC188" s="314">
        <f>SUM(AC144:AC187)</f>
        <v/>
      </c>
      <c r="AD188" s="314">
        <f>SUM(AD144:AD187)</f>
        <v/>
      </c>
      <c r="AE188" s="314">
        <f>SUM(AE144:AE187)</f>
        <v/>
      </c>
      <c r="AF188" s="314">
        <f>SUM(AF144:AF187)</f>
        <v/>
      </c>
      <c r="AG188" s="314" t="n"/>
      <c r="AH188" s="314" t="n"/>
      <c r="AI188" s="314">
        <f>SUM(AI144:AI187)</f>
        <v/>
      </c>
      <c r="AJ188" s="314">
        <f>SUM(AJ144:AJ187)</f>
        <v/>
      </c>
      <c r="AK188" s="314">
        <f>SUM(AK144:AK187)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9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5" t="n"/>
      <c r="U189" s="315" t="n"/>
      <c r="V189" s="315" t="n"/>
      <c r="W189" s="315" t="n"/>
      <c r="X189" s="315" t="n"/>
      <c r="Y189" s="315" t="n"/>
      <c r="Z189" s="311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ZGD-安全生产-分包工程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6" t="n"/>
      <c r="B195" s="317" t="n"/>
      <c r="C195" s="317" t="n"/>
      <c r="D195" s="312" t="inlineStr">
        <is>
          <t>安全费小计：</t>
        </is>
      </c>
      <c r="E195" s="312" t="n"/>
      <c r="F195" s="312" t="n"/>
      <c r="G195" s="312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20">
        <f>J195-K195</f>
        <v/>
      </c>
      <c r="M195" s="314">
        <f>SUM(M189:M194)</f>
        <v/>
      </c>
      <c r="N195" s="314">
        <f>SUM(N189:N194)</f>
        <v/>
      </c>
      <c r="O195" s="314">
        <f>SUM(O189:O194)</f>
        <v/>
      </c>
      <c r="P195" s="314">
        <f>SUM(P189:P194)</f>
        <v/>
      </c>
      <c r="Q195" s="314">
        <f>SUM(Q189:Q194)</f>
        <v/>
      </c>
      <c r="R195" s="314">
        <f>SUM(R189:R194)</f>
        <v/>
      </c>
      <c r="S195" s="314">
        <f>SUM(S189:S194)</f>
        <v/>
      </c>
      <c r="T195" s="321" t="n"/>
      <c r="U195" s="321" t="n"/>
      <c r="V195" s="321" t="n"/>
      <c r="W195" s="321" t="n"/>
      <c r="X195" s="321" t="n"/>
      <c r="Y195" s="321" t="n"/>
      <c r="Z195" s="321" t="n"/>
      <c r="AA195" s="321">
        <f>SUM(AA189:AA194)</f>
        <v/>
      </c>
      <c r="AB195" s="321">
        <f>SUM(AB189:AB194)</f>
        <v/>
      </c>
      <c r="AC195" s="321">
        <f>SUM(AC189:AC194)</f>
        <v/>
      </c>
      <c r="AD195" s="321">
        <f>SUM(AD189:AD194)</f>
        <v/>
      </c>
      <c r="AE195" s="321">
        <f>SUM(AE189:AE194)</f>
        <v/>
      </c>
      <c r="AF195" s="321">
        <f>SUM(AF189:AF194)</f>
        <v/>
      </c>
      <c r="AG195" s="321" t="n"/>
      <c r="AH195" s="321" t="n"/>
      <c r="AI195" s="321">
        <f>SUM(AI189:AI194)</f>
        <v/>
      </c>
      <c r="AJ195" s="321">
        <f>SUM(AJ189:AJ194)</f>
        <v/>
      </c>
      <c r="AK195" s="321">
        <f>SUM(AK189:AK194)</f>
        <v/>
      </c>
      <c r="AL195" s="322" t="n"/>
    </row>
    <row r="196">
      <c r="A196" s="316" t="n"/>
      <c r="B196" s="317" t="n"/>
      <c r="C196" s="317" t="n"/>
      <c r="D196" s="312" t="inlineStr">
        <is>
          <t>三、成本合计：</t>
        </is>
      </c>
      <c r="E196" s="318" t="n"/>
      <c r="F196" s="318" t="n"/>
      <c r="G196" s="318" t="n"/>
      <c r="H196" s="298">
        <f>H34+H65+H119+H135+H143+H188+H195</f>
        <v/>
      </c>
      <c r="I196" s="298">
        <f>I34+I65+I119+I135+I143+I188+I195</f>
        <v/>
      </c>
      <c r="J196" s="298">
        <f>J34+J65+J119+J135+J143+J188+J195</f>
        <v/>
      </c>
      <c r="K196" s="298">
        <f>K34+K65+K119+K135+K143+K188+K195</f>
        <v/>
      </c>
      <c r="L196" s="314">
        <f>L34+L65+L119+L135+L143+L188+L195</f>
        <v/>
      </c>
      <c r="M196" s="321">
        <f>M34+M65+M119+M135+M143+M188+M195</f>
        <v/>
      </c>
      <c r="N196" s="321">
        <f>N34+N65+N119+N135+N143+N188+N195</f>
        <v/>
      </c>
      <c r="O196" s="321">
        <f>O34+O65+O119+O135+O143+O188+O195</f>
        <v/>
      </c>
      <c r="P196" s="321">
        <f>P34+P65+P119+P135+P143+P188+P195</f>
        <v/>
      </c>
      <c r="Q196" s="321">
        <f>Q34+Q65+Q119+Q135+Q143+Q188+Q195</f>
        <v/>
      </c>
      <c r="R196" s="321">
        <f>R34+R65+R119+R135+R143+R188+R195</f>
        <v/>
      </c>
      <c r="S196" s="321">
        <f>S34+S65+S119+S135+S143+S188+S195</f>
        <v/>
      </c>
      <c r="T196" s="321" t="n"/>
      <c r="U196" s="321" t="n"/>
      <c r="V196" s="321" t="n"/>
      <c r="W196" s="321" t="n"/>
      <c r="X196" s="321" t="n"/>
      <c r="Y196" s="321" t="n"/>
      <c r="Z196" s="321">
        <f>Z34+Z65+Z119+Z135+Z143+Z188+Z195</f>
        <v/>
      </c>
      <c r="AA196" s="321">
        <f>AA34+AA65+AA119+AA135+AA143+AA188+AA195</f>
        <v/>
      </c>
      <c r="AB196" s="321">
        <f>AB34+AB65+AB119+AB135+AB143+AB188+AB195</f>
        <v/>
      </c>
      <c r="AC196" s="321">
        <f>AC34+AC65+AC119+AC135+AC143+AC188+AC195</f>
        <v/>
      </c>
      <c r="AD196" s="321">
        <f>AD34+AD65+AD119+AD135+AD143+AD188+AD195</f>
        <v/>
      </c>
      <c r="AE196" s="321">
        <f>AE34+AE65+AE119+AE135+AE143+AE188+AE195</f>
        <v/>
      </c>
      <c r="AF196" s="321">
        <f>AF34+AF65+AF119+AF135+AF143+AF188+AF195</f>
        <v/>
      </c>
      <c r="AG196" s="321" t="n"/>
      <c r="AH196" s="321" t="n"/>
      <c r="AI196" s="321">
        <f>AI34+AI65+AI119+AI135+AI143+AI188+AI195</f>
        <v/>
      </c>
      <c r="AJ196" s="321">
        <f>AJ34+AJ65+AJ119+AJ135+AJ143+AJ188+AJ195</f>
        <v/>
      </c>
      <c r="AK196" s="321">
        <f>AK34+AK65+AK119+AK135+AK143+AK188+AK195</f>
        <v/>
      </c>
      <c r="AL196" s="322" t="n"/>
    </row>
    <row r="197">
      <c r="A197" s="316" t="n"/>
      <c r="B197" s="317" t="n"/>
      <c r="C197" s="317" t="n"/>
      <c r="D197" s="312" t="inlineStr">
        <is>
          <t>四、计提保修金</t>
        </is>
      </c>
      <c r="E197" s="318" t="inlineStr">
        <is>
          <t>（在建：房建0.6%，其它0.4%；在保修期间的按0.3~0.5%自行确定;保修期结束为0）</t>
        </is>
      </c>
      <c r="F197" s="318" t="n"/>
      <c r="G197" s="318" t="n"/>
      <c r="H197" s="298" t="n"/>
      <c r="I197" s="298" t="n"/>
      <c r="J197" s="298">
        <f>H197+I197</f>
        <v/>
      </c>
      <c r="K197" s="298" t="n"/>
      <c r="L197" s="314">
        <f>J197-K197</f>
        <v/>
      </c>
      <c r="M197" s="321" t="n"/>
      <c r="N197" s="321" t="n"/>
      <c r="O197" s="321">
        <f>L197-M197</f>
        <v/>
      </c>
      <c r="P197" s="321">
        <f>K197-N197</f>
        <v/>
      </c>
      <c r="Q197" s="321">
        <f>M197+O197</f>
        <v/>
      </c>
      <c r="R197" s="321">
        <f>M197+N197+O197+P197</f>
        <v/>
      </c>
      <c r="S197" s="321">
        <f>SUM(T197:V197)</f>
        <v/>
      </c>
      <c r="T197" s="321" t="n"/>
      <c r="U197" s="321" t="n"/>
      <c r="V197" s="321" t="n"/>
      <c r="W197" s="321" t="n"/>
      <c r="X197" s="321" t="n"/>
      <c r="Y197" s="321" t="n"/>
      <c r="Z197" s="321" t="n"/>
      <c r="AA197" s="321">
        <f>Q69-S69</f>
        <v/>
      </c>
      <c r="AB197" s="321" t="n"/>
      <c r="AC197" s="321" t="n"/>
      <c r="AD197" s="321" t="n"/>
      <c r="AE197" s="321" t="n"/>
      <c r="AF197" s="321" t="n"/>
      <c r="AG197" s="321" t="n"/>
      <c r="AH197" s="321" t="n"/>
      <c r="AI197" s="321" t="n"/>
      <c r="AJ197" s="321" t="n"/>
      <c r="AK197" s="321" t="n"/>
      <c r="AL197" s="322" t="n"/>
    </row>
    <row r="198">
      <c r="A198" s="316" t="n"/>
      <c r="B198" s="317" t="n"/>
      <c r="C198" s="317" t="n"/>
      <c r="D198" s="312" t="inlineStr">
        <is>
          <t>五、过程节点奖金</t>
        </is>
      </c>
      <c r="E198" s="318" t="n"/>
      <c r="F198" s="318" t="n"/>
      <c r="G198" s="318" t="n"/>
      <c r="H198" s="298" t="n"/>
      <c r="I198" s="298" t="n"/>
      <c r="J198" s="298">
        <f>H198+I198</f>
        <v/>
      </c>
      <c r="K198" s="298" t="n"/>
      <c r="L198" s="314">
        <f>J198-K198</f>
        <v/>
      </c>
      <c r="M198" s="321" t="n"/>
      <c r="N198" s="321" t="n"/>
      <c r="O198" s="321">
        <f>L198-M198</f>
        <v/>
      </c>
      <c r="P198" s="321">
        <f>K198-N198</f>
        <v/>
      </c>
      <c r="Q198" s="321">
        <f>M198+O198</f>
        <v/>
      </c>
      <c r="R198" s="321">
        <f>M198+N198+O198+P198</f>
        <v/>
      </c>
      <c r="S198" s="321">
        <f>SUM(T198:V198)</f>
        <v/>
      </c>
      <c r="T198" s="321" t="n"/>
      <c r="U198" s="321" t="n"/>
      <c r="V198" s="321" t="n"/>
      <c r="W198" s="321" t="n"/>
      <c r="X198" s="321" t="n"/>
      <c r="Y198" s="321" t="n"/>
      <c r="Z198" s="321" t="n"/>
      <c r="AA198" s="321" t="n"/>
      <c r="AB198" s="321" t="n"/>
      <c r="AC198" s="321" t="n"/>
      <c r="AD198" s="321" t="n"/>
      <c r="AE198" s="321" t="n"/>
      <c r="AF198" s="321" t="n"/>
      <c r="AG198" s="321" t="n"/>
      <c r="AH198" s="321" t="n"/>
      <c r="AI198" s="321" t="n"/>
      <c r="AJ198" s="321" t="n"/>
      <c r="AK198" s="321" t="n"/>
      <c r="AL198" s="322" t="n"/>
    </row>
    <row r="199">
      <c r="A199" s="316" t="n"/>
      <c r="B199" s="317" t="n"/>
      <c r="C199" s="317" t="n"/>
      <c r="D199" s="312" t="inlineStr">
        <is>
          <t>六、资金占用费用</t>
        </is>
      </c>
      <c r="E199" s="318" t="n"/>
      <c r="F199" s="318" t="n"/>
      <c r="G199" s="318" t="n"/>
      <c r="H199" s="298" t="n"/>
      <c r="I199" s="298" t="n"/>
      <c r="J199" s="298">
        <f>H199+I199</f>
        <v/>
      </c>
      <c r="K199" s="298" t="n"/>
      <c r="L199" s="314">
        <f>J199-K199</f>
        <v/>
      </c>
      <c r="M199" s="323" t="n">
        <v>6780777.21</v>
      </c>
      <c r="N199" s="321" t="n"/>
      <c r="O199" s="321">
        <f>L199-M199</f>
        <v/>
      </c>
      <c r="P199" s="321">
        <f>K199-N199</f>
        <v/>
      </c>
      <c r="Q199" s="321">
        <f>M199+O199</f>
        <v/>
      </c>
      <c r="R199" s="321">
        <f>M199+N199+O199+P199</f>
        <v/>
      </c>
      <c r="S199" s="321">
        <f>SUM(T199:V199)</f>
        <v/>
      </c>
      <c r="T199" s="321" t="n"/>
      <c r="U199" s="321" t="n"/>
      <c r="V199" s="321" t="n"/>
      <c r="W199" s="321" t="n"/>
      <c r="X199" s="321" t="n"/>
      <c r="Y199" s="321" t="n"/>
      <c r="Z199" s="321" t="n"/>
      <c r="AA199" s="321" t="n"/>
      <c r="AB199" s="321" t="n"/>
      <c r="AC199" s="321" t="n"/>
      <c r="AD199" s="321" t="n"/>
      <c r="AE199" s="321" t="n"/>
      <c r="AF199" s="321" t="n"/>
      <c r="AG199" s="321" t="n"/>
      <c r="AH199" s="321" t="n"/>
      <c r="AI199" s="321" t="n"/>
      <c r="AJ199" s="321" t="n"/>
      <c r="AK199" s="321" t="n"/>
      <c r="AL199" s="322" t="n"/>
    </row>
    <row r="200">
      <c r="A200" s="316" t="n"/>
      <c r="B200" s="317" t="n"/>
      <c r="C200" s="317" t="n"/>
      <c r="D200" s="312" t="inlineStr">
        <is>
          <t>七、局投资收益（局投资项目选填）</t>
        </is>
      </c>
      <c r="E200" s="318" t="n"/>
      <c r="F200" s="318" t="n"/>
      <c r="G200" s="318" t="n"/>
      <c r="H200" s="298" t="n"/>
      <c r="I200" s="298" t="n"/>
      <c r="J200" s="298">
        <f>H200+I200</f>
        <v/>
      </c>
      <c r="K200" s="298" t="n"/>
      <c r="L200" s="314">
        <f>J200-K200</f>
        <v/>
      </c>
      <c r="M200" s="321" t="n"/>
      <c r="N200" s="321" t="n"/>
      <c r="O200" s="321">
        <f>L200-M200</f>
        <v/>
      </c>
      <c r="P200" s="321">
        <f>K200-N200</f>
        <v/>
      </c>
      <c r="Q200" s="321">
        <f>M200+O200</f>
        <v/>
      </c>
      <c r="R200" s="321">
        <f>M200+N200+O200+P200</f>
        <v/>
      </c>
      <c r="S200" s="321">
        <f>SUM(T200:V200)</f>
        <v/>
      </c>
      <c r="T200" s="321" t="n"/>
      <c r="U200" s="321" t="n"/>
      <c r="V200" s="321" t="n"/>
      <c r="W200" s="321" t="n"/>
      <c r="X200" s="321" t="n"/>
      <c r="Y200" s="321" t="n"/>
      <c r="Z200" s="321" t="n"/>
      <c r="AA200" s="321" t="n"/>
      <c r="AB200" s="321" t="n"/>
      <c r="AC200" s="321" t="n"/>
      <c r="AD200" s="321" t="n"/>
      <c r="AE200" s="321" t="n"/>
      <c r="AF200" s="321" t="n"/>
      <c r="AG200" s="321" t="n"/>
      <c r="AH200" s="321" t="n"/>
      <c r="AI200" s="321" t="n"/>
      <c r="AJ200" s="321" t="n"/>
      <c r="AK200" s="321" t="n"/>
      <c r="AL200" s="322" t="n"/>
    </row>
    <row r="201">
      <c r="A201" s="316" t="n"/>
      <c r="B201" s="317" t="n"/>
      <c r="C201" s="317" t="n"/>
      <c r="D201" s="312" t="inlineStr">
        <is>
          <t>八、研发费用</t>
        </is>
      </c>
      <c r="E201" s="318" t="n"/>
      <c r="F201" s="318" t="n"/>
      <c r="G201" s="318" t="n"/>
      <c r="H201" s="298" t="n"/>
      <c r="I201" s="298" t="n"/>
      <c r="J201" s="298">
        <f>H201+I201</f>
        <v/>
      </c>
      <c r="K201" s="298" t="n"/>
      <c r="L201" s="314">
        <f>J201-K201</f>
        <v/>
      </c>
      <c r="M201" s="321">
        <f>SUM(M202:M206)</f>
        <v/>
      </c>
      <c r="N201" s="321">
        <f>SUM(N202:N206)</f>
        <v/>
      </c>
      <c r="O201" s="321">
        <f>SUM(O202:O206)</f>
        <v/>
      </c>
      <c r="P201" s="321">
        <f>SUM(P202:P206)</f>
        <v/>
      </c>
      <c r="Q201" s="321">
        <f>SUM(Q202:Q206)</f>
        <v/>
      </c>
      <c r="R201" s="321">
        <f>SUM(R202:R206)</f>
        <v/>
      </c>
      <c r="S201" s="321">
        <f>SUM(S202:S206)</f>
        <v/>
      </c>
      <c r="T201" s="321">
        <f>SUM(T202:T206)</f>
        <v/>
      </c>
      <c r="U201" s="321">
        <f>SUM(U202:U206)</f>
        <v/>
      </c>
      <c r="V201" s="321">
        <f>SUM(V202:V206)</f>
        <v/>
      </c>
      <c r="W201" s="321">
        <f>SUM(W202:W206)</f>
        <v/>
      </c>
      <c r="X201" s="321">
        <f>SUM(X202:X206)</f>
        <v/>
      </c>
      <c r="Y201" s="321">
        <f>SUM(Y202:Y206)</f>
        <v/>
      </c>
      <c r="Z201" s="321">
        <f>SUM(Z202:Z206)</f>
        <v/>
      </c>
      <c r="AA201" s="321">
        <f>SUM(AA202:AA206)</f>
        <v/>
      </c>
      <c r="AB201" s="321">
        <f>SUM(AB202:AB206)</f>
        <v/>
      </c>
      <c r="AC201" s="321">
        <f>SUM(AC202:AC206)</f>
        <v/>
      </c>
      <c r="AD201" s="321">
        <f>SUM(AD202:AD206)</f>
        <v/>
      </c>
      <c r="AE201" s="321">
        <f>SUM(AE202:AE206)</f>
        <v/>
      </c>
      <c r="AF201" s="321">
        <f>SUM(AF202:AF206)</f>
        <v/>
      </c>
      <c r="AG201" s="321">
        <f>SUM(AG202:AG206)</f>
        <v/>
      </c>
      <c r="AH201" s="321">
        <f>SUM(AH202:AH206)</f>
        <v/>
      </c>
      <c r="AI201" s="321">
        <f>SUM(AI202:AI206)</f>
        <v/>
      </c>
      <c r="AJ201" s="321">
        <f>SUM(AJ202:AJ206)</f>
        <v/>
      </c>
      <c r="AK201" s="321">
        <f>SUM(AK202:AK206)</f>
        <v/>
      </c>
      <c r="AL201" s="322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2" t="inlineStr">
        <is>
          <t>九、成本及费用合计（三+四+五+六+七）</t>
        </is>
      </c>
      <c r="E207" s="313" t="n"/>
      <c r="F207" s="313" t="n"/>
      <c r="G207" s="313" t="n"/>
      <c r="H207" s="298">
        <f>H196+H197+H198+H199+H200+H201</f>
        <v/>
      </c>
      <c r="I207" s="298">
        <f>I196+I197+I198+I199+I200+I201</f>
        <v/>
      </c>
      <c r="J207" s="324">
        <f>J196+J197+J198+J199+J200+J201</f>
        <v/>
      </c>
      <c r="K207" s="298">
        <f>K196+K197+K198+K199+K200+K201</f>
        <v/>
      </c>
      <c r="L207" s="325">
        <f>L196+L197+L198+L199+L200+L201</f>
        <v/>
      </c>
      <c r="M207" s="325">
        <f>M196+M197+M198+M199+M200+M201</f>
        <v/>
      </c>
      <c r="N207" s="325">
        <f>N196+N197+N198+N199+N200+N201</f>
        <v/>
      </c>
      <c r="O207" s="325">
        <f>O196+O197+O198+O199+O200+O201</f>
        <v/>
      </c>
      <c r="P207" s="325">
        <f>P196+P197+P198+P199+P200+P201</f>
        <v/>
      </c>
      <c r="Q207" s="325">
        <f>Q196+Q197+Q198+Q199+Q200+Q201</f>
        <v/>
      </c>
      <c r="R207" s="325">
        <f>R196+R197+R198+R199+R200+R201</f>
        <v/>
      </c>
      <c r="S207" s="321">
        <f>S196+S197+S198+S199+S200+S201</f>
        <v/>
      </c>
      <c r="T207" s="321" t="n"/>
      <c r="U207" s="321" t="n"/>
      <c r="V207" s="321" t="n"/>
      <c r="W207" s="321" t="n"/>
      <c r="X207" s="321" t="n"/>
      <c r="Y207" s="321" t="n"/>
      <c r="Z207" s="321">
        <f>Z196+Z197+Z198+Z199+Z200+Z201</f>
        <v/>
      </c>
      <c r="AA207" s="321">
        <f>AA196+AA197+AA198+AA199+AA200+AA201</f>
        <v/>
      </c>
      <c r="AB207" s="326" t="n"/>
      <c r="AC207" s="326" t="n"/>
      <c r="AD207" s="326" t="n"/>
      <c r="AE207" s="326" t="n"/>
      <c r="AF207" s="326" t="n"/>
      <c r="AG207" s="326" t="n"/>
      <c r="AH207" s="326" t="n"/>
      <c r="AI207" s="326" t="n"/>
      <c r="AJ207" s="326" t="n"/>
      <c r="AK207" s="327" t="n"/>
      <c r="AL207" s="328" t="n"/>
    </row>
    <row r="208">
      <c r="A208" s="295" t="n"/>
      <c r="B208" s="296" t="n"/>
      <c r="C208" s="296" t="n"/>
      <c r="D208" s="312" t="inlineStr">
        <is>
          <t>十、增值税实际税负（按财务数据）</t>
        </is>
      </c>
      <c r="E208" s="313" t="inlineStr">
        <is>
          <t>根据财务账面实际已缴纳增值税额+尚需缴纳的增值税额</t>
        </is>
      </c>
      <c r="F208" s="313" t="n"/>
      <c r="G208" s="313" t="n"/>
      <c r="H208" s="298" t="n"/>
      <c r="I208" s="298" t="n"/>
      <c r="J208" s="324">
        <f>H78+I78</f>
        <v/>
      </c>
      <c r="K208" s="298" t="inlineStr">
        <is>
          <t>/</t>
        </is>
      </c>
      <c r="L208" s="325" t="inlineStr">
        <is>
          <t>/</t>
        </is>
      </c>
      <c r="M208" s="325" t="n"/>
      <c r="N208" s="325">
        <f>N6-N77</f>
        <v/>
      </c>
      <c r="O208" s="325" t="n"/>
      <c r="P208" s="325" t="n"/>
      <c r="Q208" s="325" t="inlineStr">
        <is>
          <t>/</t>
        </is>
      </c>
      <c r="R208" s="325">
        <f>N78+P78</f>
        <v/>
      </c>
      <c r="S208" s="321" t="n"/>
      <c r="T208" s="321" t="n"/>
      <c r="U208" s="321" t="n"/>
      <c r="V208" s="321" t="n"/>
      <c r="W208" s="321" t="n"/>
      <c r="X208" s="321" t="n"/>
      <c r="Y208" s="321" t="n"/>
      <c r="Z208" s="321" t="n"/>
      <c r="AA208" s="321" t="n"/>
      <c r="AB208" s="326" t="n"/>
      <c r="AC208" s="326" t="n"/>
      <c r="AD208" s="326" t="n"/>
      <c r="AE208" s="326" t="n"/>
      <c r="AF208" s="326" t="n"/>
      <c r="AG208" s="326" t="n"/>
      <c r="AH208" s="326" t="n"/>
      <c r="AI208" s="326" t="n"/>
      <c r="AJ208" s="326" t="n"/>
      <c r="AK208" s="327" t="n"/>
      <c r="AL208" s="328" t="n"/>
    </row>
    <row r="209">
      <c r="A209" s="295" t="n"/>
      <c r="B209" s="296" t="n"/>
      <c r="C209" s="296" t="n"/>
      <c r="D209" s="312" t="inlineStr">
        <is>
          <t>十一、税金及附加（按财务数据）</t>
        </is>
      </c>
      <c r="E209" s="313" t="inlineStr">
        <is>
          <t>根据财务账面实际已缴纳税金及附加+尚需缴纳的税金及附加</t>
        </is>
      </c>
      <c r="F209" s="313" t="n"/>
      <c r="G209" s="313" t="n"/>
      <c r="H209" s="298" t="n"/>
      <c r="I209" s="298" t="n"/>
      <c r="J209" s="324">
        <f>H79+I79</f>
        <v/>
      </c>
      <c r="K209" s="298" t="n"/>
      <c r="L209" s="325">
        <f>J79</f>
        <v/>
      </c>
      <c r="M209" s="329" t="n">
        <v>349670.26</v>
      </c>
      <c r="N209" s="325" t="n"/>
      <c r="O209" s="325">
        <f>L79-M79</f>
        <v/>
      </c>
      <c r="P209" s="325" t="n"/>
      <c r="Q209" s="325">
        <f>M79+O79</f>
        <v/>
      </c>
      <c r="R209" s="325">
        <f>Q79</f>
        <v/>
      </c>
      <c r="S209" s="321" t="n"/>
      <c r="T209" s="321" t="n"/>
      <c r="U209" s="321" t="n"/>
      <c r="V209" s="321" t="n"/>
      <c r="W209" s="321" t="n"/>
      <c r="X209" s="321" t="n"/>
      <c r="Y209" s="321" t="n"/>
      <c r="Z209" s="321" t="n"/>
      <c r="AA209" s="321" t="n"/>
      <c r="AB209" s="326" t="n"/>
      <c r="AC209" s="326" t="n"/>
      <c r="AD209" s="326" t="n"/>
      <c r="AE209" s="326" t="n"/>
      <c r="AF209" s="326" t="n"/>
      <c r="AG209" s="326" t="n"/>
      <c r="AH209" s="326" t="n"/>
      <c r="AI209" s="326" t="n"/>
      <c r="AJ209" s="326" t="n"/>
      <c r="AK209" s="327" t="n"/>
      <c r="AL209" s="328" t="n"/>
    </row>
    <row r="210">
      <c r="A210" s="295" t="n"/>
      <c r="B210" s="296" t="n"/>
      <c r="C210" s="296" t="n"/>
      <c r="D210" s="312" t="inlineStr">
        <is>
          <t>十二、利润</t>
        </is>
      </c>
      <c r="E210" s="313" t="n"/>
      <c r="F210" s="313" t="n"/>
      <c r="G210" s="313" t="n"/>
      <c r="H210" s="298" t="n"/>
      <c r="I210" s="298" t="n"/>
      <c r="J210" s="324">
        <f>J6-J207-J208-J209</f>
        <v/>
      </c>
      <c r="K210" s="298" t="n"/>
      <c r="L210" s="325" t="n"/>
      <c r="M210" s="325" t="n"/>
      <c r="N210" s="325" t="n"/>
      <c r="O210" s="325" t="n"/>
      <c r="P210" s="325" t="n"/>
      <c r="Q210" s="325" t="n"/>
      <c r="R210" s="325" t="n"/>
      <c r="S210" s="321" t="n"/>
      <c r="T210" s="321" t="n"/>
      <c r="U210" s="321" t="n"/>
      <c r="V210" s="321" t="n"/>
      <c r="W210" s="321" t="n"/>
      <c r="X210" s="321" t="n"/>
      <c r="Y210" s="321" t="n"/>
      <c r="Z210" s="321" t="n"/>
      <c r="AA210" s="321" t="n"/>
      <c r="AB210" s="326" t="n"/>
      <c r="AC210" s="326" t="n"/>
      <c r="AD210" s="326" t="n"/>
      <c r="AE210" s="326" t="n"/>
      <c r="AF210" s="326" t="n"/>
      <c r="AG210" s="326" t="n"/>
      <c r="AH210" s="326" t="n"/>
      <c r="AI210" s="326" t="n"/>
      <c r="AJ210" s="326" t="n"/>
      <c r="AK210" s="327" t="n"/>
      <c r="AL210" s="328" t="n"/>
    </row>
    <row r="211">
      <c r="A211" s="330" t="n"/>
      <c r="B211" s="331" t="n"/>
      <c r="C211" s="331" t="n"/>
      <c r="D211" s="332" t="inlineStr">
        <is>
          <t>十三、利润率</t>
        </is>
      </c>
      <c r="E211" s="333" t="n"/>
      <c r="F211" s="333" t="n"/>
      <c r="G211" s="333" t="n"/>
      <c r="H211" s="334" t="n"/>
      <c r="I211" s="334" t="n"/>
      <c r="J211" s="334">
        <f>J210/J6</f>
        <v/>
      </c>
      <c r="K211" s="334" t="n"/>
      <c r="L211" s="335">
        <f>L210/L6</f>
        <v/>
      </c>
      <c r="M211" s="335">
        <f>M210/M6</f>
        <v/>
      </c>
      <c r="N211" s="335" t="n"/>
      <c r="O211" s="335" t="n"/>
      <c r="P211" s="335" t="n"/>
      <c r="Q211" s="335">
        <f>Q210/Q6</f>
        <v/>
      </c>
      <c r="R211" s="335">
        <f>R210/R6</f>
        <v/>
      </c>
      <c r="S211" s="336" t="n"/>
      <c r="T211" s="336" t="n"/>
      <c r="U211" s="336" t="n"/>
      <c r="V211" s="336" t="n"/>
      <c r="W211" s="336" t="n"/>
      <c r="X211" s="336" t="n"/>
      <c r="Y211" s="336" t="n"/>
      <c r="Z211" s="336" t="n"/>
      <c r="AA211" s="336" t="n"/>
      <c r="AB211" s="337" t="n"/>
      <c r="AC211" s="337" t="n"/>
      <c r="AD211" s="337" t="n"/>
      <c r="AE211" s="337" t="n"/>
      <c r="AF211" s="337" t="n"/>
      <c r="AG211" s="337" t="n"/>
      <c r="AH211" s="337" t="n"/>
      <c r="AI211" s="337" t="n"/>
      <c r="AJ211" s="337" t="n"/>
      <c r="AK211" s="338" t="n"/>
      <c r="AL211" s="339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2026-04-24T02:55:50Z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