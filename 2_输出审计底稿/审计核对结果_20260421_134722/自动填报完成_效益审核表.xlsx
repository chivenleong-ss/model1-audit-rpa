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</row>
    <row r="75" ht="14" customFormat="1" customHeight="1" s="180">
      <c r="A75" s="33" t="n"/>
      <c r="B75" s="199" t="n"/>
      <c r="C75" s="199" t="n"/>
      <c r="D75" s="211" t="inlineStr">
        <is>
          <t>**财务未列部分需增列***</t>
        </is>
      </c>
      <c r="E75" s="219" t="n"/>
      <c r="F75" s="219" t="n"/>
      <c r="G75" s="219" t="n"/>
      <c r="H75" s="189" t="n"/>
      <c r="I75" s="189" t="n"/>
      <c r="J75" s="189" t="n"/>
      <c r="K75" s="201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189" t="n"/>
      <c r="U75" s="189" t="n"/>
      <c r="V75" s="189" t="n"/>
      <c r="W75" s="189" t="n"/>
      <c r="X75" s="189" t="n"/>
      <c r="Y75" s="189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>
        <f>AB22/1.17*0.17+AC22/1.16*0.16+AD22/1.11*0.11+AE22/1.1*0.1+AF22/1.09*0.09+AI22/1.03*0.03</f>
        <v/>
      </c>
      <c r="AL75" s="214" t="n"/>
    </row>
    <row r="76" ht="14" customFormat="1" customHeight="1" s="180">
      <c r="A76" s="41" t="n"/>
      <c r="B76" s="215" t="n"/>
      <c r="C76" s="215" t="n"/>
      <c r="D76" s="216" t="inlineStr">
        <is>
          <t>分包工程小计：</t>
        </is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  <c r="Y76" s="217">
        <f>SUM(Y64:Y75)</f>
        <v/>
      </c>
      <c r="Z76" s="217">
        <f>SUM(Z64:Z75)</f>
        <v/>
      </c>
      <c r="AA76" s="217">
        <f>SUM(AA64:AA75)</f>
        <v/>
      </c>
      <c r="AB76" s="217">
        <f>SUM(AB64:AB75)</f>
        <v/>
      </c>
      <c r="AC76" s="217">
        <f>SUM(AC64:AC75)</f>
        <v/>
      </c>
      <c r="AD76" s="217">
        <f>SUM(AD64:AD75)</f>
        <v/>
      </c>
      <c r="AE76" s="217">
        <f>SUM(AE64:AE75)</f>
        <v/>
      </c>
      <c r="AF76" s="217">
        <f>SUM(AF64:AF75)</f>
        <v/>
      </c>
      <c r="AG76" s="217">
        <f>SUM(AG64:AG75)</f>
        <v/>
      </c>
      <c r="AH76" s="217">
        <f>SUM(AH64:AH75)</f>
        <v/>
      </c>
      <c r="AI76" s="217">
        <f>SUM(AI64:AI75)</f>
        <v/>
      </c>
      <c r="AJ76" s="217">
        <f>SUM(AJ64:AJ75)</f>
        <v/>
      </c>
      <c r="AK76" s="217">
        <f>SUM(AK64:AK75)</f>
        <v/>
      </c>
      <c r="AL76" s="204" t="n"/>
    </row>
    <row r="77" ht="14" customFormat="1" customHeight="1" s="180">
      <c r="A77" s="33" t="n"/>
      <c r="B77" s="199" t="n"/>
      <c r="C77" s="199" t="n"/>
      <c r="D77" s="218" t="inlineStr">
        <is>
          <t>(三)材料费</t>
        </is>
      </c>
      <c r="E77" s="199" t="n"/>
      <c r="F77" s="199" t="n"/>
      <c r="G77" s="199" t="n"/>
      <c r="H77" s="189" t="n"/>
      <c r="I77" s="189" t="n"/>
      <c r="J77" s="189" t="n"/>
      <c r="K77" s="201" t="n"/>
      <c r="L77" s="202" t="n"/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188">
        <f>AB24/1.17*0.17+AC24/1.16*0.16+AD24/1.11*0.11+AE24/1.1*0.1+AF24/1.09*0.09+AI24/1.03*0.03</f>
        <v/>
      </c>
      <c r="AL77" s="221" t="n"/>
    </row>
    <row r="78" ht="26" customFormat="1" customHeight="1" s="180">
      <c r="A78" s="33" t="n"/>
      <c r="B78" s="199" t="n"/>
      <c r="C78" s="199" t="n"/>
      <c r="D78" s="189" t="inlineStr">
        <is>
          <t>（1）集中采购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AB25/1.17*0.17+AC25/1.16*0.16+AD25/1.11*0.11+AE25/1.1*0.1+AF25/1.09*0.09+AI25/1.03*0.03</f>
        <v/>
      </c>
      <c r="AL78" s="221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（2）自行采购</t>
        </is>
      </c>
      <c r="E82" s="219" t="n"/>
      <c r="F82" s="219" t="n"/>
      <c r="G82" s="21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SUM(AA29:AJ29)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AB29/1.17*0.17+AC29/1.16*0.16+AD29/1.11*0.11+AE29/1.1*0.1+AF29/1.09*0.09+AI29/1.03*0.03</f>
        <v/>
      </c>
      <c r="AL82" s="221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33" t="n">
        <v>26</v>
      </c>
      <c r="B108" s="199" t="n"/>
      <c r="C108" s="199" t="n"/>
      <c r="D108" s="218" t="inlineStr">
        <is>
          <t>材料调入</t>
        </is>
      </c>
      <c r="E108" s="199" t="n"/>
      <c r="F108" s="199" t="n"/>
      <c r="G108" s="199" t="n"/>
      <c r="H108" s="189" t="n"/>
      <c r="I108" s="189" t="n"/>
      <c r="J108" s="189" t="n"/>
      <c r="K108" s="201" t="n"/>
      <c r="L108" s="202" t="n"/>
      <c r="M108" s="223" t="n">
        <v>7208164.12</v>
      </c>
      <c r="N108" s="189" t="n"/>
      <c r="O108" s="189">
        <f>L108-M108</f>
        <v/>
      </c>
      <c r="P108" s="189">
        <f>K108-N108</f>
        <v/>
      </c>
      <c r="Q108" s="189">
        <f>M108+O108</f>
        <v/>
      </c>
      <c r="R108" s="189">
        <f>M108+N108+O108+P108</f>
        <v/>
      </c>
      <c r="S108" s="203">
        <f>SUM(T108:V108)</f>
        <v/>
      </c>
      <c r="T108" s="203" t="n"/>
      <c r="U108" s="203" t="n"/>
      <c r="V108" s="203" t="n"/>
      <c r="W108" s="203" t="n"/>
      <c r="X108" s="203" t="n"/>
      <c r="Y108" s="203" t="n"/>
      <c r="Z108" s="189">
        <f>SUM(AA30:AJ30)</f>
        <v/>
      </c>
      <c r="AA108" s="203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188">
        <f>AB30/1.17*0.17+AC30/1.16*0.16+AD30/1.11*0.11+AE30/1.1*0.1+AF30/1.09*0.09+AI30/1.03*0.03</f>
        <v/>
      </c>
      <c r="AL108" s="221" t="n"/>
    </row>
    <row r="109">
      <c r="A109" s="33" t="n">
        <v>27</v>
      </c>
      <c r="B109" s="199" t="n"/>
      <c r="C109" s="199" t="n"/>
      <c r="D109" s="218" t="inlineStr">
        <is>
          <t>材料调出（注：负数填报）</t>
        </is>
      </c>
      <c r="E109" s="224" t="n"/>
      <c r="F109" s="224" t="n"/>
      <c r="G109" s="224" t="n"/>
      <c r="H109" s="225" t="n"/>
      <c r="I109" s="225" t="n"/>
      <c r="J109" s="189" t="n"/>
      <c r="K109" s="201" t="n"/>
      <c r="L109" s="202" t="n"/>
      <c r="M109" s="226" t="n">
        <v>-2516875.22</v>
      </c>
      <c r="N109" s="225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25" t="n"/>
      <c r="U109" s="225" t="n"/>
      <c r="V109" s="225" t="n"/>
      <c r="W109" s="225" t="n"/>
      <c r="X109" s="225" t="n"/>
      <c r="Y109" s="225" t="n"/>
      <c r="Z109" s="189">
        <f>SUM(AA31:AJ31)</f>
        <v/>
      </c>
      <c r="AA109" s="225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188">
        <f>AB31/1.17*0.17+AC31/1.16*0.16+AD31/1.11*0.11+AE31/1.1*0.1+AF31/1.09*0.09+AI31/1.03*0.03</f>
        <v/>
      </c>
      <c r="AL109" s="228" t="n"/>
    </row>
    <row r="110">
      <c r="A110" s="33" t="n"/>
      <c r="B110" s="199" t="n"/>
      <c r="C110" s="199" t="n"/>
      <c r="D110" s="218" t="inlineStr">
        <is>
          <t>材料库存（注：项目已结算未使用材料冲减项目成本，负数填报）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5" t="n"/>
      <c r="N110" s="225" t="n"/>
      <c r="O110" s="189" t="n"/>
      <c r="P110" s="189" t="n"/>
      <c r="Q110" s="189" t="n"/>
      <c r="R110" s="189" t="n"/>
      <c r="S110" s="203" t="n"/>
      <c r="T110" s="225" t="n"/>
      <c r="U110" s="225" t="n"/>
      <c r="V110" s="225" t="n"/>
      <c r="W110" s="225" t="n"/>
      <c r="X110" s="225" t="n"/>
      <c r="Y110" s="225" t="n"/>
      <c r="Z110" s="189" t="n"/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 t="n"/>
      <c r="AL110" s="228" t="n"/>
    </row>
    <row r="111">
      <c r="A111" s="33" t="n"/>
      <c r="B111" s="199" t="n"/>
      <c r="C111" s="199" t="n"/>
      <c r="D111" s="211" t="inlineStr">
        <is>
          <t>**财务未列部分需增列***</t>
        </is>
      </c>
      <c r="E111" s="219" t="n"/>
      <c r="F111" s="219" t="n"/>
      <c r="G111" s="219" t="n"/>
      <c r="H111" s="189" t="n"/>
      <c r="I111" s="189" t="n"/>
      <c r="J111" s="189" t="n"/>
      <c r="K111" s="201" t="n"/>
      <c r="L111" s="202" t="n"/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03" t="n"/>
      <c r="U111" s="203" t="n"/>
      <c r="V111" s="203" t="n"/>
      <c r="W111" s="203" t="n"/>
      <c r="X111" s="203" t="n"/>
      <c r="Y111" s="203" t="n"/>
      <c r="Z111" s="203" t="n"/>
      <c r="AA111" s="203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188">
        <f>AB33/1.17*0.17+AC33/1.16*0.16+AD33/1.11*0.11+AE33/1.1*0.1+AF33/1.09*0.09+AI33/1.03*0.03</f>
        <v/>
      </c>
      <c r="AL111" s="221" t="n"/>
    </row>
    <row r="112">
      <c r="A112" s="41" t="n"/>
      <c r="B112" s="215" t="n"/>
      <c r="C112" s="215" t="n"/>
      <c r="D112" s="216" t="inlineStr">
        <is>
          <t>材料费小计：</t>
        </is>
      </c>
      <c r="E112" s="217">
        <f>SUM(E77:E111)</f>
        <v/>
      </c>
      <c r="F112" s="217">
        <f>SUM(F77:F111)</f>
        <v/>
      </c>
      <c r="G112" s="217">
        <f>SUM(G77:G111)</f>
        <v/>
      </c>
      <c r="H112" s="217">
        <f>SUM(H77:H111)</f>
        <v/>
      </c>
      <c r="I112" s="217">
        <f>SUM(I77:I111)</f>
        <v/>
      </c>
      <c r="J112" s="217">
        <f>SUM(J77:J111)</f>
        <v/>
      </c>
      <c r="K112" s="217">
        <f>SUM(K77:K111)</f>
        <v/>
      </c>
      <c r="L112" s="217">
        <f>SUM(L77:L111)</f>
        <v/>
      </c>
      <c r="M112" s="217">
        <f>SUM(M77:M111)</f>
        <v/>
      </c>
      <c r="N112" s="217">
        <f>SUM(N77:N111)</f>
        <v/>
      </c>
      <c r="O112" s="217">
        <f>SUM(O77:O111)</f>
        <v/>
      </c>
      <c r="P112" s="217">
        <f>SUM(P77:P111)</f>
        <v/>
      </c>
      <c r="Q112" s="217">
        <f>SUM(Q77:Q111)</f>
        <v/>
      </c>
      <c r="R112" s="217">
        <f>SUM(R77:R111)</f>
        <v/>
      </c>
      <c r="S112" s="217">
        <f>SUM(S77:S111)</f>
        <v/>
      </c>
      <c r="T112" s="217">
        <f>SUM(T77:T111)</f>
        <v/>
      </c>
      <c r="U112" s="217">
        <f>SUM(U77:U111)</f>
        <v/>
      </c>
      <c r="V112" s="217">
        <f>SUM(V77:V111)</f>
        <v/>
      </c>
      <c r="W112" s="217">
        <f>SUM(W77:W111)</f>
        <v/>
      </c>
      <c r="X112" s="217">
        <f>SUM(X77:X111)</f>
        <v/>
      </c>
      <c r="Y112" s="217">
        <f>SUM(Y77:Y111)</f>
        <v/>
      </c>
      <c r="Z112" s="217">
        <f>SUM(Z77:Z111)</f>
        <v/>
      </c>
      <c r="AA112" s="217">
        <f>SUM(AA77:AA111)</f>
        <v/>
      </c>
      <c r="AB112" s="217">
        <f>SUM(AB77:AB111)</f>
        <v/>
      </c>
      <c r="AC112" s="217">
        <f>SUM(AC77:AC111)</f>
        <v/>
      </c>
      <c r="AD112" s="217">
        <f>SUM(AD77:AD111)</f>
        <v/>
      </c>
      <c r="AE112" s="217">
        <f>SUM(AE77:AE111)</f>
        <v/>
      </c>
      <c r="AF112" s="217">
        <f>SUM(AF77:AF111)</f>
        <v/>
      </c>
      <c r="AG112" s="217">
        <f>SUM(AG77:AG111)</f>
        <v/>
      </c>
      <c r="AH112" s="217">
        <f>SUM(AH77:AH111)</f>
        <v/>
      </c>
      <c r="AI112" s="217">
        <f>SUM(AI77:AI111)</f>
        <v/>
      </c>
      <c r="AJ112" s="217">
        <f>SUM(AJ77:AJ111)</f>
        <v/>
      </c>
      <c r="AK112" s="217">
        <f>SUM(AK77:AK111)</f>
        <v/>
      </c>
      <c r="AL112" s="204" t="n"/>
    </row>
    <row r="113">
      <c r="A113" s="33" t="n"/>
      <c r="B113" s="199" t="n"/>
      <c r="C113" s="199" t="n"/>
      <c r="D113" s="218" t="inlineStr">
        <is>
          <t>(四）机械租赁费</t>
        </is>
      </c>
      <c r="E113" s="212" t="n"/>
      <c r="F113" s="212" t="n"/>
      <c r="G113" s="212" t="n"/>
      <c r="H113" s="189" t="n"/>
      <c r="I113" s="189" t="n"/>
      <c r="J113" s="189" t="n"/>
      <c r="K113" s="201" t="n">
        <v>0</v>
      </c>
      <c r="L113" s="202">
        <f>J113-K113</f>
        <v/>
      </c>
      <c r="M113" s="184" t="n"/>
      <c r="N113" s="184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03" t="n"/>
      <c r="U113" s="203" t="n"/>
      <c r="V113" s="203" t="n"/>
      <c r="W113" s="203" t="n"/>
      <c r="X113" s="203" t="n"/>
      <c r="Y113" s="203" t="n"/>
      <c r="Z113" s="203" t="n"/>
      <c r="AA113" s="203" t="n"/>
      <c r="AB113" s="203" t="n"/>
      <c r="AC113" s="203" t="n"/>
      <c r="AD113" s="203" t="n"/>
      <c r="AE113" s="203" t="n"/>
      <c r="AF113" s="203" t="n"/>
      <c r="AG113" s="203" t="n"/>
      <c r="AH113" s="203" t="n"/>
      <c r="AI113" s="203" t="n"/>
      <c r="AJ113" s="203" t="n"/>
      <c r="AK113" s="188">
        <f>AB35/1.17*0.17+AC35/1.16*0.16+AD35/1.11*0.11+AE35/1.1*0.1+AF35/1.09*0.09+AI35/1.03*0.03</f>
        <v/>
      </c>
      <c r="AL113" s="204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</row>
    <row r="119">
      <c r="A119" s="33" t="n"/>
      <c r="B119" s="199" t="n"/>
      <c r="C119" s="199" t="n"/>
      <c r="D119" s="211" t="inlineStr">
        <is>
          <t>**财务未列部分需增列***</t>
        </is>
      </c>
      <c r="E119" s="229" t="n"/>
      <c r="F119" s="229" t="n"/>
      <c r="G119" s="229" t="n"/>
      <c r="H119" s="189" t="n"/>
      <c r="I119" s="189" t="n"/>
      <c r="J119" s="189" t="n"/>
      <c r="K119" s="201" t="n">
        <v>0</v>
      </c>
      <c r="L119" s="202">
        <f>J119-K119</f>
        <v/>
      </c>
      <c r="M119" s="230" t="n"/>
      <c r="N119" s="230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30" t="n"/>
      <c r="U119" s="230" t="n"/>
      <c r="V119" s="230" t="n"/>
      <c r="W119" s="230" t="n"/>
      <c r="X119" s="230" t="n"/>
      <c r="Y119" s="230" t="n"/>
      <c r="Z119" s="230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>
        <f>AB37/1.17*0.17+AC37/1.16*0.16+AD37/1.11*0.11+AE37/1.1*0.1+AF37/1.09*0.09+AI37/1.03*0.03</f>
        <v/>
      </c>
      <c r="AL119" s="214" t="n"/>
    </row>
    <row r="120">
      <c r="A120" s="41" t="n"/>
      <c r="B120" s="215" t="n"/>
      <c r="C120" s="215" t="n"/>
      <c r="D120" s="231" t="inlineStr">
        <is>
          <t>机械费小计：</t>
        </is>
      </c>
      <c r="E120" s="232" t="n"/>
      <c r="F120" s="232" t="n"/>
      <c r="G120" s="232" t="n"/>
      <c r="H120" s="217">
        <f>SUM(H113:H119)</f>
        <v/>
      </c>
      <c r="I120" s="217">
        <f>SUM(I113:I119)</f>
        <v/>
      </c>
      <c r="J120" s="217">
        <f>SUM(J113:J119)</f>
        <v/>
      </c>
      <c r="K120" s="217">
        <f>SUM(K113:K119)</f>
        <v/>
      </c>
      <c r="L120" s="233">
        <f>SUM(L113:L119)</f>
        <v/>
      </c>
      <c r="M120" s="217">
        <f>SUM(M113:M119)</f>
        <v/>
      </c>
      <c r="N120" s="217">
        <f>SUM(N113:N119)</f>
        <v/>
      </c>
      <c r="O120" s="217">
        <f>SUM(O113:O119)</f>
        <v/>
      </c>
      <c r="P120" s="217">
        <f>SUM(P113:P119)</f>
        <v/>
      </c>
      <c r="Q120" s="217">
        <f>SUM(Q113:Q119)</f>
        <v/>
      </c>
      <c r="R120" s="217">
        <f>SUM(R113:R119)</f>
        <v/>
      </c>
      <c r="S120" s="217">
        <f>SUM(S113:S119)</f>
        <v/>
      </c>
      <c r="T120" s="217" t="n"/>
      <c r="U120" s="217" t="n"/>
      <c r="V120" s="217" t="n"/>
      <c r="W120" s="217" t="n"/>
      <c r="X120" s="217" t="n"/>
      <c r="Y120" s="217" t="n"/>
      <c r="Z120" s="217">
        <f>SUM(Z113:Z119)</f>
        <v/>
      </c>
      <c r="AA120" s="217">
        <f>SUM(AA113:AA119)</f>
        <v/>
      </c>
      <c r="AB120" s="217" t="n"/>
      <c r="AC120" s="217" t="n"/>
      <c r="AD120" s="217" t="n"/>
      <c r="AE120" s="217" t="n"/>
      <c r="AF120" s="217" t="n"/>
      <c r="AG120" s="217" t="n"/>
      <c r="AH120" s="217" t="n"/>
      <c r="AI120" s="217" t="n"/>
      <c r="AJ120" s="217" t="n"/>
      <c r="AK120" s="217" t="n"/>
      <c r="AL120" s="204" t="n"/>
    </row>
    <row r="121">
      <c r="A121" s="33" t="n"/>
      <c r="B121" s="199" t="n"/>
      <c r="C121" s="199" t="n"/>
      <c r="D121" s="218" t="inlineStr">
        <is>
          <t>（五）其他直接费</t>
        </is>
      </c>
      <c r="E121" s="212" t="n"/>
      <c r="F121" s="212" t="n"/>
      <c r="G121" s="212" t="n"/>
      <c r="H121" s="189" t="n"/>
      <c r="I121" s="189" t="n"/>
      <c r="J121" s="184" t="n">
        <v>0</v>
      </c>
      <c r="K121" s="201" t="n">
        <v>0</v>
      </c>
      <c r="L121" s="202">
        <f>J121-N121-P121</f>
        <v/>
      </c>
      <c r="M121" s="184" t="n"/>
      <c r="N121" s="184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203" t="n"/>
      <c r="AC121" s="203" t="n"/>
      <c r="AD121" s="203" t="n"/>
      <c r="AE121" s="203" t="n"/>
      <c r="AF121" s="203" t="n"/>
      <c r="AG121" s="203" t="n"/>
      <c r="AH121" s="203" t="n"/>
      <c r="AI121" s="203" t="n"/>
      <c r="AJ121" s="203" t="n"/>
      <c r="AK121" s="188" t="n"/>
      <c r="AL121" s="204" t="n"/>
    </row>
    <row r="122">
      <c r="A122" s="206" t="n"/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33" t="n"/>
      <c r="B128" s="199" t="n"/>
      <c r="C128" s="199" t="n"/>
      <c r="D128" s="211" t="inlineStr">
        <is>
          <t>**财务未列部分需增列***</t>
        </is>
      </c>
      <c r="E128" s="212" t="n"/>
      <c r="F128" s="212" t="n"/>
      <c r="G128" s="212" t="n"/>
      <c r="H128" s="189" t="n"/>
      <c r="I128" s="189" t="n"/>
      <c r="J128" s="184" t="n"/>
      <c r="K128" s="201" t="n"/>
      <c r="L128" s="202">
        <f>J128-K128</f>
        <v/>
      </c>
      <c r="M128" s="234" t="n"/>
      <c r="N128" s="234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34" t="n"/>
      <c r="U128" s="234" t="n"/>
      <c r="V128" s="234" t="n"/>
      <c r="W128" s="234" t="n"/>
      <c r="X128" s="234" t="n"/>
      <c r="Y128" s="234" t="n"/>
      <c r="Z128" s="189">
        <f>SUM(AA45:AJ45)</f>
        <v/>
      </c>
      <c r="AA128" s="203" t="n"/>
      <c r="AB128" s="203" t="n"/>
      <c r="AC128" s="203" t="n"/>
      <c r="AD128" s="203" t="n"/>
      <c r="AE128" s="203" t="n"/>
      <c r="AF128" s="203" t="n"/>
      <c r="AG128" s="203" t="n"/>
      <c r="AH128" s="203" t="n"/>
      <c r="AI128" s="203" t="n"/>
      <c r="AJ128" s="203" t="n"/>
      <c r="AK128" s="188" t="n"/>
      <c r="AL128" s="204" t="n"/>
    </row>
    <row r="129">
      <c r="A129" s="55" t="n"/>
      <c r="B129" s="235" t="n"/>
      <c r="C129" s="235" t="n"/>
      <c r="D129" s="231" t="inlineStr">
        <is>
          <t>其他直接费小计：</t>
        </is>
      </c>
      <c r="E129" s="236" t="n"/>
      <c r="F129" s="236" t="n"/>
      <c r="G129" s="236" t="n"/>
      <c r="H129" s="217">
        <f>SUM(H121:H128)</f>
        <v/>
      </c>
      <c r="I129" s="217">
        <f>SUM(I121:I128)</f>
        <v/>
      </c>
      <c r="J129" s="217">
        <f>SUM(J121:J128)</f>
        <v/>
      </c>
      <c r="K129" s="217">
        <f>SUM(K121:K128)</f>
        <v/>
      </c>
      <c r="L129" s="233">
        <f>SUM(L121:L128)</f>
        <v/>
      </c>
      <c r="M129" s="217">
        <f>SUM(M121:M128)</f>
        <v/>
      </c>
      <c r="N129" s="217">
        <f>SUM(N121:N128)</f>
        <v/>
      </c>
      <c r="O129" s="217">
        <f>L129-M129</f>
        <v/>
      </c>
      <c r="P129" s="217">
        <f>SUM(P121:P128)</f>
        <v/>
      </c>
      <c r="Q129" s="217">
        <f>M129+O129</f>
        <v/>
      </c>
      <c r="R129" s="217">
        <f>SUM(R121:R128)</f>
        <v/>
      </c>
      <c r="S129" s="217">
        <f>SUM(S121:S128)</f>
        <v/>
      </c>
      <c r="T129" s="217" t="n"/>
      <c r="U129" s="217" t="n"/>
      <c r="V129" s="217" t="n"/>
      <c r="W129" s="217" t="n"/>
      <c r="X129" s="217" t="n"/>
      <c r="Y129" s="217" t="n"/>
      <c r="Z129" s="217">
        <f>SUM(Z121:Z128)</f>
        <v/>
      </c>
      <c r="AA129" s="217">
        <f>SUM(AA121:AA128)</f>
        <v/>
      </c>
      <c r="AB129" s="217">
        <f>SUM(AB121:AB128)</f>
        <v/>
      </c>
      <c r="AC129" s="217">
        <f>SUM(AC121:AC128)</f>
        <v/>
      </c>
      <c r="AD129" s="217">
        <f>SUM(AD121:AD128)</f>
        <v/>
      </c>
      <c r="AE129" s="217">
        <f>SUM(AE121:AE128)</f>
        <v/>
      </c>
      <c r="AF129" s="217">
        <f>SUM(AF121:AF128)</f>
        <v/>
      </c>
      <c r="AG129" s="217" t="n"/>
      <c r="AH129" s="217" t="n"/>
      <c r="AI129" s="217">
        <f>SUM(AI121:AI128)</f>
        <v/>
      </c>
      <c r="AJ129" s="217">
        <f>SUM(AJ121:AJ128)</f>
        <v/>
      </c>
      <c r="AK129" s="217">
        <f>SUM(AK121:AK128)</f>
        <v/>
      </c>
      <c r="AL129" s="204" t="n"/>
    </row>
    <row r="130">
      <c r="A130" s="33" t="n"/>
      <c r="B130" s="199" t="n"/>
      <c r="C130" s="199" t="n"/>
      <c r="D130" s="218" t="inlineStr">
        <is>
          <t>（六）间接费</t>
        </is>
      </c>
      <c r="E130" s="212" t="n"/>
      <c r="F130" s="212" t="n"/>
      <c r="G130" s="212" t="n"/>
      <c r="H130" s="184" t="n"/>
      <c r="I130" s="189" t="n"/>
      <c r="J130" s="189" t="n">
        <v>0</v>
      </c>
      <c r="K130" s="201" t="n">
        <v>0</v>
      </c>
      <c r="L130" s="202">
        <f>J130-N130-P130</f>
        <v/>
      </c>
      <c r="M130" s="184" t="n"/>
      <c r="N130" s="184" t="n"/>
      <c r="O130" s="189">
        <f>L130-M130</f>
        <v/>
      </c>
      <c r="P130" s="189">
        <f>K130-N130</f>
        <v/>
      </c>
      <c r="Q130" s="189">
        <f>M130+O130</f>
        <v/>
      </c>
      <c r="R130" s="189">
        <f>M130+N130+O130+P130</f>
        <v/>
      </c>
      <c r="S130" s="203">
        <f>SUM(T130:V130)</f>
        <v/>
      </c>
      <c r="T130" s="203" t="n"/>
      <c r="U130" s="203" t="n"/>
      <c r="V130" s="203" t="n"/>
      <c r="W130" s="203" t="n"/>
      <c r="X130" s="203" t="n"/>
      <c r="Y130" s="203" t="n"/>
      <c r="Z130" s="203" t="n"/>
      <c r="AA130" s="203" t="n"/>
      <c r="AB130" s="203" t="n"/>
      <c r="AC130" s="203" t="n"/>
      <c r="AD130" s="203" t="n"/>
      <c r="AE130" s="203" t="n"/>
      <c r="AF130" s="203" t="n"/>
      <c r="AG130" s="203" t="n"/>
      <c r="AH130" s="203" t="n"/>
      <c r="AI130" s="203" t="n"/>
      <c r="AJ130" s="203" t="n"/>
      <c r="AK130" s="188" t="n"/>
      <c r="AL130" s="204" t="n"/>
    </row>
    <row r="131">
      <c r="A131" s="206" t="n"/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33" t="n"/>
      <c r="B162" s="199" t="n"/>
      <c r="C162" s="199" t="n"/>
      <c r="D162" s="211" t="inlineStr">
        <is>
          <t>**财务未列部分需增列***</t>
        </is>
      </c>
      <c r="E162" s="212" t="n"/>
      <c r="F162" s="212" t="n"/>
      <c r="G162" s="212" t="n"/>
      <c r="H162" s="234" t="n"/>
      <c r="I162" s="189" t="n"/>
      <c r="J162" s="234" t="n"/>
      <c r="K162" s="201" t="n"/>
      <c r="L162" s="202" t="n"/>
      <c r="M162" s="234" t="n"/>
      <c r="N162" s="189" t="n"/>
      <c r="O162" s="189">
        <f>L162-M162</f>
        <v/>
      </c>
      <c r="P162" s="189">
        <f>K162-N162</f>
        <v/>
      </c>
      <c r="Q162" s="189">
        <f>M162+O162</f>
        <v/>
      </c>
      <c r="R162" s="189">
        <f>M162+N162+O162+P162</f>
        <v/>
      </c>
      <c r="S162" s="203">
        <f>SUM(T162:V162)</f>
        <v/>
      </c>
      <c r="T162" s="234" t="n"/>
      <c r="U162" s="234" t="n"/>
      <c r="V162" s="234" t="n"/>
      <c r="W162" s="234" t="n"/>
      <c r="X162" s="234" t="n"/>
      <c r="Y162" s="234" t="n"/>
      <c r="Z162" s="234" t="n"/>
      <c r="AA162" s="203" t="n"/>
      <c r="AB162" s="188" t="n"/>
      <c r="AC162" s="188" t="n"/>
      <c r="AD162" s="188" t="n"/>
      <c r="AE162" s="188" t="n"/>
      <c r="AF162" s="188" t="n"/>
      <c r="AG162" s="188" t="n"/>
      <c r="AH162" s="188" t="n"/>
      <c r="AI162" s="188" t="n"/>
      <c r="AJ162" s="188" t="n"/>
      <c r="AK162" s="188" t="n"/>
      <c r="AL162" s="214" t="n"/>
    </row>
    <row r="163">
      <c r="A163" s="55" t="n"/>
      <c r="B163" s="235" t="n"/>
      <c r="C163" s="235" t="n"/>
      <c r="D163" s="231" t="inlineStr">
        <is>
          <t>间接费小计：</t>
        </is>
      </c>
      <c r="E163" s="236" t="n"/>
      <c r="F163" s="236" t="n"/>
      <c r="G163" s="236" t="n"/>
      <c r="H163" s="217">
        <f>SUM(H130:H162)</f>
        <v/>
      </c>
      <c r="I163" s="217">
        <f>SUM(I130:I162)</f>
        <v/>
      </c>
      <c r="J163" s="217">
        <f>SUM(J130:J162)</f>
        <v/>
      </c>
      <c r="K163" s="217">
        <f>SUM(K130:K162)</f>
        <v/>
      </c>
      <c r="L163" s="233">
        <f>SUM(L130:L162)</f>
        <v/>
      </c>
      <c r="M163" s="233">
        <f>SUM(M130:M162)</f>
        <v/>
      </c>
      <c r="N163" s="233">
        <f>SUM(N130:N162)</f>
        <v/>
      </c>
      <c r="O163" s="233">
        <f>SUM(O130:O162)</f>
        <v/>
      </c>
      <c r="P163" s="233">
        <f>SUM(P130:P162)</f>
        <v/>
      </c>
      <c r="Q163" s="233">
        <f>SUM(Q130:Q162)</f>
        <v/>
      </c>
      <c r="R163" s="233">
        <f>SUM(R130:R162)</f>
        <v/>
      </c>
      <c r="S163" s="233">
        <f>SUM(S130:S162)</f>
        <v/>
      </c>
      <c r="T163" s="233" t="n"/>
      <c r="U163" s="233" t="n"/>
      <c r="V163" s="233" t="n"/>
      <c r="W163" s="233" t="n"/>
      <c r="X163" s="233" t="n"/>
      <c r="Y163" s="233" t="n"/>
      <c r="Z163" s="233">
        <f>SUM(Z130:Z162)</f>
        <v/>
      </c>
      <c r="AA163" s="233">
        <f>SUM(AA130:AA162)</f>
        <v/>
      </c>
      <c r="AB163" s="233">
        <f>SUM(AB130:AB162)</f>
        <v/>
      </c>
      <c r="AC163" s="233">
        <f>SUM(AC130:AC162)</f>
        <v/>
      </c>
      <c r="AD163" s="233">
        <f>SUM(AD130:AD162)</f>
        <v/>
      </c>
      <c r="AE163" s="233">
        <f>SUM(AE130:AE162)</f>
        <v/>
      </c>
      <c r="AF163" s="233">
        <f>SUM(AF130:AF162)</f>
        <v/>
      </c>
      <c r="AG163" s="233" t="n"/>
      <c r="AH163" s="233" t="n"/>
      <c r="AI163" s="233">
        <f>SUM(AI130:AI162)</f>
        <v/>
      </c>
      <c r="AJ163" s="233">
        <f>SUM(AJ130:AJ162)</f>
        <v/>
      </c>
      <c r="AK163" s="233">
        <f>SUM(AK130:AK162)</f>
        <v/>
      </c>
      <c r="AL163" s="214" t="n"/>
    </row>
    <row r="164">
      <c r="A164" s="33" t="n"/>
      <c r="B164" s="199" t="n"/>
      <c r="C164" s="199" t="n"/>
      <c r="D164" s="218" t="inlineStr">
        <is>
          <t>（七）安全费</t>
        </is>
      </c>
      <c r="E164" s="212" t="n"/>
      <c r="F164" s="212" t="n"/>
      <c r="G164" s="212" t="n"/>
      <c r="H164" s="189" t="n"/>
      <c r="I164" s="189" t="n"/>
      <c r="J164" s="184" t="n">
        <v>0</v>
      </c>
      <c r="K164" s="237" t="n"/>
      <c r="L164" s="202">
        <f>J164-N164-P164</f>
        <v/>
      </c>
      <c r="M164" s="189" t="n"/>
      <c r="N164" s="189" t="n"/>
      <c r="O164" s="189">
        <f>L164-M164</f>
        <v/>
      </c>
      <c r="P164" s="189">
        <f>K164-N164</f>
        <v/>
      </c>
      <c r="Q164" s="189">
        <f>M164+O164</f>
        <v/>
      </c>
      <c r="R164" s="189">
        <f>M164+N164+O164+P164</f>
        <v/>
      </c>
      <c r="S164" s="203">
        <f>SUM(T164:V164)</f>
        <v/>
      </c>
      <c r="T164" s="234" t="n"/>
      <c r="U164" s="234" t="n"/>
      <c r="V164" s="234" t="n"/>
      <c r="W164" s="234" t="n"/>
      <c r="X164" s="234" t="n"/>
      <c r="Y164" s="234" t="n"/>
      <c r="Z164" s="230" t="n"/>
      <c r="AA164" s="203" t="n"/>
      <c r="AB164" s="188" t="n"/>
      <c r="AC164" s="188" t="n"/>
      <c r="AD164" s="188" t="n"/>
      <c r="AE164" s="188" t="n"/>
      <c r="AF164" s="188" t="n"/>
      <c r="AG164" s="188" t="n"/>
      <c r="AH164" s="188" t="n"/>
      <c r="AI164" s="188" t="n"/>
      <c r="AJ164" s="188" t="n"/>
      <c r="AK164" s="188" t="n"/>
      <c r="AL164" s="214" t="n"/>
    </row>
    <row r="165">
      <c r="A165" s="206" t="n"/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55" t="n"/>
      <c r="B169" s="235" t="n"/>
      <c r="C169" s="235" t="n"/>
      <c r="D169" s="231" t="inlineStr">
        <is>
          <t>安全费小计：</t>
        </is>
      </c>
      <c r="E169" s="231" t="n"/>
      <c r="F169" s="231" t="n"/>
      <c r="G169" s="231" t="n"/>
      <c r="H169" s="217">
        <f>SUM(H164:H168)</f>
        <v/>
      </c>
      <c r="I169" s="217">
        <f>SUM(I164:I168)</f>
        <v/>
      </c>
      <c r="J169" s="217" t="n">
        <v>0</v>
      </c>
      <c r="K169" s="217" t="n">
        <v>0</v>
      </c>
      <c r="L169" s="202">
        <f>J169-K169</f>
        <v/>
      </c>
      <c r="M169" s="233">
        <f>SUM(M164:M168)</f>
        <v/>
      </c>
      <c r="N169" s="233">
        <f>SUM(N164:N168)</f>
        <v/>
      </c>
      <c r="O169" s="233">
        <f>SUM(O164:O168)</f>
        <v/>
      </c>
      <c r="P169" s="233">
        <f>SUM(P164:P168)</f>
        <v/>
      </c>
      <c r="Q169" s="233">
        <f>SUM(Q164:Q168)</f>
        <v/>
      </c>
      <c r="R169" s="233">
        <f>SUM(R164:R168)</f>
        <v/>
      </c>
      <c r="S169" s="233">
        <f>SUM(S164:S168)</f>
        <v/>
      </c>
      <c r="T169" s="238" t="n"/>
      <c r="U169" s="238" t="n"/>
      <c r="V169" s="238" t="n"/>
      <c r="W169" s="238" t="n"/>
      <c r="X169" s="238" t="n"/>
      <c r="Y169" s="238" t="n"/>
      <c r="Z169" s="238" t="n"/>
      <c r="AA169" s="238">
        <f>SUM(AA164:AA168)</f>
        <v/>
      </c>
      <c r="AB169" s="238">
        <f>SUM(AB164:AB168)</f>
        <v/>
      </c>
      <c r="AC169" s="238">
        <f>SUM(AC164:AC168)</f>
        <v/>
      </c>
      <c r="AD169" s="238">
        <f>SUM(AD164:AD168)</f>
        <v/>
      </c>
      <c r="AE169" s="238">
        <f>SUM(AE164:AE168)</f>
        <v/>
      </c>
      <c r="AF169" s="238">
        <f>SUM(AF164:AF168)</f>
        <v/>
      </c>
      <c r="AG169" s="238" t="n"/>
      <c r="AH169" s="238" t="n"/>
      <c r="AI169" s="238">
        <f>SUM(AI164:AI168)</f>
        <v/>
      </c>
      <c r="AJ169" s="238">
        <f>SUM(AJ164:AJ168)</f>
        <v/>
      </c>
      <c r="AK169" s="238">
        <f>SUM(AK164:AK168)</f>
        <v/>
      </c>
      <c r="AL169" s="239" t="n"/>
    </row>
    <row r="170">
      <c r="A170" s="55" t="n"/>
      <c r="B170" s="235" t="n"/>
      <c r="C170" s="235" t="n"/>
      <c r="D170" s="231" t="inlineStr">
        <is>
          <t>三、成本合计：</t>
        </is>
      </c>
      <c r="E170" s="236" t="n"/>
      <c r="F170" s="236" t="n"/>
      <c r="G170" s="236" t="n"/>
      <c r="H170" s="217">
        <f>H63+H76+H112+H120+H129+H163+H169</f>
        <v/>
      </c>
      <c r="I170" s="217">
        <f>I63+I76+I112+I120+I129+I163+I169</f>
        <v/>
      </c>
      <c r="J170" s="217">
        <f>J63+J76+J112+J120+J129+J163+J169</f>
        <v/>
      </c>
      <c r="K170" s="217">
        <f>K63+K76+K112+K120+K129+K163+K169</f>
        <v/>
      </c>
      <c r="L170" s="233">
        <f>L63+L76+L112+L120+L129+L163+L169</f>
        <v/>
      </c>
      <c r="M170" s="238">
        <f>M63+M76+M112+M120+M129+M163+M169</f>
        <v/>
      </c>
      <c r="N170" s="238">
        <f>N63+N76+N112+N120+N129+N163+N169</f>
        <v/>
      </c>
      <c r="O170" s="238">
        <f>O63+O76+O112+O120+O129+O163+O169</f>
        <v/>
      </c>
      <c r="P170" s="238">
        <f>P63+P76+P112+P120+P129+P163+P169</f>
        <v/>
      </c>
      <c r="Q170" s="238">
        <f>Q63+Q76+Q112+Q120+Q129+Q163+Q169</f>
        <v/>
      </c>
      <c r="R170" s="238">
        <f>R63+R76+R112+R120+R129+R163+R169</f>
        <v/>
      </c>
      <c r="S170" s="238">
        <f>S63+S76+S112+S120+S129+S163+S169</f>
        <v/>
      </c>
      <c r="T170" s="238" t="n"/>
      <c r="U170" s="238" t="n"/>
      <c r="V170" s="238" t="n"/>
      <c r="W170" s="238" t="n"/>
      <c r="X170" s="238" t="n"/>
      <c r="Y170" s="238" t="n"/>
      <c r="Z170" s="238">
        <f>Z63+Z76+Z112+Z120+Z129+Z163+Z169</f>
        <v/>
      </c>
      <c r="AA170" s="238">
        <f>AA63+AA76+AA112+AA120+AA129+AA163+AA169</f>
        <v/>
      </c>
      <c r="AB170" s="238">
        <f>AB63+AB76+AB112+AB120+AB129+AB163+AB169</f>
        <v/>
      </c>
      <c r="AC170" s="238">
        <f>AC63+AC76+AC112+AC120+AC129+AC163+AC169</f>
        <v/>
      </c>
      <c r="AD170" s="238">
        <f>AD63+AD76+AD112+AD120+AD129+AD163+AD169</f>
        <v/>
      </c>
      <c r="AE170" s="238">
        <f>AE63+AE76+AE112+AE120+AE129+AE163+AE169</f>
        <v/>
      </c>
      <c r="AF170" s="238">
        <f>AF63+AF76+AF112+AF120+AF129+AF163+AF169</f>
        <v/>
      </c>
      <c r="AG170" s="238" t="n"/>
      <c r="AH170" s="238" t="n"/>
      <c r="AI170" s="238">
        <f>AI63+AI76+AI112+AI120+AI129+AI163+AI169</f>
        <v/>
      </c>
      <c r="AJ170" s="238">
        <f>AJ63+AJ76+AJ112+AJ120+AJ129+AJ163+AJ169</f>
        <v/>
      </c>
      <c r="AK170" s="238">
        <f>AK63+AK76+AK112+AK120+AK129+AK163+AK169</f>
        <v/>
      </c>
      <c r="AL170" s="239" t="n"/>
    </row>
    <row r="171">
      <c r="A171" s="33" t="n"/>
      <c r="B171" s="199" t="n"/>
      <c r="C171" s="199" t="n"/>
      <c r="D171" s="218" t="inlineStr">
        <is>
          <t>四、计提保修金</t>
        </is>
      </c>
      <c r="E171" s="240" t="inlineStr">
        <is>
          <t>（在建：房建0.6%，其它0.4%；在保修期间的按0.3~0.5%自行确定;保修期结束为0）</t>
        </is>
      </c>
      <c r="F171" s="240" t="n"/>
      <c r="G171" s="240" t="n"/>
      <c r="H171" s="184" t="n"/>
      <c r="I171" s="184" t="n"/>
      <c r="J171" s="184">
        <f>H171+I171</f>
        <v/>
      </c>
      <c r="K171" s="184" t="n"/>
      <c r="L171" s="202">
        <f>J171-K171</f>
        <v/>
      </c>
      <c r="M171" s="189" t="n"/>
      <c r="N171" s="189" t="n"/>
      <c r="O171" s="189">
        <f>L171-M171</f>
        <v/>
      </c>
      <c r="P171" s="189">
        <f>K171-N171</f>
        <v/>
      </c>
      <c r="Q171" s="189">
        <f>M171+O171</f>
        <v/>
      </c>
      <c r="R171" s="189">
        <f>M171+N171+O171+P171</f>
        <v/>
      </c>
      <c r="S171" s="203">
        <f>SUM(T171:V171)</f>
        <v/>
      </c>
      <c r="T171" s="203" t="n"/>
      <c r="U171" s="203" t="n"/>
      <c r="V171" s="203" t="n"/>
      <c r="W171" s="203" t="n"/>
      <c r="X171" s="203" t="n"/>
      <c r="Y171" s="203" t="n"/>
      <c r="Z171" s="203" t="n"/>
      <c r="AA171" s="203">
        <f>Q69-S69</f>
        <v/>
      </c>
      <c r="AB171" s="241" t="n"/>
      <c r="AC171" s="241" t="n"/>
      <c r="AD171" s="241" t="n"/>
      <c r="AE171" s="241" t="n"/>
      <c r="AF171" s="241" t="n"/>
      <c r="AG171" s="241" t="n"/>
      <c r="AH171" s="241" t="n"/>
      <c r="AI171" s="241" t="n"/>
      <c r="AJ171" s="241" t="n"/>
      <c r="AK171" s="188" t="n"/>
      <c r="AL171" s="239" t="n"/>
    </row>
    <row r="172">
      <c r="A172" s="33" t="n"/>
      <c r="B172" s="199" t="n"/>
      <c r="C172" s="199" t="n"/>
      <c r="D172" s="218" t="inlineStr">
        <is>
          <t>五、过程节点奖金</t>
        </is>
      </c>
      <c r="E172" s="212" t="n"/>
      <c r="F172" s="212" t="n"/>
      <c r="G172" s="212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188" t="n"/>
      <c r="AC172" s="188" t="n"/>
      <c r="AD172" s="188" t="n"/>
      <c r="AE172" s="188" t="n"/>
      <c r="AF172" s="188" t="n"/>
      <c r="AG172" s="188" t="n"/>
      <c r="AH172" s="188" t="n"/>
      <c r="AI172" s="188" t="n"/>
      <c r="AJ172" s="188" t="n"/>
      <c r="AK172" s="188" t="n"/>
      <c r="AL172" s="214" t="n"/>
    </row>
    <row r="173">
      <c r="A173" s="33" t="n"/>
      <c r="B173" s="199" t="n"/>
      <c r="C173" s="199" t="n"/>
      <c r="D173" s="218" t="inlineStr">
        <is>
          <t>六、资金占用费用</t>
        </is>
      </c>
      <c r="E173" s="212" t="n"/>
      <c r="F173" s="212" t="n"/>
      <c r="G173" s="212" t="n"/>
      <c r="H173" s="189" t="n"/>
      <c r="I173" s="189" t="n"/>
      <c r="J173" s="184">
        <f>H173+I173</f>
        <v/>
      </c>
      <c r="K173" s="189" t="n"/>
      <c r="L173" s="202">
        <f>J173-K173</f>
        <v/>
      </c>
      <c r="M173" s="223" t="n">
        <v>1942071.27</v>
      </c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七、局投资收益（局投资项目选填）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189" t="n"/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55" t="n"/>
      <c r="B175" s="235" t="n"/>
      <c r="C175" s="235" t="n"/>
      <c r="D175" s="231" t="inlineStr">
        <is>
          <t>八、研发费用</t>
        </is>
      </c>
      <c r="E175" s="236" t="n"/>
      <c r="F175" s="236" t="n"/>
      <c r="G175" s="236" t="n"/>
      <c r="H175" s="217" t="n"/>
      <c r="I175" s="217" t="n"/>
      <c r="J175" s="217">
        <f>H175+I175</f>
        <v/>
      </c>
      <c r="K175" s="217" t="n"/>
      <c r="L175" s="233">
        <f>J175-K175</f>
        <v/>
      </c>
      <c r="M175" s="238">
        <f>SUM(M176:M181)</f>
        <v/>
      </c>
      <c r="N175" s="238">
        <f>SUM(N176:N181)</f>
        <v/>
      </c>
      <c r="O175" s="238">
        <f>SUM(O176:O181)</f>
        <v/>
      </c>
      <c r="P175" s="238">
        <f>SUM(P176:P181)</f>
        <v/>
      </c>
      <c r="Q175" s="238">
        <f>SUM(Q176:Q181)</f>
        <v/>
      </c>
      <c r="R175" s="238">
        <f>SUM(R176:R181)</f>
        <v/>
      </c>
      <c r="S175" s="238">
        <f>SUM(S176:S181)</f>
        <v/>
      </c>
      <c r="T175" s="238">
        <f>SUM(T176:T181)</f>
        <v/>
      </c>
      <c r="U175" s="238">
        <f>SUM(U176:U181)</f>
        <v/>
      </c>
      <c r="V175" s="238">
        <f>SUM(V176:V181)</f>
        <v/>
      </c>
      <c r="W175" s="238">
        <f>SUM(W176:W181)</f>
        <v/>
      </c>
      <c r="X175" s="238">
        <f>SUM(X176:X181)</f>
        <v/>
      </c>
      <c r="Y175" s="238">
        <f>SUM(Y176:Y181)</f>
        <v/>
      </c>
      <c r="Z175" s="238">
        <f>SUM(Z176:Z181)</f>
        <v/>
      </c>
      <c r="AA175" s="238">
        <f>SUM(AA176:AA181)</f>
        <v/>
      </c>
      <c r="AB175" s="238">
        <f>SUM(AB176:AB181)</f>
        <v/>
      </c>
      <c r="AC175" s="238">
        <f>SUM(AC176:AC181)</f>
        <v/>
      </c>
      <c r="AD175" s="238">
        <f>SUM(AD176:AD181)</f>
        <v/>
      </c>
      <c r="AE175" s="238">
        <f>SUM(AE176:AE181)</f>
        <v/>
      </c>
      <c r="AF175" s="238">
        <f>SUM(AF176:AF181)</f>
        <v/>
      </c>
      <c r="AG175" s="238">
        <f>SUM(AG176:AG181)</f>
        <v/>
      </c>
      <c r="AH175" s="238">
        <f>SUM(AH176:AH181)</f>
        <v/>
      </c>
      <c r="AI175" s="238">
        <f>SUM(AI176:AI181)</f>
        <v/>
      </c>
      <c r="AJ175" s="238">
        <f>SUM(AJ176:AJ181)</f>
        <v/>
      </c>
      <c r="AK175" s="238">
        <f>SUM(AK176:AK181)</f>
        <v/>
      </c>
      <c r="AL175" s="239" t="n"/>
    </row>
    <row r="176">
      <c r="A176" s="206" t="n"/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9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9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9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33" t="n">
        <v>1</v>
      </c>
      <c r="B179" s="199" t="n"/>
      <c r="C179" s="199" t="n"/>
      <c r="D179" s="218" t="n"/>
      <c r="E179" s="212" t="n"/>
      <c r="F179" s="212" t="n"/>
      <c r="G179" s="212" t="n"/>
      <c r="H179" s="189" t="n"/>
      <c r="I179" s="189" t="n"/>
      <c r="J179" s="184">
        <f>H179+I179</f>
        <v/>
      </c>
      <c r="K179" s="189" t="n"/>
      <c r="L179" s="202">
        <f>J179-K179</f>
        <v/>
      </c>
      <c r="M179" s="189" t="n"/>
      <c r="N179" s="189" t="n"/>
      <c r="O179" s="189">
        <f>L179-M179</f>
        <v/>
      </c>
      <c r="P179" s="189">
        <f>K179-N179</f>
        <v/>
      </c>
      <c r="Q179" s="189">
        <f>M179+O179</f>
        <v/>
      </c>
      <c r="R179" s="189">
        <f>M179+N179+O179+P179</f>
        <v/>
      </c>
      <c r="S179" s="203">
        <f>SUM(T179:V179)</f>
        <v/>
      </c>
      <c r="T179" s="203" t="n"/>
      <c r="U179" s="203" t="n"/>
      <c r="V179" s="203" t="n"/>
      <c r="W179" s="203" t="n"/>
      <c r="X179" s="203" t="n"/>
      <c r="Y179" s="203" t="n"/>
      <c r="Z179" s="203" t="n"/>
      <c r="AA179" s="203" t="n"/>
      <c r="AB179" s="188" t="n"/>
      <c r="AC179" s="188" t="n"/>
      <c r="AD179" s="188" t="n"/>
      <c r="AE179" s="188" t="n"/>
      <c r="AF179" s="188" t="n"/>
      <c r="AG179" s="188" t="n"/>
      <c r="AH179" s="188" t="n"/>
      <c r="AI179" s="188" t="n"/>
      <c r="AJ179" s="188" t="n"/>
      <c r="AK179" s="188" t="n"/>
      <c r="AL179" s="214" t="n"/>
    </row>
    <row r="180">
      <c r="A180" s="33" t="n">
        <v>2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 t="n"/>
      <c r="K180" s="189" t="n"/>
      <c r="L180" s="202" t="n"/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3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41" t="n"/>
      <c r="B182" s="215" t="n"/>
      <c r="C182" s="215" t="n"/>
      <c r="D182" s="231" t="inlineStr">
        <is>
          <t>九、成本及费用合计（三+四+五+六+七）</t>
        </is>
      </c>
      <c r="E182" s="232" t="n"/>
      <c r="F182" s="232" t="n"/>
      <c r="G182" s="232" t="n"/>
      <c r="H182" s="217">
        <f>H170+H171+H172+H173+H174</f>
        <v/>
      </c>
      <c r="I182" s="217">
        <f>I170+I171+I172+I173+I174</f>
        <v/>
      </c>
      <c r="J182" s="242">
        <f>J170+J171+J172+J173+J174</f>
        <v/>
      </c>
      <c r="K182" s="217">
        <f>K170+K171+K172+K173+K174</f>
        <v/>
      </c>
      <c r="L182" s="243">
        <f>L170+L171+L172+L173+L174</f>
        <v/>
      </c>
      <c r="M182" s="243">
        <f>M170+M171+M172+M173+M174</f>
        <v/>
      </c>
      <c r="N182" s="243">
        <f>N170+N171+N172+N173+N174</f>
        <v/>
      </c>
      <c r="O182" s="243">
        <f>O170+O171+O172+O173+O174</f>
        <v/>
      </c>
      <c r="P182" s="243">
        <f>P170+P171+P172+P173+P174</f>
        <v/>
      </c>
      <c r="Q182" s="243">
        <f>Q170+Q171+Q172+Q173+Q174</f>
        <v/>
      </c>
      <c r="R182" s="243">
        <f>R170+R171+R172+R173+R174</f>
        <v/>
      </c>
      <c r="S182" s="238">
        <f>S170+S171+S172+S173+S174</f>
        <v/>
      </c>
      <c r="T182" s="238" t="n"/>
      <c r="U182" s="238" t="n"/>
      <c r="V182" s="238" t="n"/>
      <c r="W182" s="238" t="n"/>
      <c r="X182" s="238" t="n"/>
      <c r="Y182" s="238" t="n"/>
      <c r="Z182" s="238">
        <f>Z170+Z171+Z172+Z173+Z174</f>
        <v/>
      </c>
      <c r="AA182" s="238">
        <f>AA170+AA171+AA172+AA173+AA174</f>
        <v/>
      </c>
      <c r="AB182" s="244" t="n"/>
      <c r="AC182" s="244" t="n"/>
      <c r="AD182" s="244" t="n"/>
      <c r="AE182" s="244" t="n"/>
      <c r="AF182" s="244" t="n"/>
      <c r="AG182" s="244" t="n"/>
      <c r="AH182" s="244" t="n"/>
      <c r="AI182" s="244" t="n"/>
      <c r="AJ182" s="244" t="n"/>
      <c r="AK182" s="245" t="n"/>
      <c r="AL182" s="246" t="n"/>
    </row>
    <row r="183">
      <c r="A183" s="41" t="n"/>
      <c r="B183" s="215" t="n"/>
      <c r="C183" s="215" t="n"/>
      <c r="D183" s="231" t="inlineStr">
        <is>
          <t>十、增值税实际税负（按财务数据）</t>
        </is>
      </c>
      <c r="E183" s="232" t="inlineStr">
        <is>
          <t>根据财务账面实际已缴纳增值税额+尚需缴纳的增值税额</t>
        </is>
      </c>
      <c r="F183" s="232" t="n"/>
      <c r="G183" s="232" t="n"/>
      <c r="H183" s="217" t="n"/>
      <c r="I183" s="217" t="n"/>
      <c r="J183" s="242">
        <f>H78+I78</f>
        <v/>
      </c>
      <c r="K183" s="217" t="inlineStr">
        <is>
          <t>/</t>
        </is>
      </c>
      <c r="L183" s="243" t="inlineStr">
        <is>
          <t>/</t>
        </is>
      </c>
      <c r="M183" s="243" t="n"/>
      <c r="N183" s="243">
        <f>N6-N77</f>
        <v/>
      </c>
      <c r="O183" s="243" t="n"/>
      <c r="P183" s="243" t="n"/>
      <c r="Q183" s="243" t="inlineStr">
        <is>
          <t>/</t>
        </is>
      </c>
      <c r="R183" s="243">
        <f>N78+P78</f>
        <v/>
      </c>
      <c r="S183" s="238" t="n"/>
      <c r="T183" s="238" t="n"/>
      <c r="U183" s="238" t="n"/>
      <c r="V183" s="238" t="n"/>
      <c r="W183" s="238" t="n"/>
      <c r="X183" s="238" t="n"/>
      <c r="Y183" s="238" t="n"/>
      <c r="Z183" s="238" t="n"/>
      <c r="AA183" s="238" t="n"/>
      <c r="AB183" s="244" t="n"/>
      <c r="AC183" s="244" t="n"/>
      <c r="AD183" s="244" t="n"/>
      <c r="AE183" s="244" t="n"/>
      <c r="AF183" s="244" t="n"/>
      <c r="AG183" s="244" t="n"/>
      <c r="AH183" s="244" t="n"/>
      <c r="AI183" s="244" t="n"/>
      <c r="AJ183" s="244" t="n"/>
      <c r="AK183" s="245" t="n"/>
      <c r="AL183" s="246" t="n"/>
    </row>
    <row r="184">
      <c r="A184" s="41" t="n"/>
      <c r="B184" s="215" t="n"/>
      <c r="C184" s="215" t="n"/>
      <c r="D184" s="231" t="inlineStr">
        <is>
          <t>十一、税金及附加（按财务数据）</t>
        </is>
      </c>
      <c r="E184" s="232" t="inlineStr">
        <is>
          <t>根据财务账面实际已缴纳税金及附加+尚需缴纳的税金及附加</t>
        </is>
      </c>
      <c r="F184" s="232" t="n"/>
      <c r="G184" s="232" t="n"/>
      <c r="H184" s="217" t="n"/>
      <c r="I184" s="217" t="n"/>
      <c r="J184" s="242">
        <f>H79+I79</f>
        <v/>
      </c>
      <c r="K184" s="217" t="n"/>
      <c r="L184" s="243">
        <f>J79</f>
        <v/>
      </c>
      <c r="M184" s="247" t="n">
        <v>385874.26</v>
      </c>
      <c r="N184" s="243" t="n"/>
      <c r="O184" s="243">
        <f>L79-M79</f>
        <v/>
      </c>
      <c r="P184" s="243" t="n"/>
      <c r="Q184" s="243">
        <f>M79+O79</f>
        <v/>
      </c>
      <c r="R184" s="243">
        <f>Q79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4" t="n"/>
      <c r="AC184" s="244" t="n"/>
      <c r="AD184" s="244" t="n"/>
      <c r="AE184" s="244" t="n"/>
      <c r="AF184" s="244" t="n"/>
      <c r="AG184" s="244" t="n"/>
      <c r="AH184" s="244" t="n"/>
      <c r="AI184" s="244" t="n"/>
      <c r="AJ184" s="244" t="n"/>
      <c r="AK184" s="245" t="n"/>
      <c r="AL184" s="246" t="n"/>
    </row>
    <row r="185">
      <c r="A185" s="41" t="n"/>
      <c r="B185" s="215" t="n"/>
      <c r="C185" s="215" t="n"/>
      <c r="D185" s="231" t="inlineStr">
        <is>
          <t>十二、利润</t>
        </is>
      </c>
      <c r="E185" s="232" t="n"/>
      <c r="F185" s="232" t="n"/>
      <c r="G185" s="232" t="n"/>
      <c r="H185" s="217" t="n"/>
      <c r="I185" s="217" t="n"/>
      <c r="J185" s="242">
        <f>J6-J77-J78-J79</f>
        <v/>
      </c>
      <c r="K185" s="217" t="n"/>
      <c r="L185" s="243" t="n"/>
      <c r="M185" s="243" t="n"/>
      <c r="N185" s="243" t="n"/>
      <c r="O185" s="243" t="n"/>
      <c r="P185" s="243" t="n"/>
      <c r="Q185" s="243" t="n"/>
      <c r="R185" s="243" t="n"/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4" t="n"/>
      <c r="AC185" s="244" t="n"/>
      <c r="AD185" s="244" t="n"/>
      <c r="AE185" s="244" t="n"/>
      <c r="AF185" s="244" t="n"/>
      <c r="AG185" s="244" t="n"/>
      <c r="AH185" s="244" t="n"/>
      <c r="AI185" s="244" t="n"/>
      <c r="AJ185" s="244" t="n"/>
      <c r="AK185" s="245" t="n"/>
      <c r="AL185" s="246" t="n"/>
    </row>
    <row r="186">
      <c r="A186" s="105" t="n"/>
      <c r="B186" s="106" t="n"/>
      <c r="C186" s="106" t="n"/>
      <c r="D186" s="107" t="inlineStr">
        <is>
          <t>十三、利润率</t>
        </is>
      </c>
      <c r="E186" s="108" t="n"/>
      <c r="F186" s="108" t="n"/>
      <c r="G186" s="108" t="n"/>
      <c r="H186" s="109" t="n"/>
      <c r="I186" s="109" t="n"/>
      <c r="J186" s="109">
        <f>J80/J6</f>
        <v/>
      </c>
      <c r="K186" s="109" t="n"/>
      <c r="L186" s="127">
        <f>L80/L6</f>
        <v/>
      </c>
      <c r="M186" s="127">
        <f>M80/M6</f>
        <v/>
      </c>
      <c r="N186" s="127" t="n"/>
      <c r="O186" s="127" t="n"/>
      <c r="P186" s="127" t="n"/>
      <c r="Q186" s="127">
        <f>Q80/Q6</f>
        <v/>
      </c>
      <c r="R186" s="127">
        <f>R80/R6</f>
        <v/>
      </c>
      <c r="S186" s="142" t="n"/>
      <c r="T186" s="142" t="n"/>
      <c r="U186" s="142" t="n"/>
      <c r="V186" s="142" t="n"/>
      <c r="W186" s="142" t="n"/>
      <c r="X186" s="142" t="n"/>
      <c r="Y186" s="142" t="n"/>
      <c r="Z186" s="142" t="n"/>
      <c r="AA186" s="142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54" t="n"/>
      <c r="AL186" s="155" t="n"/>
    </row>
    <row r="187">
      <c r="A187" s="111" t="n"/>
      <c r="B187" s="111" t="n"/>
      <c r="C187" s="111" t="n"/>
      <c r="D187" s="112" t="n"/>
      <c r="E187" s="113" t="n"/>
      <c r="F187" s="113" t="n"/>
      <c r="G187" s="113" t="n"/>
      <c r="H187" s="248" t="n"/>
      <c r="I187" s="248" t="n"/>
      <c r="J187" s="249" t="inlineStr">
        <is>
          <t>含税利润率</t>
        </is>
      </c>
      <c r="K187" s="250" t="n"/>
      <c r="L187" s="251" t="inlineStr">
        <is>
          <t>不含税利润率</t>
        </is>
      </c>
      <c r="M187" s="252" t="n"/>
      <c r="N187" s="252" t="n"/>
      <c r="O187" s="252" t="n"/>
      <c r="P187" s="252" t="n"/>
      <c r="Q187" s="252" t="n"/>
      <c r="R187" s="252" t="n"/>
      <c r="S187" s="252" t="n"/>
      <c r="T187" s="252" t="n"/>
      <c r="U187" s="252" t="n"/>
      <c r="V187" s="252" t="n"/>
      <c r="W187" s="252" t="n"/>
      <c r="X187" s="252" t="n"/>
      <c r="Y187" s="252" t="n"/>
      <c r="Z187" s="253" t="n"/>
      <c r="AA187" s="162" t="n"/>
      <c r="AB187" s="254" t="n"/>
      <c r="AC187" s="254" t="n"/>
      <c r="AD187" s="254" t="n"/>
      <c r="AE187" s="254" t="n"/>
      <c r="AF187" s="254" t="n"/>
      <c r="AG187" s="254" t="n"/>
      <c r="AH187" s="254" t="n"/>
      <c r="AI187" s="254" t="n"/>
      <c r="AJ187" s="254" t="n"/>
      <c r="AK187" s="254" t="n"/>
      <c r="AL187" s="156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48" t="n"/>
      <c r="I188" s="248" t="n"/>
      <c r="J188" s="255" t="n"/>
      <c r="K188" s="248" t="n"/>
      <c r="L188" s="256" t="n"/>
      <c r="M188" s="252" t="n"/>
      <c r="N188" s="252" t="n"/>
      <c r="O188" s="252" t="n"/>
      <c r="P188" s="252" t="n"/>
      <c r="Q188" s="252" t="n"/>
      <c r="R188" s="252" t="n"/>
      <c r="S188" s="252" t="n"/>
      <c r="T188" s="252" t="n"/>
      <c r="U188" s="252" t="n"/>
      <c r="V188" s="252" t="n"/>
      <c r="W188" s="252" t="n"/>
      <c r="X188" s="252" t="n"/>
      <c r="Y188" s="252" t="n"/>
      <c r="Z188" s="253" t="n"/>
      <c r="AA188" s="162" t="n"/>
      <c r="AB188" s="254" t="n"/>
      <c r="AC188" s="254" t="n"/>
      <c r="AD188" s="254" t="n"/>
      <c r="AE188" s="254" t="n"/>
      <c r="AF188" s="254" t="n"/>
      <c r="AG188" s="254" t="n"/>
      <c r="AH188" s="254" t="n"/>
      <c r="AI188" s="254" t="n"/>
      <c r="AJ188" s="254" t="n"/>
      <c r="AK188" s="254" t="n"/>
      <c r="AL188" s="156" t="n"/>
    </row>
    <row r="189">
      <c r="A189" s="116" t="n"/>
      <c r="B189" s="116" t="n"/>
      <c r="C189" s="116" t="n"/>
      <c r="D189" s="117" t="n"/>
      <c r="E189" s="118" t="n"/>
      <c r="F189" s="118" t="n"/>
      <c r="G189" s="118" t="n"/>
      <c r="H189" s="119" t="n"/>
      <c r="I189" s="119" t="n"/>
      <c r="J189" s="134" t="n"/>
      <c r="K189" s="257" t="n"/>
      <c r="L189" s="257" t="n"/>
      <c r="M189" s="258" t="n"/>
      <c r="N189" s="257" t="n"/>
      <c r="O189" s="257" t="n"/>
      <c r="P189" s="259" t="n"/>
      <c r="Q189" s="259" t="n"/>
      <c r="R189" s="257" t="n"/>
      <c r="S189" s="260" t="n"/>
      <c r="T189" s="260" t="n"/>
      <c r="U189" s="260" t="n"/>
      <c r="V189" s="260" t="n"/>
      <c r="W189" s="260" t="n"/>
      <c r="X189" s="260" t="n"/>
      <c r="Y189" s="260" t="n"/>
      <c r="Z189" s="261" t="n"/>
      <c r="AA189" s="262" t="n"/>
      <c r="AD189" s="263" t="n"/>
      <c r="AE189" s="263" t="n"/>
      <c r="AF189" s="263" t="n"/>
      <c r="AG189" s="263" t="n"/>
      <c r="AH189" s="263" t="n"/>
      <c r="AI189" s="263" t="n"/>
      <c r="AJ189" s="263" t="n"/>
      <c r="AK189" s="263" t="n"/>
      <c r="AL189" s="121" t="n"/>
    </row>
    <row r="190">
      <c r="A190" s="121" t="n"/>
      <c r="B190" s="121" t="n"/>
      <c r="C190" s="121" t="n"/>
      <c r="D190" s="121" t="n"/>
      <c r="E190" s="122" t="n"/>
      <c r="F190" s="122" t="n"/>
      <c r="G190" s="122" t="n"/>
      <c r="H190" s="122" t="n"/>
      <c r="I190" s="122" t="n"/>
      <c r="J190" s="122" t="n"/>
      <c r="K190" s="264" t="n"/>
      <c r="L190" s="122" t="n"/>
      <c r="M190" s="265" t="n"/>
      <c r="N190" s="265" t="n"/>
      <c r="O190" s="265" t="n"/>
      <c r="P190" s="265" t="n"/>
      <c r="Q190" s="265" t="n"/>
      <c r="R190" s="265" t="n"/>
      <c r="S190" s="260" t="n"/>
      <c r="T190" s="260" t="n"/>
      <c r="U190" s="260" t="n"/>
      <c r="V190" s="260" t="n"/>
      <c r="W190" s="260" t="n"/>
      <c r="X190" s="260" t="n"/>
      <c r="Y190" s="260" t="n"/>
      <c r="Z190" s="265" t="n"/>
      <c r="AA190" s="263" t="n"/>
      <c r="AB190" s="263" t="n"/>
      <c r="AC190" s="263" t="n"/>
      <c r="AD190" s="263" t="n"/>
      <c r="AE190" s="263" t="n"/>
      <c r="AF190" s="263" t="n"/>
      <c r="AG190" s="263" t="n"/>
      <c r="AH190" s="263" t="n"/>
      <c r="AI190" s="263" t="n"/>
      <c r="AJ190" s="263" t="n"/>
      <c r="AK190" s="263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4" t="n"/>
      <c r="L191" s="122" t="n"/>
      <c r="M191" s="265" t="n"/>
      <c r="N191" s="265" t="n"/>
      <c r="O191" s="265" t="n"/>
      <c r="P191" s="265" t="n"/>
      <c r="Q191" s="265" t="n"/>
      <c r="R191" s="265" t="n"/>
      <c r="S191" s="260" t="n"/>
      <c r="T191" s="260" t="n"/>
      <c r="U191" s="260" t="n"/>
      <c r="V191" s="260" t="n"/>
      <c r="W191" s="260" t="n"/>
      <c r="X191" s="260" t="n"/>
      <c r="Y191" s="260" t="n"/>
      <c r="Z191" s="265" t="n"/>
      <c r="AA191" s="263" t="n"/>
      <c r="AB191" s="263" t="n"/>
      <c r="AC191" s="263" t="n"/>
      <c r="AD191" s="263" t="n"/>
      <c r="AE191" s="263" t="n"/>
      <c r="AF191" s="263" t="n"/>
      <c r="AG191" s="263" t="n"/>
      <c r="AH191" s="263" t="n"/>
      <c r="AI191" s="263" t="n"/>
      <c r="AJ191" s="263" t="n"/>
      <c r="AK191" s="263" t="n"/>
      <c r="AL191" s="121" t="n"/>
    </row>
    <row r="192">
      <c r="A192" s="121" t="n"/>
      <c r="B192" s="121" t="n"/>
      <c r="C192" s="121" t="n"/>
      <c r="D192" s="121" t="n"/>
      <c r="E192" s="123" t="n"/>
      <c r="F192" s="123" t="n"/>
      <c r="G192" s="123" t="n"/>
      <c r="H192" s="122" t="n"/>
      <c r="I192" s="122" t="n"/>
      <c r="J192" s="122" t="n"/>
      <c r="K192" s="123" t="n"/>
      <c r="L192" s="122" t="n"/>
      <c r="M192" s="265" t="n"/>
      <c r="N192" s="261" t="n"/>
      <c r="O192" s="265" t="n"/>
      <c r="P192" s="265" t="n"/>
      <c r="Q192" s="265" t="n"/>
      <c r="R192" s="257" t="n"/>
      <c r="S192" s="260" t="n"/>
      <c r="T192" s="260" t="n"/>
      <c r="U192" s="260" t="n"/>
      <c r="V192" s="260" t="n"/>
      <c r="W192" s="260" t="n"/>
      <c r="X192" s="260" t="n"/>
      <c r="Y192" s="260" t="n"/>
      <c r="Z192" s="265" t="n"/>
      <c r="AA192" s="263" t="n"/>
      <c r="AB192" s="263" t="n"/>
      <c r="AC192" s="263" t="n"/>
      <c r="AD192" s="263" t="n"/>
      <c r="AE192" s="263" t="n"/>
      <c r="AF192" s="263" t="n"/>
      <c r="AG192" s="263" t="n"/>
      <c r="AH192" s="263" t="n"/>
      <c r="AI192" s="263" t="n"/>
      <c r="AJ192" s="263" t="n"/>
      <c r="AK192" s="263" t="n"/>
      <c r="AL19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2026-04-21T05:48:44Z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