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1" authorId="1" shapeId="0">
      <text>
        <t xml:space="preserve">**同财务账面合同履约成本/工程施工成本/机械租赁费数据一致**
</t>
      </text>
    </comment>
    <comment ref="M77" authorId="0" shapeId="0">
      <text>
        <t>于:
**同财务账面合同履约成本/工程施工成本其他直接费数据一致**</t>
      </text>
    </comment>
    <comment ref="M115" authorId="1" shapeId="0">
      <text>
        <t>**同财务账面合同履约成本/工程施工成本/间接费数据一致**</t>
      </text>
    </comment>
    <comment ref="D123" authorId="2" shapeId="0">
      <text>
        <t>（在建：房建0.6%，其它0.4%；在保修期间的按0.3~0.5%自行确定;保修期结束为0）</t>
      </text>
    </comment>
    <comment ref="E13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2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/>
      <c r="B13" s="173" t="n"/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3" t="n"/>
      <c r="L13" s="173" t="n"/>
      <c r="M13" s="175">
        <f>K13-N13</f>
        <v/>
      </c>
      <c r="N13" s="173" t="n"/>
      <c r="O13" s="173">
        <f>L13-M13</f>
        <v/>
      </c>
      <c r="P13" s="173" t="n"/>
      <c r="Q13" s="173">
        <f>M13+O13</f>
        <v/>
      </c>
      <c r="R13" s="173">
        <f>M13+N13+O13+P13</f>
        <v/>
      </c>
      <c r="S13" s="173" t="n"/>
      <c r="T13" s="173" t="n"/>
      <c r="U13" s="173" t="n"/>
      <c r="V13" s="173" t="n"/>
    </row>
    <row r="14" ht="14" customHeight="1" s="139">
      <c r="A14" s="173" t="n"/>
      <c r="B14" s="173" t="n"/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5">
        <f>K14-N14</f>
        <v/>
      </c>
      <c r="N14" s="173" t="n"/>
      <c r="O14" s="173">
        <f>L14-M14</f>
        <v/>
      </c>
      <c r="P14" s="173" t="n"/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/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3" t="n"/>
      <c r="L15" s="173" t="n"/>
      <c r="M15" s="175">
        <f>K15-N15</f>
        <v/>
      </c>
      <c r="N15" s="173" t="n"/>
      <c r="O15" s="173">
        <f>L15-M15</f>
        <v/>
      </c>
      <c r="P15" s="173" t="n"/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/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3" t="n"/>
      <c r="L16" s="173" t="n"/>
      <c r="M16" s="175">
        <f>K16-N16</f>
        <v/>
      </c>
      <c r="N16" s="173" t="n"/>
      <c r="O16" s="173">
        <f>L16-M16</f>
        <v/>
      </c>
      <c r="P16" s="173" t="n"/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/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3" t="n"/>
      <c r="L17" s="173" t="n"/>
      <c r="M17" s="175">
        <f>K17-N17</f>
        <v/>
      </c>
      <c r="N17" s="173" t="n"/>
      <c r="O17" s="173">
        <f>L17-M17</f>
        <v/>
      </c>
      <c r="P17" s="173" t="n"/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/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3" t="n"/>
      <c r="L18" s="173" t="n"/>
      <c r="M18" s="175">
        <f>K18-N18</f>
        <v/>
      </c>
      <c r="N18" s="173" t="n"/>
      <c r="O18" s="173">
        <f>L18-M18</f>
        <v/>
      </c>
      <c r="P18" s="173" t="n"/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/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3" t="n"/>
      <c r="L19" s="173" t="n"/>
      <c r="M19" s="175">
        <f>K19-N19</f>
        <v/>
      </c>
      <c r="N19" s="173" t="n"/>
      <c r="O19" s="173">
        <f>L19-M19</f>
        <v/>
      </c>
      <c r="P19" s="173" t="n"/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6" t="n"/>
      <c r="M20" s="166" t="n"/>
      <c r="N20" s="166" t="n"/>
      <c r="O20" s="166">
        <f>L20-M20</f>
        <v/>
      </c>
      <c r="P20" s="166">
        <f>K16-N16</f>
        <v/>
      </c>
      <c r="Q20" s="166">
        <f>M20+O20</f>
        <v/>
      </c>
      <c r="R20" s="166">
        <f>M20+N20+O20+P20</f>
        <v/>
      </c>
      <c r="S20" s="172">
        <f>SUM(T16:V16)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7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78">
        <f>SUM(E12:E20)</f>
        <v/>
      </c>
      <c r="F21" s="178">
        <f>SUM(F12:F20)</f>
        <v/>
      </c>
      <c r="G21" s="178">
        <f>SUM(G12:G20)</f>
        <v/>
      </c>
      <c r="H21" s="178">
        <f>SUM(H12:H20)</f>
        <v/>
      </c>
      <c r="I21" s="178">
        <f>SUM(I12:I20)</f>
        <v/>
      </c>
      <c r="J21" s="178">
        <f>SUM(J12:J20)</f>
        <v/>
      </c>
      <c r="K21" s="178">
        <f>SUM(K12:K20)</f>
        <v/>
      </c>
      <c r="L21" s="178">
        <f>SUM(L12:L20)</f>
        <v/>
      </c>
      <c r="M21" s="178">
        <f>SUM(M12:M20)</f>
        <v/>
      </c>
      <c r="N21" s="178">
        <f>SUM(N12:N20)</f>
        <v/>
      </c>
      <c r="O21" s="178">
        <f>SUM(O12:O20)</f>
        <v/>
      </c>
      <c r="P21" s="178">
        <f>SUM(P12:P20)</f>
        <v/>
      </c>
      <c r="Q21" s="178">
        <f>SUM(Q12:Q20)</f>
        <v/>
      </c>
      <c r="R21" s="178">
        <f>SUM(R12:R20)</f>
        <v/>
      </c>
      <c r="S21" s="178">
        <f>SUM(S12:S20)</f>
        <v/>
      </c>
      <c r="T21" s="178">
        <f>SUM(T12:T20)</f>
        <v/>
      </c>
      <c r="U21" s="178">
        <f>SUM(U12:U20)</f>
        <v/>
      </c>
      <c r="V21" s="178">
        <f>SUM(V12:V20)</f>
        <v/>
      </c>
      <c r="W21" s="178">
        <f>SUM(W12:W20)</f>
        <v/>
      </c>
      <c r="X21" s="178">
        <f>SUM(X12:X20)</f>
        <v/>
      </c>
      <c r="Y21" s="178">
        <f>SUM(Y12:Y20)</f>
        <v/>
      </c>
      <c r="Z21" s="178">
        <f>SUM(Z12:Z20)</f>
        <v/>
      </c>
      <c r="AA21" s="178">
        <f>SUM(AA12:AA20)</f>
        <v/>
      </c>
      <c r="AB21" s="178">
        <f>SUM(AB12:AB20)</f>
        <v/>
      </c>
      <c r="AC21" s="178">
        <f>SUM(AC12:AC20)</f>
        <v/>
      </c>
      <c r="AD21" s="178">
        <f>SUM(AD12:AD20)</f>
        <v/>
      </c>
      <c r="AE21" s="178">
        <f>SUM(AE12:AE20)</f>
        <v/>
      </c>
      <c r="AF21" s="178">
        <f>SUM(AF12:AF20)</f>
        <v/>
      </c>
      <c r="AG21" s="178">
        <f>SUM(AG12:AG20)</f>
        <v/>
      </c>
      <c r="AH21" s="178">
        <f>SUM(AH12:AH20)</f>
        <v/>
      </c>
      <c r="AI21" s="178">
        <f>SUM(AI12:AI20)</f>
        <v/>
      </c>
      <c r="AJ21" s="178">
        <f>SUM(AJ12:AJ20)</f>
        <v/>
      </c>
      <c r="AK21" s="178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6" t="n"/>
      <c r="M22" s="166" t="n"/>
      <c r="N22" s="166" t="n"/>
      <c r="O22" s="166">
        <f>L18-M18</f>
        <v/>
      </c>
      <c r="P22" s="166">
        <f>K18-N18</f>
        <v/>
      </c>
      <c r="Q22" s="166">
        <f>M18+O18</f>
        <v/>
      </c>
      <c r="R22" s="166">
        <f>M18+N18+O18+P18</f>
        <v/>
      </c>
      <c r="S22" s="172">
        <f>SUM(T18:V18)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/>
      <c r="B23" s="173" t="n"/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3" t="n"/>
      <c r="L23" s="173" t="n"/>
      <c r="M23" s="175">
        <f>K23-N23</f>
        <v/>
      </c>
      <c r="N23" s="173" t="n"/>
      <c r="O23" s="173">
        <f>L23-M23</f>
        <v/>
      </c>
      <c r="P23" s="173" t="n"/>
      <c r="Q23" s="173">
        <f>M23+O23</f>
        <v/>
      </c>
      <c r="R23" s="173">
        <f>M23+N23+O23+P23</f>
        <v/>
      </c>
      <c r="S23" s="173" t="n"/>
      <c r="T23" s="173" t="n"/>
      <c r="U23" s="173" t="n"/>
      <c r="V23" s="173" t="n"/>
    </row>
    <row r="24" ht="14" customHeight="1" s="139">
      <c r="A24" s="173" t="n"/>
      <c r="B24" s="173" t="n"/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3" t="n"/>
      <c r="L24" s="173" t="n"/>
      <c r="M24" s="175">
        <f>K24-N24</f>
        <v/>
      </c>
      <c r="N24" s="173" t="n"/>
      <c r="O24" s="173">
        <f>L24-M24</f>
        <v/>
      </c>
      <c r="P24" s="173" t="n"/>
      <c r="Q24" s="173">
        <f>M24+O24</f>
        <v/>
      </c>
      <c r="R24" s="173">
        <f>M24+N24+O24+P24</f>
        <v/>
      </c>
      <c r="S24" s="173" t="n"/>
      <c r="T24" s="173" t="n"/>
      <c r="U24" s="173" t="n"/>
      <c r="V24" s="173" t="n"/>
    </row>
    <row r="25" ht="14" customHeight="1" s="139">
      <c r="A25" s="173" t="n"/>
      <c r="B25" s="173" t="n"/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3" t="n"/>
      <c r="L25" s="173" t="n"/>
      <c r="M25" s="175">
        <f>K25-N25</f>
        <v/>
      </c>
      <c r="N25" s="173" t="n"/>
      <c r="O25" s="173">
        <f>L25-M25</f>
        <v/>
      </c>
      <c r="P25" s="173" t="n"/>
      <c r="Q25" s="173">
        <f>M25+O25</f>
        <v/>
      </c>
      <c r="R25" s="173">
        <f>M25+N25+O25+P25</f>
        <v/>
      </c>
      <c r="S25" s="173" t="n"/>
      <c r="T25" s="173" t="n"/>
      <c r="U25" s="173" t="n"/>
      <c r="V25" s="173" t="n"/>
    </row>
    <row r="26" ht="14" customHeight="1" s="139">
      <c r="A26" s="173" t="n"/>
      <c r="B26" s="173" t="n"/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3" t="n"/>
      <c r="L26" s="173" t="n"/>
      <c r="M26" s="175">
        <f>K26-N26</f>
        <v/>
      </c>
      <c r="N26" s="173" t="n"/>
      <c r="O26" s="173">
        <f>L26-M26</f>
        <v/>
      </c>
      <c r="P26" s="173" t="n"/>
      <c r="Q26" s="173">
        <f>M26+O26</f>
        <v/>
      </c>
      <c r="R26" s="173">
        <f>M26+N26+O26+P26</f>
        <v/>
      </c>
      <c r="S26" s="173" t="n"/>
      <c r="T26" s="173" t="n"/>
      <c r="U26" s="173" t="n"/>
      <c r="V26" s="173" t="n"/>
    </row>
    <row r="27" ht="14" customHeight="1" s="139">
      <c r="A27" s="173" t="n"/>
      <c r="B27" s="173" t="n"/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3" t="n"/>
      <c r="L27" s="173" t="n"/>
      <c r="M27" s="175">
        <f>K27-N27</f>
        <v/>
      </c>
      <c r="N27" s="173" t="n"/>
      <c r="O27" s="173">
        <f>L27-M27</f>
        <v/>
      </c>
      <c r="P27" s="173" t="n"/>
      <c r="Q27" s="173">
        <f>M27+O27</f>
        <v/>
      </c>
      <c r="R27" s="173">
        <f>M27+N27+O27+P27</f>
        <v/>
      </c>
      <c r="S27" s="173" t="n"/>
      <c r="T27" s="173" t="n"/>
      <c r="U27" s="173" t="n"/>
      <c r="V27" s="173" t="n"/>
    </row>
    <row r="28" ht="14" customHeight="1" s="139">
      <c r="A28" s="173" t="n"/>
      <c r="B28" s="173" t="n"/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3" t="n"/>
      <c r="L28" s="173" t="n"/>
      <c r="M28" s="175">
        <f>K28-N28</f>
        <v/>
      </c>
      <c r="N28" s="173" t="n"/>
      <c r="O28" s="173">
        <f>L28-M28</f>
        <v/>
      </c>
      <c r="P28" s="173" t="n"/>
      <c r="Q28" s="173">
        <f>M28+O28</f>
        <v/>
      </c>
      <c r="R28" s="173">
        <f>M28+N28+O28+P28</f>
        <v/>
      </c>
      <c r="S28" s="173" t="n"/>
      <c r="T28" s="173" t="n"/>
      <c r="U28" s="173" t="n"/>
      <c r="V28" s="173" t="n"/>
    </row>
    <row r="29" ht="14" customHeight="1" s="139">
      <c r="A29" s="173" t="n"/>
      <c r="B29" s="173" t="n"/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3" t="n"/>
      <c r="L29" s="173" t="n"/>
      <c r="M29" s="175">
        <f>K29-N29</f>
        <v/>
      </c>
      <c r="N29" s="173" t="n"/>
      <c r="O29" s="173">
        <f>L29-M29</f>
        <v/>
      </c>
      <c r="P29" s="173" t="n"/>
      <c r="Q29" s="173">
        <f>M29+O29</f>
        <v/>
      </c>
      <c r="R29" s="173">
        <f>M29+N29+O29+P29</f>
        <v/>
      </c>
      <c r="S29" s="173" t="n"/>
      <c r="T29" s="173" t="n"/>
      <c r="U29" s="173" t="n"/>
      <c r="V29" s="173" t="n"/>
    </row>
    <row r="30" ht="14" customHeight="1" s="139">
      <c r="A30" s="173" t="n"/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3" t="n"/>
      <c r="L30" s="173" t="n"/>
      <c r="M30" s="175">
        <f>K30-N30</f>
        <v/>
      </c>
      <c r="N30" s="173" t="n"/>
      <c r="O30" s="173">
        <f>L30-M30</f>
        <v/>
      </c>
      <c r="P30" s="173" t="n"/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/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3" t="n"/>
      <c r="L31" s="173" t="n"/>
      <c r="M31" s="175">
        <f>K31-N31</f>
        <v/>
      </c>
      <c r="N31" s="173" t="n"/>
      <c r="O31" s="173">
        <f>L31-M31</f>
        <v/>
      </c>
      <c r="P31" s="173" t="n"/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79" t="n"/>
      <c r="F32" s="179" t="n"/>
      <c r="G32" s="179" t="n"/>
      <c r="H32" s="166" t="n"/>
      <c r="I32" s="166" t="n"/>
      <c r="J32" s="166" t="n"/>
      <c r="K32" s="170" t="n"/>
      <c r="L32" s="176" t="n"/>
      <c r="M32" s="166" t="n"/>
      <c r="N32" s="166" t="n"/>
      <c r="O32" s="166">
        <f>L32-M32</f>
        <v/>
      </c>
      <c r="P32" s="166">
        <f>K22-N22</f>
        <v/>
      </c>
      <c r="Q32" s="166">
        <f>M32+O32</f>
        <v/>
      </c>
      <c r="R32" s="166">
        <f>M32+N32+O32+P32</f>
        <v/>
      </c>
      <c r="S32" s="172">
        <f>SUM(T22:V22)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78">
        <f>SUM(E22:E32)</f>
        <v/>
      </c>
      <c r="F33" s="178">
        <f>SUM(F22:F32)</f>
        <v/>
      </c>
      <c r="G33" s="178">
        <f>SUM(G22:G32)</f>
        <v/>
      </c>
      <c r="H33" s="178">
        <f>SUM(H22:H32)</f>
        <v/>
      </c>
      <c r="I33" s="178">
        <f>SUM(I22:I32)</f>
        <v/>
      </c>
      <c r="J33" s="178">
        <f>SUM(J22:J32)</f>
        <v/>
      </c>
      <c r="K33" s="178">
        <f>SUM(K22:K32)</f>
        <v/>
      </c>
      <c r="L33" s="178">
        <f>SUM(L22:L32)</f>
        <v/>
      </c>
      <c r="M33" s="178">
        <f>SUM(M22:M32)</f>
        <v/>
      </c>
      <c r="N33" s="178">
        <f>SUM(N22:N32)</f>
        <v/>
      </c>
      <c r="O33" s="178">
        <f>SUM(O22:O32)</f>
        <v/>
      </c>
      <c r="P33" s="178">
        <f>SUM(P22:P32)</f>
        <v/>
      </c>
      <c r="Q33" s="178">
        <f>SUM(Q22:Q32)</f>
        <v/>
      </c>
      <c r="R33" s="178">
        <f>SUM(R22:R32)</f>
        <v/>
      </c>
      <c r="S33" s="178">
        <f>SUM(S22:S32)</f>
        <v/>
      </c>
      <c r="T33" s="178">
        <f>SUM(T22:T32)</f>
        <v/>
      </c>
      <c r="U33" s="178">
        <f>SUM(U22:U32)</f>
        <v/>
      </c>
      <c r="V33" s="178">
        <f>SUM(V22:V32)</f>
        <v/>
      </c>
      <c r="W33" s="178">
        <f>SUM(W22:W32)</f>
        <v/>
      </c>
      <c r="X33" s="178">
        <f>SUM(X22:X32)</f>
        <v/>
      </c>
      <c r="Y33" s="178">
        <f>SUM(Y22:Y32)</f>
        <v/>
      </c>
      <c r="Z33" s="178">
        <f>SUM(Z22:Z32)</f>
        <v/>
      </c>
      <c r="AA33" s="178">
        <f>SUM(AA22:AA32)</f>
        <v/>
      </c>
      <c r="AB33" s="178">
        <f>SUM(AB22:AB32)</f>
        <v/>
      </c>
      <c r="AC33" s="178">
        <f>SUM(AC22:AC32)</f>
        <v/>
      </c>
      <c r="AD33" s="178">
        <f>SUM(AD22:AD32)</f>
        <v/>
      </c>
      <c r="AE33" s="178">
        <f>SUM(AE22:AE32)</f>
        <v/>
      </c>
      <c r="AF33" s="178">
        <f>SUM(AF22:AF32)</f>
        <v/>
      </c>
      <c r="AG33" s="178">
        <f>SUM(AG22:AG32)</f>
        <v/>
      </c>
      <c r="AH33" s="178">
        <f>SUM(AH22:AH32)</f>
        <v/>
      </c>
      <c r="AI33" s="178">
        <f>SUM(AI22:AI32)</f>
        <v/>
      </c>
      <c r="AJ33" s="178">
        <f>SUM(AJ22:AJ32)</f>
        <v/>
      </c>
      <c r="AK33" s="178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6" t="n"/>
      <c r="M34" s="166" t="n"/>
      <c r="N34" s="166" t="n"/>
      <c r="O34" s="166">
        <f>L24-M24</f>
        <v/>
      </c>
      <c r="P34" s="166">
        <f>K24-N24</f>
        <v/>
      </c>
      <c r="Q34" s="166">
        <f>M24+O24</f>
        <v/>
      </c>
      <c r="R34" s="166">
        <f>M24+N24+O24+P24</f>
        <v/>
      </c>
      <c r="S34" s="172">
        <f>SUM(T24:V24)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0" t="n"/>
      <c r="AC34" s="180" t="n"/>
      <c r="AD34" s="180" t="n"/>
      <c r="AE34" s="180" t="n"/>
      <c r="AF34" s="180" t="n"/>
      <c r="AG34" s="180" t="n"/>
      <c r="AH34" s="180" t="n"/>
      <c r="AI34" s="180" t="n"/>
      <c r="AJ34" s="180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6" t="n"/>
      <c r="M35" s="166" t="n"/>
      <c r="N35" s="166" t="n"/>
      <c r="O35" s="166">
        <f>L25-M25</f>
        <v/>
      </c>
      <c r="P35" s="166">
        <f>K25-N25</f>
        <v/>
      </c>
      <c r="Q35" s="166">
        <f>M25+O25</f>
        <v/>
      </c>
      <c r="R35" s="166">
        <f>M25+N25+O25+P25</f>
        <v/>
      </c>
      <c r="S35" s="172">
        <f>SUM(T25:V25)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0" t="n"/>
      <c r="AC35" s="180" t="n"/>
      <c r="AD35" s="180" t="n"/>
      <c r="AE35" s="180" t="n"/>
      <c r="AF35" s="180" t="n"/>
      <c r="AG35" s="180" t="n"/>
      <c r="AH35" s="180" t="n"/>
      <c r="AI35" s="180" t="n"/>
      <c r="AJ35" s="180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>
        <v>1</v>
      </c>
      <c r="B36" s="21" t="n"/>
      <c r="C36" s="21" t="n"/>
      <c r="D36" s="181" t="n"/>
      <c r="E36" s="177" t="n"/>
      <c r="F36" s="177" t="n"/>
      <c r="G36" s="177" t="n"/>
      <c r="H36" s="166" t="n"/>
      <c r="I36" s="166" t="n"/>
      <c r="J36" s="166" t="n"/>
      <c r="K36" s="170" t="n"/>
      <c r="L36" s="176" t="n"/>
      <c r="M36" s="166" t="n"/>
      <c r="N36" s="166" t="n"/>
      <c r="O36" s="166">
        <f>L26-M26</f>
        <v/>
      </c>
      <c r="P36" s="166">
        <f>K26-N26</f>
        <v/>
      </c>
      <c r="Q36" s="166">
        <f>M26+O26</f>
        <v/>
      </c>
      <c r="R36" s="166">
        <f>M26+N26+O26+P26</f>
        <v/>
      </c>
      <c r="S36" s="172">
        <f>SUM(T26:V26)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0" t="n"/>
      <c r="AC36" s="180" t="n"/>
      <c r="AD36" s="180" t="n"/>
      <c r="AE36" s="180" t="n"/>
      <c r="AF36" s="180" t="n"/>
      <c r="AG36" s="180" t="n"/>
      <c r="AH36" s="180" t="n"/>
      <c r="AI36" s="180" t="n"/>
      <c r="AJ36" s="180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>
        <v>2</v>
      </c>
      <c r="B37" s="21" t="n"/>
      <c r="C37" s="21" t="n"/>
      <c r="D37" s="181" t="n"/>
      <c r="E37" s="177" t="n"/>
      <c r="F37" s="177" t="n"/>
      <c r="G37" s="177" t="n"/>
      <c r="H37" s="166" t="n"/>
      <c r="I37" s="166" t="n"/>
      <c r="J37" s="166" t="n"/>
      <c r="K37" s="170" t="n"/>
      <c r="L37" s="176" t="n"/>
      <c r="M37" s="166" t="n"/>
      <c r="N37" s="166" t="n"/>
      <c r="O37" s="166">
        <f>L27-M27</f>
        <v/>
      </c>
      <c r="P37" s="166">
        <f>K27-N27</f>
        <v/>
      </c>
      <c r="Q37" s="166">
        <f>M27+O27</f>
        <v/>
      </c>
      <c r="R37" s="166">
        <f>M27+N27+O27+P27</f>
        <v/>
      </c>
      <c r="S37" s="172">
        <f>SUM(T27:V27)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0" t="n"/>
      <c r="AC37" s="180" t="n"/>
      <c r="AD37" s="180" t="n"/>
      <c r="AE37" s="180" t="n"/>
      <c r="AF37" s="180" t="n"/>
      <c r="AG37" s="180" t="n"/>
      <c r="AH37" s="180" t="n"/>
      <c r="AI37" s="180" t="n"/>
      <c r="AJ37" s="180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>
        <v>3</v>
      </c>
      <c r="B38" s="21" t="n"/>
      <c r="C38" s="21" t="n"/>
      <c r="D38" s="181" t="n"/>
      <c r="E38" s="177" t="n"/>
      <c r="F38" s="177" t="n"/>
      <c r="G38" s="177" t="n"/>
      <c r="H38" s="166" t="n"/>
      <c r="I38" s="166" t="n"/>
      <c r="J38" s="166" t="n"/>
      <c r="K38" s="170" t="n"/>
      <c r="L38" s="176" t="n"/>
      <c r="M38" s="166" t="n"/>
      <c r="N38" s="166" t="n"/>
      <c r="O38" s="166">
        <f>L28-M28</f>
        <v/>
      </c>
      <c r="P38" s="166">
        <f>K28-N28</f>
        <v/>
      </c>
      <c r="Q38" s="166">
        <f>M28+O28</f>
        <v/>
      </c>
      <c r="R38" s="166">
        <f>M28+N28+O28+P28</f>
        <v/>
      </c>
      <c r="S38" s="172">
        <f>SUM(T28:V28)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0" t="n"/>
      <c r="AC38" s="180" t="n"/>
      <c r="AD38" s="180" t="n"/>
      <c r="AE38" s="180" t="n"/>
      <c r="AF38" s="180" t="n"/>
      <c r="AG38" s="180" t="n"/>
      <c r="AH38" s="180" t="n"/>
      <c r="AI38" s="180" t="n"/>
      <c r="AJ38" s="180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79" t="n"/>
      <c r="F39" s="179" t="n"/>
      <c r="G39" s="179" t="n"/>
      <c r="H39" s="166" t="n">
        <v>0</v>
      </c>
      <c r="I39" s="166" t="n"/>
      <c r="J39" s="166" t="n"/>
      <c r="K39" s="170" t="n"/>
      <c r="L39" s="176" t="n"/>
      <c r="M39" s="166" t="n"/>
      <c r="N39" s="166" t="n"/>
      <c r="O39" s="166">
        <f>L29-M29</f>
        <v/>
      </c>
      <c r="P39" s="166">
        <f>K29-N29</f>
        <v/>
      </c>
      <c r="Q39" s="166">
        <f>M29+O29</f>
        <v/>
      </c>
      <c r="R39" s="166">
        <f>M29+N29+O29+P29</f>
        <v/>
      </c>
      <c r="S39" s="172">
        <f>SUM(T29:V29)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0" t="n"/>
      <c r="AC39" s="180" t="n"/>
      <c r="AD39" s="180" t="n"/>
      <c r="AE39" s="180" t="n"/>
      <c r="AF39" s="180" t="n"/>
      <c r="AG39" s="180" t="n"/>
      <c r="AH39" s="180" t="n"/>
      <c r="AI39" s="180" t="n"/>
      <c r="AJ39" s="180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/>
      <c r="B40" s="173" t="n"/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3" t="n"/>
      <c r="L40" s="173" t="n"/>
      <c r="M40" s="175">
        <f>K40-N40</f>
        <v/>
      </c>
      <c r="N40" s="173" t="n"/>
      <c r="O40" s="173">
        <f>L40-M40</f>
        <v/>
      </c>
      <c r="P40" s="173" t="n"/>
      <c r="Q40" s="173">
        <f>M40+O40</f>
        <v/>
      </c>
      <c r="R40" s="173">
        <f>M40+N40+O40+P40</f>
        <v/>
      </c>
      <c r="S40" s="173" t="n"/>
      <c r="T40" s="173" t="n"/>
      <c r="U40" s="173" t="n"/>
      <c r="V40" s="173" t="n"/>
    </row>
    <row r="41" ht="14" customHeight="1" s="139">
      <c r="A41" s="173" t="n"/>
      <c r="B41" s="173" t="n"/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3" t="n"/>
      <c r="L41" s="173" t="n"/>
      <c r="M41" s="175">
        <f>K41-N41</f>
        <v/>
      </c>
      <c r="N41" s="173" t="n"/>
      <c r="O41" s="173">
        <f>L41-M41</f>
        <v/>
      </c>
      <c r="P41" s="173" t="n"/>
      <c r="Q41" s="173">
        <f>M41+O41</f>
        <v/>
      </c>
      <c r="R41" s="173">
        <f>M41+N41+O41+P41</f>
        <v/>
      </c>
      <c r="S41" s="173" t="n"/>
      <c r="T41" s="173" t="n"/>
      <c r="U41" s="173" t="n"/>
      <c r="V41" s="173" t="n"/>
    </row>
    <row r="42" ht="14" customHeight="1" s="139">
      <c r="A42" s="173" t="n"/>
      <c r="B42" s="173" t="n"/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3" t="n"/>
      <c r="L42" s="173" t="n"/>
      <c r="M42" s="175">
        <f>K42-N42</f>
        <v/>
      </c>
      <c r="N42" s="173" t="n"/>
      <c r="O42" s="173">
        <f>L42-M42</f>
        <v/>
      </c>
      <c r="P42" s="173" t="n"/>
      <c r="Q42" s="173">
        <f>M42+O42</f>
        <v/>
      </c>
      <c r="R42" s="173">
        <f>M42+N42+O42+P42</f>
        <v/>
      </c>
      <c r="S42" s="173" t="n"/>
      <c r="T42" s="173" t="n"/>
      <c r="U42" s="173" t="n"/>
      <c r="V42" s="173" t="n"/>
    </row>
    <row r="43" ht="14" customHeight="1" s="139">
      <c r="A43" s="173" t="n"/>
      <c r="B43" s="173" t="n"/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3" t="n"/>
      <c r="L43" s="173" t="n"/>
      <c r="M43" s="175">
        <f>K43-N43</f>
        <v/>
      </c>
      <c r="N43" s="173" t="n"/>
      <c r="O43" s="173">
        <f>L43-M43</f>
        <v/>
      </c>
      <c r="P43" s="173" t="n"/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/>
      <c r="B44" s="173" t="n"/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3" t="n"/>
      <c r="L44" s="173" t="n"/>
      <c r="M44" s="175">
        <f>K44-N44</f>
        <v/>
      </c>
      <c r="N44" s="173" t="n"/>
      <c r="O44" s="173">
        <f>L44-M44</f>
        <v/>
      </c>
      <c r="P44" s="173" t="n"/>
      <c r="Q44" s="173">
        <f>M44+O44</f>
        <v/>
      </c>
      <c r="R44" s="173">
        <f>M44+N44+O44+P44</f>
        <v/>
      </c>
      <c r="S44" s="173" t="n"/>
      <c r="T44" s="173" t="n"/>
      <c r="U44" s="173" t="n"/>
      <c r="V44" s="173" t="n"/>
    </row>
    <row r="45" ht="14" customHeight="1" s="139">
      <c r="A45" s="173" t="n"/>
      <c r="B45" s="173" t="n"/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3" t="n"/>
      <c r="L45" s="173" t="n"/>
      <c r="M45" s="175">
        <f>K45-N45</f>
        <v/>
      </c>
      <c r="N45" s="173" t="n"/>
      <c r="O45" s="173">
        <f>L45-M45</f>
        <v/>
      </c>
      <c r="P45" s="173" t="n"/>
      <c r="Q45" s="173">
        <f>M45+O45</f>
        <v/>
      </c>
      <c r="R45" s="173">
        <f>M45+N45+O45+P45</f>
        <v/>
      </c>
      <c r="S45" s="173" t="n"/>
      <c r="T45" s="173" t="n"/>
      <c r="U45" s="173" t="n"/>
      <c r="V45" s="173" t="n"/>
    </row>
    <row r="46" ht="14" customHeight="1" s="139">
      <c r="A46" s="173" t="n"/>
      <c r="B46" s="173" t="n"/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3" t="n"/>
      <c r="L46" s="173" t="n"/>
      <c r="M46" s="175">
        <f>K46-N46</f>
        <v/>
      </c>
      <c r="N46" s="173" t="n"/>
      <c r="O46" s="173">
        <f>L46-M46</f>
        <v/>
      </c>
      <c r="P46" s="173" t="n"/>
      <c r="Q46" s="173">
        <f>M46+O46</f>
        <v/>
      </c>
      <c r="R46" s="173">
        <f>M46+N46+O46+P46</f>
        <v/>
      </c>
      <c r="S46" s="173" t="n"/>
      <c r="T46" s="173" t="n"/>
      <c r="U46" s="173" t="n"/>
      <c r="V46" s="173" t="n"/>
    </row>
    <row r="47" ht="14" customHeight="1" s="139">
      <c r="A47" s="173" t="n"/>
      <c r="B47" s="173" t="n"/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3" t="n"/>
      <c r="L47" s="173" t="n"/>
      <c r="M47" s="175">
        <f>K47-N47</f>
        <v/>
      </c>
      <c r="N47" s="173" t="n"/>
      <c r="O47" s="173">
        <f>L47-M47</f>
        <v/>
      </c>
      <c r="P47" s="173" t="n"/>
      <c r="Q47" s="173">
        <f>M47+O47</f>
        <v/>
      </c>
      <c r="R47" s="173">
        <f>M47+N47+O47+P47</f>
        <v/>
      </c>
      <c r="S47" s="173" t="n"/>
      <c r="T47" s="173" t="n"/>
      <c r="U47" s="173" t="n"/>
      <c r="V47" s="173" t="n"/>
    </row>
    <row r="48" ht="14" customHeight="1" s="139">
      <c r="A48" s="173" t="n"/>
      <c r="B48" s="173" t="n"/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3" t="n"/>
      <c r="L48" s="173" t="n"/>
      <c r="M48" s="175">
        <f>K48-N48</f>
        <v/>
      </c>
      <c r="N48" s="173" t="n"/>
      <c r="O48" s="173">
        <f>L48-M48</f>
        <v/>
      </c>
      <c r="P48" s="173" t="n"/>
      <c r="Q48" s="173">
        <f>M48+O48</f>
        <v/>
      </c>
      <c r="R48" s="173">
        <f>M48+N48+O48+P48</f>
        <v/>
      </c>
      <c r="S48" s="173" t="n"/>
      <c r="T48" s="173" t="n"/>
      <c r="U48" s="173" t="n"/>
      <c r="V48" s="173" t="n"/>
    </row>
    <row r="49" ht="14" customHeight="1" s="139">
      <c r="A49" s="173" t="n"/>
      <c r="B49" s="173" t="n"/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3" t="n"/>
      <c r="L49" s="173" t="n"/>
      <c r="M49" s="175">
        <f>K49-N49</f>
        <v/>
      </c>
      <c r="N49" s="173" t="n"/>
      <c r="O49" s="173">
        <f>L49-M49</f>
        <v/>
      </c>
      <c r="P49" s="173" t="n"/>
      <c r="Q49" s="173">
        <f>M49+O49</f>
        <v/>
      </c>
      <c r="R49" s="173">
        <f>M49+N49+O49+P49</f>
        <v/>
      </c>
      <c r="S49" s="173" t="n"/>
      <c r="T49" s="173" t="n"/>
      <c r="U49" s="173" t="n"/>
      <c r="V49" s="173" t="n"/>
    </row>
    <row r="50" ht="14" customHeight="1" s="139">
      <c r="A50" s="173" t="n"/>
      <c r="B50" s="173" t="n"/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3" t="n"/>
      <c r="L50" s="173" t="n"/>
      <c r="M50" s="175">
        <f>K50-N50</f>
        <v/>
      </c>
      <c r="N50" s="173" t="n"/>
      <c r="O50" s="173">
        <f>L50-M50</f>
        <v/>
      </c>
      <c r="P50" s="173" t="n"/>
      <c r="Q50" s="173">
        <f>M50+O50</f>
        <v/>
      </c>
      <c r="R50" s="173">
        <f>M50+N50+O50+P50</f>
        <v/>
      </c>
      <c r="S50" s="173" t="n"/>
      <c r="T50" s="173" t="n"/>
      <c r="U50" s="173" t="n"/>
      <c r="V50" s="173" t="n"/>
    </row>
    <row r="51" ht="14" customHeight="1" s="139">
      <c r="A51" s="173" t="n"/>
      <c r="B51" s="173" t="n"/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3" t="n"/>
      <c r="L51" s="173" t="n"/>
      <c r="M51" s="175">
        <f>K51-N51</f>
        <v/>
      </c>
      <c r="N51" s="173" t="n"/>
      <c r="O51" s="173">
        <f>L51-M51</f>
        <v/>
      </c>
      <c r="P51" s="173" t="n"/>
      <c r="Q51" s="173">
        <f>M51+O51</f>
        <v/>
      </c>
      <c r="R51" s="173">
        <f>M51+N51+O51+P51</f>
        <v/>
      </c>
      <c r="S51" s="173" t="n"/>
      <c r="T51" s="173" t="n"/>
      <c r="U51" s="173" t="n"/>
      <c r="V51" s="173" t="n"/>
    </row>
    <row r="52" ht="14" customHeight="1" s="139">
      <c r="A52" s="173" t="n"/>
      <c r="B52" s="173" t="n"/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3" t="n"/>
      <c r="L52" s="173" t="n"/>
      <c r="M52" s="175">
        <f>K52-N52</f>
        <v/>
      </c>
      <c r="N52" s="173" t="n"/>
      <c r="O52" s="173">
        <f>L52-M52</f>
        <v/>
      </c>
      <c r="P52" s="173" t="n"/>
      <c r="Q52" s="173">
        <f>M52+O52</f>
        <v/>
      </c>
      <c r="R52" s="173">
        <f>M52+N52+O52+P52</f>
        <v/>
      </c>
      <c r="S52" s="173" t="n"/>
      <c r="T52" s="173" t="n"/>
      <c r="U52" s="173" t="n"/>
      <c r="V52" s="173" t="n"/>
    </row>
    <row r="53" ht="14" customHeight="1" s="139">
      <c r="A53" s="173" t="n"/>
      <c r="B53" s="173" t="n"/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3" t="n"/>
      <c r="L53" s="173" t="n"/>
      <c r="M53" s="175">
        <f>K53-N53</f>
        <v/>
      </c>
      <c r="N53" s="173" t="n"/>
      <c r="O53" s="173">
        <f>L53-M53</f>
        <v/>
      </c>
      <c r="P53" s="173" t="n"/>
      <c r="Q53" s="173">
        <f>M53+O53</f>
        <v/>
      </c>
      <c r="R53" s="173">
        <f>M53+N53+O53+P53</f>
        <v/>
      </c>
      <c r="S53" s="173" t="n"/>
      <c r="T53" s="173" t="n"/>
      <c r="U53" s="173" t="n"/>
      <c r="V53" s="173" t="n"/>
    </row>
    <row r="54" ht="14" customHeight="1" s="139">
      <c r="A54" s="173" t="n"/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3" t="n"/>
      <c r="L54" s="173" t="n"/>
      <c r="M54" s="175">
        <f>K54-N54</f>
        <v/>
      </c>
      <c r="N54" s="173" t="n"/>
      <c r="O54" s="173">
        <f>L54-M54</f>
        <v/>
      </c>
      <c r="P54" s="173" t="n"/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/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3" t="n"/>
      <c r="L55" s="173" t="n"/>
      <c r="M55" s="175">
        <f>K55-N55</f>
        <v/>
      </c>
      <c r="N55" s="173" t="n"/>
      <c r="O55" s="173">
        <f>L55-M55</f>
        <v/>
      </c>
      <c r="P55" s="173" t="n"/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/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3" t="n"/>
      <c r="L56" s="173" t="n"/>
      <c r="M56" s="175">
        <f>K56-N56</f>
        <v/>
      </c>
      <c r="N56" s="173" t="n"/>
      <c r="O56" s="173">
        <f>L56-M56</f>
        <v/>
      </c>
      <c r="P56" s="173" t="n"/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>
        <v>1</v>
      </c>
      <c r="B57" s="21" t="n"/>
      <c r="C57" s="21" t="n"/>
      <c r="D57" s="181" t="n"/>
      <c r="E57" s="179" t="n"/>
      <c r="F57" s="179" t="n"/>
      <c r="G57" s="179" t="n"/>
      <c r="H57" s="166" t="n"/>
      <c r="I57" s="166" t="n"/>
      <c r="J57" s="166" t="n"/>
      <c r="K57" s="170" t="n"/>
      <c r="L57" s="176" t="n"/>
      <c r="M57" s="166" t="n"/>
      <c r="N57" s="166" t="n"/>
      <c r="O57" s="166">
        <f>L30-M30</f>
        <v/>
      </c>
      <c r="P57" s="166">
        <f>K30-N30</f>
        <v/>
      </c>
      <c r="Q57" s="166">
        <f>M30+O30</f>
        <v/>
      </c>
      <c r="R57" s="166">
        <f>M30+N30+O30+P30</f>
        <v/>
      </c>
      <c r="S57" s="172">
        <f>SUM(T30:V30)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0" t="n"/>
      <c r="AC57" s="180" t="n"/>
      <c r="AD57" s="180" t="n"/>
      <c r="AE57" s="180" t="n"/>
      <c r="AF57" s="180" t="n"/>
      <c r="AG57" s="180" t="n"/>
      <c r="AH57" s="180" t="n"/>
      <c r="AI57" s="180" t="n"/>
      <c r="AJ57" s="180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>
        <v>2</v>
      </c>
      <c r="B58" s="21" t="n"/>
      <c r="C58" s="21" t="n"/>
      <c r="D58" s="31" t="inlineStr">
        <is>
          <t>材料库存（注：项目已结算未使用材料冲减项目成本，负数填报）</t>
        </is>
      </c>
      <c r="E58" s="179" t="n"/>
      <c r="F58" s="179" t="n"/>
      <c r="G58" s="179" t="n"/>
      <c r="H58" s="166" t="n"/>
      <c r="I58" s="166" t="n"/>
      <c r="J58" s="166" t="n"/>
      <c r="K58" s="170" t="n"/>
      <c r="L58" s="176" t="n"/>
      <c r="M58" s="166" t="n"/>
      <c r="N58" s="182" t="n"/>
      <c r="O58" s="166">
        <f>L31-M31</f>
        <v/>
      </c>
      <c r="P58" s="166">
        <f>K31-N31</f>
        <v/>
      </c>
      <c r="Q58" s="166">
        <f>M31+O31</f>
        <v/>
      </c>
      <c r="R58" s="166">
        <f>M31+N31+O31+P31</f>
        <v/>
      </c>
      <c r="S58" s="172">
        <f>SUM(T31:V31)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0" t="n"/>
      <c r="AC58" s="180" t="n"/>
      <c r="AD58" s="180" t="n"/>
      <c r="AE58" s="180" t="n"/>
      <c r="AF58" s="180" t="n"/>
      <c r="AG58" s="180" t="n"/>
      <c r="AH58" s="180" t="n"/>
      <c r="AI58" s="180" t="n"/>
      <c r="AJ58" s="180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6" t="n"/>
      <c r="M59" s="183" t="n">
        <v>34020317.08</v>
      </c>
      <c r="N59" s="166" t="n"/>
      <c r="O59" s="166">
        <f>L32-M32</f>
        <v/>
      </c>
      <c r="P59" s="166">
        <f>K32-N32</f>
        <v/>
      </c>
      <c r="Q59" s="166">
        <f>M32+O32</f>
        <v/>
      </c>
      <c r="R59" s="166">
        <f>M32+N32+O32+P32</f>
        <v/>
      </c>
      <c r="S59" s="172">
        <f>SUM(T32:V32)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0" t="n"/>
      <c r="AC59" s="180" t="n"/>
      <c r="AD59" s="180" t="n"/>
      <c r="AE59" s="180" t="n"/>
      <c r="AF59" s="180" t="n"/>
      <c r="AG59" s="180" t="n"/>
      <c r="AH59" s="180" t="n"/>
      <c r="AI59" s="180" t="n"/>
      <c r="AJ59" s="180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2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4" t="n"/>
      <c r="I60" s="184" t="n"/>
      <c r="J60" s="166" t="n"/>
      <c r="K60" s="170" t="n"/>
      <c r="L60" s="176" t="n"/>
      <c r="M60" s="185" t="n">
        <v>-8241729.17</v>
      </c>
      <c r="N60" s="184" t="n"/>
      <c r="O60" s="166">
        <f>L33-M33</f>
        <v/>
      </c>
      <c r="P60" s="166">
        <f>K33-N33</f>
        <v/>
      </c>
      <c r="Q60" s="166">
        <f>M33+O33</f>
        <v/>
      </c>
      <c r="R60" s="166">
        <f>M33+N33+O33+P33</f>
        <v/>
      </c>
      <c r="S60" s="172">
        <f>SUM(T33:V33)</f>
        <v/>
      </c>
      <c r="T60" s="184" t="n"/>
      <c r="U60" s="184" t="n"/>
      <c r="V60" s="184" t="n"/>
      <c r="W60" s="184" t="n"/>
      <c r="X60" s="184" t="n"/>
      <c r="Y60" s="184" t="n"/>
      <c r="Z60" s="166">
        <f>SUM(AA33:AJ33)</f>
        <v/>
      </c>
      <c r="AA60" s="184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79" t="n"/>
      <c r="F61" s="179" t="n"/>
      <c r="G61" s="179" t="n"/>
      <c r="H61" s="166" t="n">
        <v>0</v>
      </c>
      <c r="I61" s="166" t="n"/>
      <c r="J61" s="166" t="n"/>
      <c r="K61" s="170" t="n"/>
      <c r="L61" s="176" t="n"/>
      <c r="M61" s="166" t="n"/>
      <c r="N61" s="166" t="n"/>
      <c r="O61" s="166">
        <f>L61-M61</f>
        <v/>
      </c>
      <c r="P61" s="166">
        <f>K34-N34</f>
        <v/>
      </c>
      <c r="Q61" s="166">
        <f>M61+O61</f>
        <v/>
      </c>
      <c r="R61" s="166">
        <f>M61+N61+O61+P61</f>
        <v/>
      </c>
      <c r="S61" s="172">
        <f>SUM(T34:V34)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0" t="n"/>
      <c r="AC61" s="180" t="n"/>
      <c r="AD61" s="180" t="n"/>
      <c r="AE61" s="180" t="n"/>
      <c r="AF61" s="180" t="n"/>
      <c r="AG61" s="180" t="n"/>
      <c r="AH61" s="180" t="n"/>
      <c r="AI61" s="180" t="n"/>
      <c r="AJ61" s="180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78">
        <f>SUM(E34:E61)</f>
        <v/>
      </c>
      <c r="F62" s="178">
        <f>SUM(F34:F61)</f>
        <v/>
      </c>
      <c r="G62" s="178">
        <f>SUM(G34:G61)</f>
        <v/>
      </c>
      <c r="H62" s="178">
        <f>SUM(H34:H61)</f>
        <v/>
      </c>
      <c r="I62" s="178">
        <f>SUM(I34:I61)</f>
        <v/>
      </c>
      <c r="J62" s="178">
        <f>SUM(J34:J61)</f>
        <v/>
      </c>
      <c r="K62" s="178">
        <f>SUM(K34:K61)</f>
        <v/>
      </c>
      <c r="L62" s="178">
        <f>SUM(L34:L61)</f>
        <v/>
      </c>
      <c r="M62" s="178">
        <f>SUM(M34:M61)</f>
        <v/>
      </c>
      <c r="N62" s="178">
        <f>SUM(N34:N61)</f>
        <v/>
      </c>
      <c r="O62" s="178">
        <f>SUM(O34:O61)</f>
        <v/>
      </c>
      <c r="P62" s="178">
        <f>SUM(P34:P61)</f>
        <v/>
      </c>
      <c r="Q62" s="178">
        <f>SUM(Q34:Q61)</f>
        <v/>
      </c>
      <c r="R62" s="178">
        <f>SUM(R34:R61)</f>
        <v/>
      </c>
      <c r="S62" s="178">
        <f>SUM(S34:S61)</f>
        <v/>
      </c>
      <c r="T62" s="178">
        <f>SUM(T34:T61)</f>
        <v/>
      </c>
      <c r="U62" s="178">
        <f>SUM(U34:U61)</f>
        <v/>
      </c>
      <c r="V62" s="178">
        <f>SUM(V34:V61)</f>
        <v/>
      </c>
      <c r="W62" s="178">
        <f>SUM(W34:W61)</f>
        <v/>
      </c>
      <c r="X62" s="178">
        <f>SUM(X34:X61)</f>
        <v/>
      </c>
      <c r="Y62" s="178">
        <f>SUM(Y34:Y61)</f>
        <v/>
      </c>
      <c r="Z62" s="178">
        <f>SUM(Z34:Z61)</f>
        <v/>
      </c>
      <c r="AA62" s="178">
        <f>SUM(AA34:AA61)</f>
        <v/>
      </c>
      <c r="AB62" s="178">
        <f>SUM(AB34:AB61)</f>
        <v/>
      </c>
      <c r="AC62" s="178">
        <f>SUM(AC34:AC61)</f>
        <v/>
      </c>
      <c r="AD62" s="178">
        <f>SUM(AD34:AD61)</f>
        <v/>
      </c>
      <c r="AE62" s="178">
        <f>SUM(AE34:AE61)</f>
        <v/>
      </c>
      <c r="AF62" s="178">
        <f>SUM(AF34:AF61)</f>
        <v/>
      </c>
      <c r="AG62" s="178">
        <f>SUM(AG34:AG61)</f>
        <v/>
      </c>
      <c r="AH62" s="178">
        <f>SUM(AH34:AH61)</f>
        <v/>
      </c>
      <c r="AI62" s="178">
        <f>SUM(AI34:AI61)</f>
        <v/>
      </c>
      <c r="AJ62" s="178">
        <f>SUM(AJ34:AJ61)</f>
        <v/>
      </c>
      <c r="AK62" s="178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6">
        <f>J36-K36</f>
        <v/>
      </c>
      <c r="M63" s="161" t="n"/>
      <c r="N63" s="161" t="n"/>
      <c r="O63" s="166">
        <f>L36-M36</f>
        <v/>
      </c>
      <c r="P63" s="166">
        <f>K36-N36</f>
        <v/>
      </c>
      <c r="Q63" s="166">
        <f>M36+O36</f>
        <v/>
      </c>
      <c r="R63" s="166">
        <f>M36+N36+O36+P36</f>
        <v/>
      </c>
      <c r="S63" s="172">
        <f>SUM(T36:V36)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21" t="n"/>
      <c r="B64" s="21" t="n"/>
      <c r="C64" s="21" t="n"/>
      <c r="D64" s="37" t="n"/>
      <c r="E64" s="38" t="n"/>
      <c r="F64" s="38" t="n"/>
      <c r="G64" s="38" t="n"/>
      <c r="H64" s="166" t="n"/>
      <c r="I64" s="166" t="n"/>
      <c r="J64" s="166">
        <f>H37+I37</f>
        <v/>
      </c>
      <c r="K64" s="170" t="n">
        <v>0</v>
      </c>
      <c r="L64" s="176">
        <f>J37-K37</f>
        <v/>
      </c>
      <c r="M64" s="166" t="n"/>
      <c r="N64" s="166" t="n"/>
      <c r="O64" s="166">
        <f>L37-M37</f>
        <v/>
      </c>
      <c r="P64" s="166">
        <f>K37-N37</f>
        <v/>
      </c>
      <c r="Q64" s="166">
        <f>M37+O37</f>
        <v/>
      </c>
      <c r="R64" s="166">
        <f>M37+N37+O37+P37</f>
        <v/>
      </c>
      <c r="S64" s="172">
        <f>SUM(T37:V37)</f>
        <v/>
      </c>
      <c r="T64" s="172" t="n"/>
      <c r="U64" s="172" t="n"/>
      <c r="V64" s="172" t="n"/>
      <c r="W64" s="172" t="n"/>
      <c r="X64" s="172" t="n"/>
      <c r="Y64" s="172" t="n"/>
      <c r="Z64" s="166">
        <f>SUM(AA37:AJ37)</f>
        <v/>
      </c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65">
        <f>AB37/1.17*0.17+AC37/1.16*0.16+AD37/1.11*0.11+AE37/1.1*0.1+AF37/1.09*0.09+AI37/1.03*0.03</f>
        <v/>
      </c>
      <c r="AL64" s="92" t="n"/>
    </row>
    <row r="65" ht="14" customHeight="1" s="139">
      <c r="A65" s="173" t="n"/>
      <c r="B65" s="173" t="n"/>
      <c r="C65" s="174" t="inlineStr">
        <is>
          <t>中建四局020020210036050002</t>
        </is>
      </c>
      <c r="D65" s="174" t="inlineStr">
        <is>
          <t>佛山市南海鼎赞机械设备有限公司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3" t="n"/>
      <c r="L65" s="173">
        <f>J65-K65</f>
        <v/>
      </c>
      <c r="M65" s="175">
        <f>K65-N65</f>
        <v/>
      </c>
      <c r="N65" s="173" t="n"/>
      <c r="O65" s="173">
        <f>L65-M65</f>
        <v/>
      </c>
      <c r="P65" s="173" t="n"/>
      <c r="Q65" s="173">
        <f>M65+O65</f>
        <v/>
      </c>
      <c r="R65" s="173">
        <f>M65+N65+O65+P65</f>
        <v/>
      </c>
      <c r="S65" s="173" t="n"/>
      <c r="T65" s="173" t="n"/>
      <c r="U65" s="173" t="n"/>
      <c r="V65" s="173" t="n"/>
    </row>
    <row r="66" ht="14" customHeight="1" s="139">
      <c r="A66" s="173" t="n"/>
      <c r="B66" s="173" t="n"/>
      <c r="C66" s="174" t="inlineStr">
        <is>
          <t>中建四局020020210036050001</t>
        </is>
      </c>
      <c r="D66" s="174" t="inlineStr">
        <is>
          <t>广东君晖建筑工程有限公司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3" t="n"/>
      <c r="L66" s="173">
        <f>J66-K66</f>
        <v/>
      </c>
      <c r="M66" s="175">
        <f>K66-N66</f>
        <v/>
      </c>
      <c r="N66" s="173" t="n"/>
      <c r="O66" s="173">
        <f>L66-M66</f>
        <v/>
      </c>
      <c r="P66" s="173" t="n"/>
      <c r="Q66" s="173">
        <f>M66+O66</f>
        <v/>
      </c>
      <c r="R66" s="173">
        <f>M66+N66+O66+P66</f>
        <v/>
      </c>
      <c r="S66" s="173" t="n"/>
      <c r="T66" s="173" t="n"/>
      <c r="U66" s="173" t="n"/>
      <c r="V66" s="173" t="n"/>
    </row>
    <row r="67" ht="14" customHeight="1" s="139">
      <c r="A67" s="173" t="n"/>
      <c r="B67" s="173" t="n"/>
      <c r="C67" s="174" t="inlineStr">
        <is>
          <t>中建四局0200202103605001</t>
        </is>
      </c>
      <c r="D67" s="174" t="inlineStr">
        <is>
          <t>广州小老虎建筑机械租赁有限公司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3" t="n"/>
      <c r="L67" s="173">
        <f>J67-K67</f>
        <v/>
      </c>
      <c r="M67" s="175">
        <f>K67-N67</f>
        <v/>
      </c>
      <c r="N67" s="173" t="n"/>
      <c r="O67" s="173">
        <f>L67-M67</f>
        <v/>
      </c>
      <c r="P67" s="173" t="n"/>
      <c r="Q67" s="173">
        <f>M67+O67</f>
        <v/>
      </c>
      <c r="R67" s="173">
        <f>M67+N67+O67+P67</f>
        <v/>
      </c>
      <c r="S67" s="173" t="n"/>
      <c r="T67" s="173" t="n"/>
      <c r="U67" s="173" t="n"/>
      <c r="V67" s="173" t="n"/>
    </row>
    <row r="68" ht="14" customHeight="1" s="139">
      <c r="A68" s="173" t="n"/>
      <c r="B68" s="173" t="n"/>
      <c r="C68" s="174" t="inlineStr">
        <is>
          <t>中建四局0200202103605002</t>
        </is>
      </c>
      <c r="D68" s="174" t="inlineStr">
        <is>
          <t>广州易达运输有限公司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3" t="n"/>
      <c r="L68" s="173">
        <f>J68-K68</f>
        <v/>
      </c>
      <c r="M68" s="175">
        <f>K68-N68</f>
        <v/>
      </c>
      <c r="N68" s="173" t="n"/>
      <c r="O68" s="173">
        <f>L68-M68</f>
        <v/>
      </c>
      <c r="P68" s="173" t="n"/>
      <c r="Q68" s="173">
        <f>M68+O68</f>
        <v/>
      </c>
      <c r="R68" s="173">
        <f>M68+N68+O68+P68</f>
        <v/>
      </c>
      <c r="S68" s="173" t="n"/>
      <c r="T68" s="173" t="n"/>
      <c r="U68" s="173" t="n"/>
      <c r="V68" s="173" t="n"/>
    </row>
    <row r="69" ht="14" customHeight="1" s="139">
      <c r="A69" s="173" t="n"/>
      <c r="B69" s="173" t="n"/>
      <c r="C69" s="174" t="inlineStr">
        <is>
          <t>中建四局02002021036050003</t>
        </is>
      </c>
      <c r="D69" s="174" t="inlineStr">
        <is>
          <t>深圳市鑫俊辉机械设备有限公司</t>
        </is>
      </c>
      <c r="E69" s="173" t="n"/>
      <c r="F69" s="173" t="n"/>
      <c r="G69" s="173" t="n"/>
      <c r="H69" s="173" t="n"/>
      <c r="I69" s="173" t="n"/>
      <c r="J69" s="173">
        <f>H69+I69</f>
        <v/>
      </c>
      <c r="K69" s="173" t="n"/>
      <c r="L69" s="173">
        <f>J69-K69</f>
        <v/>
      </c>
      <c r="M69" s="175">
        <f>K69-N69</f>
        <v/>
      </c>
      <c r="N69" s="173" t="n"/>
      <c r="O69" s="173">
        <f>L69-M69</f>
        <v/>
      </c>
      <c r="P69" s="173" t="n"/>
      <c r="Q69" s="173">
        <f>M69+O69</f>
        <v/>
      </c>
      <c r="R69" s="173">
        <f>M69+N69+O69+P69</f>
        <v/>
      </c>
      <c r="S69" s="173" t="n"/>
      <c r="T69" s="173" t="n"/>
      <c r="U69" s="173" t="n"/>
      <c r="V69" s="173" t="n"/>
    </row>
    <row r="70" ht="39" customHeight="1" s="139">
      <c r="A70" s="21" t="n"/>
      <c r="B70" s="21" t="n"/>
      <c r="C70" s="21" t="n"/>
      <c r="D70" s="26" t="inlineStr">
        <is>
          <t>**财务未列部分需增列***</t>
        </is>
      </c>
      <c r="E70" s="39" t="n"/>
      <c r="F70" s="39" t="n"/>
      <c r="G70" s="39" t="n"/>
      <c r="H70" s="166" t="n"/>
      <c r="I70" s="166" t="n"/>
      <c r="J70" s="166" t="n"/>
      <c r="K70" s="170" t="n">
        <v>0</v>
      </c>
      <c r="L70" s="176">
        <f>J38-K38</f>
        <v/>
      </c>
      <c r="M70" s="187" t="n"/>
      <c r="N70" s="187" t="n"/>
      <c r="O70" s="166">
        <f>L70-M70</f>
        <v/>
      </c>
      <c r="P70" s="166">
        <f>K38-N38</f>
        <v/>
      </c>
      <c r="Q70" s="166">
        <f>M70+O70</f>
        <v/>
      </c>
      <c r="R70" s="166">
        <f>M70+N70+O70+P70</f>
        <v/>
      </c>
      <c r="S70" s="172">
        <f>SUM(T38:V38)</f>
        <v/>
      </c>
      <c r="T70" s="187" t="n"/>
      <c r="U70" s="187" t="n"/>
      <c r="V70" s="187" t="n"/>
      <c r="W70" s="187" t="n"/>
      <c r="X70" s="187" t="n"/>
      <c r="Y70" s="187" t="n"/>
      <c r="Z70" s="187" t="n"/>
      <c r="AA70" s="172" t="n"/>
      <c r="AB70" s="165" t="n"/>
      <c r="AC70" s="165" t="n"/>
      <c r="AD70" s="165" t="n"/>
      <c r="AE70" s="165" t="n"/>
      <c r="AF70" s="165" t="n"/>
      <c r="AG70" s="165" t="n"/>
      <c r="AH70" s="165" t="n"/>
      <c r="AI70" s="165" t="n"/>
      <c r="AJ70" s="165" t="n"/>
      <c r="AK70" s="165">
        <f>AB38/1.17*0.17+AC38/1.16*0.16+AD38/1.11*0.11+AE38/1.1*0.1+AF38/1.09*0.09+AI38/1.03*0.03</f>
        <v/>
      </c>
      <c r="AL70" s="93" t="n"/>
    </row>
    <row r="71" ht="14" customHeight="1" s="139">
      <c r="A71" s="28" t="n"/>
      <c r="B71" s="28" t="n"/>
      <c r="C71" s="28" t="n"/>
      <c r="D71" s="40" t="inlineStr">
        <is>
          <t>机械费小计：</t>
        </is>
      </c>
      <c r="E71" s="41" t="n"/>
      <c r="F71" s="41" t="n"/>
      <c r="G71" s="41" t="n"/>
      <c r="H71" s="178">
        <f>SUM(H63:H70)</f>
        <v/>
      </c>
      <c r="I71" s="178">
        <f>SUM(I63:I70)</f>
        <v/>
      </c>
      <c r="J71" s="178">
        <f>SUM(J63:J70)</f>
        <v/>
      </c>
      <c r="K71" s="178">
        <f>SUM(K63:K70)</f>
        <v/>
      </c>
      <c r="L71" s="188">
        <f>SUM(L63:L70)</f>
        <v/>
      </c>
      <c r="M71" s="178">
        <f>SUM(M63:M70)</f>
        <v/>
      </c>
      <c r="N71" s="178">
        <f>SUM(N63:N70)</f>
        <v/>
      </c>
      <c r="O71" s="178">
        <f>SUM(O63:O70)</f>
        <v/>
      </c>
      <c r="P71" s="178">
        <f>SUM(P63:P70)</f>
        <v/>
      </c>
      <c r="Q71" s="178">
        <f>SUM(Q63:Q70)</f>
        <v/>
      </c>
      <c r="R71" s="178">
        <f>SUM(R63:R70)</f>
        <v/>
      </c>
      <c r="S71" s="178">
        <f>SUM(S63:S70)</f>
        <v/>
      </c>
      <c r="T71" s="178" t="n"/>
      <c r="U71" s="178" t="n"/>
      <c r="V71" s="178" t="n"/>
      <c r="W71" s="178" t="n"/>
      <c r="X71" s="178" t="n"/>
      <c r="Y71" s="178" t="n"/>
      <c r="Z71" s="178">
        <f>SUM(Z63:Z70)</f>
        <v/>
      </c>
      <c r="AA71" s="178">
        <f>SUM(AA63:AA70)</f>
        <v/>
      </c>
      <c r="AB71" s="178" t="n"/>
      <c r="AC71" s="178" t="n"/>
      <c r="AD71" s="178" t="n"/>
      <c r="AE71" s="178" t="n"/>
      <c r="AF71" s="178" t="n"/>
      <c r="AG71" s="178" t="n"/>
      <c r="AH71" s="178" t="n"/>
      <c r="AI71" s="178" t="n"/>
      <c r="AJ71" s="178" t="n"/>
      <c r="AK71" s="178" t="n"/>
      <c r="AL71" s="92" t="n"/>
    </row>
    <row r="72" ht="14" customHeight="1" s="139">
      <c r="A72" s="21" t="n"/>
      <c r="B72" s="21" t="n"/>
      <c r="C72" s="21" t="n"/>
      <c r="D72" s="31" t="inlineStr">
        <is>
          <t>（五）其他直接费</t>
        </is>
      </c>
      <c r="E72" s="27" t="n"/>
      <c r="F72" s="27" t="n"/>
      <c r="G72" s="27" t="n"/>
      <c r="H72" s="166" t="n"/>
      <c r="I72" s="166" t="n"/>
      <c r="J72" s="161" t="n">
        <v>0</v>
      </c>
      <c r="K72" s="170" t="n">
        <v>0</v>
      </c>
      <c r="L72" s="176">
        <f>J40-N40-P40</f>
        <v/>
      </c>
      <c r="M72" s="161" t="n"/>
      <c r="N72" s="161" t="n"/>
      <c r="O72" s="166">
        <f>L40-M40</f>
        <v/>
      </c>
      <c r="P72" s="166">
        <f>K40-N40</f>
        <v/>
      </c>
      <c r="Q72" s="166">
        <f>M40+O40</f>
        <v/>
      </c>
      <c r="R72" s="166">
        <f>M40+N40+O40+P40</f>
        <v/>
      </c>
      <c r="S72" s="172">
        <f>SUM(T40:V40)</f>
        <v/>
      </c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65" t="n"/>
      <c r="AL72" s="92" t="n"/>
    </row>
    <row r="73" ht="14" customHeight="1" s="139">
      <c r="A73" s="173" t="n"/>
      <c r="B73" s="173" t="n"/>
      <c r="C73" s="174" t="n"/>
      <c r="D73" s="174" t="inlineStr">
        <is>
          <t>保险费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3" t="n"/>
      <c r="L73" s="173">
        <f>J73-K73</f>
        <v/>
      </c>
      <c r="M73" s="175">
        <f>K73-N73</f>
        <v/>
      </c>
      <c r="N73" s="173" t="n"/>
      <c r="O73" s="173">
        <f>L73-M73</f>
        <v/>
      </c>
      <c r="P73" s="173" t="n"/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其他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3" t="n"/>
      <c r="L74" s="173">
        <f>J74-K74</f>
        <v/>
      </c>
      <c r="M74" s="175">
        <f>K74-N74</f>
        <v/>
      </c>
      <c r="N74" s="173" t="n"/>
      <c r="O74" s="173">
        <f>L74-M74</f>
        <v/>
      </c>
      <c r="P74" s="173" t="n"/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173" t="n"/>
      <c r="B75" s="173" t="n"/>
      <c r="C75" s="174" t="n"/>
      <c r="D75" s="174" t="inlineStr">
        <is>
          <t>检验试验费</t>
        </is>
      </c>
      <c r="E75" s="173" t="n"/>
      <c r="F75" s="173" t="n"/>
      <c r="G75" s="173" t="n"/>
      <c r="H75" s="173" t="n"/>
      <c r="I75" s="173" t="n"/>
      <c r="J75" s="173">
        <f>H75+I75</f>
        <v/>
      </c>
      <c r="K75" s="173" t="n"/>
      <c r="L75" s="173">
        <f>J75-K75</f>
        <v/>
      </c>
      <c r="M75" s="175">
        <f>K75-N75</f>
        <v/>
      </c>
      <c r="N75" s="173" t="n"/>
      <c r="O75" s="173">
        <f>L75-M75</f>
        <v/>
      </c>
      <c r="P75" s="173" t="n"/>
      <c r="Q75" s="173">
        <f>M75+O75</f>
        <v/>
      </c>
      <c r="R75" s="173">
        <f>M75+N75+O75+P75</f>
        <v/>
      </c>
      <c r="S75" s="173" t="n"/>
      <c r="T75" s="173" t="n"/>
      <c r="U75" s="173" t="n"/>
      <c r="V75" s="173" t="n"/>
    </row>
    <row r="76" ht="14" customHeight="1" s="139">
      <c r="A76" s="21" t="n"/>
      <c r="B76" s="21" t="n"/>
      <c r="C76" s="21" t="n"/>
      <c r="D76" s="26" t="inlineStr">
        <is>
          <t>**财务未列部分需增列***</t>
        </is>
      </c>
      <c r="E76" s="27" t="n"/>
      <c r="F76" s="27" t="n"/>
      <c r="G76" s="27" t="n"/>
      <c r="H76" s="166" t="n"/>
      <c r="I76" s="166" t="n"/>
      <c r="J76" s="161" t="n"/>
      <c r="K76" s="170" t="n"/>
      <c r="L76" s="176">
        <f>J46-K46</f>
        <v/>
      </c>
      <c r="M76" s="189" t="n"/>
      <c r="N76" s="189" t="n"/>
      <c r="O76" s="166">
        <f>L76-M76</f>
        <v/>
      </c>
      <c r="P76" s="166">
        <f>K46-N46</f>
        <v/>
      </c>
      <c r="Q76" s="166">
        <f>M76+O76</f>
        <v/>
      </c>
      <c r="R76" s="166">
        <f>M76+N76+O76+P76</f>
        <v/>
      </c>
      <c r="S76" s="172">
        <f>SUM(T46:V46)</f>
        <v/>
      </c>
      <c r="T76" s="189" t="n"/>
      <c r="U76" s="189" t="n"/>
      <c r="V76" s="189" t="n"/>
      <c r="W76" s="189" t="n"/>
      <c r="X76" s="189" t="n"/>
      <c r="Y76" s="189" t="n"/>
      <c r="Z76" s="166">
        <f>SUM(AA46:AJ46)</f>
        <v/>
      </c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65" t="n"/>
      <c r="AL76" s="92" t="n"/>
    </row>
    <row r="77" ht="14" customHeight="1" s="139">
      <c r="A77" s="42" t="n"/>
      <c r="B77" s="42" t="n"/>
      <c r="C77" s="42" t="n"/>
      <c r="D77" s="40" t="inlineStr">
        <is>
          <t>其他直接费小计：</t>
        </is>
      </c>
      <c r="E77" s="43" t="n"/>
      <c r="F77" s="43" t="n"/>
      <c r="G77" s="43" t="n"/>
      <c r="H77" s="178">
        <f>SUM(H72:H76)</f>
        <v/>
      </c>
      <c r="I77" s="178">
        <f>SUM(I72:I76)</f>
        <v/>
      </c>
      <c r="J77" s="178">
        <f>SUM(J72:J76)</f>
        <v/>
      </c>
      <c r="K77" s="178">
        <f>SUM(K72:K76)</f>
        <v/>
      </c>
      <c r="L77" s="188">
        <f>SUM(L72:L76)</f>
        <v/>
      </c>
      <c r="M77" s="178">
        <f>SUM(M72:M76)</f>
        <v/>
      </c>
      <c r="N77" s="178">
        <f>SUM(N72:N76)</f>
        <v/>
      </c>
      <c r="O77" s="178">
        <f>L47-M47</f>
        <v/>
      </c>
      <c r="P77" s="178">
        <f>SUM(P72:P76)</f>
        <v/>
      </c>
      <c r="Q77" s="178">
        <f>M47+O47</f>
        <v/>
      </c>
      <c r="R77" s="178">
        <f>SUM(R72:R76)</f>
        <v/>
      </c>
      <c r="S77" s="178">
        <f>SUM(S72:S76)</f>
        <v/>
      </c>
      <c r="T77" s="178" t="n"/>
      <c r="U77" s="178" t="n"/>
      <c r="V77" s="178" t="n"/>
      <c r="W77" s="178" t="n"/>
      <c r="X77" s="178" t="n"/>
      <c r="Y77" s="178" t="n"/>
      <c r="Z77" s="178">
        <f>SUM(Z72:Z76)</f>
        <v/>
      </c>
      <c r="AA77" s="178">
        <f>SUM(AA72:AA76)</f>
        <v/>
      </c>
      <c r="AB77" s="178">
        <f>SUM(AB72:AB76)</f>
        <v/>
      </c>
      <c r="AC77" s="178">
        <f>SUM(AC72:AC76)</f>
        <v/>
      </c>
      <c r="AD77" s="178">
        <f>SUM(AD72:AD76)</f>
        <v/>
      </c>
      <c r="AE77" s="178">
        <f>SUM(AE72:AE76)</f>
        <v/>
      </c>
      <c r="AF77" s="178">
        <f>SUM(AF72:AF76)</f>
        <v/>
      </c>
      <c r="AG77" s="178" t="n"/>
      <c r="AH77" s="178" t="n"/>
      <c r="AI77" s="178">
        <f>SUM(AI72:AI76)</f>
        <v/>
      </c>
      <c r="AJ77" s="178">
        <f>SUM(AJ72:AJ76)</f>
        <v/>
      </c>
      <c r="AK77" s="178">
        <f>SUM(AK72:AK76)</f>
        <v/>
      </c>
      <c r="AL77" s="92" t="n"/>
    </row>
    <row r="78" ht="14" customHeight="1" s="139">
      <c r="A78" s="21" t="n"/>
      <c r="B78" s="21" t="n"/>
      <c r="C78" s="21" t="n"/>
      <c r="D78" s="31" t="inlineStr">
        <is>
          <t>（六）间接费</t>
        </is>
      </c>
      <c r="E78" s="27" t="n"/>
      <c r="F78" s="27" t="n"/>
      <c r="G78" s="27" t="n"/>
      <c r="H78" s="161" t="n"/>
      <c r="I78" s="166" t="n"/>
      <c r="J78" s="166" t="n">
        <v>0</v>
      </c>
      <c r="K78" s="170" t="n">
        <v>0</v>
      </c>
      <c r="L78" s="176">
        <f>J48-N48-P48</f>
        <v/>
      </c>
      <c r="M78" s="161" t="n"/>
      <c r="N78" s="161" t="n"/>
      <c r="O78" s="166">
        <f>L48-M48</f>
        <v/>
      </c>
      <c r="P78" s="166">
        <f>K48-N48</f>
        <v/>
      </c>
      <c r="Q78" s="166">
        <f>M48+O48</f>
        <v/>
      </c>
      <c r="R78" s="166">
        <f>M48+N48+O48+P48</f>
        <v/>
      </c>
      <c r="S78" s="172">
        <f>SUM(T48:V48)</f>
        <v/>
      </c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65" t="n"/>
      <c r="AL78" s="92" t="n"/>
    </row>
    <row r="79" ht="26" customHeight="1" s="139">
      <c r="A79" s="173" t="n"/>
      <c r="B79" s="173" t="n"/>
      <c r="C79" s="174" t="n"/>
      <c r="D79" s="174" t="inlineStr">
        <is>
          <t>企业年金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3" t="n"/>
      <c r="L79" s="173">
        <f>J79-K79</f>
        <v/>
      </c>
      <c r="M79" s="175">
        <f>K79-N79</f>
        <v/>
      </c>
      <c r="N79" s="173" t="n"/>
      <c r="O79" s="173">
        <f>L79-M79</f>
        <v/>
      </c>
      <c r="P79" s="173" t="n"/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住房公积金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3" t="n"/>
      <c r="L80" s="173">
        <f>J80-K80</f>
        <v/>
      </c>
      <c r="M80" s="175">
        <f>K80-N80</f>
        <v/>
      </c>
      <c r="N80" s="173" t="n"/>
      <c r="O80" s="173">
        <f>L80-M80</f>
        <v/>
      </c>
      <c r="P80" s="173" t="n"/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保安保洁费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3" t="n"/>
      <c r="L81" s="173">
        <f>J81-K81</f>
        <v/>
      </c>
      <c r="M81" s="175">
        <f>K81-N81</f>
        <v/>
      </c>
      <c r="N81" s="173" t="n"/>
      <c r="O81" s="173">
        <f>L81-M81</f>
        <v/>
      </c>
      <c r="P81" s="173" t="n"/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修理费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3" t="n"/>
      <c r="L82" s="173">
        <f>J82-K82</f>
        <v/>
      </c>
      <c r="M82" s="175">
        <f>K82-N82</f>
        <v/>
      </c>
      <c r="N82" s="173" t="n"/>
      <c r="O82" s="173">
        <f>L82-M82</f>
        <v/>
      </c>
      <c r="P82" s="173" t="n"/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其他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3" t="n"/>
      <c r="L83" s="173">
        <f>J83-K83</f>
        <v/>
      </c>
      <c r="M83" s="175">
        <f>K83-N83</f>
        <v/>
      </c>
      <c r="N83" s="173" t="n"/>
      <c r="O83" s="173">
        <f>L83-M83</f>
        <v/>
      </c>
      <c r="P83" s="173" t="n"/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冲晒印刷费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3" t="n"/>
      <c r="L84" s="173">
        <f>J84-K84</f>
        <v/>
      </c>
      <c r="M84" s="175">
        <f>K84-N84</f>
        <v/>
      </c>
      <c r="N84" s="173" t="n"/>
      <c r="O84" s="173">
        <f>L84-M84</f>
        <v/>
      </c>
      <c r="P84" s="173" t="n"/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办公用品费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3" t="n"/>
      <c r="L85" s="173">
        <f>J85-K85</f>
        <v/>
      </c>
      <c r="M85" s="175">
        <f>K85-N85</f>
        <v/>
      </c>
      <c r="N85" s="173" t="n"/>
      <c r="O85" s="173">
        <f>L85-M85</f>
        <v/>
      </c>
      <c r="P85" s="173" t="n"/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医疗保险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3" t="n"/>
      <c r="L86" s="173">
        <f>J86-K86</f>
        <v/>
      </c>
      <c r="M86" s="175">
        <f>K86-N86</f>
        <v/>
      </c>
      <c r="N86" s="173" t="n"/>
      <c r="O86" s="173">
        <f>L86-M86</f>
        <v/>
      </c>
      <c r="P86" s="173" t="n"/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基本养老保险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3" t="n"/>
      <c r="L87" s="173">
        <f>J87-K87</f>
        <v/>
      </c>
      <c r="M87" s="175">
        <f>K87-N87</f>
        <v/>
      </c>
      <c r="N87" s="173" t="n"/>
      <c r="O87" s="173">
        <f>L87-M87</f>
        <v/>
      </c>
      <c r="P87" s="173" t="n"/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境内差旅费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3" t="n"/>
      <c r="L88" s="173">
        <f>J88-K88</f>
        <v/>
      </c>
      <c r="M88" s="175">
        <f>K88-N88</f>
        <v/>
      </c>
      <c r="N88" s="173" t="n"/>
      <c r="O88" s="173">
        <f>L88-M88</f>
        <v/>
      </c>
      <c r="P88" s="173" t="n"/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失业保险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3" t="n"/>
      <c r="L89" s="173">
        <f>J89-K89</f>
        <v/>
      </c>
      <c r="M89" s="175">
        <f>K89-N89</f>
        <v/>
      </c>
      <c r="N89" s="173" t="n"/>
      <c r="O89" s="173">
        <f>L89-M89</f>
        <v/>
      </c>
      <c r="P89" s="173" t="n"/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工会经费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3" t="n"/>
      <c r="L90" s="173">
        <f>J90-K90</f>
        <v/>
      </c>
      <c r="M90" s="175">
        <f>K90-N90</f>
        <v/>
      </c>
      <c r="N90" s="173" t="n"/>
      <c r="O90" s="173">
        <f>L90-M90</f>
        <v/>
      </c>
      <c r="P90" s="173" t="n"/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工伤保险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3" t="n"/>
      <c r="L91" s="173">
        <f>J91-K91</f>
        <v/>
      </c>
      <c r="M91" s="175">
        <f>K91-N91</f>
        <v/>
      </c>
      <c r="N91" s="173" t="n"/>
      <c r="O91" s="173">
        <f>L91-M91</f>
        <v/>
      </c>
      <c r="P91" s="173" t="n"/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工资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3" t="n"/>
      <c r="L92" s="173">
        <f>J92-K92</f>
        <v/>
      </c>
      <c r="M92" s="175">
        <f>K92-N92</f>
        <v/>
      </c>
      <c r="N92" s="173" t="n"/>
      <c r="O92" s="173">
        <f>L92-M92</f>
        <v/>
      </c>
      <c r="P92" s="173" t="n"/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市内交通费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3" t="n"/>
      <c r="L93" s="173">
        <f>J93-K93</f>
        <v/>
      </c>
      <c r="M93" s="175">
        <f>K93-N93</f>
        <v/>
      </c>
      <c r="N93" s="173" t="n"/>
      <c r="O93" s="173">
        <f>L93-M93</f>
        <v/>
      </c>
      <c r="P93" s="173" t="n"/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律师费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3" t="n"/>
      <c r="L94" s="173">
        <f>J94-K94</f>
        <v/>
      </c>
      <c r="M94" s="175">
        <f>K94-N94</f>
        <v/>
      </c>
      <c r="N94" s="173" t="n"/>
      <c r="O94" s="173">
        <f>L94-M94</f>
        <v/>
      </c>
      <c r="P94" s="173" t="n"/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折旧费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3" t="n"/>
      <c r="L95" s="173">
        <f>J95-K95</f>
        <v/>
      </c>
      <c r="M95" s="175">
        <f>K95-N95</f>
        <v/>
      </c>
      <c r="N95" s="173" t="n"/>
      <c r="O95" s="173">
        <f>L95-M95</f>
        <v/>
      </c>
      <c r="P95" s="173" t="n"/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燃油费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3" t="n"/>
      <c r="L96" s="173">
        <f>J96-K96</f>
        <v/>
      </c>
      <c r="M96" s="175">
        <f>K96-N96</f>
        <v/>
      </c>
      <c r="N96" s="173" t="n"/>
      <c r="O96" s="173">
        <f>L96-M96</f>
        <v/>
      </c>
      <c r="P96" s="173" t="n"/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物业管理费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3" t="n"/>
      <c r="L97" s="173">
        <f>J97-K97</f>
        <v/>
      </c>
      <c r="M97" s="175">
        <f>K97-N97</f>
        <v/>
      </c>
      <c r="N97" s="173" t="n"/>
      <c r="O97" s="173">
        <f>L97-M97</f>
        <v/>
      </c>
      <c r="P97" s="173" t="n"/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生育保险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3" t="n"/>
      <c r="L98" s="173">
        <f>J98-K98</f>
        <v/>
      </c>
      <c r="M98" s="175">
        <f>K98-N98</f>
        <v/>
      </c>
      <c r="N98" s="173" t="n"/>
      <c r="O98" s="173">
        <f>L98-M98</f>
        <v/>
      </c>
      <c r="P98" s="173" t="n"/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社保及公积金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3" t="n"/>
      <c r="L99" s="173">
        <f>J99-K99</f>
        <v/>
      </c>
      <c r="M99" s="175">
        <f>K99-N99</f>
        <v/>
      </c>
      <c r="N99" s="173" t="n"/>
      <c r="O99" s="173">
        <f>L99-M99</f>
        <v/>
      </c>
      <c r="P99" s="173" t="n"/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租车费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3" t="n"/>
      <c r="L100" s="173">
        <f>J100-K100</f>
        <v/>
      </c>
      <c r="M100" s="175">
        <f>K100-N100</f>
        <v/>
      </c>
      <c r="N100" s="173" t="n"/>
      <c r="O100" s="173">
        <f>L100-M100</f>
        <v/>
      </c>
      <c r="P100" s="173" t="n"/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维修保养费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3" t="n"/>
      <c r="L101" s="173">
        <f>J101-K101</f>
        <v/>
      </c>
      <c r="M101" s="175">
        <f>K101-N101</f>
        <v/>
      </c>
      <c r="N101" s="173" t="n"/>
      <c r="O101" s="173">
        <f>L101-M101</f>
        <v/>
      </c>
      <c r="P101" s="173" t="n"/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网络使用费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3" t="n"/>
      <c r="L102" s="173">
        <f>J102-K102</f>
        <v/>
      </c>
      <c r="M102" s="175">
        <f>K102-N102</f>
        <v/>
      </c>
      <c r="N102" s="173" t="n"/>
      <c r="O102" s="173">
        <f>L102-M102</f>
        <v/>
      </c>
      <c r="P102" s="173" t="n"/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职工教育经费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3" t="n"/>
      <c r="L103" s="173">
        <f>J103-K103</f>
        <v/>
      </c>
      <c r="M103" s="175">
        <f>K103-N103</f>
        <v/>
      </c>
      <c r="N103" s="173" t="n"/>
      <c r="O103" s="173">
        <f>L103-M103</f>
        <v/>
      </c>
      <c r="P103" s="173" t="n"/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职工福利费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3" t="n"/>
      <c r="L104" s="173">
        <f>J104-K104</f>
        <v/>
      </c>
      <c r="M104" s="175">
        <f>K104-N104</f>
        <v/>
      </c>
      <c r="N104" s="173" t="n"/>
      <c r="O104" s="173">
        <f>L104-M104</f>
        <v/>
      </c>
      <c r="P104" s="173" t="n"/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补充医疗保险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3" t="n"/>
      <c r="L105" s="173">
        <f>J105-K105</f>
        <v/>
      </c>
      <c r="M105" s="175">
        <f>K105-N105</f>
        <v/>
      </c>
      <c r="N105" s="173" t="n"/>
      <c r="O105" s="173">
        <f>L105-M105</f>
        <v/>
      </c>
      <c r="P105" s="173" t="n"/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诉讼费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3" t="n"/>
      <c r="L106" s="173">
        <f>J106-K106</f>
        <v/>
      </c>
      <c r="M106" s="175">
        <f>K106-N106</f>
        <v/>
      </c>
      <c r="N106" s="173" t="n"/>
      <c r="O106" s="173">
        <f>L106-M106</f>
        <v/>
      </c>
      <c r="P106" s="173" t="n"/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路桥及停车费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3" t="n"/>
      <c r="L107" s="173">
        <f>J107-K107</f>
        <v/>
      </c>
      <c r="M107" s="175">
        <f>K107-N107</f>
        <v/>
      </c>
      <c r="N107" s="173" t="n"/>
      <c r="O107" s="173">
        <f>L107-M107</f>
        <v/>
      </c>
      <c r="P107" s="173" t="n"/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软件费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3" t="n"/>
      <c r="L108" s="173">
        <f>J108-K108</f>
        <v/>
      </c>
      <c r="M108" s="175">
        <f>K108-N108</f>
        <v/>
      </c>
      <c r="N108" s="173" t="n"/>
      <c r="O108" s="173">
        <f>L108-M108</f>
        <v/>
      </c>
      <c r="P108" s="173" t="n"/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通信费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3" t="n"/>
      <c r="L109" s="173">
        <f>J109-K109</f>
        <v/>
      </c>
      <c r="M109" s="175">
        <f>K109-N109</f>
        <v/>
      </c>
      <c r="N109" s="173" t="n"/>
      <c r="O109" s="173">
        <f>L109-M109</f>
        <v/>
      </c>
      <c r="P109" s="173" t="n"/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173" t="n"/>
      <c r="B110" s="173" t="n"/>
      <c r="C110" s="174" t="n"/>
      <c r="D110" s="174" t="inlineStr">
        <is>
          <t>邮寄费</t>
        </is>
      </c>
      <c r="E110" s="173" t="n"/>
      <c r="F110" s="173" t="n"/>
      <c r="G110" s="173" t="n"/>
      <c r="H110" s="173" t="n"/>
      <c r="I110" s="173" t="n"/>
      <c r="J110" s="173">
        <f>H110+I110</f>
        <v/>
      </c>
      <c r="K110" s="173" t="n"/>
      <c r="L110" s="173">
        <f>J110-K110</f>
        <v/>
      </c>
      <c r="M110" s="175">
        <f>K110-N110</f>
        <v/>
      </c>
      <c r="N110" s="173" t="n"/>
      <c r="O110" s="173">
        <f>L110-M110</f>
        <v/>
      </c>
      <c r="P110" s="173" t="n"/>
      <c r="Q110" s="173">
        <f>M110+O110</f>
        <v/>
      </c>
      <c r="R110" s="173">
        <f>M110+N110+O110+P110</f>
        <v/>
      </c>
      <c r="S110" s="173" t="n"/>
      <c r="T110" s="173" t="n"/>
      <c r="U110" s="173" t="n"/>
      <c r="V110" s="173" t="n"/>
    </row>
    <row r="111">
      <c r="A111" s="173" t="n"/>
      <c r="B111" s="173" t="n"/>
      <c r="C111" s="174" t="n"/>
      <c r="D111" s="174" t="inlineStr">
        <is>
          <t>分包工程支出</t>
        </is>
      </c>
      <c r="E111" s="173" t="n"/>
      <c r="F111" s="173" t="n"/>
      <c r="G111" s="173" t="n"/>
      <c r="H111" s="173" t="n"/>
      <c r="I111" s="173" t="n"/>
      <c r="J111" s="173">
        <f>H111+I111</f>
        <v/>
      </c>
      <c r="K111" s="173" t="n"/>
      <c r="L111" s="173">
        <f>J111-K111</f>
        <v/>
      </c>
      <c r="M111" s="175">
        <f>K111-N111</f>
        <v/>
      </c>
      <c r="N111" s="173" t="n"/>
      <c r="O111" s="173">
        <f>L111-M111</f>
        <v/>
      </c>
      <c r="P111" s="173" t="n"/>
      <c r="Q111" s="173">
        <f>M111+O111</f>
        <v/>
      </c>
      <c r="R111" s="173">
        <f>M111+N111+O111+P111</f>
        <v/>
      </c>
      <c r="S111" s="173" t="n"/>
      <c r="T111" s="173" t="n"/>
      <c r="U111" s="173" t="n"/>
      <c r="V111" s="173" t="n"/>
    </row>
    <row r="112">
      <c r="A112" s="173" t="n"/>
      <c r="B112" s="173" t="n"/>
      <c r="C112" s="174" t="n"/>
      <c r="D112" s="174" t="inlineStr">
        <is>
          <t>报销</t>
        </is>
      </c>
      <c r="E112" s="173" t="n"/>
      <c r="F112" s="173" t="n"/>
      <c r="G112" s="173" t="n"/>
      <c r="H112" s="173" t="n"/>
      <c r="I112" s="173" t="n"/>
      <c r="J112" s="173">
        <f>H112+I112</f>
        <v/>
      </c>
      <c r="K112" s="173" t="n"/>
      <c r="L112" s="173">
        <f>J112-K112</f>
        <v/>
      </c>
      <c r="M112" s="175">
        <f>K112-N112</f>
        <v/>
      </c>
      <c r="N112" s="173" t="n"/>
      <c r="O112" s="173">
        <f>L112-M112</f>
        <v/>
      </c>
      <c r="P112" s="173" t="n"/>
      <c r="Q112" s="173">
        <f>M112+O112</f>
        <v/>
      </c>
      <c r="R112" s="173">
        <f>M112+N112+O112+P112</f>
        <v/>
      </c>
      <c r="S112" s="173" t="n"/>
      <c r="T112" s="173" t="n"/>
      <c r="U112" s="173" t="n"/>
      <c r="V112" s="173" t="n"/>
    </row>
    <row r="113">
      <c r="A113" s="173" t="n"/>
      <c r="B113" s="173" t="n"/>
      <c r="C113" s="174" t="n"/>
      <c r="D113" s="174" t="inlineStr">
        <is>
          <t>直接人工费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3" t="n"/>
      <c r="L113" s="173">
        <f>J113-K113</f>
        <v/>
      </c>
      <c r="M113" s="175">
        <f>K113-N113</f>
        <v/>
      </c>
      <c r="N113" s="173" t="n"/>
      <c r="O113" s="173">
        <f>L113-M113</f>
        <v/>
      </c>
      <c r="P113" s="173" t="n"/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21" t="n"/>
      <c r="B114" s="21" t="n"/>
      <c r="C114" s="21" t="n"/>
      <c r="D114" s="26" t="inlineStr">
        <is>
          <t>**财务未列部分需增列***</t>
        </is>
      </c>
      <c r="E114" s="27" t="n"/>
      <c r="F114" s="27" t="n"/>
      <c r="G114" s="27" t="n"/>
      <c r="H114" s="189" t="n"/>
      <c r="I114" s="166" t="n"/>
      <c r="J114" s="189" t="n"/>
      <c r="K114" s="170" t="n"/>
      <c r="L114" s="176" t="n"/>
      <c r="M114" s="189" t="n"/>
      <c r="N114" s="166" t="n"/>
      <c r="O114" s="166">
        <f>L114-M114</f>
        <v/>
      </c>
      <c r="P114" s="166">
        <f>K61-N61</f>
        <v/>
      </c>
      <c r="Q114" s="166">
        <f>M114+O114</f>
        <v/>
      </c>
      <c r="R114" s="166">
        <f>M114+N114+O114+P114</f>
        <v/>
      </c>
      <c r="S114" s="172">
        <f>SUM(T61:V61)</f>
        <v/>
      </c>
      <c r="T114" s="189" t="n"/>
      <c r="U114" s="189" t="n"/>
      <c r="V114" s="189" t="n"/>
      <c r="W114" s="189" t="n"/>
      <c r="X114" s="189" t="n"/>
      <c r="Y114" s="189" t="n"/>
      <c r="Z114" s="189" t="n"/>
      <c r="AA114" s="172" t="n"/>
      <c r="AB114" s="165" t="n"/>
      <c r="AC114" s="165" t="n"/>
      <c r="AD114" s="165" t="n"/>
      <c r="AE114" s="165" t="n"/>
      <c r="AF114" s="165" t="n"/>
      <c r="AG114" s="165" t="n"/>
      <c r="AH114" s="165" t="n"/>
      <c r="AI114" s="165" t="n"/>
      <c r="AJ114" s="165" t="n"/>
      <c r="AK114" s="165" t="n"/>
      <c r="AL114" s="93" t="n"/>
    </row>
    <row r="115">
      <c r="A115" s="42" t="n"/>
      <c r="B115" s="42" t="n"/>
      <c r="C115" s="42" t="n"/>
      <c r="D115" s="40" t="inlineStr">
        <is>
          <t>间接费小计：</t>
        </is>
      </c>
      <c r="E115" s="43" t="n"/>
      <c r="F115" s="43" t="n"/>
      <c r="G115" s="43" t="n"/>
      <c r="H115" s="178">
        <f>SUM(H78:H114)</f>
        <v/>
      </c>
      <c r="I115" s="178">
        <f>SUM(I78:I114)</f>
        <v/>
      </c>
      <c r="J115" s="178">
        <f>SUM(J78:J114)</f>
        <v/>
      </c>
      <c r="K115" s="178">
        <f>SUM(K78:K114)</f>
        <v/>
      </c>
      <c r="L115" s="188">
        <f>SUM(L78:L114)</f>
        <v/>
      </c>
      <c r="M115" s="188">
        <f>SUM(M78:M114)</f>
        <v/>
      </c>
      <c r="N115" s="188">
        <f>SUM(N78:N114)</f>
        <v/>
      </c>
      <c r="O115" s="188">
        <f>SUM(O78:O114)</f>
        <v/>
      </c>
      <c r="P115" s="188">
        <f>SUM(P78:P114)</f>
        <v/>
      </c>
      <c r="Q115" s="188">
        <f>SUM(Q78:Q114)</f>
        <v/>
      </c>
      <c r="R115" s="188">
        <f>SUM(R78:R114)</f>
        <v/>
      </c>
      <c r="S115" s="188">
        <f>SUM(S78:S114)</f>
        <v/>
      </c>
      <c r="T115" s="188" t="n"/>
      <c r="U115" s="188" t="n"/>
      <c r="V115" s="188" t="n"/>
      <c r="W115" s="188" t="n"/>
      <c r="X115" s="188" t="n"/>
      <c r="Y115" s="188" t="n"/>
      <c r="Z115" s="188">
        <f>SUM(Z78:Z114)</f>
        <v/>
      </c>
      <c r="AA115" s="188">
        <f>SUM(AA78:AA114)</f>
        <v/>
      </c>
      <c r="AB115" s="188">
        <f>SUM(AB78:AB114)</f>
        <v/>
      </c>
      <c r="AC115" s="188">
        <f>SUM(AC78:AC114)</f>
        <v/>
      </c>
      <c r="AD115" s="188">
        <f>SUM(AD78:AD114)</f>
        <v/>
      </c>
      <c r="AE115" s="188">
        <f>SUM(AE78:AE114)</f>
        <v/>
      </c>
      <c r="AF115" s="188">
        <f>SUM(AF78:AF114)</f>
        <v/>
      </c>
      <c r="AG115" s="188" t="n"/>
      <c r="AH115" s="188" t="n"/>
      <c r="AI115" s="188">
        <f>SUM(AI78:AI114)</f>
        <v/>
      </c>
      <c r="AJ115" s="188">
        <f>SUM(AJ78:AJ114)</f>
        <v/>
      </c>
      <c r="AK115" s="188">
        <f>SUM(AK78:AK114)</f>
        <v/>
      </c>
      <c r="AL115" s="93" t="n"/>
    </row>
    <row r="116">
      <c r="A116" s="21" t="n"/>
      <c r="B116" s="21" t="n"/>
      <c r="C116" s="21" t="n"/>
      <c r="D116" s="31" t="inlineStr">
        <is>
          <t>（七）安全费</t>
        </is>
      </c>
      <c r="E116" s="27" t="n"/>
      <c r="F116" s="27" t="n"/>
      <c r="G116" s="27" t="n"/>
      <c r="H116" s="166" t="n"/>
      <c r="I116" s="166" t="n"/>
      <c r="J116" s="161" t="n">
        <v>0</v>
      </c>
      <c r="K116" s="190" t="n"/>
      <c r="L116" s="176">
        <f>J63-N63-P63</f>
        <v/>
      </c>
      <c r="M116" s="166" t="n"/>
      <c r="N116" s="166" t="n"/>
      <c r="O116" s="166">
        <f>L63-M63</f>
        <v/>
      </c>
      <c r="P116" s="166">
        <f>K63-N63</f>
        <v/>
      </c>
      <c r="Q116" s="166">
        <f>M63+O63</f>
        <v/>
      </c>
      <c r="R116" s="166">
        <f>M63+N63+O63+P63</f>
        <v/>
      </c>
      <c r="S116" s="172">
        <f>SUM(T63:V63)</f>
        <v/>
      </c>
      <c r="T116" s="189" t="n"/>
      <c r="U116" s="189" t="n"/>
      <c r="V116" s="189" t="n"/>
      <c r="W116" s="189" t="n"/>
      <c r="X116" s="189" t="n"/>
      <c r="Y116" s="189" t="n"/>
      <c r="Z116" s="187" t="n"/>
      <c r="AA116" s="172" t="n"/>
      <c r="AB116" s="165" t="n"/>
      <c r="AC116" s="165" t="n"/>
      <c r="AD116" s="165" t="n"/>
      <c r="AE116" s="165" t="n"/>
      <c r="AF116" s="165" t="n"/>
      <c r="AG116" s="165" t="n"/>
      <c r="AH116" s="165" t="n"/>
      <c r="AI116" s="165" t="n"/>
      <c r="AJ116" s="165" t="n"/>
      <c r="AK116" s="165" t="n"/>
      <c r="AL116" s="93" t="n"/>
    </row>
    <row r="117">
      <c r="A117" s="21" t="n"/>
      <c r="B117" s="21" t="n"/>
      <c r="C117" s="21" t="n"/>
      <c r="D117" s="31" t="n"/>
      <c r="E117" s="27" t="n"/>
      <c r="F117" s="27" t="n"/>
      <c r="G117" s="27" t="n"/>
      <c r="H117" s="166" t="n"/>
      <c r="I117" s="166" t="n"/>
      <c r="J117" s="161">
        <f>H64+I64</f>
        <v/>
      </c>
      <c r="K117" s="166" t="n"/>
      <c r="L117" s="176">
        <f>J64-K64</f>
        <v/>
      </c>
      <c r="M117" s="166" t="n"/>
      <c r="N117" s="166" t="n"/>
      <c r="O117" s="166">
        <f>L64-M64</f>
        <v/>
      </c>
      <c r="P117" s="166">
        <f>K64-N64</f>
        <v/>
      </c>
      <c r="Q117" s="166">
        <f>M64+O64</f>
        <v/>
      </c>
      <c r="R117" s="166">
        <f>M64+N64+O64+P64</f>
        <v/>
      </c>
      <c r="S117" s="172">
        <f>SUM(T64:V64)</f>
        <v/>
      </c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65" t="n"/>
      <c r="AC117" s="165" t="n"/>
      <c r="AD117" s="165" t="n"/>
      <c r="AE117" s="165" t="n"/>
      <c r="AF117" s="165" t="n"/>
      <c r="AG117" s="165" t="n"/>
      <c r="AH117" s="165" t="n"/>
      <c r="AI117" s="165" t="n"/>
      <c r="AJ117" s="165" t="n"/>
      <c r="AK117" s="165" t="n"/>
      <c r="AL117" s="93" t="n"/>
    </row>
    <row r="118">
      <c r="A118" s="21" t="n"/>
      <c r="B118" s="21" t="n"/>
      <c r="C118" s="21" t="n"/>
      <c r="D118" s="31" t="n"/>
      <c r="E118" s="27" t="n"/>
      <c r="F118" s="27" t="n"/>
      <c r="G118" s="27" t="n"/>
      <c r="H118" s="166" t="n"/>
      <c r="I118" s="166" t="n"/>
      <c r="J118" s="161">
        <f>H65+I65</f>
        <v/>
      </c>
      <c r="K118" s="166" t="n"/>
      <c r="L118" s="176">
        <f>J65-K65</f>
        <v/>
      </c>
      <c r="M118" s="166" t="n"/>
      <c r="N118" s="166" t="n"/>
      <c r="O118" s="166">
        <f>L65-M65</f>
        <v/>
      </c>
      <c r="P118" s="166">
        <f>K65-N65</f>
        <v/>
      </c>
      <c r="Q118" s="166">
        <f>M65+O65</f>
        <v/>
      </c>
      <c r="R118" s="166">
        <f>M65+N65+O65+P65</f>
        <v/>
      </c>
      <c r="S118" s="172">
        <f>SUM(T65:V65)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65" t="n"/>
      <c r="AC118" s="165" t="n"/>
      <c r="AD118" s="165" t="n"/>
      <c r="AE118" s="165" t="n"/>
      <c r="AF118" s="165" t="n"/>
      <c r="AG118" s="165" t="n"/>
      <c r="AH118" s="165" t="n"/>
      <c r="AI118" s="165" t="n"/>
      <c r="AJ118" s="165" t="n"/>
      <c r="AK118" s="165" t="n"/>
      <c r="AL118" s="93" t="n"/>
    </row>
    <row r="119">
      <c r="A119" s="21" t="n"/>
      <c r="B119" s="21" t="n"/>
      <c r="C119" s="21" t="n"/>
      <c r="D119" s="31" t="n"/>
      <c r="E119" s="27" t="n"/>
      <c r="F119" s="27" t="n"/>
      <c r="G119" s="27" t="n"/>
      <c r="H119" s="166" t="n"/>
      <c r="I119" s="166" t="n"/>
      <c r="J119" s="161">
        <f>H66+I66</f>
        <v/>
      </c>
      <c r="K119" s="166" t="n"/>
      <c r="L119" s="176">
        <f>J66-K66</f>
        <v/>
      </c>
      <c r="M119" s="166" t="n"/>
      <c r="N119" s="166" t="n"/>
      <c r="O119" s="166">
        <f>L66-M66</f>
        <v/>
      </c>
      <c r="P119" s="166">
        <f>K66-N66</f>
        <v/>
      </c>
      <c r="Q119" s="166">
        <f>M66+O66</f>
        <v/>
      </c>
      <c r="R119" s="166">
        <f>M66+N66+O66+P66</f>
        <v/>
      </c>
      <c r="S119" s="172">
        <f>SUM(T66:V66)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n"/>
      <c r="E120" s="27" t="n"/>
      <c r="F120" s="27" t="n"/>
      <c r="G120" s="27" t="n"/>
      <c r="H120" s="166" t="n"/>
      <c r="I120" s="166" t="n"/>
      <c r="J120" s="161">
        <f>H67+I67</f>
        <v/>
      </c>
      <c r="K120" s="166" t="n"/>
      <c r="L120" s="176">
        <f>J67-K67</f>
        <v/>
      </c>
      <c r="M120" s="166" t="n"/>
      <c r="N120" s="166" t="n"/>
      <c r="O120" s="166">
        <f>L67-M67</f>
        <v/>
      </c>
      <c r="P120" s="166">
        <f>K67-N67</f>
        <v/>
      </c>
      <c r="Q120" s="166">
        <f>M67+O67</f>
        <v/>
      </c>
      <c r="R120" s="166">
        <f>M67+N67+O67+P67</f>
        <v/>
      </c>
      <c r="S120" s="172">
        <f>SUM(T67:V67)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42" t="n"/>
      <c r="B121" s="42" t="n"/>
      <c r="C121" s="42" t="n"/>
      <c r="D121" s="40" t="inlineStr">
        <is>
          <t>安全费小计：</t>
        </is>
      </c>
      <c r="E121" s="40" t="n"/>
      <c r="F121" s="40" t="n"/>
      <c r="G121" s="40" t="n"/>
      <c r="H121" s="178">
        <f>SUM(H116:H120)</f>
        <v/>
      </c>
      <c r="I121" s="178">
        <f>SUM(I116:I120)</f>
        <v/>
      </c>
      <c r="J121" s="178" t="n">
        <v>0</v>
      </c>
      <c r="K121" s="178" t="n">
        <v>0</v>
      </c>
      <c r="L121" s="176">
        <f>J68-K68</f>
        <v/>
      </c>
      <c r="M121" s="191" t="n"/>
      <c r="N121" s="191" t="n"/>
      <c r="O121" s="188">
        <f>SUM(O116:O120)</f>
        <v/>
      </c>
      <c r="P121" s="188">
        <f>SUM(P116:P120)</f>
        <v/>
      </c>
      <c r="Q121" s="188">
        <f>SUM(Q116:Q120)</f>
        <v/>
      </c>
      <c r="R121" s="188">
        <f>SUM(R116:R120)</f>
        <v/>
      </c>
      <c r="S121" s="188">
        <f>SUM(S116:S120)</f>
        <v/>
      </c>
      <c r="T121" s="191" t="n"/>
      <c r="U121" s="191" t="n"/>
      <c r="V121" s="191" t="n"/>
      <c r="W121" s="191" t="n"/>
      <c r="X121" s="191" t="n"/>
      <c r="Y121" s="191" t="n"/>
      <c r="Z121" s="191" t="n"/>
      <c r="AA121" s="191">
        <f>SUM(AA116:AA120)</f>
        <v/>
      </c>
      <c r="AB121" s="191">
        <f>SUM(AB116:AB120)</f>
        <v/>
      </c>
      <c r="AC121" s="191">
        <f>SUM(AC116:AC120)</f>
        <v/>
      </c>
      <c r="AD121" s="191">
        <f>SUM(AD116:AD120)</f>
        <v/>
      </c>
      <c r="AE121" s="191">
        <f>SUM(AE116:AE120)</f>
        <v/>
      </c>
      <c r="AF121" s="191">
        <f>SUM(AF116:AF120)</f>
        <v/>
      </c>
      <c r="AG121" s="191" t="n"/>
      <c r="AH121" s="191" t="n"/>
      <c r="AI121" s="191">
        <f>SUM(AI116:AI120)</f>
        <v/>
      </c>
      <c r="AJ121" s="191">
        <f>SUM(AJ116:AJ120)</f>
        <v/>
      </c>
      <c r="AK121" s="191">
        <f>SUM(AK116:AK120)</f>
        <v/>
      </c>
      <c r="AL121" s="133" t="n"/>
    </row>
    <row r="122">
      <c r="A122" s="42" t="n"/>
      <c r="B122" s="42" t="n"/>
      <c r="C122" s="42" t="n"/>
      <c r="D122" s="40" t="inlineStr">
        <is>
          <t>三、成本合计：</t>
        </is>
      </c>
      <c r="E122" s="43" t="n"/>
      <c r="F122" s="43" t="n"/>
      <c r="G122" s="43" t="n"/>
      <c r="H122" s="178">
        <f>H17+H23+H35+H39+H47+H62+H68</f>
        <v/>
      </c>
      <c r="I122" s="178">
        <f>I17+I23+I35+I39+I47+I62+I68</f>
        <v/>
      </c>
      <c r="J122" s="178">
        <f>J17+J23+J35+J39+J47+J62+J68</f>
        <v/>
      </c>
      <c r="K122" s="178">
        <f>K17+K23+K35+K39+K47+K62+K68</f>
        <v/>
      </c>
      <c r="L122" s="188">
        <f>L17+L23+L35+L39+L47+L62+L68</f>
        <v/>
      </c>
      <c r="M122" s="191">
        <f>M17+M23+M35+M39+M47+M62+M68</f>
        <v/>
      </c>
      <c r="N122" s="191">
        <f>N17+N23+N35+N39+N47+N62+N68</f>
        <v/>
      </c>
      <c r="O122" s="191">
        <f>O17+O23+O35+O39+O47+O62+O68</f>
        <v/>
      </c>
      <c r="P122" s="191">
        <f>P17+P23+P35+P39+P47+P62+P68</f>
        <v/>
      </c>
      <c r="Q122" s="191">
        <f>Q17+Q23+Q35+Q39+Q47+Q62+Q68</f>
        <v/>
      </c>
      <c r="R122" s="191">
        <f>R17+R23+R35+R39+R47+R62+R68</f>
        <v/>
      </c>
      <c r="S122" s="191">
        <f>S17+S23+S35+S39+S47+S62+S68</f>
        <v/>
      </c>
      <c r="T122" s="191" t="n"/>
      <c r="U122" s="191" t="n"/>
      <c r="V122" s="191" t="n"/>
      <c r="W122" s="191" t="n"/>
      <c r="X122" s="191" t="n"/>
      <c r="Y122" s="191" t="n"/>
      <c r="Z122" s="191">
        <f>Z17+Z23+Z35+Z39+Z47+Z62+Z68</f>
        <v/>
      </c>
      <c r="AA122" s="191">
        <f>AA17+AA23+AA35+AA39+AA47+AA62+AA68</f>
        <v/>
      </c>
      <c r="AB122" s="191">
        <f>AB17+AB23+AB35+AB39+AB47+AB62+AB68</f>
        <v/>
      </c>
      <c r="AC122" s="191">
        <f>AC17+AC23+AC35+AC39+AC47+AC62+AC68</f>
        <v/>
      </c>
      <c r="AD122" s="191">
        <f>AD17+AD23+AD35+AD39+AD47+AD62+AD68</f>
        <v/>
      </c>
      <c r="AE122" s="191">
        <f>AE17+AE23+AE35+AE39+AE47+AE62+AE68</f>
        <v/>
      </c>
      <c r="AF122" s="191">
        <f>AF17+AF23+AF35+AF39+AF47+AF62+AF68</f>
        <v/>
      </c>
      <c r="AG122" s="191" t="n"/>
      <c r="AH122" s="191" t="n"/>
      <c r="AI122" s="191">
        <f>AI17+AI23+AI35+AI39+AI47+AI62+AI68</f>
        <v/>
      </c>
      <c r="AJ122" s="191">
        <f>AJ17+AJ23+AJ35+AJ39+AJ47+AJ62+AJ68</f>
        <v/>
      </c>
      <c r="AK122" s="191">
        <f>AK17+AK23+AK35+AK39+AK47+AK62+AK68</f>
        <v/>
      </c>
      <c r="AL122" s="133" t="n"/>
    </row>
    <row r="123">
      <c r="A123" s="21" t="n"/>
      <c r="B123" s="21" t="n"/>
      <c r="C123" s="21" t="n"/>
      <c r="D123" s="31" t="inlineStr">
        <is>
          <t>四、计提保修金</t>
        </is>
      </c>
      <c r="E123" s="96" t="inlineStr">
        <is>
          <t>（在建：房建0.6%，其它0.4%；在保修期间的按0.3~0.5%自行确定;保修期结束为0）</t>
        </is>
      </c>
      <c r="F123" s="96" t="n"/>
      <c r="G123" s="96" t="n"/>
      <c r="H123" s="161" t="n"/>
      <c r="I123" s="161" t="n"/>
      <c r="J123" s="161">
        <f>H70+I70</f>
        <v/>
      </c>
      <c r="K123" s="161" t="n"/>
      <c r="L123" s="176">
        <f>J70-K70</f>
        <v/>
      </c>
      <c r="M123" s="166" t="n"/>
      <c r="N123" s="166" t="n"/>
      <c r="O123" s="166">
        <f>L70-M70</f>
        <v/>
      </c>
      <c r="P123" s="166">
        <f>K70-N70</f>
        <v/>
      </c>
      <c r="Q123" s="166">
        <f>M70+O70</f>
        <v/>
      </c>
      <c r="R123" s="166">
        <f>M70+N70+O70+P70</f>
        <v/>
      </c>
      <c r="S123" s="172">
        <f>SUM(T70:V70)</f>
        <v/>
      </c>
      <c r="T123" s="172" t="n"/>
      <c r="U123" s="172" t="n"/>
      <c r="V123" s="172" t="n"/>
      <c r="W123" s="172" t="n"/>
      <c r="X123" s="172" t="n"/>
      <c r="Y123" s="172" t="n"/>
      <c r="Z123" s="172" t="n"/>
      <c r="AA123" s="172">
        <f>Q70-S70</f>
        <v/>
      </c>
      <c r="AB123" s="192" t="n"/>
      <c r="AC123" s="192" t="n"/>
      <c r="AD123" s="192" t="n"/>
      <c r="AE123" s="192" t="n"/>
      <c r="AF123" s="192" t="n"/>
      <c r="AG123" s="192" t="n"/>
      <c r="AH123" s="192" t="n"/>
      <c r="AI123" s="192" t="n"/>
      <c r="AJ123" s="192" t="n"/>
      <c r="AK123" s="165" t="n"/>
      <c r="AL123" s="133" t="n"/>
    </row>
    <row r="124">
      <c r="A124" s="21" t="n"/>
      <c r="B124" s="21" t="n"/>
      <c r="C124" s="21" t="n"/>
      <c r="D124" s="31" t="inlineStr">
        <is>
          <t>五、过程节点奖金</t>
        </is>
      </c>
      <c r="E124" s="27" t="n"/>
      <c r="F124" s="27" t="n"/>
      <c r="G124" s="27" t="n"/>
      <c r="H124" s="161" t="n"/>
      <c r="I124" s="161" t="n"/>
      <c r="J124" s="161">
        <f>H71+I71</f>
        <v/>
      </c>
      <c r="K124" s="161" t="n"/>
      <c r="L124" s="176">
        <f>J71-K71</f>
        <v/>
      </c>
      <c r="M124" s="166" t="n"/>
      <c r="N124" s="166" t="n"/>
      <c r="O124" s="166">
        <f>L71-M71</f>
        <v/>
      </c>
      <c r="P124" s="166">
        <f>K71-N71</f>
        <v/>
      </c>
      <c r="Q124" s="166">
        <f>M71+O71</f>
        <v/>
      </c>
      <c r="R124" s="166">
        <f>M71+N71+O71+P71</f>
        <v/>
      </c>
      <c r="S124" s="172">
        <f>SUM(T71:V71)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inlineStr">
        <is>
          <t>六、资金占用费用</t>
        </is>
      </c>
      <c r="E125" s="27" t="n"/>
      <c r="F125" s="27" t="n"/>
      <c r="G125" s="27" t="n"/>
      <c r="H125" s="166" t="n"/>
      <c r="I125" s="166" t="n"/>
      <c r="J125" s="161">
        <f>H72+I72</f>
        <v/>
      </c>
      <c r="K125" s="166" t="n"/>
      <c r="L125" s="176">
        <f>J72-K72</f>
        <v/>
      </c>
      <c r="M125" s="183" t="n">
        <v>762837.87</v>
      </c>
      <c r="N125" s="166" t="n"/>
      <c r="O125" s="166">
        <f>L72-M72</f>
        <v/>
      </c>
      <c r="P125" s="166">
        <f>K72-N72</f>
        <v/>
      </c>
      <c r="Q125" s="166">
        <f>M72+O72</f>
        <v/>
      </c>
      <c r="R125" s="166">
        <f>M72+N72+O72+P72</f>
        <v/>
      </c>
      <c r="S125" s="172">
        <f>SUM(T72:V72)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inlineStr">
        <is>
          <t>七、局投资收益（局投资项目选填）</t>
        </is>
      </c>
      <c r="E126" s="27" t="n"/>
      <c r="F126" s="27" t="n"/>
      <c r="G126" s="27" t="n"/>
      <c r="H126" s="166" t="n"/>
      <c r="I126" s="166" t="n"/>
      <c r="J126" s="161">
        <f>H73+I73</f>
        <v/>
      </c>
      <c r="K126" s="166" t="n"/>
      <c r="L126" s="176">
        <f>J73-K73</f>
        <v/>
      </c>
      <c r="M126" s="166" t="n"/>
      <c r="N126" s="166" t="n"/>
      <c r="O126" s="166">
        <f>L73-M73</f>
        <v/>
      </c>
      <c r="P126" s="166">
        <f>K73-N73</f>
        <v/>
      </c>
      <c r="Q126" s="166">
        <f>M73+O73</f>
        <v/>
      </c>
      <c r="R126" s="166">
        <f>M73+N73+O73+P73</f>
        <v/>
      </c>
      <c r="S126" s="172">
        <f>SUM(T73:V73)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42" t="n"/>
      <c r="B127" s="42" t="n"/>
      <c r="C127" s="42" t="n"/>
      <c r="D127" s="40" t="inlineStr">
        <is>
          <t>八、研发费用</t>
        </is>
      </c>
      <c r="E127" s="43" t="n"/>
      <c r="F127" s="43" t="n"/>
      <c r="G127" s="43" t="n"/>
      <c r="H127" s="178" t="n"/>
      <c r="I127" s="178" t="n"/>
      <c r="J127" s="178">
        <f>H74+I74</f>
        <v/>
      </c>
      <c r="K127" s="178" t="n"/>
      <c r="L127" s="188">
        <f>J74-K74</f>
        <v/>
      </c>
      <c r="M127" s="191">
        <f>SUM(M75:M77)</f>
        <v/>
      </c>
      <c r="N127" s="191">
        <f>SUM(N75:N77)</f>
        <v/>
      </c>
      <c r="O127" s="191">
        <f>SUM(O75:O77)</f>
        <v/>
      </c>
      <c r="P127" s="191">
        <f>SUM(P75:P77)</f>
        <v/>
      </c>
      <c r="Q127" s="191">
        <f>SUM(Q75:Q77)</f>
        <v/>
      </c>
      <c r="R127" s="191">
        <f>SUM(R75:R77)</f>
        <v/>
      </c>
      <c r="S127" s="191">
        <f>SUM(S75:S77)</f>
        <v/>
      </c>
      <c r="T127" s="191">
        <f>SUM(T75:T77)</f>
        <v/>
      </c>
      <c r="U127" s="191">
        <f>SUM(U75:U77)</f>
        <v/>
      </c>
      <c r="V127" s="191">
        <f>SUM(V75:V77)</f>
        <v/>
      </c>
      <c r="W127" s="191">
        <f>SUM(W75:W77)</f>
        <v/>
      </c>
      <c r="X127" s="191">
        <f>SUM(X75:X77)</f>
        <v/>
      </c>
      <c r="Y127" s="191">
        <f>SUM(Y75:Y77)</f>
        <v/>
      </c>
      <c r="Z127" s="191">
        <f>SUM(Z75:Z77)</f>
        <v/>
      </c>
      <c r="AA127" s="191">
        <f>SUM(AA75:AA77)</f>
        <v/>
      </c>
      <c r="AB127" s="191">
        <f>SUM(AB75:AB77)</f>
        <v/>
      </c>
      <c r="AC127" s="191">
        <f>SUM(AC75:AC77)</f>
        <v/>
      </c>
      <c r="AD127" s="191">
        <f>SUM(AD75:AD77)</f>
        <v/>
      </c>
      <c r="AE127" s="191">
        <f>SUM(AE75:AE77)</f>
        <v/>
      </c>
      <c r="AF127" s="191">
        <f>SUM(AF75:AF77)</f>
        <v/>
      </c>
      <c r="AG127" s="191">
        <f>SUM(AG75:AG77)</f>
        <v/>
      </c>
      <c r="AH127" s="191">
        <f>SUM(AH75:AH77)</f>
        <v/>
      </c>
      <c r="AI127" s="191">
        <f>SUM(AI75:AI77)</f>
        <v/>
      </c>
      <c r="AJ127" s="191">
        <f>SUM(AJ75:AJ77)</f>
        <v/>
      </c>
      <c r="AK127" s="191">
        <f>SUM(AK75:AK77)</f>
        <v/>
      </c>
      <c r="AL127" s="133" t="n"/>
    </row>
    <row r="128">
      <c r="A128" s="173" t="n"/>
      <c r="B128" s="173" t="n"/>
      <c r="C128" s="174" t="n"/>
      <c r="D128" s="174" t="inlineStr">
        <is>
          <t>材料费</t>
        </is>
      </c>
      <c r="E128" s="173" t="n"/>
      <c r="F128" s="173" t="n"/>
      <c r="G128" s="173" t="n"/>
      <c r="H128" s="173" t="n"/>
      <c r="I128" s="173" t="n"/>
      <c r="J128" s="173" t="n"/>
      <c r="K128" s="173" t="n"/>
      <c r="L128" s="173" t="n"/>
      <c r="M128" s="175">
        <f>K128-N128</f>
        <v/>
      </c>
      <c r="N128" s="173" t="n"/>
      <c r="O128" s="173">
        <f>L128-M128</f>
        <v/>
      </c>
      <c r="P128" s="173" t="n"/>
      <c r="Q128" s="173">
        <f>M128+O128</f>
        <v/>
      </c>
      <c r="R128" s="173">
        <f>M128+N128+O128+P128</f>
        <v/>
      </c>
      <c r="S128" s="173" t="n"/>
      <c r="T128" s="173" t="n"/>
      <c r="U128" s="173" t="n"/>
      <c r="V128" s="173" t="n"/>
    </row>
    <row r="129">
      <c r="A129" s="21" t="n"/>
      <c r="B129" s="21" t="n"/>
      <c r="C129" s="21" t="n"/>
      <c r="D129" s="31" t="n"/>
      <c r="E129" s="27" t="n"/>
      <c r="F129" s="27" t="n"/>
      <c r="G129" s="27" t="n"/>
      <c r="H129" s="166" t="n"/>
      <c r="I129" s="166" t="n"/>
      <c r="J129" s="161">
        <f>H75+I75</f>
        <v/>
      </c>
      <c r="K129" s="166" t="n"/>
      <c r="L129" s="176">
        <f>J75-K75</f>
        <v/>
      </c>
      <c r="M129" s="166" t="n"/>
      <c r="N129" s="166" t="n"/>
      <c r="O129" s="166">
        <f>L75-M75</f>
        <v/>
      </c>
      <c r="P129" s="166">
        <f>K75-N75</f>
        <v/>
      </c>
      <c r="Q129" s="166">
        <f>M75+O75</f>
        <v/>
      </c>
      <c r="R129" s="166">
        <f>M75+N75+O75+P75</f>
        <v/>
      </c>
      <c r="S129" s="172">
        <f>SUM(T75:V75)</f>
        <v/>
      </c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65" t="n"/>
      <c r="AC129" s="165" t="n"/>
      <c r="AD129" s="165" t="n"/>
      <c r="AE129" s="165" t="n"/>
      <c r="AF129" s="165" t="n"/>
      <c r="AG129" s="165" t="n"/>
      <c r="AH129" s="165" t="n"/>
      <c r="AI129" s="165" t="n"/>
      <c r="AJ129" s="165" t="n"/>
      <c r="AK129" s="165" t="n"/>
      <c r="AL129" s="93" t="n"/>
    </row>
    <row r="130">
      <c r="A130" s="21" t="n"/>
      <c r="B130" s="21" t="n"/>
      <c r="C130" s="21" t="n"/>
      <c r="D130" s="31" t="n"/>
      <c r="E130" s="27" t="n"/>
      <c r="F130" s="27" t="n"/>
      <c r="G130" s="27" t="n"/>
      <c r="H130" s="166" t="n"/>
      <c r="I130" s="166" t="n"/>
      <c r="J130" s="161" t="n"/>
      <c r="K130" s="166" t="n"/>
      <c r="L130" s="176" t="n"/>
      <c r="M130" s="166" t="n"/>
      <c r="N130" s="166" t="n"/>
      <c r="O130" s="166">
        <f>L76-M76</f>
        <v/>
      </c>
      <c r="P130" s="166">
        <f>K76-N76</f>
        <v/>
      </c>
      <c r="Q130" s="166">
        <f>M76+O76</f>
        <v/>
      </c>
      <c r="R130" s="166">
        <f>M76+N76+O76+P76</f>
        <v/>
      </c>
      <c r="S130" s="172">
        <f>SUM(T76:V76)</f>
        <v/>
      </c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65" t="n"/>
      <c r="AC130" s="165" t="n"/>
      <c r="AD130" s="165" t="n"/>
      <c r="AE130" s="165" t="n"/>
      <c r="AF130" s="165" t="n"/>
      <c r="AG130" s="165" t="n"/>
      <c r="AH130" s="165" t="n"/>
      <c r="AI130" s="165" t="n"/>
      <c r="AJ130" s="165" t="n"/>
      <c r="AK130" s="165" t="n"/>
      <c r="AL130" s="93" t="n"/>
    </row>
    <row r="131">
      <c r="A131" s="21" t="n"/>
      <c r="B131" s="21" t="n"/>
      <c r="C131" s="21" t="n"/>
      <c r="D131" s="31" t="n"/>
      <c r="E131" s="27" t="n"/>
      <c r="F131" s="27" t="n"/>
      <c r="G131" s="27" t="n"/>
      <c r="H131" s="166" t="n"/>
      <c r="I131" s="166" t="n"/>
      <c r="J131" s="161" t="n"/>
      <c r="K131" s="166" t="n"/>
      <c r="L131" s="176" t="n"/>
      <c r="M131" s="166" t="n"/>
      <c r="N131" s="166" t="n"/>
      <c r="O131" s="166">
        <f>L77-M77</f>
        <v/>
      </c>
      <c r="P131" s="166">
        <f>K77-N77</f>
        <v/>
      </c>
      <c r="Q131" s="166">
        <f>M77+O77</f>
        <v/>
      </c>
      <c r="R131" s="166">
        <f>M77+N77+O77+P77</f>
        <v/>
      </c>
      <c r="S131" s="172">
        <f>SUM(T77:V77)</f>
        <v/>
      </c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65" t="n"/>
      <c r="AC131" s="165" t="n"/>
      <c r="AD131" s="165" t="n"/>
      <c r="AE131" s="165" t="n"/>
      <c r="AF131" s="165" t="n"/>
      <c r="AG131" s="165" t="n"/>
      <c r="AH131" s="165" t="n"/>
      <c r="AI131" s="165" t="n"/>
      <c r="AJ131" s="165" t="n"/>
      <c r="AK131" s="165" t="n"/>
      <c r="AL131" s="93" t="n"/>
    </row>
    <row r="132">
      <c r="A132" s="28" t="n"/>
      <c r="B132" s="28" t="n"/>
      <c r="C132" s="28" t="n"/>
      <c r="D132" s="40" t="inlineStr">
        <is>
          <t>八、成本及费用合计（三+四+五+六+七）</t>
        </is>
      </c>
      <c r="E132" s="41" t="n"/>
      <c r="F132" s="41" t="n"/>
      <c r="G132" s="41" t="n"/>
      <c r="H132" s="178">
        <f>H69+H70+H71+H72+#REF!</f>
        <v/>
      </c>
      <c r="I132" s="178">
        <f>I69+I70+I71+I72+#REF!</f>
        <v/>
      </c>
      <c r="J132" s="109">
        <f>J69+J70+J71+J72+#REF!</f>
        <v/>
      </c>
      <c r="K132" s="178">
        <f>K69+K70+K71+K72+#REF!</f>
        <v/>
      </c>
      <c r="L132" s="110">
        <f>L69+L70+L71+L72+#REF!</f>
        <v/>
      </c>
      <c r="M132" s="193">
        <f>M69+M70+M71+M72</f>
        <v/>
      </c>
      <c r="N132" s="193">
        <f>N69+N70+N71+N72</f>
        <v/>
      </c>
      <c r="O132" s="193">
        <f>O69+O70+O71+O72</f>
        <v/>
      </c>
      <c r="P132" s="193">
        <f>P69+P70+P71+P72</f>
        <v/>
      </c>
      <c r="Q132" s="193">
        <f>Q69+Q70+Q71+Q72</f>
        <v/>
      </c>
      <c r="R132" s="193">
        <f>R69+R70+R71+R72</f>
        <v/>
      </c>
      <c r="S132" s="191">
        <f>S69+S70+S71+S72</f>
        <v/>
      </c>
      <c r="T132" s="191" t="n"/>
      <c r="U132" s="191" t="n"/>
      <c r="V132" s="191" t="n"/>
      <c r="W132" s="191" t="n"/>
      <c r="X132" s="191" t="n"/>
      <c r="Y132" s="191" t="n"/>
      <c r="Z132" s="191">
        <f>Z69+Z70+Z71+Z72</f>
        <v/>
      </c>
      <c r="AA132" s="191">
        <f>AA69+AA70+AA71+AA72</f>
        <v/>
      </c>
      <c r="AB132" s="194" t="n"/>
      <c r="AC132" s="194" t="n"/>
      <c r="AD132" s="194" t="n"/>
      <c r="AE132" s="194" t="n"/>
      <c r="AF132" s="194" t="n"/>
      <c r="AG132" s="194" t="n"/>
      <c r="AH132" s="194" t="n"/>
      <c r="AI132" s="194" t="n"/>
      <c r="AJ132" s="194" t="n"/>
      <c r="AK132" s="195" t="n"/>
      <c r="AL132" s="135" t="n"/>
    </row>
    <row r="133">
      <c r="A133" s="28" t="n"/>
      <c r="B133" s="28" t="n"/>
      <c r="C133" s="28" t="n"/>
      <c r="D133" s="40" t="inlineStr">
        <is>
          <t>九、增值税实际税负（按财务数据）</t>
        </is>
      </c>
      <c r="E133" s="41" t="inlineStr">
        <is>
          <t>根据财务账面实际已缴纳增值税额+尚需缴纳的增值税额</t>
        </is>
      </c>
      <c r="F133" s="41" t="n"/>
      <c r="G133" s="41" t="n"/>
      <c r="H133" s="178" t="n"/>
      <c r="I133" s="178" t="n"/>
      <c r="J133" s="109">
        <f>H79+I79</f>
        <v/>
      </c>
      <c r="K133" s="178" t="inlineStr">
        <is>
          <t>/</t>
        </is>
      </c>
      <c r="L133" s="110" t="inlineStr">
        <is>
          <t>/</t>
        </is>
      </c>
      <c r="M133" s="193" t="n"/>
      <c r="N133" s="193">
        <f>N6-N78</f>
        <v/>
      </c>
      <c r="O133" s="193" t="n"/>
      <c r="P133" s="193" t="n"/>
      <c r="Q133" s="193" t="inlineStr">
        <is>
          <t>/</t>
        </is>
      </c>
      <c r="R133" s="193">
        <f>N79+P79</f>
        <v/>
      </c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4" t="n"/>
      <c r="AC133" s="194" t="n"/>
      <c r="AD133" s="194" t="n"/>
      <c r="AE133" s="194" t="n"/>
      <c r="AF133" s="194" t="n"/>
      <c r="AG133" s="194" t="n"/>
      <c r="AH133" s="194" t="n"/>
      <c r="AI133" s="194" t="n"/>
      <c r="AJ133" s="194" t="n"/>
      <c r="AK133" s="195" t="n"/>
      <c r="AL133" s="135" t="n"/>
    </row>
    <row r="134">
      <c r="A134" s="28" t="n"/>
      <c r="B134" s="28" t="n"/>
      <c r="C134" s="28" t="n"/>
      <c r="D134" s="40" t="inlineStr">
        <is>
          <t>十、税金及附加（按财务数据）</t>
        </is>
      </c>
      <c r="E134" s="41" t="inlineStr">
        <is>
          <t>根据财务账面实际已缴纳税金及附加+尚需缴纳的税金及附加</t>
        </is>
      </c>
      <c r="F134" s="41" t="n"/>
      <c r="G134" s="41" t="n"/>
      <c r="H134" s="178" t="n"/>
      <c r="I134" s="178" t="n"/>
      <c r="J134" s="109">
        <f>H80+I80</f>
        <v/>
      </c>
      <c r="K134" s="178" t="n"/>
      <c r="L134" s="110">
        <f>J80</f>
        <v/>
      </c>
      <c r="M134" s="196" t="n">
        <v>260389.37</v>
      </c>
      <c r="N134" s="193" t="n"/>
      <c r="O134" s="193">
        <f>L80-M80</f>
        <v/>
      </c>
      <c r="P134" s="193" t="n"/>
      <c r="Q134" s="193">
        <f>M80+O80</f>
        <v/>
      </c>
      <c r="R134" s="193">
        <f>Q80</f>
        <v/>
      </c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4" t="n"/>
      <c r="AC134" s="194" t="n"/>
      <c r="AD134" s="194" t="n"/>
      <c r="AE134" s="194" t="n"/>
      <c r="AF134" s="194" t="n"/>
      <c r="AG134" s="194" t="n"/>
      <c r="AH134" s="194" t="n"/>
      <c r="AI134" s="194" t="n"/>
      <c r="AJ134" s="194" t="n"/>
      <c r="AK134" s="195" t="n"/>
      <c r="AL134" s="135" t="n"/>
    </row>
    <row r="135">
      <c r="A135" s="28" t="n"/>
      <c r="B135" s="28" t="n"/>
      <c r="C135" s="28" t="n"/>
      <c r="D135" s="40" t="inlineStr">
        <is>
          <t>十一、利润</t>
        </is>
      </c>
      <c r="E135" s="41" t="n"/>
      <c r="F135" s="41" t="n"/>
      <c r="G135" s="41" t="n"/>
      <c r="H135" s="178" t="n"/>
      <c r="I135" s="178" t="n"/>
      <c r="J135" s="109">
        <f>J6-J78-J79-J80</f>
        <v/>
      </c>
      <c r="K135" s="178" t="n"/>
      <c r="L135" s="110" t="n"/>
      <c r="M135" s="193" t="n"/>
      <c r="N135" s="193" t="n"/>
      <c r="O135" s="193" t="n"/>
      <c r="P135" s="193" t="n"/>
      <c r="Q135" s="193" t="n"/>
      <c r="R135" s="193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4" t="n"/>
      <c r="AC135" s="194" t="n"/>
      <c r="AD135" s="194" t="n"/>
      <c r="AE135" s="194" t="n"/>
      <c r="AF135" s="194" t="n"/>
      <c r="AG135" s="194" t="n"/>
      <c r="AH135" s="194" t="n"/>
      <c r="AI135" s="194" t="n"/>
      <c r="AJ135" s="194" t="n"/>
      <c r="AK135" s="195" t="n"/>
      <c r="AL135" s="135" t="n"/>
    </row>
    <row r="136">
      <c r="A136" s="28" t="n"/>
      <c r="B136" s="28" t="n"/>
      <c r="C136" s="28" t="n"/>
      <c r="D136" s="40" t="inlineStr">
        <is>
          <t>十二、利润率</t>
        </is>
      </c>
      <c r="E136" s="41" t="n"/>
      <c r="F136" s="41" t="n"/>
      <c r="G136" s="41" t="n"/>
      <c r="H136" s="178" t="n"/>
      <c r="I136" s="178" t="n"/>
      <c r="J136" s="109">
        <f>J81/J6</f>
        <v/>
      </c>
      <c r="K136" s="178" t="n"/>
      <c r="L136" s="110">
        <f>L81/L6</f>
        <v/>
      </c>
      <c r="M136" s="193">
        <f>M81/M6</f>
        <v/>
      </c>
      <c r="N136" s="193" t="n"/>
      <c r="O136" s="193" t="n"/>
      <c r="P136" s="193" t="n"/>
      <c r="Q136" s="193">
        <f>Q81/Q6</f>
        <v/>
      </c>
      <c r="R136" s="193">
        <f>R81/R6</f>
        <v/>
      </c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4" t="n"/>
      <c r="AC136" s="194" t="n"/>
      <c r="AD136" s="194" t="n"/>
      <c r="AE136" s="194" t="n"/>
      <c r="AF136" s="194" t="n"/>
      <c r="AG136" s="194" t="n"/>
      <c r="AH136" s="194" t="n"/>
      <c r="AI136" s="194" t="n"/>
      <c r="AJ136" s="194" t="n"/>
      <c r="AK136" s="195" t="n"/>
      <c r="AL136" s="135" t="n"/>
    </row>
    <row r="137">
      <c r="A137" s="97" t="n"/>
      <c r="B137" s="97" t="n"/>
      <c r="C137" s="97" t="n"/>
      <c r="D137" s="98" t="n"/>
      <c r="E137" s="99" t="n"/>
      <c r="F137" s="99" t="n"/>
      <c r="G137" s="99" t="n"/>
      <c r="H137" s="197" t="n"/>
      <c r="I137" s="197" t="n"/>
      <c r="J137" s="198" t="inlineStr">
        <is>
          <t>含税利润率</t>
        </is>
      </c>
      <c r="K137" s="199" t="n"/>
      <c r="L137" s="200" t="inlineStr">
        <is>
          <t>不含税利润率</t>
        </is>
      </c>
      <c r="M137" s="201" t="n"/>
      <c r="N137" s="201" t="n"/>
      <c r="O137" s="201" t="n"/>
      <c r="P137" s="201" t="n"/>
      <c r="Q137" s="201" t="n"/>
      <c r="R137" s="201" t="n"/>
      <c r="S137" s="201" t="n"/>
      <c r="T137" s="201" t="n"/>
      <c r="U137" s="201" t="n"/>
      <c r="V137" s="201" t="n"/>
      <c r="W137" s="201" t="n"/>
      <c r="X137" s="201" t="n"/>
      <c r="Y137" s="201" t="n"/>
      <c r="Z137" s="202" t="n"/>
      <c r="AA137" s="142" t="n"/>
      <c r="AB137" s="203" t="n"/>
      <c r="AC137" s="203" t="n"/>
      <c r="AD137" s="203" t="n"/>
      <c r="AE137" s="203" t="n"/>
      <c r="AF137" s="203" t="n"/>
      <c r="AG137" s="203" t="n"/>
      <c r="AH137" s="203" t="n"/>
      <c r="AI137" s="203" t="n"/>
      <c r="AJ137" s="203" t="n"/>
      <c r="AK137" s="203" t="n"/>
      <c r="AL137" s="136" t="n"/>
    </row>
    <row r="138">
      <c r="A138" s="97" t="n"/>
      <c r="B138" s="97" t="n"/>
      <c r="C138" s="97" t="n"/>
      <c r="D138" s="98" t="n"/>
      <c r="E138" s="99" t="n"/>
      <c r="F138" s="99" t="n"/>
      <c r="G138" s="99" t="n"/>
      <c r="H138" s="197" t="n"/>
      <c r="I138" s="197" t="n"/>
      <c r="J138" s="204" t="n"/>
      <c r="K138" s="197" t="n"/>
      <c r="L138" s="205" t="n"/>
      <c r="M138" s="201" t="n"/>
      <c r="N138" s="201" t="n"/>
      <c r="O138" s="201" t="n"/>
      <c r="P138" s="201" t="n"/>
      <c r="Q138" s="201" t="n"/>
      <c r="R138" s="201" t="n"/>
      <c r="S138" s="201" t="n"/>
      <c r="T138" s="201" t="n"/>
      <c r="U138" s="201" t="n"/>
      <c r="V138" s="201" t="n"/>
      <c r="W138" s="201" t="n"/>
      <c r="X138" s="201" t="n"/>
      <c r="Y138" s="201" t="n"/>
      <c r="Z138" s="202" t="n"/>
      <c r="AA138" s="142" t="n"/>
      <c r="AB138" s="203" t="n"/>
      <c r="AC138" s="203" t="n"/>
      <c r="AD138" s="203" t="n"/>
      <c r="AE138" s="203" t="n"/>
      <c r="AF138" s="203" t="n"/>
      <c r="AG138" s="203" t="n"/>
      <c r="AH138" s="203" t="n"/>
      <c r="AI138" s="203" t="n"/>
      <c r="AJ138" s="203" t="n"/>
      <c r="AK138" s="203" t="n"/>
      <c r="AL138" s="136" t="n"/>
    </row>
    <row r="139">
      <c r="A139" s="101" t="n"/>
      <c r="B139" s="101" t="n"/>
      <c r="C139" s="101" t="n"/>
      <c r="D139" s="102" t="n"/>
      <c r="E139" s="103" t="n"/>
      <c r="F139" s="103" t="n"/>
      <c r="G139" s="103" t="n"/>
      <c r="H139" s="104" t="n"/>
      <c r="I139" s="104" t="n"/>
      <c r="J139" s="118" t="n"/>
      <c r="K139" s="206" t="n"/>
      <c r="L139" s="206" t="n"/>
      <c r="M139" s="207" t="n"/>
      <c r="N139" s="206" t="n"/>
      <c r="O139" s="206" t="n"/>
      <c r="P139" s="208" t="n"/>
      <c r="Q139" s="208" t="n"/>
      <c r="R139" s="206" t="n"/>
      <c r="S139" s="209" t="n"/>
      <c r="T139" s="209" t="n"/>
      <c r="U139" s="209" t="n"/>
      <c r="V139" s="209" t="n"/>
      <c r="W139" s="209" t="n"/>
      <c r="X139" s="209" t="n"/>
      <c r="Y139" s="209" t="n"/>
      <c r="Z139" s="210" t="n"/>
      <c r="AA139" s="211" t="n"/>
      <c r="AD139" s="212" t="n"/>
      <c r="AE139" s="212" t="n"/>
      <c r="AF139" s="212" t="n"/>
      <c r="AG139" s="212" t="n"/>
      <c r="AH139" s="212" t="n"/>
      <c r="AI139" s="212" t="n"/>
      <c r="AJ139" s="212" t="n"/>
      <c r="AK139" s="212" t="n"/>
      <c r="AL139" s="105" t="n"/>
    </row>
    <row r="140">
      <c r="A140" s="105" t="n"/>
      <c r="B140" s="105" t="n"/>
      <c r="C140" s="105" t="n"/>
      <c r="D140" s="105" t="n"/>
      <c r="E140" s="106" t="n"/>
      <c r="F140" s="106" t="n"/>
      <c r="G140" s="106" t="n"/>
      <c r="H140" s="106" t="n"/>
      <c r="I140" s="106" t="n"/>
      <c r="J140" s="106" t="n"/>
      <c r="K140" s="213" t="n"/>
      <c r="L140" s="106" t="n"/>
      <c r="M140" s="214" t="n"/>
      <c r="N140" s="214" t="n"/>
      <c r="O140" s="214" t="n"/>
      <c r="P140" s="214" t="n"/>
      <c r="Q140" s="214" t="n"/>
      <c r="R140" s="214" t="n"/>
      <c r="S140" s="209" t="n"/>
      <c r="T140" s="209" t="n"/>
      <c r="U140" s="209" t="n"/>
      <c r="V140" s="209" t="n"/>
      <c r="W140" s="209" t="n"/>
      <c r="X140" s="209" t="n"/>
      <c r="Y140" s="209" t="n"/>
      <c r="Z140" s="214" t="n"/>
      <c r="AA140" s="212" t="n"/>
      <c r="AB140" s="212" t="n"/>
      <c r="AC140" s="212" t="n"/>
      <c r="AD140" s="212" t="n"/>
      <c r="AE140" s="212" t="n"/>
      <c r="AF140" s="212" t="n"/>
      <c r="AG140" s="212" t="n"/>
      <c r="AH140" s="212" t="n"/>
      <c r="AI140" s="212" t="n"/>
      <c r="AJ140" s="212" t="n"/>
      <c r="AK140" s="212" t="n"/>
      <c r="AL140" s="105" t="n"/>
    </row>
    <row r="141">
      <c r="A141" s="105" t="n"/>
      <c r="B141" s="105" t="n"/>
      <c r="C141" s="105" t="n"/>
      <c r="D141" s="105" t="n"/>
      <c r="E141" s="106" t="n"/>
      <c r="F141" s="106" t="n"/>
      <c r="G141" s="106" t="n"/>
      <c r="H141" s="106" t="n"/>
      <c r="I141" s="106" t="n"/>
      <c r="J141" s="106" t="n"/>
      <c r="K141" s="213" t="n"/>
      <c r="L141" s="106" t="n"/>
      <c r="M141" s="214" t="n"/>
      <c r="N141" s="214" t="n"/>
      <c r="O141" s="214" t="n"/>
      <c r="P141" s="214" t="n"/>
      <c r="Q141" s="214" t="n"/>
      <c r="R141" s="214" t="n"/>
      <c r="S141" s="209" t="n"/>
      <c r="T141" s="209" t="n"/>
      <c r="U141" s="209" t="n"/>
      <c r="V141" s="209" t="n"/>
      <c r="W141" s="209" t="n"/>
      <c r="X141" s="209" t="n"/>
      <c r="Y141" s="209" t="n"/>
      <c r="Z141" s="214" t="n"/>
      <c r="AA141" s="212" t="n"/>
      <c r="AB141" s="212" t="n"/>
      <c r="AC141" s="212" t="n"/>
      <c r="AD141" s="212" t="n"/>
      <c r="AE141" s="212" t="n"/>
      <c r="AF141" s="212" t="n"/>
      <c r="AG141" s="212" t="n"/>
      <c r="AH141" s="212" t="n"/>
      <c r="AI141" s="212" t="n"/>
      <c r="AJ141" s="212" t="n"/>
      <c r="AK141" s="212" t="n"/>
      <c r="AL141" s="105" t="n"/>
    </row>
    <row r="142">
      <c r="A142" s="105" t="n"/>
      <c r="B142" s="105" t="n"/>
      <c r="C142" s="105" t="n"/>
      <c r="D142" s="105" t="n"/>
      <c r="E142" s="107" t="n"/>
      <c r="F142" s="107" t="n"/>
      <c r="G142" s="107" t="n"/>
      <c r="H142" s="106" t="n"/>
      <c r="I142" s="106" t="n"/>
      <c r="J142" s="106" t="n"/>
      <c r="K142" s="107" t="n"/>
      <c r="L142" s="106" t="n"/>
      <c r="M142" s="214" t="n"/>
      <c r="N142" s="210" t="n"/>
      <c r="O142" s="214" t="n"/>
      <c r="P142" s="214" t="n"/>
      <c r="Q142" s="214" t="n"/>
      <c r="R142" s="206" t="n"/>
      <c r="S142" s="209" t="n"/>
      <c r="T142" s="209" t="n"/>
      <c r="U142" s="209" t="n"/>
      <c r="V142" s="209" t="n"/>
      <c r="W142" s="209" t="n"/>
      <c r="X142" s="209" t="n"/>
      <c r="Y142" s="209" t="n"/>
      <c r="Z142" s="214" t="n"/>
      <c r="AA142" s="212" t="n"/>
      <c r="AB142" s="212" t="n"/>
      <c r="AC142" s="212" t="n"/>
      <c r="AD142" s="212" t="n"/>
      <c r="AE142" s="212" t="n"/>
      <c r="AF142" s="212" t="n"/>
      <c r="AG142" s="212" t="n"/>
      <c r="AH142" s="212" t="n"/>
      <c r="AI142" s="212" t="n"/>
      <c r="AJ142" s="212" t="n"/>
      <c r="AK142" s="212" t="n"/>
      <c r="AL142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2026-04-18T17:08:42Z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