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附表3项目效益审核表" sheetId="2" r:id="rId1"/>
  </sheets>
  <externalReferences>
    <externalReference r:id="rId2"/>
    <externalReference r:id="rId3"/>
  </externalReferences>
  <definedNames>
    <definedName name="hideComboData0">[1]数据集!$A$1:$A$6212</definedName>
    <definedName name="hideComboData1">[1]数据集!$B$1:$B$118</definedName>
    <definedName name="hideComboData19">[1]数据集!$T$1:$T$4</definedName>
    <definedName name="hideComboData2">[1]数据集!$C$1:$C$6212</definedName>
    <definedName name="hideComboData20">[1]数据集!$U$1:$U$7</definedName>
    <definedName name="hideComboData22">[1]数据集!$W$1:$W$3</definedName>
    <definedName name="hideComboData23">[1]数据集!$X$1:$X$2</definedName>
    <definedName name="hideComboData24">[1]数据集!$Y$1:$Y$2</definedName>
    <definedName name="hideComboData25">[1]数据集!$Z$1:$Z$3</definedName>
    <definedName name="hideComboData3">[1]数据集!$D$1:$D$14</definedName>
    <definedName name="hideComboData4">[1]数据集!$E$1:$E$21</definedName>
    <definedName name="hideComboData5">[1]数据集!$F$1:$F$1038</definedName>
    <definedName name="hideComboData13">[2]数据集!$N$1:$N$8</definedName>
    <definedName name="hideComboData14">[2]数据集!$O$1:$O$6</definedName>
    <definedName name="hideComboData15">[2]数据集!$P$1:$P$3</definedName>
    <definedName name="hideComboData18">[2]数据集!$S$1:$S$2</definedName>
    <definedName name="hideComboData17">[2]数据集!$R$1:$R$2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M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M23" authorId="0">
      <text>
        <r>
          <rPr>
            <sz val="10"/>
            <rFont val="宋体"/>
            <charset val="134"/>
          </rPr>
          <t>于:
**同财务账面合同履约成本/工程施工成本/分包工程支出数据一致**</t>
        </r>
      </text>
    </comment>
    <comment ref="M36" authorId="1">
      <text>
        <r>
          <rPr>
            <sz val="10"/>
            <rFont val="宋体"/>
            <charset val="134"/>
          </rPr>
          <t>**同财务账面合同履约成本/工程施工成本/直接材料费数据一致**</t>
        </r>
      </text>
    </comment>
    <comment ref="M40" authorId="1">
      <text>
        <r>
          <rPr>
            <sz val="10"/>
            <rFont val="宋体"/>
            <charset val="134"/>
          </rPr>
          <t xml:space="preserve">**同财务账面合同履约成本/工程施工成本/机械租赁费数据一致**
</t>
        </r>
      </text>
    </comment>
    <comment ref="M48" authorId="0">
      <text>
        <r>
          <rPr>
            <sz val="10"/>
            <rFont val="宋体"/>
            <charset val="134"/>
          </rPr>
          <t>于:
**同财务账面合同履约成本/工程施工成本其他直接费数据一致**</t>
        </r>
      </text>
    </comment>
    <comment ref="M63" authorId="1">
      <text>
        <r>
          <rPr>
            <sz val="10"/>
            <rFont val="宋体"/>
            <charset val="134"/>
          </rPr>
          <t>**同财务账面合同履约成本/工程施工成本/间接费数据一致**</t>
        </r>
      </text>
    </comment>
    <comment ref="D67" authorId="2">
      <text>
        <r>
          <rPr>
            <sz val="10"/>
            <rFont val="宋体"/>
            <charset val="134"/>
          </rPr>
          <t>（在建：房建0.6%，其它0.4%；在保修期间的按0.3~0.5%自行确定;保修期结束为0）</t>
        </r>
      </text>
    </comment>
    <comment ref="E72" authorId="3">
      <text>
        <r>
          <rPr>
            <sz val="10"/>
            <rFont val="宋体"/>
            <charset val="134"/>
          </rPr>
          <t>Admin:
尚需缴纳的增值税额=尚需向业主开票（累计实际完成工程量-累计已开票金额）金额对应的销项税额-分包分供尚可抵扣的进项税额</t>
        </r>
      </text>
    </comment>
    <comment ref="E73" authorId="3">
      <text>
        <r>
          <rPr>
            <sz val="10"/>
            <rFont val="宋体"/>
            <charset val="134"/>
          </rPr>
          <t>Admin:
尚需缴纳的税金及附加=尚需缴纳的增值税*税金及附加税率</t>
        </r>
      </text>
    </comment>
  </commentList>
</comments>
</file>

<file path=xl/sharedStrings.xml><?xml version="1.0" encoding="utf-8"?>
<sst xmlns="http://schemas.openxmlformats.org/spreadsheetml/2006/main" count="155" uniqueCount="139">
  <si>
    <t xml:space="preserve">            项目效益审核表               单位：元</t>
  </si>
  <si>
    <t>序号</t>
  </si>
  <si>
    <t>业主名称：</t>
  </si>
  <si>
    <t>业主所属集团：</t>
  </si>
  <si>
    <t>我司签约单位：</t>
  </si>
  <si>
    <t>本表填报时间：</t>
  </si>
  <si>
    <t>数据截止时间：</t>
  </si>
  <si>
    <t>利润中心编码</t>
  </si>
  <si>
    <t>项目编码</t>
  </si>
  <si>
    <t>工程名称（与一体化保持一致）</t>
  </si>
  <si>
    <t>项目状态（点选）</t>
  </si>
  <si>
    <t>是否办理最终结算</t>
  </si>
  <si>
    <t>最终结算时间</t>
  </si>
  <si>
    <t>商务/材料确认</t>
  </si>
  <si>
    <t>财务确认</t>
  </si>
  <si>
    <t>债权情况</t>
  </si>
  <si>
    <t>税务情况</t>
  </si>
  <si>
    <t>备注</t>
  </si>
  <si>
    <t>业主累计确认工程量
(含增值税)</t>
  </si>
  <si>
    <t>已完成未确权工程量
(含增值税)</t>
  </si>
  <si>
    <t>累计实际完成工作量
(含增值税)</t>
  </si>
  <si>
    <t>其中：实际收入应计增值税</t>
  </si>
  <si>
    <t>累计实际完成工作量（不含增值税）</t>
  </si>
  <si>
    <t>财务累计入账收入
（不含增值税）</t>
  </si>
  <si>
    <t>已价税分离的增值税金额(财务账面数据)</t>
  </si>
  <si>
    <t>应入未入账收入（商务实际完成不含税产值-财务账面列报收入）</t>
  </si>
  <si>
    <t>尚未价税分离的增值税金</t>
  </si>
  <si>
    <t>财务累计应确认收入（不含增值税）</t>
  </si>
  <si>
    <t>财务累计应确认收入（含增值税）</t>
  </si>
  <si>
    <t>实际收款</t>
  </si>
  <si>
    <t>其中：财务账面已列报收款</t>
  </si>
  <si>
    <t>其中：已抵债未入账收款</t>
  </si>
  <si>
    <t>其中：其他未入账收款</t>
  </si>
  <si>
    <t>债权总额</t>
  </si>
  <si>
    <t>其中：应收总额</t>
  </si>
  <si>
    <t>是否已取得对账单
（以取得双方用印对账单为准）</t>
  </si>
  <si>
    <t>累计已开发票（含税）</t>
  </si>
  <si>
    <t>其中：分包抵扣发票额
（含税）</t>
  </si>
  <si>
    <t>其中：增值税项下已抵扣税额</t>
  </si>
  <si>
    <t>累计已开具营业税发票</t>
  </si>
  <si>
    <t>其中：分包分供抵扣发票额</t>
  </si>
  <si>
    <t>累计已开具增值税发票
（含税）</t>
  </si>
  <si>
    <t>其中：预缴时分包抵扣发票额</t>
  </si>
  <si>
    <t>按结算未开具发票额</t>
  </si>
  <si>
    <t>按收款未开具发票额</t>
  </si>
  <si>
    <t>当前适用税率</t>
  </si>
  <si>
    <t>应收账款-待转销税额</t>
  </si>
  <si>
    <t>XX项目</t>
  </si>
  <si>
    <t>客商编码</t>
  </si>
  <si>
    <t>合同编码</t>
  </si>
  <si>
    <t>客商名称</t>
  </si>
  <si>
    <t>主要工作内容</t>
  </si>
  <si>
    <t>商务、物资确认</t>
  </si>
  <si>
    <t>债务情况</t>
  </si>
  <si>
    <t>商务已结(含税)</t>
  </si>
  <si>
    <t>截止目前应结未结(含税)</t>
  </si>
  <si>
    <t>实际诶计成本(含税)</t>
  </si>
  <si>
    <t>累计成本可抵扣增值税税金</t>
  </si>
  <si>
    <t>实际累计成本
（不含可抵扣税金）</t>
  </si>
  <si>
    <t>截止目前财务已入账成本（不含增值税）
**同财务账面合同履约成本/工程施工成本一致**</t>
  </si>
  <si>
    <t>已价税分离的增值税金
（财务账面数据）</t>
  </si>
  <si>
    <t>应入未入账成本（不含增值税）</t>
  </si>
  <si>
    <t>实际成本
（不含增值税）</t>
  </si>
  <si>
    <t>实际成本
（含增值税）</t>
  </si>
  <si>
    <t>累计付款</t>
  </si>
  <si>
    <t>其中：财务账面已列报付款</t>
  </si>
  <si>
    <t>其中：已办理供应链或票据背书未入账付款</t>
  </si>
  <si>
    <t>其中：其他未入账付款</t>
  </si>
  <si>
    <t>债务总额</t>
  </si>
  <si>
    <t>其中：应付总额</t>
  </si>
  <si>
    <t>累计已收取发票（含税）</t>
  </si>
  <si>
    <t>其中：累计已收取营业税发票额</t>
  </si>
  <si>
    <t>其中：累计已收取增值税发票额</t>
  </si>
  <si>
    <t>其中：营业税及增值税预缴时已抵扣发票额</t>
  </si>
  <si>
    <t>已收取增值税发票对应税额</t>
  </si>
  <si>
    <t>其中：已认证税额</t>
  </si>
  <si>
    <t>已收取待认证税额</t>
  </si>
  <si>
    <t>按结算未收取发票额</t>
  </si>
  <si>
    <t>按付款未收取发票额</t>
  </si>
  <si>
    <t>其他应收-待扣减税额</t>
  </si>
  <si>
    <t>9=7+8</t>
  </si>
  <si>
    <t>11=9-10</t>
  </si>
  <si>
    <t>14=11-12</t>
  </si>
  <si>
    <t>15=10-13</t>
  </si>
  <si>
    <t>16=12+14</t>
  </si>
  <si>
    <t>17=12+13+14+15</t>
  </si>
  <si>
    <t>二、成本</t>
  </si>
  <si>
    <t>（一）人工费</t>
  </si>
  <si>
    <t>**财务未列部分需增列***</t>
  </si>
  <si>
    <t>人工费小计：</t>
  </si>
  <si>
    <t>（二）分包工程</t>
  </si>
  <si>
    <t>分包工程小计：</t>
  </si>
  <si>
    <t>(三)材料费</t>
  </si>
  <si>
    <t>（1）集中采购</t>
  </si>
  <si>
    <t>（2）自行采购</t>
  </si>
  <si>
    <t>材料库存（注：项目已结算未使用材料冲减项目成本，负数填报）</t>
  </si>
  <si>
    <t>材料调入</t>
  </si>
  <si>
    <t>材料调出（注：负数填报）</t>
  </si>
  <si>
    <t>材料费小计：</t>
  </si>
  <si>
    <t>(四）机械租赁费</t>
  </si>
  <si>
    <t>机械费小计：</t>
  </si>
  <si>
    <t>（五）其他直接费</t>
  </si>
  <si>
    <t>检验实验费</t>
  </si>
  <si>
    <t>水费</t>
  </si>
  <si>
    <t>电费</t>
  </si>
  <si>
    <t>临时设施折旧费</t>
  </si>
  <si>
    <t>其他</t>
  </si>
  <si>
    <t>其他直接费小计：</t>
  </si>
  <si>
    <t>（六）间接费</t>
  </si>
  <si>
    <t>工资</t>
  </si>
  <si>
    <t>福利费</t>
  </si>
  <si>
    <t>折旧费</t>
  </si>
  <si>
    <t>修理费</t>
  </si>
  <si>
    <t>物料消耗</t>
  </si>
  <si>
    <t>办公费</t>
  </si>
  <si>
    <t>差旅费</t>
  </si>
  <si>
    <t>劳动保护费</t>
  </si>
  <si>
    <t>工程保险费</t>
  </si>
  <si>
    <t>租赁费</t>
  </si>
  <si>
    <t>水电费</t>
  </si>
  <si>
    <t>间接费小计：</t>
  </si>
  <si>
    <t>（七）安全费</t>
  </si>
  <si>
    <t>安全费小计：</t>
  </si>
  <si>
    <t>三、成本合计：</t>
  </si>
  <si>
    <t>四、计提保修金</t>
  </si>
  <si>
    <t>（在建：房建0.6%，其它0.4%；在保修期间的按0.3~0.5%自行确定;保修期结束为0）</t>
  </si>
  <si>
    <t>五、过程节点奖金</t>
  </si>
  <si>
    <t>六、资金占用费用</t>
  </si>
  <si>
    <t>七、局投资收益（局投资项目选填）</t>
  </si>
  <si>
    <t>八、成本及费用合计（三+四+五+六+七）</t>
  </si>
  <si>
    <t>九、增值税实际税负（按财务数据）</t>
  </si>
  <si>
    <t>根据财务账面实际已缴纳增值税额+尚需缴纳的增值税额</t>
  </si>
  <si>
    <t>/</t>
  </si>
  <si>
    <t>十、税金及附加
（按财务数据）</t>
  </si>
  <si>
    <t>根据财务账面实际已缴纳税金及附加+尚需缴纳的税金及附加</t>
  </si>
  <si>
    <t>十一、利润</t>
  </si>
  <si>
    <t>十二、利润率</t>
  </si>
  <si>
    <t>含税利润率</t>
  </si>
  <si>
    <t>不含税利润率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</si>
</sst>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_ * #,##0.00_ ;_ * \-#,##0.00_ ;_ * &quot;-&quot;??.00_ ;_ @_ "/>
  </numFmts>
  <fonts count="38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rgb="FFFF0000"/>
      <name val="宋体"/>
      <charset val="134"/>
    </font>
    <font>
      <b/>
      <sz val="10"/>
      <color indexed="10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20"/>
      <color rgb="FF000000"/>
      <name val="宋体"/>
      <charset val="134"/>
    </font>
    <font>
      <b/>
      <sz val="10"/>
      <color theme="1"/>
      <name val="宋体"/>
      <charset val="134"/>
    </font>
    <font>
      <b/>
      <sz val="11"/>
      <color indexed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b/>
      <sz val="10"/>
      <color rgb="FFFF0000"/>
      <name val="宋体"/>
      <charset val="134"/>
    </font>
    <font>
      <b/>
      <sz val="20"/>
      <color indexed="8"/>
      <name val="宋体"/>
      <charset val="134"/>
    </font>
    <font>
      <b/>
      <sz val="10"/>
      <color rgb="FF000000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11" borderId="6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7">
      <alignment vertical="center"/>
    </xf>
    <xf numFmtId="0" fontId="24" fillId="0" borderId="7">
      <alignment vertical="center"/>
    </xf>
    <xf numFmtId="0" fontId="25" fillId="0" borderId="8">
      <alignment vertical="center"/>
    </xf>
    <xf numFmtId="0" fontId="25" fillId="0" borderId="0">
      <alignment vertical="center"/>
    </xf>
    <xf numFmtId="0" fontId="26" fillId="12" borderId="9">
      <alignment vertical="center"/>
    </xf>
    <xf numFmtId="0" fontId="27" fillId="13" borderId="10">
      <alignment vertical="center"/>
    </xf>
    <xf numFmtId="0" fontId="28" fillId="13" borderId="9">
      <alignment vertical="center"/>
    </xf>
    <xf numFmtId="0" fontId="29" fillId="14" borderId="11">
      <alignment vertical="center"/>
    </xf>
    <xf numFmtId="0" fontId="30" fillId="0" borderId="12">
      <alignment vertical="center"/>
    </xf>
    <xf numFmtId="0" fontId="31" fillId="0" borderId="13">
      <alignment vertical="center"/>
    </xf>
    <xf numFmtId="0" fontId="32" fillId="15" borderId="0">
      <alignment vertical="center"/>
    </xf>
    <xf numFmtId="0" fontId="33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6" fillId="19" borderId="0">
      <alignment vertical="center"/>
    </xf>
    <xf numFmtId="0" fontId="36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6" fillId="23" borderId="0">
      <alignment vertical="center"/>
    </xf>
    <xf numFmtId="0" fontId="36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6" fillId="27" borderId="0">
      <alignment vertical="center"/>
    </xf>
    <xf numFmtId="0" fontId="36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6" fillId="31" borderId="0">
      <alignment vertical="center"/>
    </xf>
    <xf numFmtId="0" fontId="36" fillId="32" borderId="0">
      <alignment vertical="center"/>
    </xf>
    <xf numFmtId="0" fontId="35" fillId="33" borderId="0">
      <alignment vertical="center"/>
    </xf>
    <xf numFmtId="0" fontId="35" fillId="34" borderId="0">
      <alignment vertical="center"/>
    </xf>
    <xf numFmtId="0" fontId="36" fillId="35" borderId="0">
      <alignment vertical="center"/>
    </xf>
    <xf numFmtId="0" fontId="36" fillId="36" borderId="0">
      <alignment vertical="center"/>
    </xf>
    <xf numFmtId="0" fontId="35" fillId="37" borderId="0">
      <alignment vertical="center"/>
    </xf>
    <xf numFmtId="0" fontId="35" fillId="38" borderId="0">
      <alignment vertical="center"/>
    </xf>
    <xf numFmtId="0" fontId="36" fillId="39" borderId="0">
      <alignment vertical="center"/>
    </xf>
    <xf numFmtId="0" fontId="36" fillId="40" borderId="0">
      <alignment vertical="center"/>
    </xf>
    <xf numFmtId="0" fontId="35" fillId="41" borderId="0">
      <alignment vertical="center"/>
    </xf>
    <xf numFmtId="0" fontId="5" fillId="0" borderId="0">
      <alignment vertical="center"/>
    </xf>
  </cellStyleXfs>
  <cellXfs count="128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176" fontId="5" fillId="0" borderId="0" xfId="0" applyNumberFormat="1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0" fillId="0" borderId="2" xfId="0" applyBorder="1" applyProtection="1"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43" fontId="10" fillId="4" borderId="1" xfId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Protection="1"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3" fontId="10" fillId="0" borderId="1" xfId="1" applyFont="1" applyBorder="1" applyAlignment="1" applyProtection="1">
      <alignment horizontal="center" vertical="center" wrapText="1" shrinkToFit="1"/>
      <protection locked="0"/>
    </xf>
    <xf numFmtId="43" fontId="8" fillId="4" borderId="1" xfId="1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8" fillId="7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43" fontId="11" fillId="0" borderId="1" xfId="1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44" fontId="1" fillId="0" borderId="1" xfId="49" applyNumberFormat="1" applyFont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left" vertical="center" wrapText="1"/>
      <protection locked="0"/>
    </xf>
    <xf numFmtId="43" fontId="10" fillId="6" borderId="1" xfId="1" applyFont="1" applyFill="1" applyBorder="1" applyAlignment="1" applyProtection="1">
      <alignment vertical="center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4" fontId="1" fillId="0" borderId="1" xfId="0" applyNumberFormat="1" applyFont="1" applyBorder="1" applyAlignment="1" applyProtection="1">
      <alignment horizontal="center" vertical="center" wrapText="1" shrinkToFit="1"/>
      <protection locked="0"/>
    </xf>
    <xf numFmtId="43" fontId="1" fillId="0" borderId="1" xfId="1" applyFont="1" applyBorder="1" applyAlignment="1" applyProtection="1">
      <alignment horizontal="center" vertical="center"/>
      <protection locked="0"/>
    </xf>
    <xf numFmtId="43" fontId="1" fillId="0" borderId="1" xfId="1" applyFont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3" fontId="3" fillId="0" borderId="1" xfId="1" applyFont="1" applyBorder="1" applyAlignment="1" applyProtection="1">
      <alignment vertical="center"/>
      <protection locked="0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49" fontId="1" fillId="0" borderId="1" xfId="0" applyNumberFormat="1" applyFont="1" applyBorder="1" applyAlignment="1" applyProtection="1">
      <alignment horizontal="left" vertical="center" wrapText="1"/>
      <protection locked="0"/>
    </xf>
    <xf numFmtId="4" fontId="1" fillId="0" borderId="1" xfId="0" applyNumberFormat="1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43" fontId="10" fillId="0" borderId="1" xfId="1" applyFont="1" applyBorder="1" applyAlignment="1" applyProtection="1">
      <alignment vertical="center"/>
      <protection locked="0"/>
    </xf>
    <xf numFmtId="43" fontId="11" fillId="0" borderId="1" xfId="1" applyFont="1" applyBorder="1" applyAlignment="1" applyProtection="1">
      <alignment horizontal="right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43" fontId="10" fillId="8" borderId="1" xfId="1" applyFont="1" applyFill="1" applyBorder="1" applyAlignment="1" applyProtection="1">
      <alignment horizontal="center" vertical="center" wrapText="1" shrinkToFit="1"/>
      <protection locked="0"/>
    </xf>
    <xf numFmtId="176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0" fillId="4" borderId="1" xfId="0" applyNumberFormat="1" applyFont="1" applyFill="1" applyBorder="1" applyAlignment="1">
      <alignment horizontal="center" vertical="center" wrapText="1"/>
    </xf>
    <xf numFmtId="43" fontId="10" fillId="8" borderId="1" xfId="1" applyFont="1" applyFill="1" applyBorder="1" applyAlignment="1" applyProtection="1">
      <alignment horizontal="center" vertical="center" wrapText="1"/>
      <protection locked="0"/>
    </xf>
    <xf numFmtId="43" fontId="10" fillId="0" borderId="1" xfId="1" applyFont="1" applyBorder="1" applyAlignment="1">
      <alignment vertical="center"/>
    </xf>
    <xf numFmtId="43" fontId="10" fillId="0" borderId="1" xfId="1" applyFont="1" applyBorder="1" applyAlignment="1" applyProtection="1">
      <alignment horizontal="center" vertical="center" wrapText="1"/>
      <protection locked="0"/>
    </xf>
    <xf numFmtId="43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43" fontId="11" fillId="2" borderId="1" xfId="1" applyFont="1" applyFill="1" applyBorder="1" applyAlignment="1" applyProtection="1">
      <alignment vertical="center"/>
      <protection locked="0"/>
    </xf>
    <xf numFmtId="176" fontId="10" fillId="6" borderId="1" xfId="1" applyNumberFormat="1" applyFont="1" applyFill="1" applyBorder="1" applyAlignment="1">
      <alignment horizontal="center" vertical="center" wrapText="1"/>
    </xf>
    <xf numFmtId="43" fontId="10" fillId="6" borderId="1" xfId="1" applyFont="1" applyFill="1" applyBorder="1" applyAlignment="1">
      <alignment horizontal="center" vertical="center" wrapText="1"/>
    </xf>
    <xf numFmtId="0" fontId="11" fillId="0" borderId="1" xfId="1" applyNumberFormat="1" applyFont="1" applyBorder="1" applyAlignment="1" applyProtection="1">
      <alignment vertical="center"/>
      <protection locked="0"/>
    </xf>
    <xf numFmtId="43" fontId="10" fillId="6" borderId="1" xfId="1" applyFont="1" applyFill="1" applyBorder="1" applyAlignment="1">
      <alignment vertical="center"/>
    </xf>
    <xf numFmtId="4" fontId="1" fillId="0" borderId="1" xfId="0" applyNumberFormat="1" applyFont="1" applyBorder="1" applyAlignment="1" applyProtection="1">
      <alignment horizontal="right" vertical="center" wrapText="1"/>
      <protection locked="0"/>
    </xf>
    <xf numFmtId="43" fontId="11" fillId="0" borderId="1" xfId="1" applyFont="1" applyBorder="1" applyAlignment="1" applyProtection="1">
      <alignment horizontal="center" vertical="center"/>
      <protection locked="0"/>
    </xf>
    <xf numFmtId="43" fontId="10" fillId="2" borderId="1" xfId="1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43" fontId="10" fillId="9" borderId="1" xfId="1" applyFont="1" applyFill="1" applyBorder="1" applyAlignment="1" applyProtection="1">
      <alignment horizontal="center" vertical="center" wrapText="1" shrinkToFit="1"/>
      <protection locked="0"/>
    </xf>
    <xf numFmtId="43" fontId="2" fillId="9" borderId="1" xfId="1" applyFont="1" applyFill="1" applyBorder="1" applyAlignment="1" applyProtection="1">
      <alignment horizontal="center" vertical="center" wrapText="1"/>
      <protection locked="0"/>
    </xf>
    <xf numFmtId="43" fontId="10" fillId="0" borderId="1" xfId="0" applyNumberFormat="1" applyFont="1" applyBorder="1" applyAlignment="1" applyProtection="1">
      <alignment horizontal="center" vertical="center" wrapText="1" shrinkToFit="1"/>
      <protection locked="0"/>
    </xf>
    <xf numFmtId="177" fontId="2" fillId="0" borderId="1" xfId="1" applyNumberFormat="1" applyFont="1" applyBorder="1" applyAlignment="1" applyProtection="1">
      <alignment vertical="center"/>
      <protection locked="0"/>
    </xf>
    <xf numFmtId="43" fontId="1" fillId="0" borderId="1" xfId="1" applyFont="1" applyBorder="1" applyAlignment="1" applyProtection="1">
      <alignment vertical="center"/>
      <protection locked="0"/>
    </xf>
    <xf numFmtId="43" fontId="2" fillId="0" borderId="1" xfId="1" applyFont="1" applyBorder="1" applyAlignment="1" applyProtection="1">
      <alignment vertical="center"/>
      <protection locked="0"/>
    </xf>
    <xf numFmtId="43" fontId="1" fillId="0" borderId="0" xfId="1" applyFont="1" applyAlignment="1" applyProtection="1">
      <alignment vertical="center"/>
      <protection locked="0"/>
    </xf>
    <xf numFmtId="43" fontId="1" fillId="0" borderId="0" xfId="1" applyFont="1" applyAlignment="1" applyProtection="1">
      <alignment horizontal="right" vertical="center"/>
      <protection locked="0"/>
    </xf>
    <xf numFmtId="43" fontId="2" fillId="5" borderId="1" xfId="1" applyFont="1" applyFill="1" applyBorder="1" applyAlignment="1" applyProtection="1">
      <alignment horizontal="center" vertical="center"/>
      <protection locked="0"/>
    </xf>
    <xf numFmtId="43" fontId="15" fillId="9" borderId="1" xfId="1" applyFont="1" applyFill="1" applyBorder="1" applyAlignment="1" applyProtection="1">
      <alignment horizontal="center" vertical="center" wrapText="1"/>
      <protection locked="0"/>
    </xf>
    <xf numFmtId="43" fontId="2" fillId="5" borderId="1" xfId="1" applyFont="1" applyFill="1" applyBorder="1" applyAlignment="1" applyProtection="1">
      <alignment horizontal="center" vertical="center" wrapText="1"/>
      <protection locked="0"/>
    </xf>
    <xf numFmtId="43" fontId="1" fillId="0" borderId="1" xfId="1" applyFont="1" applyBorder="1" applyAlignment="1" applyProtection="1">
      <protection locked="0"/>
    </xf>
    <xf numFmtId="43" fontId="3" fillId="0" borderId="1" xfId="1" applyFont="1" applyBorder="1" applyAlignment="1" applyProtection="1">
      <protection locked="0"/>
    </xf>
    <xf numFmtId="43" fontId="2" fillId="0" borderId="1" xfId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76" fontId="10" fillId="0" borderId="0" xfId="1" applyNumberFormat="1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5" fillId="2" borderId="0" xfId="0" applyFont="1" applyFill="1" applyAlignment="1">
      <alignment horizontal="left" vertical="center"/>
    </xf>
    <xf numFmtId="0" fontId="16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7" fillId="0" borderId="0" xfId="0" applyFont="1" applyAlignment="1">
      <alignment horizontal="left" vertical="center"/>
    </xf>
    <xf numFmtId="43" fontId="10" fillId="10" borderId="1" xfId="1" applyFont="1" applyFill="1" applyBorder="1" applyAlignment="1" applyProtection="1">
      <alignment vertical="center"/>
      <protection locked="0"/>
    </xf>
    <xf numFmtId="43" fontId="10" fillId="6" borderId="1" xfId="1" applyFont="1" applyFill="1" applyBorder="1" applyAlignment="1" applyProtection="1">
      <alignment horizontal="center" vertical="center"/>
      <protection locked="0"/>
    </xf>
    <xf numFmtId="43" fontId="10" fillId="6" borderId="1" xfId="1" applyFont="1" applyFill="1" applyBorder="1" applyAlignment="1" applyProtection="1">
      <alignment vertical="center" wrapText="1"/>
      <protection locked="0"/>
    </xf>
    <xf numFmtId="10" fontId="10" fillId="6" borderId="1" xfId="3" applyNumberFormat="1" applyFont="1" applyFill="1" applyBorder="1" applyAlignment="1" applyProtection="1">
      <alignment vertical="center"/>
      <protection locked="0"/>
    </xf>
    <xf numFmtId="10" fontId="10" fillId="6" borderId="1" xfId="3" applyNumberFormat="1" applyFont="1" applyFill="1" applyBorder="1" applyAlignment="1">
      <alignment vertical="center"/>
    </xf>
    <xf numFmtId="176" fontId="8" fillId="4" borderId="0" xfId="0" applyNumberFormat="1" applyFont="1" applyFill="1" applyAlignment="1" applyProtection="1">
      <alignment horizontal="center" vertical="center" wrapText="1"/>
      <protection locked="0"/>
    </xf>
    <xf numFmtId="176" fontId="8" fillId="0" borderId="0" xfId="1" applyNumberFormat="1" applyFont="1" applyAlignment="1" applyProtection="1">
      <alignment horizontal="center" vertical="center" wrapText="1"/>
      <protection locked="0"/>
    </xf>
    <xf numFmtId="176" fontId="8" fillId="4" borderId="0" xfId="1" applyNumberFormat="1" applyFont="1" applyFill="1" applyAlignment="1">
      <alignment horizontal="center" vertical="center" wrapText="1"/>
    </xf>
    <xf numFmtId="43" fontId="10" fillId="0" borderId="0" xfId="1" applyFont="1" applyAlignment="1" applyProtection="1">
      <alignment vertical="center"/>
      <protection locked="0"/>
    </xf>
    <xf numFmtId="176" fontId="4" fillId="0" borderId="0" xfId="0" applyNumberFormat="1" applyFont="1" applyAlignment="1" applyProtection="1">
      <alignment vertical="center" wrapText="1"/>
      <protection locked="0"/>
    </xf>
    <xf numFmtId="176" fontId="10" fillId="0" borderId="0" xfId="1" applyNumberFormat="1" applyFont="1" applyAlignment="1">
      <alignment vertical="center" wrapText="1"/>
    </xf>
    <xf numFmtId="0" fontId="5" fillId="0" borderId="0" xfId="0" applyFont="1" applyAlignment="1" applyProtection="1">
      <alignment horizontal="left" vertical="center"/>
      <protection locked="0"/>
    </xf>
    <xf numFmtId="43" fontId="17" fillId="0" borderId="0" xfId="1" applyFont="1" applyAlignment="1" applyProtection="1">
      <alignment horizontal="left" vertical="center"/>
      <protection locked="0"/>
    </xf>
    <xf numFmtId="176" fontId="5" fillId="0" borderId="0" xfId="0" applyNumberFormat="1" applyFont="1" applyAlignment="1" applyProtection="1">
      <alignment horizontal="left" vertical="center"/>
      <protection locked="0"/>
    </xf>
    <xf numFmtId="43" fontId="5" fillId="0" borderId="0" xfId="1" applyFont="1" applyAlignment="1" applyProtection="1">
      <alignment horizontal="left" vertical="center"/>
      <protection locked="0"/>
    </xf>
    <xf numFmtId="176" fontId="16" fillId="0" borderId="0" xfId="0" applyNumberFormat="1" applyFont="1" applyAlignment="1" applyProtection="1">
      <alignment horizontal="left" vertical="center"/>
      <protection locked="0"/>
    </xf>
    <xf numFmtId="43" fontId="2" fillId="0" borderId="1" xfId="1" applyFont="1" applyBorder="1" applyAlignment="1" applyProtection="1">
      <protection locked="0"/>
    </xf>
    <xf numFmtId="43" fontId="4" fillId="6" borderId="1" xfId="1" applyFont="1" applyFill="1" applyBorder="1" applyAlignment="1" applyProtection="1">
      <alignment vertical="center"/>
      <protection locked="0"/>
    </xf>
    <xf numFmtId="43" fontId="2" fillId="0" borderId="0" xfId="1" applyFont="1" applyAlignment="1" applyProtection="1">
      <alignment vertical="center"/>
      <protection locked="0"/>
    </xf>
    <xf numFmtId="43" fontId="16" fillId="0" borderId="0" xfId="1" applyFont="1" applyAlignment="1" applyProtection="1">
      <alignment vertical="center"/>
      <protection locked="0"/>
    </xf>
    <xf numFmtId="0" fontId="2" fillId="0" borderId="1" xfId="0" applyFont="1" applyBorder="1" applyProtection="1">
      <protection locked="0"/>
    </xf>
    <xf numFmtId="43" fontId="2" fillId="6" borderId="1" xfId="1" applyFont="1" applyFill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eitian\Desktop\&#22806;&#37096;&#23548;&#20837;&#38382;&#39064;&#27169;&#26495;&#65288;&#33258;&#21160;&#29983;&#25104;&#65289;(101656259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E82"/>
  <sheetViews>
    <sheetView tabSelected="1" zoomScale="70" zoomScaleNormal="70" workbookViewId="0">
      <selection activeCell="O67" sqref="O67:Q68"/>
    </sheetView>
  </sheetViews>
  <sheetFormatPr defaultColWidth="10" defaultRowHeight="15"/>
  <cols>
    <col min="1" max="1" width="3.02727272727273" style="8" customWidth="1"/>
    <col min="2" max="2" width="21.8181818181818" style="8" customWidth="1"/>
    <col min="3" max="3" width="16.7636363636364" style="8" customWidth="1"/>
    <col min="4" max="4" width="37.7545454545455" style="8" customWidth="1"/>
    <col min="5" max="5" width="35.0545454545455" style="8" hidden="1" customWidth="1"/>
    <col min="6" max="6" width="20" style="8" hidden="1" customWidth="1"/>
    <col min="7" max="7" width="19.1909090909091" style="8" hidden="1" customWidth="1"/>
    <col min="8" max="8" width="20.9090909090909" style="8" hidden="1" customWidth="1"/>
    <col min="9" max="9" width="25.2545454545455" style="8" hidden="1" customWidth="1"/>
    <col min="10" max="11" width="20.9090909090909" style="8" hidden="1" customWidth="1"/>
    <col min="12" max="12" width="24.0363636363636" style="9" hidden="1" customWidth="1"/>
    <col min="13" max="13" width="26.7636363636364" style="8" customWidth="1"/>
    <col min="14" max="14" width="24.3454545454545" style="8" customWidth="1"/>
    <col min="15" max="15" width="23.4363636363636" style="8" customWidth="1"/>
    <col min="16" max="16" width="18.4818181818182" style="8" customWidth="1"/>
    <col min="17" max="17" width="20.7090909090909" style="8" customWidth="1"/>
    <col min="18" max="18" width="20.8090909090909" style="8" customWidth="1"/>
    <col min="19" max="25" width="19.7" style="8" customWidth="1"/>
    <col min="26" max="26" width="20.4" style="8" customWidth="1"/>
    <col min="27" max="27" width="17.8818181818182" style="8" customWidth="1"/>
    <col min="28" max="28" width="20" style="8" customWidth="1"/>
    <col min="29" max="34" width="18.8909090909091" style="8" customWidth="1"/>
    <col min="35" max="35" width="21.0090909090909" style="8" customWidth="1"/>
    <col min="36" max="36" width="12.3272727272727" style="8" customWidth="1"/>
    <col min="37" max="37" width="18.1818181818182" style="8" customWidth="1"/>
    <col min="38" max="38" width="12.3272727272727" style="8" customWidth="1"/>
    <col min="39" max="16384" width="10" style="10" customWidth="1"/>
  </cols>
  <sheetData>
    <row r="1" s="1" customFormat="1" ht="12.75" customHeight="1" spans="1:27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55"/>
      <c r="U1" s="55"/>
      <c r="V1" s="55"/>
      <c r="W1" s="55"/>
      <c r="X1" s="55"/>
      <c r="Y1" s="55"/>
      <c r="Z1" s="55"/>
      <c r="AA1" s="82"/>
    </row>
    <row r="2" s="1" customFormat="1" ht="12.75" customHeight="1" spans="1:27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55"/>
      <c r="U2" s="55"/>
      <c r="V2" s="55"/>
      <c r="W2" s="55"/>
      <c r="X2" s="55"/>
      <c r="Y2" s="55"/>
      <c r="Z2" s="55"/>
      <c r="AA2" s="83"/>
    </row>
    <row r="3" s="1" customFormat="1" ht="26" customHeight="1" spans="1:27">
      <c r="A3" s="13" t="s">
        <v>1</v>
      </c>
      <c r="B3" s="14" t="s">
        <v>2</v>
      </c>
      <c r="C3" s="12"/>
      <c r="D3" s="12"/>
      <c r="E3" s="14" t="s">
        <v>3</v>
      </c>
      <c r="F3" s="12"/>
      <c r="G3" s="14" t="s">
        <v>4</v>
      </c>
      <c r="H3" s="12"/>
      <c r="I3" s="12"/>
      <c r="J3" s="14" t="s">
        <v>5</v>
      </c>
      <c r="K3" s="12"/>
      <c r="L3" s="14" t="s">
        <v>6</v>
      </c>
      <c r="M3" s="12"/>
      <c r="N3" s="55"/>
      <c r="O3" s="55"/>
      <c r="P3" s="55"/>
      <c r="Q3" s="55"/>
      <c r="R3" s="55"/>
      <c r="S3" s="75"/>
      <c r="T3" s="75"/>
      <c r="U3" s="75"/>
      <c r="V3" s="75"/>
      <c r="W3" s="75"/>
      <c r="X3" s="75"/>
      <c r="Y3" s="75"/>
      <c r="Z3" s="55"/>
      <c r="AA3" s="83"/>
    </row>
    <row r="4" s="1" customFormat="1" ht="18" customHeight="1" spans="1:38">
      <c r="A4" s="15"/>
      <c r="B4" s="16" t="s">
        <v>7</v>
      </c>
      <c r="C4" s="16" t="s">
        <v>8</v>
      </c>
      <c r="D4" s="17" t="s">
        <v>9</v>
      </c>
      <c r="E4" s="18" t="s">
        <v>10</v>
      </c>
      <c r="F4" s="19" t="s">
        <v>11</v>
      </c>
      <c r="G4" s="20" t="s">
        <v>12</v>
      </c>
      <c r="H4" s="21" t="s">
        <v>13</v>
      </c>
      <c r="I4" s="56"/>
      <c r="J4" s="56"/>
      <c r="K4" s="56"/>
      <c r="L4" s="57"/>
      <c r="M4" s="58" t="s">
        <v>14</v>
      </c>
      <c r="N4" s="56"/>
      <c r="O4" s="56"/>
      <c r="P4" s="56"/>
      <c r="Q4" s="56"/>
      <c r="R4" s="57"/>
      <c r="S4" s="76" t="s">
        <v>15</v>
      </c>
      <c r="T4" s="56"/>
      <c r="U4" s="56"/>
      <c r="V4" s="56"/>
      <c r="W4" s="56"/>
      <c r="X4" s="56"/>
      <c r="Y4" s="57"/>
      <c r="Z4" s="84" t="s">
        <v>16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7"/>
      <c r="AL4" s="89" t="s">
        <v>17</v>
      </c>
    </row>
    <row r="5" s="1" customFormat="1" ht="38.15" customHeight="1" spans="1:38">
      <c r="A5" s="15"/>
      <c r="B5" s="22"/>
      <c r="C5" s="22"/>
      <c r="D5" s="22"/>
      <c r="E5" s="22"/>
      <c r="F5" s="22"/>
      <c r="G5" s="22"/>
      <c r="H5" s="21" t="s">
        <v>18</v>
      </c>
      <c r="I5" s="21" t="s">
        <v>19</v>
      </c>
      <c r="J5" s="21" t="s">
        <v>20</v>
      </c>
      <c r="K5" s="59" t="s">
        <v>21</v>
      </c>
      <c r="L5" s="60" t="s">
        <v>22</v>
      </c>
      <c r="M5" s="61" t="s">
        <v>23</v>
      </c>
      <c r="N5" s="61" t="s">
        <v>24</v>
      </c>
      <c r="O5" s="61" t="s">
        <v>25</v>
      </c>
      <c r="P5" s="61" t="s">
        <v>26</v>
      </c>
      <c r="Q5" s="61" t="s">
        <v>27</v>
      </c>
      <c r="R5" s="61" t="s">
        <v>28</v>
      </c>
      <c r="S5" s="77" t="s">
        <v>29</v>
      </c>
      <c r="T5" s="77" t="s">
        <v>30</v>
      </c>
      <c r="U5" s="77" t="s">
        <v>31</v>
      </c>
      <c r="V5" s="77" t="s">
        <v>32</v>
      </c>
      <c r="W5" s="77" t="s">
        <v>33</v>
      </c>
      <c r="X5" s="77" t="s">
        <v>34</v>
      </c>
      <c r="Y5" s="85" t="s">
        <v>35</v>
      </c>
      <c r="Z5" s="86" t="s">
        <v>36</v>
      </c>
      <c r="AA5" s="86" t="s">
        <v>37</v>
      </c>
      <c r="AB5" s="86" t="s">
        <v>38</v>
      </c>
      <c r="AC5" s="86" t="s">
        <v>39</v>
      </c>
      <c r="AD5" s="86" t="s">
        <v>40</v>
      </c>
      <c r="AE5" s="86" t="s">
        <v>41</v>
      </c>
      <c r="AF5" s="86" t="s">
        <v>42</v>
      </c>
      <c r="AG5" s="86" t="s">
        <v>38</v>
      </c>
      <c r="AH5" s="86" t="s">
        <v>43</v>
      </c>
      <c r="AI5" s="86" t="s">
        <v>44</v>
      </c>
      <c r="AJ5" s="86" t="s">
        <v>45</v>
      </c>
      <c r="AK5" s="86" t="s">
        <v>46</v>
      </c>
      <c r="AL5" s="15"/>
    </row>
    <row r="6" s="2" customFormat="1" ht="28.5" customHeight="1" spans="1:38">
      <c r="A6" s="15"/>
      <c r="B6" s="13"/>
      <c r="C6" s="13"/>
      <c r="D6" s="13" t="s">
        <v>47</v>
      </c>
      <c r="E6" s="23"/>
      <c r="F6" s="23"/>
      <c r="G6" s="23"/>
      <c r="H6" s="24"/>
      <c r="I6" s="24"/>
      <c r="J6" s="53">
        <f>H6+I6</f>
        <v>0</v>
      </c>
      <c r="K6" s="53"/>
      <c r="L6" s="62">
        <f>J6-K6</f>
        <v>0</v>
      </c>
      <c r="M6" s="63"/>
      <c r="N6" s="63"/>
      <c r="O6" s="63">
        <f>L6-M6</f>
        <v>0</v>
      </c>
      <c r="P6" s="63">
        <f>K6-N6</f>
        <v>0</v>
      </c>
      <c r="Q6" s="78">
        <f>M6+O6</f>
        <v>0</v>
      </c>
      <c r="R6" s="78">
        <f>M6+N6+O6+P6</f>
        <v>0</v>
      </c>
      <c r="S6" s="79"/>
      <c r="T6" s="79"/>
      <c r="U6" s="79"/>
      <c r="V6" s="79"/>
      <c r="W6" s="79"/>
      <c r="X6" s="79"/>
      <c r="Y6" s="79"/>
      <c r="Z6" s="30">
        <f>SUM(AA6:AJ6)</f>
        <v>0</v>
      </c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>
        <f>AB6/1.17*0.17+AC6/1.16*0.16+AD6/1.11*0.11+AE6/1.1*0.1+AF6/1.09*0.09+AI6/1.03*0.03</f>
        <v>0</v>
      </c>
      <c r="AL6" s="15"/>
    </row>
    <row r="7" s="1" customFormat="1" ht="17.15" customHeight="1" spans="1:38">
      <c r="A7" s="15"/>
      <c r="B7" s="16" t="s">
        <v>48</v>
      </c>
      <c r="C7" s="16" t="s">
        <v>49</v>
      </c>
      <c r="D7" s="17" t="s">
        <v>50</v>
      </c>
      <c r="E7" s="19" t="s">
        <v>51</v>
      </c>
      <c r="F7" s="19" t="s">
        <v>11</v>
      </c>
      <c r="G7" s="20" t="s">
        <v>12</v>
      </c>
      <c r="H7" s="25" t="s">
        <v>52</v>
      </c>
      <c r="I7" s="56"/>
      <c r="J7" s="56"/>
      <c r="K7" s="56"/>
      <c r="L7" s="57"/>
      <c r="M7" s="58" t="s">
        <v>14</v>
      </c>
      <c r="N7" s="56"/>
      <c r="O7" s="56"/>
      <c r="P7" s="56"/>
      <c r="Q7" s="56"/>
      <c r="R7" s="57"/>
      <c r="S7" s="76" t="s">
        <v>53</v>
      </c>
      <c r="T7" s="56"/>
      <c r="U7" s="56"/>
      <c r="V7" s="56"/>
      <c r="W7" s="56"/>
      <c r="X7" s="56"/>
      <c r="Y7" s="57"/>
      <c r="Z7" s="84" t="s">
        <v>16</v>
      </c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7"/>
      <c r="AL7" s="15"/>
    </row>
    <row r="8" s="1" customFormat="1" ht="19" customHeight="1" spans="1:38">
      <c r="A8" s="15"/>
      <c r="B8" s="15"/>
      <c r="C8" s="15"/>
      <c r="D8" s="15"/>
      <c r="E8" s="15"/>
      <c r="F8" s="15"/>
      <c r="G8" s="15"/>
      <c r="H8" s="25" t="s">
        <v>54</v>
      </c>
      <c r="I8" s="25" t="s">
        <v>55</v>
      </c>
      <c r="J8" s="25" t="s">
        <v>56</v>
      </c>
      <c r="K8" s="64" t="s">
        <v>57</v>
      </c>
      <c r="L8" s="65" t="s">
        <v>58</v>
      </c>
      <c r="M8" s="61" t="s">
        <v>59</v>
      </c>
      <c r="N8" s="61" t="s">
        <v>60</v>
      </c>
      <c r="O8" s="61" t="s">
        <v>61</v>
      </c>
      <c r="P8" s="61" t="s">
        <v>26</v>
      </c>
      <c r="Q8" s="61" t="s">
        <v>62</v>
      </c>
      <c r="R8" s="61" t="s">
        <v>63</v>
      </c>
      <c r="S8" s="77" t="s">
        <v>64</v>
      </c>
      <c r="T8" s="77" t="s">
        <v>65</v>
      </c>
      <c r="U8" s="77" t="s">
        <v>66</v>
      </c>
      <c r="V8" s="77" t="s">
        <v>67</v>
      </c>
      <c r="W8" s="77" t="s">
        <v>68</v>
      </c>
      <c r="X8" s="77" t="s">
        <v>69</v>
      </c>
      <c r="Y8" s="85" t="s">
        <v>35</v>
      </c>
      <c r="Z8" s="86" t="s">
        <v>70</v>
      </c>
      <c r="AA8" s="86" t="s">
        <v>71</v>
      </c>
      <c r="AB8" s="86" t="s">
        <v>72</v>
      </c>
      <c r="AC8" s="86" t="s">
        <v>73</v>
      </c>
      <c r="AD8" s="86" t="s">
        <v>74</v>
      </c>
      <c r="AE8" s="86" t="s">
        <v>75</v>
      </c>
      <c r="AF8" s="86" t="s">
        <v>76</v>
      </c>
      <c r="AG8" s="86"/>
      <c r="AH8" s="86" t="s">
        <v>77</v>
      </c>
      <c r="AI8" s="86" t="s">
        <v>78</v>
      </c>
      <c r="AJ8" s="86" t="s">
        <v>45</v>
      </c>
      <c r="AK8" s="86" t="s">
        <v>79</v>
      </c>
      <c r="AL8" s="15"/>
    </row>
    <row r="9" s="1" customFormat="1" ht="31" customHeight="1" spans="1:38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5"/>
    </row>
    <row r="10" s="1" customFormat="1" ht="13" customHeight="1" spans="1:38">
      <c r="A10" s="26"/>
      <c r="B10" s="27">
        <v>1</v>
      </c>
      <c r="C10" s="27">
        <v>2</v>
      </c>
      <c r="D10" s="27">
        <v>3</v>
      </c>
      <c r="E10" s="27">
        <v>4</v>
      </c>
      <c r="F10" s="27">
        <v>5</v>
      </c>
      <c r="G10" s="27">
        <v>6</v>
      </c>
      <c r="H10" s="27">
        <v>7</v>
      </c>
      <c r="I10" s="27">
        <v>8</v>
      </c>
      <c r="J10" s="27" t="s">
        <v>80</v>
      </c>
      <c r="K10" s="27">
        <v>10</v>
      </c>
      <c r="L10" s="27" t="s">
        <v>81</v>
      </c>
      <c r="M10" s="27">
        <v>12</v>
      </c>
      <c r="N10" s="27">
        <v>13</v>
      </c>
      <c r="O10" s="27" t="s">
        <v>82</v>
      </c>
      <c r="P10" s="66" t="s">
        <v>83</v>
      </c>
      <c r="Q10" s="27" t="s">
        <v>84</v>
      </c>
      <c r="R10" s="66" t="s">
        <v>85</v>
      </c>
      <c r="S10" s="27">
        <v>18</v>
      </c>
      <c r="T10" s="27">
        <v>19</v>
      </c>
      <c r="U10" s="27">
        <v>20</v>
      </c>
      <c r="V10" s="27">
        <v>21</v>
      </c>
      <c r="W10" s="27">
        <v>22</v>
      </c>
      <c r="X10" s="27">
        <v>23</v>
      </c>
      <c r="Y10" s="27">
        <v>24</v>
      </c>
      <c r="Z10" s="27">
        <v>25</v>
      </c>
      <c r="AA10" s="27">
        <v>26</v>
      </c>
      <c r="AB10" s="27">
        <v>27</v>
      </c>
      <c r="AC10" s="27">
        <v>28</v>
      </c>
      <c r="AD10" s="27">
        <v>29</v>
      </c>
      <c r="AE10" s="27">
        <v>30</v>
      </c>
      <c r="AF10" s="27">
        <v>31</v>
      </c>
      <c r="AG10" s="27">
        <v>32</v>
      </c>
      <c r="AH10" s="27">
        <v>33</v>
      </c>
      <c r="AI10" s="27">
        <v>34</v>
      </c>
      <c r="AJ10" s="27">
        <v>35</v>
      </c>
      <c r="AK10" s="27">
        <v>36</v>
      </c>
      <c r="AL10" s="22"/>
    </row>
    <row r="11" s="1" customFormat="1" ht="16.15" customHeight="1" spans="1:38">
      <c r="A11" s="28"/>
      <c r="B11" s="28"/>
      <c r="C11" s="28"/>
      <c r="D11" s="29" t="s">
        <v>86</v>
      </c>
      <c r="E11" s="28"/>
      <c r="F11" s="28"/>
      <c r="G11" s="28"/>
      <c r="H11" s="30"/>
      <c r="I11" s="30"/>
      <c r="J11" s="30"/>
      <c r="K11" s="67"/>
      <c r="L11" s="68"/>
      <c r="M11" s="53"/>
      <c r="N11" s="53"/>
      <c r="O11" s="30">
        <f t="shared" ref="O11:O16" si="0">L11-M11</f>
        <v>0</v>
      </c>
      <c r="P11" s="30">
        <f t="shared" ref="P11:P16" si="1">K11-N11</f>
        <v>0</v>
      </c>
      <c r="Q11" s="30">
        <f t="shared" ref="Q11:Q16" si="2">M11+O11</f>
        <v>0</v>
      </c>
      <c r="R11" s="30">
        <f t="shared" ref="R11:R16" si="3">M11+N11+O11+P11</f>
        <v>0</v>
      </c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1">
        <f t="shared" ref="AK11:AK16" si="4">AB11/1.17*0.17+AC11/1.16*0.16+AD11/1.11*0.11+AE11/1.1*0.1+AF11/1.09*0.09+AI11/1.03*0.03</f>
        <v>0</v>
      </c>
      <c r="AL11" s="90"/>
    </row>
    <row r="12" s="1" customFormat="1" ht="20" customHeight="1" spans="1:38">
      <c r="A12" s="28"/>
      <c r="B12" s="28"/>
      <c r="C12" s="28"/>
      <c r="D12" s="31" t="s">
        <v>87</v>
      </c>
      <c r="E12" s="28"/>
      <c r="F12" s="28"/>
      <c r="G12" s="28"/>
      <c r="H12" s="30"/>
      <c r="I12" s="30"/>
      <c r="J12" s="30"/>
      <c r="K12" s="67"/>
      <c r="L12" s="68"/>
      <c r="M12" s="53"/>
      <c r="N12" s="53"/>
      <c r="O12" s="30">
        <f t="shared" si="0"/>
        <v>0</v>
      </c>
      <c r="P12" s="30">
        <f t="shared" si="1"/>
        <v>0</v>
      </c>
      <c r="Q12" s="30">
        <f t="shared" si="2"/>
        <v>0</v>
      </c>
      <c r="R12" s="30">
        <f t="shared" si="3"/>
        <v>0</v>
      </c>
      <c r="S12" s="81"/>
      <c r="T12" s="81"/>
      <c r="U12" s="81"/>
      <c r="V12" s="81"/>
      <c r="W12" s="81"/>
      <c r="X12" s="81"/>
      <c r="Y12" s="81"/>
      <c r="Z12" s="81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1">
        <f t="shared" si="4"/>
        <v>0</v>
      </c>
      <c r="AL12" s="90"/>
    </row>
    <row r="13" s="1" customFormat="1" ht="20" customHeight="1" spans="1:38">
      <c r="A13" s="28">
        <v>1</v>
      </c>
      <c r="B13" s="28"/>
      <c r="C13" s="28"/>
      <c r="D13" s="32"/>
      <c r="E13" s="28"/>
      <c r="F13" s="28"/>
      <c r="G13" s="28"/>
      <c r="H13" s="30"/>
      <c r="I13" s="30"/>
      <c r="J13" s="30"/>
      <c r="K13" s="67"/>
      <c r="L13" s="69"/>
      <c r="M13" s="30"/>
      <c r="N13" s="30"/>
      <c r="O13" s="30">
        <f t="shared" si="0"/>
        <v>0</v>
      </c>
      <c r="P13" s="30">
        <f t="shared" si="1"/>
        <v>0</v>
      </c>
      <c r="Q13" s="30">
        <f t="shared" si="2"/>
        <v>0</v>
      </c>
      <c r="R13" s="30">
        <f t="shared" si="3"/>
        <v>0</v>
      </c>
      <c r="S13" s="81"/>
      <c r="T13" s="81"/>
      <c r="U13" s="81"/>
      <c r="V13" s="81"/>
      <c r="W13" s="81"/>
      <c r="X13" s="81"/>
      <c r="Y13" s="81"/>
      <c r="Z13" s="30">
        <f>SUM(AA13:AJ13)</f>
        <v>0</v>
      </c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1">
        <f t="shared" si="4"/>
        <v>0</v>
      </c>
      <c r="AL13" s="90"/>
    </row>
    <row r="14" s="1" customFormat="1" ht="20" customHeight="1" spans="1:38">
      <c r="A14" s="28">
        <v>2</v>
      </c>
      <c r="B14" s="28"/>
      <c r="C14" s="28"/>
      <c r="D14" s="32"/>
      <c r="E14" s="28"/>
      <c r="F14" s="28"/>
      <c r="G14" s="28"/>
      <c r="H14" s="30"/>
      <c r="I14" s="30"/>
      <c r="J14" s="30"/>
      <c r="K14" s="67"/>
      <c r="L14" s="69"/>
      <c r="M14" s="30"/>
      <c r="N14" s="30"/>
      <c r="O14" s="30">
        <f t="shared" si="0"/>
        <v>0</v>
      </c>
      <c r="P14" s="30">
        <f t="shared" si="1"/>
        <v>0</v>
      </c>
      <c r="Q14" s="30">
        <f t="shared" si="2"/>
        <v>0</v>
      </c>
      <c r="R14" s="30">
        <f t="shared" si="3"/>
        <v>0</v>
      </c>
      <c r="S14" s="81"/>
      <c r="T14" s="81"/>
      <c r="U14" s="81"/>
      <c r="V14" s="81"/>
      <c r="W14" s="81"/>
      <c r="X14" s="81"/>
      <c r="Y14" s="81"/>
      <c r="Z14" s="30">
        <f>SUM(AA14:AJ14)</f>
        <v>0</v>
      </c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1">
        <f t="shared" si="4"/>
        <v>0</v>
      </c>
      <c r="AL14" s="90"/>
    </row>
    <row r="15" s="1" customFormat="1" ht="20" customHeight="1" spans="1:38">
      <c r="A15" s="28">
        <v>3</v>
      </c>
      <c r="B15" s="28"/>
      <c r="C15" s="28"/>
      <c r="D15" s="32"/>
      <c r="E15" s="28"/>
      <c r="F15" s="28"/>
      <c r="G15" s="28"/>
      <c r="H15" s="30"/>
      <c r="I15" s="30"/>
      <c r="J15" s="30"/>
      <c r="K15" s="67"/>
      <c r="L15" s="69"/>
      <c r="M15" s="30"/>
      <c r="N15" s="30"/>
      <c r="O15" s="30">
        <f t="shared" si="0"/>
        <v>0</v>
      </c>
      <c r="P15" s="30">
        <f t="shared" si="1"/>
        <v>0</v>
      </c>
      <c r="Q15" s="30">
        <f t="shared" si="2"/>
        <v>0</v>
      </c>
      <c r="R15" s="30">
        <f t="shared" si="3"/>
        <v>0</v>
      </c>
      <c r="S15" s="81"/>
      <c r="T15" s="81"/>
      <c r="U15" s="81"/>
      <c r="V15" s="81"/>
      <c r="W15" s="81"/>
      <c r="X15" s="81"/>
      <c r="Y15" s="81"/>
      <c r="Z15" s="30">
        <f>SUM(AA15:AJ15)</f>
        <v>0</v>
      </c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1">
        <f t="shared" si="4"/>
        <v>0</v>
      </c>
      <c r="AL15" s="90"/>
    </row>
    <row r="16" s="2" customFormat="1" ht="20" customHeight="1" spans="1:38">
      <c r="A16" s="28"/>
      <c r="B16" s="28"/>
      <c r="C16" s="28"/>
      <c r="D16" s="33" t="s">
        <v>88</v>
      </c>
      <c r="E16" s="34"/>
      <c r="F16" s="34"/>
      <c r="G16" s="34"/>
      <c r="H16" s="30"/>
      <c r="I16" s="30"/>
      <c r="J16" s="30"/>
      <c r="K16" s="67"/>
      <c r="L16" s="69"/>
      <c r="M16" s="30"/>
      <c r="N16" s="30"/>
      <c r="O16" s="30">
        <f t="shared" si="0"/>
        <v>0</v>
      </c>
      <c r="P16" s="30">
        <f t="shared" si="1"/>
        <v>0</v>
      </c>
      <c r="Q16" s="30">
        <f t="shared" si="2"/>
        <v>0</v>
      </c>
      <c r="R16" s="30">
        <f t="shared" si="3"/>
        <v>0</v>
      </c>
      <c r="S16" s="30"/>
      <c r="T16" s="30"/>
      <c r="U16" s="30"/>
      <c r="V16" s="30"/>
      <c r="W16" s="30"/>
      <c r="X16" s="30"/>
      <c r="Y16" s="30"/>
      <c r="Z16" s="30">
        <f>SUM(AA16:AJ16)</f>
        <v>0</v>
      </c>
      <c r="AA16" s="40"/>
      <c r="AB16" s="81"/>
      <c r="AC16" s="81"/>
      <c r="AD16" s="81"/>
      <c r="AE16" s="81"/>
      <c r="AF16" s="81"/>
      <c r="AG16" s="81"/>
      <c r="AH16" s="81"/>
      <c r="AI16" s="81"/>
      <c r="AJ16" s="81"/>
      <c r="AK16" s="81">
        <f t="shared" si="4"/>
        <v>0</v>
      </c>
      <c r="AL16" s="91"/>
    </row>
    <row r="17" s="1" customFormat="1" ht="20" customHeight="1" spans="1:38">
      <c r="A17" s="35"/>
      <c r="B17" s="35"/>
      <c r="C17" s="35"/>
      <c r="D17" s="36" t="s">
        <v>89</v>
      </c>
      <c r="E17" s="35"/>
      <c r="F17" s="35"/>
      <c r="G17" s="35"/>
      <c r="H17" s="37">
        <f>SUM(H11:H16)</f>
        <v>0</v>
      </c>
      <c r="I17" s="37">
        <f>SUM(I11:I16)</f>
        <v>0</v>
      </c>
      <c r="J17" s="37"/>
      <c r="K17" s="37"/>
      <c r="L17" s="37"/>
      <c r="M17" s="37"/>
      <c r="N17" s="37"/>
      <c r="O17" s="37"/>
      <c r="P17" s="37"/>
      <c r="Q17" s="37"/>
      <c r="R17" s="37"/>
      <c r="S17" s="37">
        <f>SUM(S11:S16)</f>
        <v>0</v>
      </c>
      <c r="T17" s="37"/>
      <c r="U17" s="37"/>
      <c r="V17" s="37"/>
      <c r="W17" s="37"/>
      <c r="X17" s="37"/>
      <c r="Y17" s="37"/>
      <c r="Z17" s="37">
        <f>SUM(Z11:Z16)</f>
        <v>0</v>
      </c>
      <c r="AA17" s="37">
        <f t="shared" ref="AA17:AF17" si="5">SUM(AA16:AA16)</f>
        <v>0</v>
      </c>
      <c r="AB17" s="37">
        <f t="shared" si="5"/>
        <v>0</v>
      </c>
      <c r="AC17" s="37">
        <f t="shared" si="5"/>
        <v>0</v>
      </c>
      <c r="AD17" s="37">
        <f t="shared" si="5"/>
        <v>0</v>
      </c>
      <c r="AE17" s="37">
        <f t="shared" si="5"/>
        <v>0</v>
      </c>
      <c r="AF17" s="37">
        <f t="shared" si="5"/>
        <v>0</v>
      </c>
      <c r="AG17" s="37"/>
      <c r="AH17" s="37"/>
      <c r="AI17" s="37">
        <f>SUM(AI16:AI16)</f>
        <v>0</v>
      </c>
      <c r="AJ17" s="37">
        <f>SUM(AJ16:AJ16)</f>
        <v>0</v>
      </c>
      <c r="AK17" s="37">
        <f>SUM(AK16:AK16)</f>
        <v>0</v>
      </c>
      <c r="AL17" s="90"/>
    </row>
    <row r="18" s="1" customFormat="1" ht="20" customHeight="1" spans="1:38">
      <c r="A18" s="28"/>
      <c r="B18" s="28"/>
      <c r="C18" s="28"/>
      <c r="D18" s="38" t="s">
        <v>90</v>
      </c>
      <c r="E18" s="28"/>
      <c r="F18" s="28"/>
      <c r="G18" s="28"/>
      <c r="H18" s="30"/>
      <c r="I18" s="30"/>
      <c r="J18" s="30"/>
      <c r="K18" s="67"/>
      <c r="L18" s="69"/>
      <c r="M18" s="30"/>
      <c r="N18" s="30"/>
      <c r="O18" s="30">
        <f t="shared" ref="O18:O22" si="6">L18-M18</f>
        <v>0</v>
      </c>
      <c r="P18" s="30">
        <f t="shared" ref="P18:P22" si="7">K18-N18</f>
        <v>0</v>
      </c>
      <c r="Q18" s="30">
        <f t="shared" ref="Q18:Q22" si="8">M18+O18</f>
        <v>0</v>
      </c>
      <c r="R18" s="30">
        <f t="shared" ref="R18:R22" si="9">M18+N18+O18+P18</f>
        <v>0</v>
      </c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1">
        <f>AB18/1.17*0.17+AC18/1.16*0.16+AD18/1.11*0.11+AE18/1.1*0.1+AF18/1.09*0.09+AI18/1.03*0.03</f>
        <v>0</v>
      </c>
      <c r="AL18" s="90"/>
    </row>
    <row r="19" s="1" customFormat="1" ht="20" customHeight="1" spans="1:38">
      <c r="A19" s="28">
        <v>1</v>
      </c>
      <c r="B19" s="28"/>
      <c r="C19" s="28"/>
      <c r="D19" s="32"/>
      <c r="E19" s="39"/>
      <c r="F19" s="39"/>
      <c r="G19" s="39"/>
      <c r="H19" s="30"/>
      <c r="I19" s="70"/>
      <c r="J19" s="30"/>
      <c r="K19" s="67"/>
      <c r="L19" s="69"/>
      <c r="M19" s="30"/>
      <c r="N19" s="30"/>
      <c r="O19" s="30">
        <f t="shared" si="6"/>
        <v>0</v>
      </c>
      <c r="P19" s="30">
        <f t="shared" si="7"/>
        <v>0</v>
      </c>
      <c r="Q19" s="30">
        <f t="shared" si="8"/>
        <v>0</v>
      </c>
      <c r="R19" s="30">
        <f t="shared" si="9"/>
        <v>0</v>
      </c>
      <c r="S19" s="80"/>
      <c r="T19" s="80"/>
      <c r="U19" s="80"/>
      <c r="V19" s="80"/>
      <c r="W19" s="80"/>
      <c r="X19" s="80"/>
      <c r="Y19" s="80"/>
      <c r="Z19" s="30">
        <f>SUM(AA19:AJ19)</f>
        <v>0</v>
      </c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1">
        <f>AB19/1.17*0.17+AC19/1.16*0.16+AD19/1.11*0.11+AE19/1.1*0.1+AF19/1.09*0.09+AI19/1.03*0.03</f>
        <v>0</v>
      </c>
      <c r="AL19" s="90"/>
    </row>
    <row r="20" s="1" customFormat="1" ht="20" customHeight="1" spans="1:38">
      <c r="A20" s="28">
        <v>2</v>
      </c>
      <c r="B20" s="28"/>
      <c r="C20" s="28"/>
      <c r="D20" s="32"/>
      <c r="E20" s="40"/>
      <c r="F20" s="40"/>
      <c r="G20" s="40"/>
      <c r="H20" s="30"/>
      <c r="I20" s="30"/>
      <c r="J20" s="30"/>
      <c r="K20" s="67"/>
      <c r="L20" s="69"/>
      <c r="M20" s="30"/>
      <c r="N20" s="30"/>
      <c r="O20" s="30">
        <f t="shared" si="6"/>
        <v>0</v>
      </c>
      <c r="P20" s="30">
        <f t="shared" si="7"/>
        <v>0</v>
      </c>
      <c r="Q20" s="30">
        <f t="shared" si="8"/>
        <v>0</v>
      </c>
      <c r="R20" s="30">
        <f t="shared" si="9"/>
        <v>0</v>
      </c>
      <c r="S20" s="80"/>
      <c r="T20" s="80"/>
      <c r="U20" s="80"/>
      <c r="V20" s="80"/>
      <c r="W20" s="80"/>
      <c r="X20" s="80"/>
      <c r="Y20" s="80"/>
      <c r="Z20" s="30">
        <f>SUM(AA20:AJ20)</f>
        <v>0</v>
      </c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1">
        <f>AB20/1.17*0.17+AC20/1.16*0.16+AD20/1.11*0.11+AE20/1.1*0.1+AF20/1.09*0.09+AI20/1.03*0.03</f>
        <v>0</v>
      </c>
      <c r="AL20" s="90"/>
    </row>
    <row r="21" s="1" customFormat="1" ht="20" customHeight="1" spans="1:38">
      <c r="A21" s="28">
        <v>3</v>
      </c>
      <c r="B21" s="28"/>
      <c r="C21" s="28"/>
      <c r="D21" s="32"/>
      <c r="E21" s="39"/>
      <c r="F21" s="39"/>
      <c r="G21" s="39"/>
      <c r="H21" s="30"/>
      <c r="I21" s="30"/>
      <c r="J21" s="30"/>
      <c r="K21" s="67"/>
      <c r="L21" s="69"/>
      <c r="M21" s="30"/>
      <c r="N21" s="30"/>
      <c r="O21" s="30">
        <f t="shared" si="6"/>
        <v>0</v>
      </c>
      <c r="P21" s="30">
        <f t="shared" si="7"/>
        <v>0</v>
      </c>
      <c r="Q21" s="30">
        <f t="shared" si="8"/>
        <v>0</v>
      </c>
      <c r="R21" s="30">
        <f t="shared" si="9"/>
        <v>0</v>
      </c>
      <c r="S21" s="80"/>
      <c r="T21" s="80"/>
      <c r="U21" s="80"/>
      <c r="V21" s="80"/>
      <c r="W21" s="80"/>
      <c r="X21" s="80"/>
      <c r="Y21" s="80"/>
      <c r="Z21" s="30">
        <f>SUM(AA21:AJ21)</f>
        <v>0</v>
      </c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1">
        <f>AB21/1.17*0.17+AC21/1.16*0.16+AD21/1.11*0.11+AE21/1.1*0.1+AF21/1.09*0.09+AI21/1.03*0.03</f>
        <v>0</v>
      </c>
      <c r="AL21" s="90"/>
    </row>
    <row r="22" s="2" customFormat="1" ht="20" customHeight="1" spans="1:38">
      <c r="A22" s="28"/>
      <c r="B22" s="28"/>
      <c r="C22" s="28"/>
      <c r="D22" s="33" t="s">
        <v>88</v>
      </c>
      <c r="E22" s="41"/>
      <c r="F22" s="41"/>
      <c r="G22" s="41"/>
      <c r="H22" s="30"/>
      <c r="I22" s="30"/>
      <c r="J22" s="30"/>
      <c r="K22" s="67"/>
      <c r="L22" s="69"/>
      <c r="M22" s="30"/>
      <c r="N22" s="30"/>
      <c r="O22" s="30">
        <f t="shared" si="6"/>
        <v>0</v>
      </c>
      <c r="P22" s="30">
        <f t="shared" si="7"/>
        <v>0</v>
      </c>
      <c r="Q22" s="30">
        <f t="shared" si="8"/>
        <v>0</v>
      </c>
      <c r="R22" s="30">
        <f t="shared" si="9"/>
        <v>0</v>
      </c>
      <c r="S22" s="30"/>
      <c r="T22" s="30"/>
      <c r="U22" s="30"/>
      <c r="V22" s="30"/>
      <c r="W22" s="30"/>
      <c r="X22" s="30"/>
      <c r="Y22" s="30"/>
      <c r="Z22" s="80"/>
      <c r="AA22" s="80"/>
      <c r="AB22" s="81"/>
      <c r="AC22" s="81"/>
      <c r="AD22" s="81"/>
      <c r="AE22" s="81"/>
      <c r="AF22" s="81"/>
      <c r="AG22" s="81"/>
      <c r="AH22" s="81"/>
      <c r="AI22" s="81"/>
      <c r="AJ22" s="81"/>
      <c r="AK22" s="81">
        <f>AB22/1.17*0.17+AC22/1.16*0.16+AD22/1.11*0.11+AE22/1.1*0.1+AF22/1.09*0.09+AI22/1.03*0.03</f>
        <v>0</v>
      </c>
      <c r="AL22" s="91"/>
    </row>
    <row r="23" s="1" customFormat="1" ht="20" customHeight="1" spans="1:38">
      <c r="A23" s="35"/>
      <c r="B23" s="35"/>
      <c r="C23" s="35"/>
      <c r="D23" s="42" t="s">
        <v>91</v>
      </c>
      <c r="E23" s="35"/>
      <c r="F23" s="35"/>
      <c r="G23" s="35"/>
      <c r="H23" s="37">
        <f>SUM(H19:H22)</f>
        <v>0</v>
      </c>
      <c r="I23" s="37">
        <f>SUM(I19:I22)</f>
        <v>0</v>
      </c>
      <c r="J23" s="37"/>
      <c r="K23" s="37"/>
      <c r="L23" s="71"/>
      <c r="M23" s="37"/>
      <c r="N23" s="37"/>
      <c r="O23" s="37"/>
      <c r="P23" s="37"/>
      <c r="Q23" s="37"/>
      <c r="R23" s="37"/>
      <c r="S23" s="37">
        <f>SUM(S19:S21)</f>
        <v>0</v>
      </c>
      <c r="T23" s="37"/>
      <c r="U23" s="37"/>
      <c r="V23" s="37"/>
      <c r="W23" s="37"/>
      <c r="X23" s="37"/>
      <c r="Y23" s="37"/>
      <c r="Z23" s="37">
        <f t="shared" ref="Z23:AF23" si="10">SUM(Z19:Z21)</f>
        <v>0</v>
      </c>
      <c r="AA23" s="37">
        <f t="shared" si="10"/>
        <v>0</v>
      </c>
      <c r="AB23" s="37">
        <f t="shared" si="10"/>
        <v>0</v>
      </c>
      <c r="AC23" s="37">
        <f t="shared" si="10"/>
        <v>0</v>
      </c>
      <c r="AD23" s="37">
        <f t="shared" si="10"/>
        <v>0</v>
      </c>
      <c r="AE23" s="37">
        <f t="shared" si="10"/>
        <v>0</v>
      </c>
      <c r="AF23" s="37">
        <f t="shared" si="10"/>
        <v>0</v>
      </c>
      <c r="AG23" s="37"/>
      <c r="AH23" s="37"/>
      <c r="AI23" s="37">
        <f>SUM(AI19:AI21)</f>
        <v>0</v>
      </c>
      <c r="AJ23" s="37">
        <f>SUM(AJ19:AJ21)</f>
        <v>0</v>
      </c>
      <c r="AK23" s="37">
        <f>SUM(AK19:AK21)</f>
        <v>0</v>
      </c>
      <c r="AL23" s="90"/>
    </row>
    <row r="24" s="3" customFormat="1" ht="20" customHeight="1" spans="1:38">
      <c r="A24" s="28"/>
      <c r="B24" s="28"/>
      <c r="C24" s="28"/>
      <c r="D24" s="38" t="s">
        <v>92</v>
      </c>
      <c r="E24" s="28"/>
      <c r="F24" s="28"/>
      <c r="G24" s="28"/>
      <c r="H24" s="30"/>
      <c r="I24" s="30"/>
      <c r="J24" s="30"/>
      <c r="K24" s="67"/>
      <c r="L24" s="69"/>
      <c r="M24" s="30"/>
      <c r="N24" s="30"/>
      <c r="O24" s="30">
        <f t="shared" ref="O24:O35" si="11">L24-M24</f>
        <v>0</v>
      </c>
      <c r="P24" s="30">
        <f t="shared" ref="P24:P35" si="12">K24-N24</f>
        <v>0</v>
      </c>
      <c r="Q24" s="30">
        <f t="shared" ref="Q24:Q35" si="13">M24+O24</f>
        <v>0</v>
      </c>
      <c r="R24" s="30">
        <f t="shared" ref="R24:R35" si="14">M24+N24+O24+P24</f>
        <v>0</v>
      </c>
      <c r="S24" s="80"/>
      <c r="T24" s="80"/>
      <c r="U24" s="80"/>
      <c r="V24" s="80"/>
      <c r="W24" s="80"/>
      <c r="X24" s="80"/>
      <c r="Y24" s="80"/>
      <c r="Z24" s="80"/>
      <c r="AA24" s="80"/>
      <c r="AB24" s="87"/>
      <c r="AC24" s="87"/>
      <c r="AD24" s="87"/>
      <c r="AE24" s="87"/>
      <c r="AF24" s="87"/>
      <c r="AG24" s="87"/>
      <c r="AH24" s="87"/>
      <c r="AI24" s="87"/>
      <c r="AJ24" s="87"/>
      <c r="AK24" s="81">
        <f t="shared" ref="AK24:AK35" si="15">AB24/1.17*0.17+AC24/1.16*0.16+AD24/1.11*0.11+AE24/1.1*0.1+AF24/1.09*0.09+AI24/1.03*0.03</f>
        <v>0</v>
      </c>
      <c r="AL24" s="92"/>
    </row>
    <row r="25" s="3" customFormat="1" ht="20" customHeight="1" spans="1:38">
      <c r="A25" s="28"/>
      <c r="B25" s="28"/>
      <c r="C25" s="28"/>
      <c r="D25" s="30" t="s">
        <v>93</v>
      </c>
      <c r="E25" s="28"/>
      <c r="F25" s="28"/>
      <c r="G25" s="28"/>
      <c r="H25" s="30"/>
      <c r="I25" s="30"/>
      <c r="J25" s="30"/>
      <c r="K25" s="67"/>
      <c r="L25" s="69"/>
      <c r="M25" s="30"/>
      <c r="N25" s="30"/>
      <c r="O25" s="30">
        <f t="shared" si="11"/>
        <v>0</v>
      </c>
      <c r="P25" s="30">
        <f t="shared" si="12"/>
        <v>0</v>
      </c>
      <c r="Q25" s="30">
        <f t="shared" si="13"/>
        <v>0</v>
      </c>
      <c r="R25" s="30">
        <f t="shared" si="14"/>
        <v>0</v>
      </c>
      <c r="S25" s="80"/>
      <c r="T25" s="80"/>
      <c r="U25" s="80"/>
      <c r="V25" s="80"/>
      <c r="W25" s="80"/>
      <c r="X25" s="80"/>
      <c r="Y25" s="80"/>
      <c r="Z25" s="80"/>
      <c r="AA25" s="80"/>
      <c r="AB25" s="87"/>
      <c r="AC25" s="87"/>
      <c r="AD25" s="87"/>
      <c r="AE25" s="87"/>
      <c r="AF25" s="87"/>
      <c r="AG25" s="87"/>
      <c r="AH25" s="87"/>
      <c r="AI25" s="87"/>
      <c r="AJ25" s="87"/>
      <c r="AK25" s="81">
        <f t="shared" si="15"/>
        <v>0</v>
      </c>
      <c r="AL25" s="92"/>
    </row>
    <row r="26" s="3" customFormat="1" ht="20" customHeight="1" spans="1:38">
      <c r="A26" s="28">
        <v>1</v>
      </c>
      <c r="B26" s="28"/>
      <c r="C26" s="28"/>
      <c r="D26" s="32"/>
      <c r="E26" s="40"/>
      <c r="F26" s="40"/>
      <c r="G26" s="40"/>
      <c r="H26" s="30"/>
      <c r="I26" s="30"/>
      <c r="J26" s="30"/>
      <c r="K26" s="67"/>
      <c r="L26" s="69"/>
      <c r="M26" s="30"/>
      <c r="N26" s="30"/>
      <c r="O26" s="30">
        <f t="shared" si="11"/>
        <v>0</v>
      </c>
      <c r="P26" s="30">
        <f t="shared" si="12"/>
        <v>0</v>
      </c>
      <c r="Q26" s="30">
        <f t="shared" si="13"/>
        <v>0</v>
      </c>
      <c r="R26" s="30">
        <f t="shared" si="14"/>
        <v>0</v>
      </c>
      <c r="S26" s="80"/>
      <c r="T26" s="80"/>
      <c r="U26" s="80"/>
      <c r="V26" s="80"/>
      <c r="W26" s="80"/>
      <c r="X26" s="80"/>
      <c r="Y26" s="80"/>
      <c r="Z26" s="30">
        <f t="shared" ref="Z26:Z34" si="16">SUM(AA26:AJ26)</f>
        <v>0</v>
      </c>
      <c r="AA26" s="80"/>
      <c r="AB26" s="87"/>
      <c r="AC26" s="87"/>
      <c r="AD26" s="87"/>
      <c r="AE26" s="87"/>
      <c r="AF26" s="87"/>
      <c r="AG26" s="87"/>
      <c r="AH26" s="87"/>
      <c r="AI26" s="87"/>
      <c r="AJ26" s="87"/>
      <c r="AK26" s="81">
        <f t="shared" si="15"/>
        <v>0</v>
      </c>
      <c r="AL26" s="92"/>
    </row>
    <row r="27" s="3" customFormat="1" ht="20" customHeight="1" spans="1:38">
      <c r="A27" s="28">
        <v>2</v>
      </c>
      <c r="B27" s="28"/>
      <c r="C27" s="28"/>
      <c r="D27" s="32"/>
      <c r="E27" s="40"/>
      <c r="F27" s="40"/>
      <c r="G27" s="40"/>
      <c r="H27" s="30"/>
      <c r="I27" s="30"/>
      <c r="J27" s="30"/>
      <c r="K27" s="67"/>
      <c r="L27" s="69"/>
      <c r="M27" s="30"/>
      <c r="N27" s="30"/>
      <c r="O27" s="30">
        <f t="shared" si="11"/>
        <v>0</v>
      </c>
      <c r="P27" s="30">
        <f t="shared" si="12"/>
        <v>0</v>
      </c>
      <c r="Q27" s="30">
        <f t="shared" si="13"/>
        <v>0</v>
      </c>
      <c r="R27" s="30">
        <f t="shared" si="14"/>
        <v>0</v>
      </c>
      <c r="S27" s="80"/>
      <c r="T27" s="80"/>
      <c r="U27" s="80"/>
      <c r="V27" s="80"/>
      <c r="W27" s="80"/>
      <c r="X27" s="80"/>
      <c r="Y27" s="80"/>
      <c r="Z27" s="30">
        <f t="shared" si="16"/>
        <v>0</v>
      </c>
      <c r="AA27" s="80"/>
      <c r="AB27" s="87"/>
      <c r="AC27" s="87"/>
      <c r="AD27" s="87"/>
      <c r="AE27" s="87"/>
      <c r="AF27" s="87"/>
      <c r="AG27" s="87"/>
      <c r="AH27" s="87"/>
      <c r="AI27" s="87"/>
      <c r="AJ27" s="87"/>
      <c r="AK27" s="81">
        <f t="shared" si="15"/>
        <v>0</v>
      </c>
      <c r="AL27" s="92"/>
    </row>
    <row r="28" s="3" customFormat="1" ht="20" customHeight="1" spans="1:38">
      <c r="A28" s="28">
        <v>3</v>
      </c>
      <c r="B28" s="28"/>
      <c r="C28" s="28"/>
      <c r="D28" s="32"/>
      <c r="E28" s="40"/>
      <c r="F28" s="40"/>
      <c r="G28" s="40"/>
      <c r="H28" s="30"/>
      <c r="I28" s="30"/>
      <c r="J28" s="30"/>
      <c r="K28" s="67"/>
      <c r="L28" s="69"/>
      <c r="M28" s="30"/>
      <c r="N28" s="30"/>
      <c r="O28" s="30">
        <f t="shared" si="11"/>
        <v>0</v>
      </c>
      <c r="P28" s="30">
        <f t="shared" si="12"/>
        <v>0</v>
      </c>
      <c r="Q28" s="30">
        <f t="shared" si="13"/>
        <v>0</v>
      </c>
      <c r="R28" s="30">
        <f t="shared" si="14"/>
        <v>0</v>
      </c>
      <c r="S28" s="80"/>
      <c r="T28" s="80"/>
      <c r="U28" s="80"/>
      <c r="V28" s="80"/>
      <c r="W28" s="80"/>
      <c r="X28" s="80"/>
      <c r="Y28" s="80"/>
      <c r="Z28" s="30">
        <f t="shared" si="16"/>
        <v>0</v>
      </c>
      <c r="AA28" s="80"/>
      <c r="AB28" s="87"/>
      <c r="AC28" s="87"/>
      <c r="AD28" s="87"/>
      <c r="AE28" s="87"/>
      <c r="AF28" s="87"/>
      <c r="AG28" s="87"/>
      <c r="AH28" s="87"/>
      <c r="AI28" s="87"/>
      <c r="AJ28" s="87"/>
      <c r="AK28" s="81">
        <f t="shared" si="15"/>
        <v>0</v>
      </c>
      <c r="AL28" s="92"/>
    </row>
    <row r="29" s="3" customFormat="1" ht="20" customHeight="1" spans="1:38">
      <c r="A29" s="28"/>
      <c r="B29" s="28"/>
      <c r="C29" s="28"/>
      <c r="D29" s="30" t="s">
        <v>94</v>
      </c>
      <c r="E29" s="41"/>
      <c r="F29" s="41"/>
      <c r="G29" s="41"/>
      <c r="H29" s="30">
        <v>0</v>
      </c>
      <c r="I29" s="30"/>
      <c r="J29" s="30"/>
      <c r="K29" s="67"/>
      <c r="L29" s="69"/>
      <c r="M29" s="30"/>
      <c r="N29" s="30"/>
      <c r="O29" s="30">
        <f t="shared" si="11"/>
        <v>0</v>
      </c>
      <c r="P29" s="30">
        <f t="shared" si="12"/>
        <v>0</v>
      </c>
      <c r="Q29" s="30">
        <f t="shared" si="13"/>
        <v>0</v>
      </c>
      <c r="R29" s="30">
        <f t="shared" si="14"/>
        <v>0</v>
      </c>
      <c r="S29" s="80"/>
      <c r="T29" s="80"/>
      <c r="U29" s="80"/>
      <c r="V29" s="80"/>
      <c r="W29" s="80"/>
      <c r="X29" s="80"/>
      <c r="Y29" s="80"/>
      <c r="Z29" s="30">
        <f t="shared" si="16"/>
        <v>0</v>
      </c>
      <c r="AA29" s="80"/>
      <c r="AB29" s="87"/>
      <c r="AC29" s="87"/>
      <c r="AD29" s="87"/>
      <c r="AE29" s="87"/>
      <c r="AF29" s="87"/>
      <c r="AG29" s="87"/>
      <c r="AH29" s="87"/>
      <c r="AI29" s="87"/>
      <c r="AJ29" s="87"/>
      <c r="AK29" s="81">
        <f t="shared" si="15"/>
        <v>0</v>
      </c>
      <c r="AL29" s="92"/>
    </row>
    <row r="30" s="3" customFormat="1" ht="20" customHeight="1" spans="1:38">
      <c r="A30" s="28">
        <v>1</v>
      </c>
      <c r="B30" s="28"/>
      <c r="C30" s="28"/>
      <c r="D30" s="32"/>
      <c r="E30" s="41"/>
      <c r="F30" s="41"/>
      <c r="G30" s="41"/>
      <c r="H30" s="30"/>
      <c r="I30" s="30"/>
      <c r="J30" s="30"/>
      <c r="K30" s="67"/>
      <c r="L30" s="69"/>
      <c r="M30" s="30"/>
      <c r="N30" s="30"/>
      <c r="O30" s="30">
        <f t="shared" si="11"/>
        <v>0</v>
      </c>
      <c r="P30" s="30">
        <f t="shared" si="12"/>
        <v>0</v>
      </c>
      <c r="Q30" s="30">
        <f t="shared" si="13"/>
        <v>0</v>
      </c>
      <c r="R30" s="30">
        <f t="shared" si="14"/>
        <v>0</v>
      </c>
      <c r="S30" s="80"/>
      <c r="T30" s="80"/>
      <c r="U30" s="80"/>
      <c r="V30" s="80"/>
      <c r="W30" s="80"/>
      <c r="X30" s="80"/>
      <c r="Y30" s="80"/>
      <c r="Z30" s="30">
        <f t="shared" si="16"/>
        <v>0</v>
      </c>
      <c r="AA30" s="80"/>
      <c r="AB30" s="87"/>
      <c r="AC30" s="87"/>
      <c r="AD30" s="87"/>
      <c r="AE30" s="87"/>
      <c r="AF30" s="87"/>
      <c r="AG30" s="87"/>
      <c r="AH30" s="87"/>
      <c r="AI30" s="87"/>
      <c r="AJ30" s="87"/>
      <c r="AK30" s="81">
        <f t="shared" si="15"/>
        <v>0</v>
      </c>
      <c r="AL30" s="92"/>
    </row>
    <row r="31" s="3" customFormat="1" ht="20" customHeight="1" spans="1:38">
      <c r="A31" s="28">
        <v>2</v>
      </c>
      <c r="B31" s="28"/>
      <c r="C31" s="28"/>
      <c r="D31" s="32"/>
      <c r="E31" s="41"/>
      <c r="F31" s="41"/>
      <c r="G31" s="41"/>
      <c r="H31" s="30"/>
      <c r="I31" s="30"/>
      <c r="J31" s="30"/>
      <c r="K31" s="67"/>
      <c r="L31" s="69"/>
      <c r="M31" s="30"/>
      <c r="N31" s="72"/>
      <c r="O31" s="30">
        <f t="shared" si="11"/>
        <v>0</v>
      </c>
      <c r="P31" s="30">
        <f t="shared" si="12"/>
        <v>0</v>
      </c>
      <c r="Q31" s="30">
        <f t="shared" si="13"/>
        <v>0</v>
      </c>
      <c r="R31" s="30">
        <f t="shared" si="14"/>
        <v>0</v>
      </c>
      <c r="S31" s="80"/>
      <c r="T31" s="80"/>
      <c r="U31" s="80"/>
      <c r="V31" s="80"/>
      <c r="W31" s="80"/>
      <c r="X31" s="80"/>
      <c r="Y31" s="80"/>
      <c r="Z31" s="30">
        <f t="shared" si="16"/>
        <v>0</v>
      </c>
      <c r="AA31" s="80"/>
      <c r="AB31" s="87"/>
      <c r="AC31" s="87"/>
      <c r="AD31" s="87"/>
      <c r="AE31" s="87"/>
      <c r="AF31" s="87"/>
      <c r="AG31" s="87"/>
      <c r="AH31" s="87"/>
      <c r="AI31" s="87"/>
      <c r="AJ31" s="87"/>
      <c r="AK31" s="81">
        <f t="shared" si="15"/>
        <v>0</v>
      </c>
      <c r="AL31" s="92"/>
    </row>
    <row r="32" s="3" customFormat="1" ht="26" customHeight="1" spans="1:38">
      <c r="A32" s="28">
        <v>3</v>
      </c>
      <c r="B32" s="28"/>
      <c r="C32" s="28"/>
      <c r="D32" s="43" t="s">
        <v>95</v>
      </c>
      <c r="E32" s="28"/>
      <c r="F32" s="28"/>
      <c r="G32" s="28"/>
      <c r="H32" s="30"/>
      <c r="I32" s="30"/>
      <c r="J32" s="30"/>
      <c r="K32" s="67"/>
      <c r="L32" s="69"/>
      <c r="M32" s="30"/>
      <c r="N32" s="30"/>
      <c r="O32" s="30">
        <f t="shared" si="11"/>
        <v>0</v>
      </c>
      <c r="P32" s="30">
        <f t="shared" si="12"/>
        <v>0</v>
      </c>
      <c r="Q32" s="30">
        <f t="shared" si="13"/>
        <v>0</v>
      </c>
      <c r="R32" s="30">
        <f t="shared" si="14"/>
        <v>0</v>
      </c>
      <c r="S32" s="80"/>
      <c r="T32" s="80"/>
      <c r="U32" s="80"/>
      <c r="V32" s="80"/>
      <c r="W32" s="80"/>
      <c r="X32" s="80"/>
      <c r="Y32" s="80"/>
      <c r="Z32" s="30">
        <f t="shared" si="16"/>
        <v>0</v>
      </c>
      <c r="AA32" s="80"/>
      <c r="AB32" s="87"/>
      <c r="AC32" s="87"/>
      <c r="AD32" s="87"/>
      <c r="AE32" s="87"/>
      <c r="AF32" s="87"/>
      <c r="AG32" s="87"/>
      <c r="AH32" s="87"/>
      <c r="AI32" s="87"/>
      <c r="AJ32" s="87"/>
      <c r="AK32" s="81">
        <f t="shared" si="15"/>
        <v>0</v>
      </c>
      <c r="AL32" s="92"/>
    </row>
    <row r="33" s="3" customFormat="1" ht="20" customHeight="1" spans="1:38">
      <c r="A33" s="28">
        <v>4</v>
      </c>
      <c r="B33" s="28"/>
      <c r="C33" s="28"/>
      <c r="D33" s="38" t="s">
        <v>96</v>
      </c>
      <c r="E33" s="28"/>
      <c r="F33" s="28"/>
      <c r="G33" s="28"/>
      <c r="H33" s="30"/>
      <c r="I33" s="30"/>
      <c r="J33" s="30"/>
      <c r="K33" s="67"/>
      <c r="L33" s="69"/>
      <c r="M33" s="30"/>
      <c r="N33" s="30"/>
      <c r="O33" s="30">
        <f t="shared" si="11"/>
        <v>0</v>
      </c>
      <c r="P33" s="30">
        <f t="shared" si="12"/>
        <v>0</v>
      </c>
      <c r="Q33" s="30">
        <f t="shared" si="13"/>
        <v>0</v>
      </c>
      <c r="R33" s="30">
        <f t="shared" si="14"/>
        <v>0</v>
      </c>
      <c r="S33" s="80"/>
      <c r="T33" s="80"/>
      <c r="U33" s="80"/>
      <c r="V33" s="80"/>
      <c r="W33" s="80"/>
      <c r="X33" s="80"/>
      <c r="Y33" s="80"/>
      <c r="Z33" s="30">
        <f t="shared" si="16"/>
        <v>0</v>
      </c>
      <c r="AA33" s="80"/>
      <c r="AB33" s="87"/>
      <c r="AC33" s="87"/>
      <c r="AD33" s="87"/>
      <c r="AE33" s="87"/>
      <c r="AF33" s="87"/>
      <c r="AG33" s="87"/>
      <c r="AH33" s="87"/>
      <c r="AI33" s="87"/>
      <c r="AJ33" s="87"/>
      <c r="AK33" s="81">
        <f t="shared" si="15"/>
        <v>0</v>
      </c>
      <c r="AL33" s="92"/>
    </row>
    <row r="34" s="4" customFormat="1" ht="13" customHeight="1" spans="1:38">
      <c r="A34" s="28">
        <v>5</v>
      </c>
      <c r="B34" s="28"/>
      <c r="C34" s="28"/>
      <c r="D34" s="38" t="s">
        <v>97</v>
      </c>
      <c r="E34" s="44"/>
      <c r="F34" s="44"/>
      <c r="G34" s="44"/>
      <c r="H34" s="45"/>
      <c r="I34" s="45"/>
      <c r="J34" s="30"/>
      <c r="K34" s="67"/>
      <c r="L34" s="69"/>
      <c r="M34" s="45"/>
      <c r="N34" s="45"/>
      <c r="O34" s="30">
        <f t="shared" si="11"/>
        <v>0</v>
      </c>
      <c r="P34" s="30">
        <f t="shared" si="12"/>
        <v>0</v>
      </c>
      <c r="Q34" s="30">
        <f t="shared" si="13"/>
        <v>0</v>
      </c>
      <c r="R34" s="30">
        <f t="shared" si="14"/>
        <v>0</v>
      </c>
      <c r="S34" s="45"/>
      <c r="T34" s="45"/>
      <c r="U34" s="45"/>
      <c r="V34" s="45"/>
      <c r="W34" s="45"/>
      <c r="X34" s="45"/>
      <c r="Y34" s="45"/>
      <c r="Z34" s="30">
        <f t="shared" si="16"/>
        <v>0</v>
      </c>
      <c r="AA34" s="45"/>
      <c r="AB34" s="88"/>
      <c r="AC34" s="88"/>
      <c r="AD34" s="88"/>
      <c r="AE34" s="88"/>
      <c r="AF34" s="88"/>
      <c r="AG34" s="88"/>
      <c r="AH34" s="88"/>
      <c r="AI34" s="88"/>
      <c r="AJ34" s="88"/>
      <c r="AK34" s="81">
        <f t="shared" si="15"/>
        <v>0</v>
      </c>
      <c r="AL34" s="93"/>
    </row>
    <row r="35" s="3" customFormat="1" ht="20" customHeight="1" spans="1:38">
      <c r="A35" s="28"/>
      <c r="B35" s="28"/>
      <c r="C35" s="28"/>
      <c r="D35" s="33" t="s">
        <v>88</v>
      </c>
      <c r="E35" s="41"/>
      <c r="F35" s="41"/>
      <c r="G35" s="41"/>
      <c r="H35" s="30">
        <v>0</v>
      </c>
      <c r="I35" s="30"/>
      <c r="J35" s="30"/>
      <c r="K35" s="67"/>
      <c r="L35" s="69"/>
      <c r="M35" s="30"/>
      <c r="N35" s="30"/>
      <c r="O35" s="30">
        <f t="shared" si="11"/>
        <v>0</v>
      </c>
      <c r="P35" s="30">
        <f t="shared" si="12"/>
        <v>0</v>
      </c>
      <c r="Q35" s="30">
        <f t="shared" si="13"/>
        <v>0</v>
      </c>
      <c r="R35" s="30">
        <f t="shared" si="14"/>
        <v>0</v>
      </c>
      <c r="S35" s="80"/>
      <c r="T35" s="80"/>
      <c r="U35" s="80"/>
      <c r="V35" s="80"/>
      <c r="W35" s="80"/>
      <c r="X35" s="80"/>
      <c r="Y35" s="80"/>
      <c r="Z35" s="80"/>
      <c r="AA35" s="80"/>
      <c r="AB35" s="87"/>
      <c r="AC35" s="87"/>
      <c r="AD35" s="87"/>
      <c r="AE35" s="87"/>
      <c r="AF35" s="87"/>
      <c r="AG35" s="87"/>
      <c r="AH35" s="87"/>
      <c r="AI35" s="87"/>
      <c r="AJ35" s="87"/>
      <c r="AK35" s="81">
        <f t="shared" si="15"/>
        <v>0</v>
      </c>
      <c r="AL35" s="92"/>
    </row>
    <row r="36" s="1" customFormat="1" ht="20" customHeight="1" spans="1:38">
      <c r="A36" s="35"/>
      <c r="B36" s="35"/>
      <c r="C36" s="35"/>
      <c r="D36" s="42" t="s">
        <v>98</v>
      </c>
      <c r="E36" s="46"/>
      <c r="F36" s="46"/>
      <c r="G36" s="46"/>
      <c r="H36" s="37">
        <f>SUM(H26:H34)</f>
        <v>0</v>
      </c>
      <c r="I36" s="37">
        <f>SUM(I26:I34)</f>
        <v>0</v>
      </c>
      <c r="J36" s="37"/>
      <c r="K36" s="37"/>
      <c r="L36" s="71"/>
      <c r="M36" s="37"/>
      <c r="N36" s="37"/>
      <c r="O36" s="37"/>
      <c r="P36" s="37"/>
      <c r="Q36" s="37"/>
      <c r="R36" s="37"/>
      <c r="S36" s="37">
        <f>SUM(S26:S34)</f>
        <v>0</v>
      </c>
      <c r="T36" s="37"/>
      <c r="U36" s="37"/>
      <c r="V36" s="37"/>
      <c r="W36" s="37"/>
      <c r="X36" s="37"/>
      <c r="Y36" s="37"/>
      <c r="Z36" s="37">
        <f t="shared" ref="Z36:AF36" si="17">SUM(Z26:Z34)</f>
        <v>0</v>
      </c>
      <c r="AA36" s="37">
        <f t="shared" si="17"/>
        <v>0</v>
      </c>
      <c r="AB36" s="37">
        <f t="shared" si="17"/>
        <v>0</v>
      </c>
      <c r="AC36" s="37">
        <f t="shared" si="17"/>
        <v>0</v>
      </c>
      <c r="AD36" s="37">
        <f t="shared" si="17"/>
        <v>0</v>
      </c>
      <c r="AE36" s="37">
        <f t="shared" si="17"/>
        <v>0</v>
      </c>
      <c r="AF36" s="37">
        <f t="shared" si="17"/>
        <v>0</v>
      </c>
      <c r="AG36" s="37"/>
      <c r="AH36" s="37"/>
      <c r="AI36" s="37">
        <f>SUM(AI26:AI34)</f>
        <v>0</v>
      </c>
      <c r="AJ36" s="37">
        <f>SUM(AJ26:AJ34)</f>
        <v>0</v>
      </c>
      <c r="AK36" s="37">
        <f>SUM(AK26:AK34)</f>
        <v>0</v>
      </c>
      <c r="AL36" s="90"/>
    </row>
    <row r="37" s="1" customFormat="1" ht="20" customHeight="1" spans="1:38">
      <c r="A37" s="28"/>
      <c r="B37" s="28"/>
      <c r="C37" s="28"/>
      <c r="D37" s="38" t="s">
        <v>99</v>
      </c>
      <c r="E37" s="47"/>
      <c r="F37" s="47"/>
      <c r="G37" s="47"/>
      <c r="H37" s="30"/>
      <c r="I37" s="30"/>
      <c r="J37" s="30"/>
      <c r="K37" s="67">
        <v>0</v>
      </c>
      <c r="L37" s="69">
        <f>J37-K37</f>
        <v>0</v>
      </c>
      <c r="M37" s="53"/>
      <c r="N37" s="53"/>
      <c r="O37" s="30">
        <f t="shared" ref="O37:O39" si="18">L37-M37</f>
        <v>0</v>
      </c>
      <c r="P37" s="30">
        <f t="shared" ref="P37:P39" si="19">K37-N37</f>
        <v>0</v>
      </c>
      <c r="Q37" s="30">
        <f t="shared" ref="Q37:Q39" si="20">M37+O37</f>
        <v>0</v>
      </c>
      <c r="R37" s="30">
        <f t="shared" ref="R37:R39" si="21">M37+N37+O37+P37</f>
        <v>0</v>
      </c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1">
        <f>AB37/1.17*0.17+AC37/1.16*0.16+AD37/1.11*0.11+AE37/1.1*0.1+AF37/1.09*0.09+AI37/1.03*0.03</f>
        <v>0</v>
      </c>
      <c r="AL37" s="90"/>
    </row>
    <row r="38" s="1" customFormat="1" ht="20" customHeight="1" spans="1:38">
      <c r="A38" s="28"/>
      <c r="B38" s="28"/>
      <c r="C38" s="28"/>
      <c r="D38" s="48"/>
      <c r="E38" s="49"/>
      <c r="F38" s="49"/>
      <c r="G38" s="49"/>
      <c r="H38" s="30"/>
      <c r="I38" s="30"/>
      <c r="J38" s="30">
        <f>H38+I38</f>
        <v>0</v>
      </c>
      <c r="K38" s="67">
        <v>0</v>
      </c>
      <c r="L38" s="69">
        <f>J38-K38</f>
        <v>0</v>
      </c>
      <c r="M38" s="30"/>
      <c r="N38" s="30"/>
      <c r="O38" s="30">
        <f t="shared" si="18"/>
        <v>0</v>
      </c>
      <c r="P38" s="30">
        <f t="shared" si="19"/>
        <v>0</v>
      </c>
      <c r="Q38" s="30">
        <f t="shared" si="20"/>
        <v>0</v>
      </c>
      <c r="R38" s="30">
        <f t="shared" si="21"/>
        <v>0</v>
      </c>
      <c r="S38" s="80"/>
      <c r="T38" s="80"/>
      <c r="U38" s="80"/>
      <c r="V38" s="80"/>
      <c r="W38" s="80"/>
      <c r="X38" s="80"/>
      <c r="Y38" s="80"/>
      <c r="Z38" s="30">
        <f>SUM(AA38:AJ38)</f>
        <v>0</v>
      </c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1">
        <f>AB38/1.17*0.17+AC38/1.16*0.16+AD38/1.11*0.11+AE38/1.1*0.1+AF38/1.09*0.09+AI38/1.03*0.03</f>
        <v>0</v>
      </c>
      <c r="AL38" s="90"/>
    </row>
    <row r="39" s="2" customFormat="1" ht="20" customHeight="1" spans="1:38">
      <c r="A39" s="28"/>
      <c r="B39" s="28"/>
      <c r="C39" s="28"/>
      <c r="D39" s="33" t="s">
        <v>88</v>
      </c>
      <c r="E39" s="50"/>
      <c r="F39" s="50"/>
      <c r="G39" s="50"/>
      <c r="H39" s="30"/>
      <c r="I39" s="30"/>
      <c r="J39" s="30"/>
      <c r="K39" s="67">
        <v>0</v>
      </c>
      <c r="L39" s="69">
        <f>J39-K39</f>
        <v>0</v>
      </c>
      <c r="M39" s="73"/>
      <c r="N39" s="73"/>
      <c r="O39" s="30">
        <f t="shared" si="18"/>
        <v>0</v>
      </c>
      <c r="P39" s="30">
        <f t="shared" si="19"/>
        <v>0</v>
      </c>
      <c r="Q39" s="30">
        <f t="shared" si="20"/>
        <v>0</v>
      </c>
      <c r="R39" s="30">
        <f t="shared" si="21"/>
        <v>0</v>
      </c>
      <c r="S39" s="73"/>
      <c r="T39" s="73"/>
      <c r="U39" s="73"/>
      <c r="V39" s="73"/>
      <c r="W39" s="73"/>
      <c r="X39" s="73"/>
      <c r="Y39" s="73"/>
      <c r="Z39" s="73"/>
      <c r="AA39" s="80"/>
      <c r="AB39" s="81"/>
      <c r="AC39" s="81"/>
      <c r="AD39" s="81"/>
      <c r="AE39" s="81"/>
      <c r="AF39" s="81"/>
      <c r="AG39" s="81"/>
      <c r="AH39" s="81"/>
      <c r="AI39" s="81"/>
      <c r="AJ39" s="81"/>
      <c r="AK39" s="81">
        <f>AB39/1.17*0.17+AC39/1.16*0.16+AD39/1.11*0.11+AE39/1.1*0.1+AF39/1.09*0.09+AI39/1.03*0.03</f>
        <v>0</v>
      </c>
      <c r="AL39" s="91"/>
    </row>
    <row r="40" s="1" customFormat="1" ht="20" customHeight="1" spans="1:38">
      <c r="A40" s="35"/>
      <c r="B40" s="35"/>
      <c r="C40" s="35"/>
      <c r="D40" s="42" t="s">
        <v>100</v>
      </c>
      <c r="E40" s="46"/>
      <c r="F40" s="46"/>
      <c r="G40" s="46"/>
      <c r="H40" s="37">
        <f t="shared" ref="H40:S40" si="22">SUM(H38:H39)</f>
        <v>0</v>
      </c>
      <c r="I40" s="37">
        <f t="shared" si="22"/>
        <v>0</v>
      </c>
      <c r="J40" s="37">
        <f t="shared" si="22"/>
        <v>0</v>
      </c>
      <c r="K40" s="37">
        <f t="shared" si="22"/>
        <v>0</v>
      </c>
      <c r="L40" s="71">
        <f t="shared" si="22"/>
        <v>0</v>
      </c>
      <c r="M40" s="37">
        <f t="shared" si="22"/>
        <v>0</v>
      </c>
      <c r="N40" s="37">
        <f t="shared" si="22"/>
        <v>0</v>
      </c>
      <c r="O40" s="37">
        <f t="shared" si="22"/>
        <v>0</v>
      </c>
      <c r="P40" s="37">
        <f t="shared" si="22"/>
        <v>0</v>
      </c>
      <c r="Q40" s="37">
        <f t="shared" si="22"/>
        <v>0</v>
      </c>
      <c r="R40" s="37">
        <f t="shared" si="22"/>
        <v>0</v>
      </c>
      <c r="S40" s="37">
        <f t="shared" si="22"/>
        <v>0</v>
      </c>
      <c r="T40" s="37"/>
      <c r="U40" s="37"/>
      <c r="V40" s="37"/>
      <c r="W40" s="37"/>
      <c r="X40" s="37"/>
      <c r="Y40" s="37"/>
      <c r="Z40" s="37">
        <f>SUM(Z38:Z39)</f>
        <v>0</v>
      </c>
      <c r="AA40" s="37">
        <f>SUM(AA39:AA39)</f>
        <v>0</v>
      </c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90"/>
    </row>
    <row r="41" s="1" customFormat="1" ht="20" customHeight="1" spans="1:38">
      <c r="A41" s="28"/>
      <c r="B41" s="28"/>
      <c r="C41" s="28"/>
      <c r="D41" s="38" t="s">
        <v>101</v>
      </c>
      <c r="E41" s="47"/>
      <c r="F41" s="47"/>
      <c r="G41" s="47"/>
      <c r="H41" s="30"/>
      <c r="I41" s="30"/>
      <c r="J41" s="53">
        <v>0</v>
      </c>
      <c r="K41" s="67">
        <v>0</v>
      </c>
      <c r="L41" s="69">
        <f>J41-N41-P41</f>
        <v>0</v>
      </c>
      <c r="M41" s="53"/>
      <c r="N41" s="53"/>
      <c r="O41" s="30">
        <f t="shared" ref="O41:O47" si="23">L41-M41</f>
        <v>0</v>
      </c>
      <c r="P41" s="30">
        <f t="shared" ref="P41:P47" si="24">K41-N41</f>
        <v>0</v>
      </c>
      <c r="Q41" s="30">
        <f t="shared" ref="Q41:Q47" si="25">M41+O41</f>
        <v>0</v>
      </c>
      <c r="R41" s="30">
        <f t="shared" ref="R41:R47" si="26">M41+N41+O41+P41</f>
        <v>0</v>
      </c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1"/>
      <c r="AL41" s="90"/>
    </row>
    <row r="42" s="1" customFormat="1" ht="20" customHeight="1" spans="1:38">
      <c r="A42" s="28">
        <v>1</v>
      </c>
      <c r="B42" s="28"/>
      <c r="C42" s="28"/>
      <c r="D42" s="32" t="s">
        <v>102</v>
      </c>
      <c r="E42" s="47"/>
      <c r="F42" s="47"/>
      <c r="G42" s="47"/>
      <c r="H42" s="30"/>
      <c r="I42" s="30"/>
      <c r="J42" s="30">
        <f>H42+I42</f>
        <v>0</v>
      </c>
      <c r="K42" s="67">
        <v>0</v>
      </c>
      <c r="L42" s="69">
        <f t="shared" ref="L42:L47" si="27">J42-K42</f>
        <v>0</v>
      </c>
      <c r="M42" s="54"/>
      <c r="N42" s="54"/>
      <c r="O42" s="30">
        <f t="shared" si="23"/>
        <v>0</v>
      </c>
      <c r="P42" s="30">
        <f t="shared" si="24"/>
        <v>0</v>
      </c>
      <c r="Q42" s="30">
        <f t="shared" si="25"/>
        <v>0</v>
      </c>
      <c r="R42" s="30">
        <f t="shared" si="26"/>
        <v>0</v>
      </c>
      <c r="S42" s="54"/>
      <c r="T42" s="54"/>
      <c r="U42" s="54"/>
      <c r="V42" s="54"/>
      <c r="W42" s="54"/>
      <c r="X42" s="54"/>
      <c r="Y42" s="54"/>
      <c r="Z42" s="30">
        <f t="shared" ref="Z42:Z47" si="28">SUM(AA42:AJ42)</f>
        <v>0</v>
      </c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1"/>
      <c r="AL42" s="90"/>
    </row>
    <row r="43" s="1" customFormat="1" ht="20" customHeight="1" spans="1:38">
      <c r="A43" s="28">
        <v>2</v>
      </c>
      <c r="B43" s="28"/>
      <c r="C43" s="28"/>
      <c r="D43" s="32" t="s">
        <v>103</v>
      </c>
      <c r="E43" s="47"/>
      <c r="F43" s="47"/>
      <c r="G43" s="47"/>
      <c r="H43" s="30"/>
      <c r="I43" s="30"/>
      <c r="J43" s="30">
        <f>H43+I43</f>
        <v>0</v>
      </c>
      <c r="K43" s="67">
        <v>0</v>
      </c>
      <c r="L43" s="69">
        <f t="shared" si="27"/>
        <v>0</v>
      </c>
      <c r="M43" s="54"/>
      <c r="N43" s="54"/>
      <c r="O43" s="30">
        <f t="shared" si="23"/>
        <v>0</v>
      </c>
      <c r="P43" s="30">
        <f t="shared" si="24"/>
        <v>0</v>
      </c>
      <c r="Q43" s="30">
        <f t="shared" si="25"/>
        <v>0</v>
      </c>
      <c r="R43" s="30">
        <f t="shared" si="26"/>
        <v>0</v>
      </c>
      <c r="S43" s="54"/>
      <c r="T43" s="54"/>
      <c r="U43" s="54"/>
      <c r="V43" s="54"/>
      <c r="W43" s="54"/>
      <c r="X43" s="54"/>
      <c r="Y43" s="54"/>
      <c r="Z43" s="30">
        <f t="shared" si="28"/>
        <v>0</v>
      </c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1"/>
      <c r="AL43" s="90"/>
    </row>
    <row r="44" s="1" customFormat="1" ht="20" customHeight="1" spans="1:38">
      <c r="A44" s="28">
        <v>3</v>
      </c>
      <c r="B44" s="28"/>
      <c r="C44" s="28"/>
      <c r="D44" s="32" t="s">
        <v>104</v>
      </c>
      <c r="E44" s="47"/>
      <c r="F44" s="47"/>
      <c r="G44" s="47"/>
      <c r="H44" s="30"/>
      <c r="I44" s="30"/>
      <c r="J44" s="30">
        <f>H44+I44</f>
        <v>0</v>
      </c>
      <c r="K44" s="67">
        <v>0</v>
      </c>
      <c r="L44" s="69">
        <f t="shared" si="27"/>
        <v>0</v>
      </c>
      <c r="M44" s="54"/>
      <c r="N44" s="54"/>
      <c r="O44" s="30">
        <f t="shared" si="23"/>
        <v>0</v>
      </c>
      <c r="P44" s="30">
        <f t="shared" si="24"/>
        <v>0</v>
      </c>
      <c r="Q44" s="30">
        <f t="shared" si="25"/>
        <v>0</v>
      </c>
      <c r="R44" s="30">
        <f t="shared" si="26"/>
        <v>0</v>
      </c>
      <c r="S44" s="54"/>
      <c r="T44" s="54"/>
      <c r="U44" s="54"/>
      <c r="V44" s="54"/>
      <c r="W44" s="54"/>
      <c r="X44" s="54"/>
      <c r="Y44" s="54"/>
      <c r="Z44" s="30">
        <f t="shared" si="28"/>
        <v>0</v>
      </c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1"/>
      <c r="AL44" s="90"/>
    </row>
    <row r="45" s="1" customFormat="1" ht="20" customHeight="1" spans="1:38">
      <c r="A45" s="28">
        <v>4</v>
      </c>
      <c r="B45" s="28"/>
      <c r="C45" s="28"/>
      <c r="D45" s="32" t="s">
        <v>105</v>
      </c>
      <c r="E45" s="47"/>
      <c r="F45" s="47"/>
      <c r="G45" s="47"/>
      <c r="H45" s="30"/>
      <c r="I45" s="30"/>
      <c r="J45" s="30">
        <f>H45+I45</f>
        <v>0</v>
      </c>
      <c r="K45" s="67">
        <v>0</v>
      </c>
      <c r="L45" s="69">
        <f t="shared" si="27"/>
        <v>0</v>
      </c>
      <c r="M45" s="54"/>
      <c r="N45" s="54"/>
      <c r="O45" s="30">
        <f t="shared" si="23"/>
        <v>0</v>
      </c>
      <c r="P45" s="30">
        <f t="shared" si="24"/>
        <v>0</v>
      </c>
      <c r="Q45" s="30">
        <f t="shared" si="25"/>
        <v>0</v>
      </c>
      <c r="R45" s="30">
        <f t="shared" si="26"/>
        <v>0</v>
      </c>
      <c r="S45" s="54"/>
      <c r="T45" s="54"/>
      <c r="U45" s="54"/>
      <c r="V45" s="54"/>
      <c r="W45" s="54"/>
      <c r="X45" s="54"/>
      <c r="Y45" s="54"/>
      <c r="Z45" s="30">
        <f t="shared" si="28"/>
        <v>0</v>
      </c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1"/>
      <c r="AL45" s="90"/>
    </row>
    <row r="46" s="1" customFormat="1" ht="20" customHeight="1" spans="1:38">
      <c r="A46" s="28">
        <v>5</v>
      </c>
      <c r="B46" s="28"/>
      <c r="C46" s="28"/>
      <c r="D46" s="32" t="s">
        <v>106</v>
      </c>
      <c r="E46" s="47"/>
      <c r="F46" s="47"/>
      <c r="G46" s="47"/>
      <c r="H46" s="30"/>
      <c r="I46" s="30"/>
      <c r="J46" s="30">
        <f>H46+I46</f>
        <v>0</v>
      </c>
      <c r="K46" s="67">
        <v>0</v>
      </c>
      <c r="L46" s="69">
        <f t="shared" si="27"/>
        <v>0</v>
      </c>
      <c r="M46" s="54"/>
      <c r="N46" s="54">
        <v>0</v>
      </c>
      <c r="O46" s="30">
        <f t="shared" si="23"/>
        <v>0</v>
      </c>
      <c r="P46" s="30">
        <f t="shared" si="24"/>
        <v>0</v>
      </c>
      <c r="Q46" s="30">
        <f t="shared" si="25"/>
        <v>0</v>
      </c>
      <c r="R46" s="30">
        <f t="shared" si="26"/>
        <v>0</v>
      </c>
      <c r="S46" s="54"/>
      <c r="T46" s="54"/>
      <c r="U46" s="54"/>
      <c r="V46" s="54"/>
      <c r="W46" s="54"/>
      <c r="X46" s="54"/>
      <c r="Y46" s="54"/>
      <c r="Z46" s="30">
        <f t="shared" si="28"/>
        <v>0</v>
      </c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1"/>
      <c r="AL46" s="90"/>
    </row>
    <row r="47" s="1" customFormat="1" ht="20" customHeight="1" spans="1:38">
      <c r="A47" s="28"/>
      <c r="B47" s="28"/>
      <c r="C47" s="28"/>
      <c r="D47" s="33" t="s">
        <v>88</v>
      </c>
      <c r="E47" s="47"/>
      <c r="F47" s="47"/>
      <c r="G47" s="47"/>
      <c r="H47" s="30"/>
      <c r="I47" s="30"/>
      <c r="J47" s="53"/>
      <c r="K47" s="67"/>
      <c r="L47" s="69">
        <f t="shared" si="27"/>
        <v>0</v>
      </c>
      <c r="M47" s="54"/>
      <c r="N47" s="54"/>
      <c r="O47" s="30">
        <f t="shared" si="23"/>
        <v>0</v>
      </c>
      <c r="P47" s="30">
        <f t="shared" si="24"/>
        <v>0</v>
      </c>
      <c r="Q47" s="30">
        <f t="shared" si="25"/>
        <v>0</v>
      </c>
      <c r="R47" s="30">
        <f t="shared" si="26"/>
        <v>0</v>
      </c>
      <c r="S47" s="54"/>
      <c r="T47" s="54"/>
      <c r="U47" s="54"/>
      <c r="V47" s="54"/>
      <c r="W47" s="54"/>
      <c r="X47" s="54"/>
      <c r="Y47" s="54"/>
      <c r="Z47" s="30">
        <f t="shared" si="28"/>
        <v>0</v>
      </c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1"/>
      <c r="AL47" s="90"/>
    </row>
    <row r="48" s="1" customFormat="1" ht="20" customHeight="1" spans="1:38">
      <c r="A48" s="51"/>
      <c r="B48" s="51"/>
      <c r="C48" s="51"/>
      <c r="D48" s="42" t="s">
        <v>107</v>
      </c>
      <c r="E48" s="52"/>
      <c r="F48" s="52"/>
      <c r="G48" s="52"/>
      <c r="H48" s="37">
        <f>SUM(H41:H46)</f>
        <v>0</v>
      </c>
      <c r="I48" s="37">
        <f>SUM(I41:I46)</f>
        <v>0</v>
      </c>
      <c r="J48" s="37">
        <f>SUM(J41:J46)</f>
        <v>0</v>
      </c>
      <c r="K48" s="37">
        <f>SUM(K41:K46)</f>
        <v>0</v>
      </c>
      <c r="L48" s="71">
        <f>SUM(L41:L46)</f>
        <v>0</v>
      </c>
      <c r="M48" s="37">
        <f>SUM(M42:M46)</f>
        <v>0</v>
      </c>
      <c r="N48" s="37">
        <f>SUM(N42:N46)</f>
        <v>0</v>
      </c>
      <c r="O48" s="37">
        <f t="shared" ref="O48:O62" si="29">L48-M48</f>
        <v>0</v>
      </c>
      <c r="P48" s="37">
        <f>SUM(P42:P46)</f>
        <v>0</v>
      </c>
      <c r="Q48" s="37">
        <f t="shared" ref="Q48:Q62" si="30">M48+O48</f>
        <v>0</v>
      </c>
      <c r="R48" s="37">
        <f>SUM(R42:R46)</f>
        <v>0</v>
      </c>
      <c r="S48" s="37">
        <f>SUM(S42:S46)</f>
        <v>0</v>
      </c>
      <c r="T48" s="37"/>
      <c r="U48" s="37"/>
      <c r="V48" s="37"/>
      <c r="W48" s="37"/>
      <c r="X48" s="37"/>
      <c r="Y48" s="37"/>
      <c r="Z48" s="37">
        <f t="shared" ref="Z48:AF48" si="31">SUM(Z42:Z46)</f>
        <v>0</v>
      </c>
      <c r="AA48" s="37">
        <f t="shared" si="31"/>
        <v>0</v>
      </c>
      <c r="AB48" s="37">
        <f t="shared" si="31"/>
        <v>0</v>
      </c>
      <c r="AC48" s="37">
        <f t="shared" si="31"/>
        <v>0</v>
      </c>
      <c r="AD48" s="37">
        <f t="shared" si="31"/>
        <v>0</v>
      </c>
      <c r="AE48" s="37">
        <f t="shared" si="31"/>
        <v>0</v>
      </c>
      <c r="AF48" s="37">
        <f t="shared" si="31"/>
        <v>0</v>
      </c>
      <c r="AG48" s="37"/>
      <c r="AH48" s="37"/>
      <c r="AI48" s="37">
        <f>SUM(AI42:AI46)</f>
        <v>0</v>
      </c>
      <c r="AJ48" s="37">
        <f>SUM(AJ42:AJ46)</f>
        <v>0</v>
      </c>
      <c r="AK48" s="37">
        <f>SUM(AK42:AK46)</f>
        <v>0</v>
      </c>
      <c r="AL48" s="90"/>
    </row>
    <row r="49" s="1" customFormat="1" ht="20" customHeight="1" spans="1:38">
      <c r="A49" s="28"/>
      <c r="B49" s="28"/>
      <c r="C49" s="28"/>
      <c r="D49" s="38" t="s">
        <v>108</v>
      </c>
      <c r="E49" s="47"/>
      <c r="F49" s="47"/>
      <c r="G49" s="47"/>
      <c r="H49" s="53"/>
      <c r="I49" s="30"/>
      <c r="J49" s="30">
        <v>0</v>
      </c>
      <c r="K49" s="67">
        <v>0</v>
      </c>
      <c r="L49" s="69">
        <f>J49-N49-P49</f>
        <v>0</v>
      </c>
      <c r="M49" s="53"/>
      <c r="N49" s="53"/>
      <c r="O49" s="30">
        <f t="shared" si="29"/>
        <v>0</v>
      </c>
      <c r="P49" s="30">
        <f t="shared" ref="P49:P62" si="32">K49-N49</f>
        <v>0</v>
      </c>
      <c r="Q49" s="30">
        <f t="shared" si="30"/>
        <v>0</v>
      </c>
      <c r="R49" s="30">
        <f t="shared" ref="R49:R62" si="33">M49+N49+O49+P49</f>
        <v>0</v>
      </c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1"/>
      <c r="AL49" s="90"/>
    </row>
    <row r="50" s="1" customFormat="1" ht="20" customHeight="1" spans="1:38">
      <c r="A50" s="28">
        <v>1</v>
      </c>
      <c r="B50" s="28"/>
      <c r="C50" s="28"/>
      <c r="D50" s="32" t="s">
        <v>109</v>
      </c>
      <c r="E50" s="47"/>
      <c r="F50" s="47"/>
      <c r="G50" s="47"/>
      <c r="H50" s="54"/>
      <c r="I50" s="30"/>
      <c r="J50" s="54">
        <f t="shared" ref="J50:J61" si="34">H50+I50</f>
        <v>0</v>
      </c>
      <c r="K50" s="67">
        <v>0</v>
      </c>
      <c r="L50" s="69">
        <f t="shared" ref="L50:L61" si="35">J50-K50</f>
        <v>0</v>
      </c>
      <c r="M50" s="54"/>
      <c r="N50" s="54"/>
      <c r="O50" s="30">
        <f t="shared" si="29"/>
        <v>0</v>
      </c>
      <c r="P50" s="30">
        <f t="shared" si="32"/>
        <v>0</v>
      </c>
      <c r="Q50" s="30">
        <f t="shared" si="30"/>
        <v>0</v>
      </c>
      <c r="R50" s="30">
        <f t="shared" si="33"/>
        <v>0</v>
      </c>
      <c r="S50" s="54"/>
      <c r="T50" s="54"/>
      <c r="U50" s="54"/>
      <c r="V50" s="54"/>
      <c r="W50" s="54"/>
      <c r="X50" s="54"/>
      <c r="Y50" s="54"/>
      <c r="Z50" s="30">
        <f t="shared" ref="Z50:Z61" si="36">SUM(AA50:AJ50)</f>
        <v>0</v>
      </c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1"/>
      <c r="AL50" s="90"/>
    </row>
    <row r="51" s="1" customFormat="1" ht="20" customHeight="1" spans="1:38">
      <c r="A51" s="28">
        <v>2</v>
      </c>
      <c r="B51" s="28"/>
      <c r="C51" s="28"/>
      <c r="D51" s="32" t="s">
        <v>110</v>
      </c>
      <c r="E51" s="47"/>
      <c r="F51" s="47"/>
      <c r="G51" s="47"/>
      <c r="H51" s="54"/>
      <c r="I51" s="30"/>
      <c r="J51" s="54">
        <f t="shared" si="34"/>
        <v>0</v>
      </c>
      <c r="K51" s="67">
        <v>0</v>
      </c>
      <c r="L51" s="69">
        <f t="shared" si="35"/>
        <v>0</v>
      </c>
      <c r="M51" s="54"/>
      <c r="N51" s="54"/>
      <c r="O51" s="30">
        <f t="shared" si="29"/>
        <v>0</v>
      </c>
      <c r="P51" s="30">
        <f t="shared" si="32"/>
        <v>0</v>
      </c>
      <c r="Q51" s="30">
        <f t="shared" si="30"/>
        <v>0</v>
      </c>
      <c r="R51" s="30">
        <f t="shared" si="33"/>
        <v>0</v>
      </c>
      <c r="S51" s="54"/>
      <c r="T51" s="54"/>
      <c r="U51" s="54"/>
      <c r="V51" s="54"/>
      <c r="W51" s="54"/>
      <c r="X51" s="54"/>
      <c r="Y51" s="54"/>
      <c r="Z51" s="30">
        <f t="shared" si="36"/>
        <v>0</v>
      </c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1"/>
      <c r="AL51" s="90"/>
    </row>
    <row r="52" s="1" customFormat="1" ht="20" customHeight="1" spans="1:38">
      <c r="A52" s="28">
        <v>3</v>
      </c>
      <c r="B52" s="28"/>
      <c r="C52" s="28"/>
      <c r="D52" s="32" t="s">
        <v>111</v>
      </c>
      <c r="E52" s="47"/>
      <c r="F52" s="47"/>
      <c r="G52" s="47"/>
      <c r="H52" s="54"/>
      <c r="I52" s="30"/>
      <c r="J52" s="54">
        <f t="shared" si="34"/>
        <v>0</v>
      </c>
      <c r="K52" s="67">
        <v>0</v>
      </c>
      <c r="L52" s="69">
        <f t="shared" si="35"/>
        <v>0</v>
      </c>
      <c r="M52" s="54"/>
      <c r="N52" s="30"/>
      <c r="O52" s="30">
        <f t="shared" si="29"/>
        <v>0</v>
      </c>
      <c r="P52" s="30">
        <f t="shared" si="32"/>
        <v>0</v>
      </c>
      <c r="Q52" s="30">
        <f t="shared" si="30"/>
        <v>0</v>
      </c>
      <c r="R52" s="30">
        <f t="shared" si="33"/>
        <v>0</v>
      </c>
      <c r="S52" s="54"/>
      <c r="T52" s="54"/>
      <c r="U52" s="54"/>
      <c r="V52" s="54"/>
      <c r="W52" s="54"/>
      <c r="X52" s="54"/>
      <c r="Y52" s="54"/>
      <c r="Z52" s="30">
        <f t="shared" si="36"/>
        <v>0</v>
      </c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1"/>
      <c r="AL52" s="90"/>
    </row>
    <row r="53" s="1" customFormat="1" ht="20" customHeight="1" spans="1:38">
      <c r="A53" s="28">
        <v>4</v>
      </c>
      <c r="B53" s="28"/>
      <c r="C53" s="28"/>
      <c r="D53" s="32" t="s">
        <v>112</v>
      </c>
      <c r="E53" s="47"/>
      <c r="F53" s="47"/>
      <c r="G53" s="47"/>
      <c r="H53" s="54"/>
      <c r="I53" s="30"/>
      <c r="J53" s="54">
        <f t="shared" si="34"/>
        <v>0</v>
      </c>
      <c r="K53" s="67">
        <v>0</v>
      </c>
      <c r="L53" s="69">
        <f t="shared" si="35"/>
        <v>0</v>
      </c>
      <c r="M53" s="54"/>
      <c r="N53" s="54"/>
      <c r="O53" s="30">
        <f t="shared" si="29"/>
        <v>0</v>
      </c>
      <c r="P53" s="30">
        <f t="shared" si="32"/>
        <v>0</v>
      </c>
      <c r="Q53" s="30">
        <f t="shared" si="30"/>
        <v>0</v>
      </c>
      <c r="R53" s="30">
        <f t="shared" si="33"/>
        <v>0</v>
      </c>
      <c r="S53" s="54"/>
      <c r="T53" s="54"/>
      <c r="U53" s="54"/>
      <c r="V53" s="54"/>
      <c r="W53" s="54"/>
      <c r="X53" s="54"/>
      <c r="Y53" s="54"/>
      <c r="Z53" s="30">
        <f t="shared" si="36"/>
        <v>0</v>
      </c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1"/>
      <c r="AL53" s="90"/>
    </row>
    <row r="54" s="1" customFormat="1" ht="20" customHeight="1" spans="1:38">
      <c r="A54" s="28">
        <v>5</v>
      </c>
      <c r="B54" s="28"/>
      <c r="C54" s="28"/>
      <c r="D54" s="32" t="s">
        <v>113</v>
      </c>
      <c r="E54" s="47"/>
      <c r="F54" s="47"/>
      <c r="G54" s="47"/>
      <c r="H54" s="54"/>
      <c r="I54" s="30"/>
      <c r="J54" s="54">
        <f t="shared" si="34"/>
        <v>0</v>
      </c>
      <c r="K54" s="67">
        <v>0</v>
      </c>
      <c r="L54" s="69">
        <f t="shared" si="35"/>
        <v>0</v>
      </c>
      <c r="M54" s="54"/>
      <c r="N54" s="54"/>
      <c r="O54" s="30">
        <f t="shared" si="29"/>
        <v>0</v>
      </c>
      <c r="P54" s="30">
        <f t="shared" si="32"/>
        <v>0</v>
      </c>
      <c r="Q54" s="30">
        <f t="shared" si="30"/>
        <v>0</v>
      </c>
      <c r="R54" s="30">
        <f t="shared" si="33"/>
        <v>0</v>
      </c>
      <c r="S54" s="54"/>
      <c r="T54" s="54"/>
      <c r="U54" s="54"/>
      <c r="V54" s="54"/>
      <c r="W54" s="54"/>
      <c r="X54" s="54"/>
      <c r="Y54" s="54"/>
      <c r="Z54" s="30">
        <f t="shared" si="36"/>
        <v>0</v>
      </c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1"/>
      <c r="AL54" s="90"/>
    </row>
    <row r="55" s="1" customFormat="1" ht="20" customHeight="1" spans="1:38">
      <c r="A55" s="28">
        <v>6</v>
      </c>
      <c r="B55" s="28"/>
      <c r="C55" s="28"/>
      <c r="D55" s="32" t="s">
        <v>114</v>
      </c>
      <c r="E55" s="47"/>
      <c r="F55" s="47"/>
      <c r="G55" s="47"/>
      <c r="H55" s="54"/>
      <c r="I55" s="30"/>
      <c r="J55" s="54">
        <f t="shared" si="34"/>
        <v>0</v>
      </c>
      <c r="K55" s="67">
        <v>0</v>
      </c>
      <c r="L55" s="69">
        <f t="shared" si="35"/>
        <v>0</v>
      </c>
      <c r="M55" s="54"/>
      <c r="N55" s="54"/>
      <c r="O55" s="30">
        <f t="shared" si="29"/>
        <v>0</v>
      </c>
      <c r="P55" s="30">
        <f t="shared" si="32"/>
        <v>0</v>
      </c>
      <c r="Q55" s="30">
        <f t="shared" si="30"/>
        <v>0</v>
      </c>
      <c r="R55" s="30">
        <f t="shared" si="33"/>
        <v>0</v>
      </c>
      <c r="S55" s="54"/>
      <c r="T55" s="54"/>
      <c r="U55" s="54"/>
      <c r="V55" s="54"/>
      <c r="W55" s="54"/>
      <c r="X55" s="54"/>
      <c r="Y55" s="54"/>
      <c r="Z55" s="30">
        <f t="shared" si="36"/>
        <v>0</v>
      </c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1"/>
      <c r="AL55" s="90"/>
    </row>
    <row r="56" s="1" customFormat="1" ht="20" customHeight="1" spans="1:38">
      <c r="A56" s="28">
        <v>7</v>
      </c>
      <c r="B56" s="28"/>
      <c r="C56" s="28"/>
      <c r="D56" s="32" t="s">
        <v>115</v>
      </c>
      <c r="E56" s="47"/>
      <c r="F56" s="47"/>
      <c r="G56" s="47"/>
      <c r="H56" s="54"/>
      <c r="I56" s="30"/>
      <c r="J56" s="54">
        <f t="shared" si="34"/>
        <v>0</v>
      </c>
      <c r="K56" s="67">
        <v>0</v>
      </c>
      <c r="L56" s="69">
        <f t="shared" si="35"/>
        <v>0</v>
      </c>
      <c r="M56" s="54"/>
      <c r="N56" s="54"/>
      <c r="O56" s="30">
        <f t="shared" si="29"/>
        <v>0</v>
      </c>
      <c r="P56" s="30">
        <f t="shared" si="32"/>
        <v>0</v>
      </c>
      <c r="Q56" s="30">
        <f t="shared" si="30"/>
        <v>0</v>
      </c>
      <c r="R56" s="30">
        <f t="shared" si="33"/>
        <v>0</v>
      </c>
      <c r="S56" s="54"/>
      <c r="T56" s="54"/>
      <c r="U56" s="54"/>
      <c r="V56" s="54"/>
      <c r="W56" s="54"/>
      <c r="X56" s="54"/>
      <c r="Y56" s="54"/>
      <c r="Z56" s="30">
        <f t="shared" si="36"/>
        <v>0</v>
      </c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1"/>
      <c r="AL56" s="90"/>
    </row>
    <row r="57" s="1" customFormat="1" ht="20" customHeight="1" spans="1:38">
      <c r="A57" s="28">
        <v>8</v>
      </c>
      <c r="B57" s="28"/>
      <c r="C57" s="28"/>
      <c r="D57" s="32" t="s">
        <v>116</v>
      </c>
      <c r="E57" s="47"/>
      <c r="F57" s="47"/>
      <c r="G57" s="47"/>
      <c r="H57" s="54"/>
      <c r="I57" s="30"/>
      <c r="J57" s="54">
        <f t="shared" si="34"/>
        <v>0</v>
      </c>
      <c r="K57" s="67">
        <v>0</v>
      </c>
      <c r="L57" s="69">
        <f t="shared" si="35"/>
        <v>0</v>
      </c>
      <c r="M57" s="54"/>
      <c r="N57" s="30"/>
      <c r="O57" s="30">
        <f t="shared" si="29"/>
        <v>0</v>
      </c>
      <c r="P57" s="30">
        <f t="shared" si="32"/>
        <v>0</v>
      </c>
      <c r="Q57" s="30">
        <f t="shared" si="30"/>
        <v>0</v>
      </c>
      <c r="R57" s="30">
        <f t="shared" si="33"/>
        <v>0</v>
      </c>
      <c r="S57" s="54"/>
      <c r="T57" s="54"/>
      <c r="U57" s="54"/>
      <c r="V57" s="54"/>
      <c r="W57" s="54"/>
      <c r="X57" s="54"/>
      <c r="Y57" s="54"/>
      <c r="Z57" s="30">
        <f t="shared" si="36"/>
        <v>0</v>
      </c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1"/>
      <c r="AL57" s="90"/>
    </row>
    <row r="58" s="1" customFormat="1" ht="20" customHeight="1" spans="1:38">
      <c r="A58" s="28">
        <v>9</v>
      </c>
      <c r="B58" s="28"/>
      <c r="C58" s="28"/>
      <c r="D58" s="32" t="s">
        <v>117</v>
      </c>
      <c r="E58" s="47"/>
      <c r="F58" s="47"/>
      <c r="G58" s="47"/>
      <c r="H58" s="54"/>
      <c r="I58" s="30"/>
      <c r="J58" s="54">
        <f t="shared" si="34"/>
        <v>0</v>
      </c>
      <c r="K58" s="67">
        <v>0</v>
      </c>
      <c r="L58" s="69">
        <f t="shared" si="35"/>
        <v>0</v>
      </c>
      <c r="M58" s="54"/>
      <c r="N58" s="54"/>
      <c r="O58" s="30">
        <f t="shared" si="29"/>
        <v>0</v>
      </c>
      <c r="P58" s="30">
        <f t="shared" si="32"/>
        <v>0</v>
      </c>
      <c r="Q58" s="30">
        <f t="shared" si="30"/>
        <v>0</v>
      </c>
      <c r="R58" s="30">
        <f t="shared" si="33"/>
        <v>0</v>
      </c>
      <c r="S58" s="54"/>
      <c r="T58" s="54"/>
      <c r="U58" s="54"/>
      <c r="V58" s="54"/>
      <c r="W58" s="54"/>
      <c r="X58" s="54"/>
      <c r="Y58" s="54"/>
      <c r="Z58" s="30">
        <f t="shared" si="36"/>
        <v>0</v>
      </c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1"/>
      <c r="AL58" s="90"/>
    </row>
    <row r="59" s="1" customFormat="1" ht="20" customHeight="1" spans="1:38">
      <c r="A59" s="28">
        <v>10</v>
      </c>
      <c r="B59" s="28"/>
      <c r="C59" s="28"/>
      <c r="D59" s="32" t="s">
        <v>118</v>
      </c>
      <c r="E59" s="47"/>
      <c r="F59" s="47"/>
      <c r="G59" s="47"/>
      <c r="H59" s="54"/>
      <c r="I59" s="30"/>
      <c r="J59" s="54">
        <f t="shared" si="34"/>
        <v>0</v>
      </c>
      <c r="K59" s="67">
        <v>0</v>
      </c>
      <c r="L59" s="69">
        <f t="shared" si="35"/>
        <v>0</v>
      </c>
      <c r="M59" s="54"/>
      <c r="N59" s="30"/>
      <c r="O59" s="30">
        <f t="shared" si="29"/>
        <v>0</v>
      </c>
      <c r="P59" s="30">
        <f t="shared" si="32"/>
        <v>0</v>
      </c>
      <c r="Q59" s="30">
        <f t="shared" si="30"/>
        <v>0</v>
      </c>
      <c r="R59" s="30">
        <f t="shared" si="33"/>
        <v>0</v>
      </c>
      <c r="S59" s="54"/>
      <c r="T59" s="54"/>
      <c r="U59" s="54"/>
      <c r="V59" s="54"/>
      <c r="W59" s="54"/>
      <c r="X59" s="54"/>
      <c r="Y59" s="54"/>
      <c r="Z59" s="30">
        <f t="shared" si="36"/>
        <v>0</v>
      </c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1"/>
      <c r="AL59" s="90"/>
    </row>
    <row r="60" s="1" customFormat="1" ht="20" customHeight="1" spans="1:38">
      <c r="A60" s="28">
        <v>11</v>
      </c>
      <c r="B60" s="28"/>
      <c r="C60" s="28"/>
      <c r="D60" s="32" t="s">
        <v>119</v>
      </c>
      <c r="E60" s="47"/>
      <c r="F60" s="47"/>
      <c r="G60" s="47"/>
      <c r="H60" s="54"/>
      <c r="I60" s="30"/>
      <c r="J60" s="54">
        <f t="shared" si="34"/>
        <v>0</v>
      </c>
      <c r="K60" s="67">
        <v>0</v>
      </c>
      <c r="L60" s="69">
        <f t="shared" si="35"/>
        <v>0</v>
      </c>
      <c r="M60" s="54"/>
      <c r="N60" s="30"/>
      <c r="O60" s="30">
        <f t="shared" si="29"/>
        <v>0</v>
      </c>
      <c r="P60" s="30">
        <f t="shared" si="32"/>
        <v>0</v>
      </c>
      <c r="Q60" s="30">
        <f t="shared" si="30"/>
        <v>0</v>
      </c>
      <c r="R60" s="30">
        <f t="shared" si="33"/>
        <v>0</v>
      </c>
      <c r="S60" s="54"/>
      <c r="T60" s="54"/>
      <c r="U60" s="54"/>
      <c r="V60" s="54"/>
      <c r="W60" s="54"/>
      <c r="X60" s="54"/>
      <c r="Y60" s="54"/>
      <c r="Z60" s="30">
        <f t="shared" si="36"/>
        <v>0</v>
      </c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1"/>
      <c r="AL60" s="90"/>
    </row>
    <row r="61" s="2" customFormat="1" ht="20" customHeight="1" spans="1:38">
      <c r="A61" s="28">
        <v>12</v>
      </c>
      <c r="B61" s="28"/>
      <c r="C61" s="28"/>
      <c r="D61" s="32" t="s">
        <v>106</v>
      </c>
      <c r="E61" s="47"/>
      <c r="F61" s="47"/>
      <c r="G61" s="47"/>
      <c r="H61" s="54"/>
      <c r="I61" s="30"/>
      <c r="J61" s="54">
        <f t="shared" si="34"/>
        <v>0</v>
      </c>
      <c r="K61" s="67"/>
      <c r="L61" s="69">
        <f t="shared" si="35"/>
        <v>0</v>
      </c>
      <c r="M61" s="54"/>
      <c r="N61" s="30"/>
      <c r="O61" s="30">
        <f t="shared" si="29"/>
        <v>0</v>
      </c>
      <c r="P61" s="30">
        <f t="shared" si="32"/>
        <v>0</v>
      </c>
      <c r="Q61" s="30">
        <f t="shared" si="30"/>
        <v>0</v>
      </c>
      <c r="R61" s="30">
        <f t="shared" si="33"/>
        <v>0</v>
      </c>
      <c r="S61" s="54"/>
      <c r="T61" s="54"/>
      <c r="U61" s="54"/>
      <c r="V61" s="54"/>
      <c r="W61" s="54"/>
      <c r="X61" s="54"/>
      <c r="Y61" s="54"/>
      <c r="Z61" s="30">
        <f t="shared" si="36"/>
        <v>0</v>
      </c>
      <c r="AA61" s="80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91"/>
    </row>
    <row r="62" s="2" customFormat="1" ht="20" customHeight="1" spans="1:38">
      <c r="A62" s="28"/>
      <c r="B62" s="28"/>
      <c r="C62" s="28"/>
      <c r="D62" s="33" t="s">
        <v>88</v>
      </c>
      <c r="E62" s="47"/>
      <c r="F62" s="47"/>
      <c r="G62" s="47"/>
      <c r="H62" s="54"/>
      <c r="I62" s="30"/>
      <c r="J62" s="54"/>
      <c r="K62" s="67"/>
      <c r="L62" s="69"/>
      <c r="M62" s="54"/>
      <c r="N62" s="30"/>
      <c r="O62" s="30">
        <f t="shared" si="29"/>
        <v>0</v>
      </c>
      <c r="P62" s="30">
        <f t="shared" si="32"/>
        <v>0</v>
      </c>
      <c r="Q62" s="30">
        <f t="shared" si="30"/>
        <v>0</v>
      </c>
      <c r="R62" s="30">
        <f t="shared" si="33"/>
        <v>0</v>
      </c>
      <c r="S62" s="54"/>
      <c r="T62" s="54"/>
      <c r="U62" s="54"/>
      <c r="V62" s="54"/>
      <c r="W62" s="54"/>
      <c r="X62" s="54"/>
      <c r="Y62" s="54"/>
      <c r="Z62" s="54"/>
      <c r="AA62" s="80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91"/>
    </row>
    <row r="63" s="2" customFormat="1" ht="20" customHeight="1" spans="1:38">
      <c r="A63" s="51"/>
      <c r="B63" s="51"/>
      <c r="C63" s="51"/>
      <c r="D63" s="42" t="s">
        <v>120</v>
      </c>
      <c r="E63" s="52"/>
      <c r="F63" s="52"/>
      <c r="G63" s="52"/>
      <c r="H63" s="37">
        <f t="shared" ref="H63:S63" si="37">SUM(H49:H61)</f>
        <v>0</v>
      </c>
      <c r="I63" s="37">
        <f t="shared" si="37"/>
        <v>0</v>
      </c>
      <c r="J63" s="37">
        <f t="shared" si="37"/>
        <v>0</v>
      </c>
      <c r="K63" s="37">
        <f t="shared" si="37"/>
        <v>0</v>
      </c>
      <c r="L63" s="71">
        <f t="shared" si="37"/>
        <v>0</v>
      </c>
      <c r="M63" s="71">
        <f t="shared" si="37"/>
        <v>0</v>
      </c>
      <c r="N63" s="71">
        <f t="shared" si="37"/>
        <v>0</v>
      </c>
      <c r="O63" s="71">
        <f t="shared" si="37"/>
        <v>0</v>
      </c>
      <c r="P63" s="71">
        <f t="shared" si="37"/>
        <v>0</v>
      </c>
      <c r="Q63" s="71">
        <f t="shared" si="37"/>
        <v>0</v>
      </c>
      <c r="R63" s="71">
        <f t="shared" si="37"/>
        <v>0</v>
      </c>
      <c r="S63" s="71">
        <f t="shared" si="37"/>
        <v>0</v>
      </c>
      <c r="T63" s="71"/>
      <c r="U63" s="71"/>
      <c r="V63" s="71"/>
      <c r="W63" s="71"/>
      <c r="X63" s="71"/>
      <c r="Y63" s="71"/>
      <c r="Z63" s="71">
        <f t="shared" ref="Z63:AF63" si="38">SUM(Z49:Z61)</f>
        <v>0</v>
      </c>
      <c r="AA63" s="71">
        <f t="shared" si="38"/>
        <v>0</v>
      </c>
      <c r="AB63" s="71">
        <f t="shared" si="38"/>
        <v>0</v>
      </c>
      <c r="AC63" s="71">
        <f t="shared" si="38"/>
        <v>0</v>
      </c>
      <c r="AD63" s="71">
        <f t="shared" si="38"/>
        <v>0</v>
      </c>
      <c r="AE63" s="71">
        <f t="shared" si="38"/>
        <v>0</v>
      </c>
      <c r="AF63" s="71">
        <f t="shared" si="38"/>
        <v>0</v>
      </c>
      <c r="AG63" s="71"/>
      <c r="AH63" s="71"/>
      <c r="AI63" s="71">
        <f>SUM(AI49:AI61)</f>
        <v>0</v>
      </c>
      <c r="AJ63" s="71">
        <f>SUM(AJ49:AJ61)</f>
        <v>0</v>
      </c>
      <c r="AK63" s="71">
        <f>SUM(AK49:AK61)</f>
        <v>0</v>
      </c>
      <c r="AL63" s="91"/>
    </row>
    <row r="64" s="2" customFormat="1" ht="20" customHeight="1" spans="1:38">
      <c r="A64" s="28"/>
      <c r="B64" s="28"/>
      <c r="C64" s="28"/>
      <c r="D64" s="38" t="s">
        <v>121</v>
      </c>
      <c r="E64" s="47"/>
      <c r="F64" s="47"/>
      <c r="G64" s="47"/>
      <c r="H64" s="30"/>
      <c r="I64" s="30"/>
      <c r="J64" s="53">
        <v>0</v>
      </c>
      <c r="K64" s="74"/>
      <c r="L64" s="69">
        <f>J64-N64-P64</f>
        <v>0</v>
      </c>
      <c r="M64" s="30"/>
      <c r="N64" s="30"/>
      <c r="O64" s="30">
        <f>L64-M64</f>
        <v>0</v>
      </c>
      <c r="P64" s="30">
        <f>K64-N64</f>
        <v>0</v>
      </c>
      <c r="Q64" s="30">
        <f>M64+O64</f>
        <v>0</v>
      </c>
      <c r="R64" s="30">
        <f>M64+N64+O64+P64</f>
        <v>0</v>
      </c>
      <c r="S64" s="54"/>
      <c r="T64" s="54"/>
      <c r="U64" s="54"/>
      <c r="V64" s="54"/>
      <c r="W64" s="54"/>
      <c r="X64" s="54"/>
      <c r="Y64" s="54"/>
      <c r="Z64" s="73"/>
      <c r="AA64" s="80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91"/>
    </row>
    <row r="65" s="5" customFormat="1" ht="20" customHeight="1" spans="1:38">
      <c r="A65" s="51"/>
      <c r="B65" s="51"/>
      <c r="C65" s="51"/>
      <c r="D65" s="42" t="s">
        <v>122</v>
      </c>
      <c r="E65" s="42"/>
      <c r="F65" s="42"/>
      <c r="G65" s="42"/>
      <c r="H65" s="37">
        <f>SUM(H64)</f>
        <v>0</v>
      </c>
      <c r="I65" s="37">
        <f>SUM(I64)</f>
        <v>0</v>
      </c>
      <c r="J65" s="37">
        <v>0</v>
      </c>
      <c r="K65" s="37">
        <v>0</v>
      </c>
      <c r="L65" s="69">
        <f>J65-K65</f>
        <v>0</v>
      </c>
      <c r="M65" s="105"/>
      <c r="N65" s="105"/>
      <c r="O65" s="71">
        <f t="shared" ref="O65:S65" si="39">SUM(O51:O63)</f>
        <v>0</v>
      </c>
      <c r="P65" s="71">
        <f t="shared" si="39"/>
        <v>0</v>
      </c>
      <c r="Q65" s="71">
        <f t="shared" si="39"/>
        <v>0</v>
      </c>
      <c r="R65" s="71">
        <f t="shared" si="39"/>
        <v>0</v>
      </c>
      <c r="S65" s="71">
        <f t="shared" si="39"/>
        <v>0</v>
      </c>
      <c r="T65" s="105"/>
      <c r="U65" s="105"/>
      <c r="V65" s="105"/>
      <c r="W65" s="105"/>
      <c r="X65" s="105"/>
      <c r="Y65" s="105"/>
      <c r="Z65" s="105"/>
      <c r="AA65" s="105">
        <f t="shared" ref="AA65:AF65" si="40">SUM(AA64)</f>
        <v>0</v>
      </c>
      <c r="AB65" s="105">
        <f t="shared" si="40"/>
        <v>0</v>
      </c>
      <c r="AC65" s="105">
        <f t="shared" si="40"/>
        <v>0</v>
      </c>
      <c r="AD65" s="105">
        <f t="shared" si="40"/>
        <v>0</v>
      </c>
      <c r="AE65" s="105">
        <f t="shared" si="40"/>
        <v>0</v>
      </c>
      <c r="AF65" s="105">
        <f t="shared" si="40"/>
        <v>0</v>
      </c>
      <c r="AG65" s="105"/>
      <c r="AH65" s="105"/>
      <c r="AI65" s="105">
        <f>SUM(AI64)</f>
        <v>0</v>
      </c>
      <c r="AJ65" s="105">
        <f>SUM(AJ64)</f>
        <v>0</v>
      </c>
      <c r="AK65" s="105">
        <f>SUM(AK64)</f>
        <v>0</v>
      </c>
      <c r="AL65" s="125"/>
    </row>
    <row r="66" s="5" customFormat="1" ht="20" customHeight="1" spans="1:38">
      <c r="A66" s="51"/>
      <c r="B66" s="51"/>
      <c r="C66" s="51"/>
      <c r="D66" s="42" t="s">
        <v>123</v>
      </c>
      <c r="E66" s="52"/>
      <c r="F66" s="52"/>
      <c r="G66" s="52"/>
      <c r="H66" s="37">
        <f t="shared" ref="H66:S66" si="41">H17+H23+H36+H40+H48+H63+H65</f>
        <v>0</v>
      </c>
      <c r="I66" s="37">
        <f t="shared" si="41"/>
        <v>0</v>
      </c>
      <c r="J66" s="37">
        <f t="shared" si="41"/>
        <v>0</v>
      </c>
      <c r="K66" s="37">
        <f t="shared" si="41"/>
        <v>0</v>
      </c>
      <c r="L66" s="71">
        <f t="shared" si="41"/>
        <v>0</v>
      </c>
      <c r="M66" s="105">
        <f t="shared" si="41"/>
        <v>0</v>
      </c>
      <c r="N66" s="105">
        <f t="shared" si="41"/>
        <v>0</v>
      </c>
      <c r="O66" s="105">
        <f t="shared" si="41"/>
        <v>0</v>
      </c>
      <c r="P66" s="105">
        <f t="shared" si="41"/>
        <v>0</v>
      </c>
      <c r="Q66" s="105">
        <f t="shared" si="41"/>
        <v>0</v>
      </c>
      <c r="R66" s="105">
        <f t="shared" si="41"/>
        <v>0</v>
      </c>
      <c r="S66" s="105">
        <f t="shared" si="41"/>
        <v>0</v>
      </c>
      <c r="T66" s="105"/>
      <c r="U66" s="105"/>
      <c r="V66" s="105"/>
      <c r="W66" s="105"/>
      <c r="X66" s="105"/>
      <c r="Y66" s="105"/>
      <c r="Z66" s="105">
        <f t="shared" ref="Z66:AF66" si="42">Z17+Z23+Z36+Z40+Z48+Z63+Z65</f>
        <v>0</v>
      </c>
      <c r="AA66" s="105">
        <f t="shared" si="42"/>
        <v>0</v>
      </c>
      <c r="AB66" s="105">
        <f t="shared" si="42"/>
        <v>0</v>
      </c>
      <c r="AC66" s="105">
        <f t="shared" si="42"/>
        <v>0</v>
      </c>
      <c r="AD66" s="105">
        <f t="shared" si="42"/>
        <v>0</v>
      </c>
      <c r="AE66" s="105">
        <f t="shared" si="42"/>
        <v>0</v>
      </c>
      <c r="AF66" s="105">
        <f t="shared" si="42"/>
        <v>0</v>
      </c>
      <c r="AG66" s="105"/>
      <c r="AH66" s="105"/>
      <c r="AI66" s="105">
        <f>AI17+AI23+AI36+AI40+AI48+AI63+AI65</f>
        <v>0</v>
      </c>
      <c r="AJ66" s="105">
        <f>AJ17+AJ23+AJ36+AJ40+AJ48+AJ63+AJ65</f>
        <v>0</v>
      </c>
      <c r="AK66" s="105">
        <f>AK17+AK23+AK36+AK40+AK48+AK63+AK65</f>
        <v>0</v>
      </c>
      <c r="AL66" s="125"/>
    </row>
    <row r="67" s="5" customFormat="1" ht="39" customHeight="1" spans="1:38">
      <c r="A67" s="28"/>
      <c r="B67" s="28"/>
      <c r="C67" s="28"/>
      <c r="D67" s="38" t="s">
        <v>124</v>
      </c>
      <c r="E67" s="94" t="s">
        <v>125</v>
      </c>
      <c r="F67" s="94"/>
      <c r="G67" s="94"/>
      <c r="H67" s="53"/>
      <c r="I67" s="53"/>
      <c r="J67" s="53">
        <f>H67+I67</f>
        <v>0</v>
      </c>
      <c r="K67" s="53"/>
      <c r="L67" s="69">
        <f>J67-K67</f>
        <v>0</v>
      </c>
      <c r="M67" s="30"/>
      <c r="N67" s="30"/>
      <c r="O67" s="30">
        <f>L67-M67</f>
        <v>0</v>
      </c>
      <c r="P67" s="30">
        <f>K67-N67</f>
        <v>0</v>
      </c>
      <c r="Q67" s="30">
        <f>M67+O67</f>
        <v>0</v>
      </c>
      <c r="R67" s="30">
        <f>M67+N67+O67+P67</f>
        <v>0</v>
      </c>
      <c r="S67" s="80"/>
      <c r="T67" s="80"/>
      <c r="U67" s="80"/>
      <c r="V67" s="80"/>
      <c r="W67" s="80"/>
      <c r="X67" s="80"/>
      <c r="Y67" s="80"/>
      <c r="Z67" s="80"/>
      <c r="AA67" s="80">
        <f>Q67-S67</f>
        <v>0</v>
      </c>
      <c r="AB67" s="121"/>
      <c r="AC67" s="121"/>
      <c r="AD67" s="121"/>
      <c r="AE67" s="121"/>
      <c r="AF67" s="121"/>
      <c r="AG67" s="121"/>
      <c r="AH67" s="121"/>
      <c r="AI67" s="121"/>
      <c r="AJ67" s="121"/>
      <c r="AK67" s="81"/>
      <c r="AL67" s="125"/>
    </row>
    <row r="68" s="2" customFormat="1" ht="20" customHeight="1" spans="1:38">
      <c r="A68" s="28"/>
      <c r="B68" s="28"/>
      <c r="C68" s="28"/>
      <c r="D68" s="38" t="s">
        <v>126</v>
      </c>
      <c r="E68" s="47"/>
      <c r="F68" s="47"/>
      <c r="G68" s="47"/>
      <c r="H68" s="53"/>
      <c r="I68" s="53"/>
      <c r="J68" s="53">
        <f>H68+I68</f>
        <v>0</v>
      </c>
      <c r="K68" s="53"/>
      <c r="L68" s="69">
        <f>J68-K68</f>
        <v>0</v>
      </c>
      <c r="M68" s="30"/>
      <c r="N68" s="30"/>
      <c r="O68" s="30">
        <f>L68-M68</f>
        <v>0</v>
      </c>
      <c r="P68" s="30">
        <f>K68-N68</f>
        <v>0</v>
      </c>
      <c r="Q68" s="30">
        <f>M68+O68</f>
        <v>0</v>
      </c>
      <c r="R68" s="30">
        <f>M68+N68+O68+P68</f>
        <v>0</v>
      </c>
      <c r="S68" s="80"/>
      <c r="T68" s="80"/>
      <c r="U68" s="80"/>
      <c r="V68" s="80"/>
      <c r="W68" s="80"/>
      <c r="X68" s="80"/>
      <c r="Y68" s="80"/>
      <c r="Z68" s="80"/>
      <c r="AA68" s="80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91"/>
    </row>
    <row r="69" s="2" customFormat="1" ht="20" customHeight="1" spans="1:38">
      <c r="A69" s="28"/>
      <c r="B69" s="28"/>
      <c r="C69" s="28"/>
      <c r="D69" s="38" t="s">
        <v>127</v>
      </c>
      <c r="E69" s="47"/>
      <c r="F69" s="47"/>
      <c r="G69" s="47"/>
      <c r="H69" s="30"/>
      <c r="I69" s="30"/>
      <c r="J69" s="53">
        <f>H69+I69</f>
        <v>0</v>
      </c>
      <c r="K69" s="30"/>
      <c r="L69" s="69">
        <f>J69-K69</f>
        <v>0</v>
      </c>
      <c r="M69" s="30"/>
      <c r="N69" s="30"/>
      <c r="O69" s="30">
        <f>L69-M69</f>
        <v>0</v>
      </c>
      <c r="P69" s="30">
        <f>K69-N69</f>
        <v>0</v>
      </c>
      <c r="Q69" s="30">
        <f>M69+O69</f>
        <v>0</v>
      </c>
      <c r="R69" s="30">
        <f>M69+N69+O69+P69</f>
        <v>0</v>
      </c>
      <c r="S69" s="80"/>
      <c r="T69" s="80"/>
      <c r="U69" s="80"/>
      <c r="V69" s="80"/>
      <c r="W69" s="80"/>
      <c r="X69" s="80"/>
      <c r="Y69" s="80"/>
      <c r="Z69" s="80"/>
      <c r="AA69" s="80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91"/>
    </row>
    <row r="70" s="2" customFormat="1" ht="20" customHeight="1" spans="1:38">
      <c r="A70" s="28"/>
      <c r="B70" s="28"/>
      <c r="C70" s="28"/>
      <c r="D70" s="38" t="s">
        <v>128</v>
      </c>
      <c r="E70" s="47"/>
      <c r="F70" s="47"/>
      <c r="G70" s="47"/>
      <c r="H70" s="30"/>
      <c r="I70" s="30"/>
      <c r="J70" s="53">
        <f>H70+I70</f>
        <v>0</v>
      </c>
      <c r="K70" s="30"/>
      <c r="L70" s="69">
        <f>J70-K70</f>
        <v>0</v>
      </c>
      <c r="M70" s="30"/>
      <c r="N70" s="30"/>
      <c r="O70" s="30">
        <f>L70-M70</f>
        <v>0</v>
      </c>
      <c r="P70" s="30">
        <f>K70-N70</f>
        <v>0</v>
      </c>
      <c r="Q70" s="30">
        <f>M70+O70</f>
        <v>0</v>
      </c>
      <c r="R70" s="30">
        <f>M70+N70+O70+P70</f>
        <v>0</v>
      </c>
      <c r="S70" s="80"/>
      <c r="T70" s="80"/>
      <c r="U70" s="80"/>
      <c r="V70" s="80"/>
      <c r="W70" s="80"/>
      <c r="X70" s="80"/>
      <c r="Y70" s="80"/>
      <c r="Z70" s="80"/>
      <c r="AA70" s="80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91"/>
    </row>
    <row r="71" s="6" customFormat="1" ht="13" customHeight="1" spans="1:38">
      <c r="A71" s="35"/>
      <c r="B71" s="35"/>
      <c r="C71" s="35"/>
      <c r="D71" s="42" t="s">
        <v>129</v>
      </c>
      <c r="E71" s="46"/>
      <c r="F71" s="46"/>
      <c r="G71" s="46"/>
      <c r="H71" s="37">
        <f>H66+H67+H68+H69+H70</f>
        <v>0</v>
      </c>
      <c r="I71" s="37">
        <f>I66+I67+I68+I69+I70</f>
        <v>0</v>
      </c>
      <c r="J71" s="37">
        <f>J66+J67+J68+J69+J70</f>
        <v>0</v>
      </c>
      <c r="K71" s="37">
        <f>K66+K67+K68+K69+K70</f>
        <v>0</v>
      </c>
      <c r="L71" s="71">
        <f>L66+L67+L68+L69+L70</f>
        <v>0</v>
      </c>
      <c r="M71" s="105">
        <f t="shared" ref="M71:S71" si="43">M66+M67+M68+M69</f>
        <v>0</v>
      </c>
      <c r="N71" s="105">
        <f t="shared" si="43"/>
        <v>0</v>
      </c>
      <c r="O71" s="105">
        <f t="shared" si="43"/>
        <v>0</v>
      </c>
      <c r="P71" s="105">
        <f t="shared" si="43"/>
        <v>0</v>
      </c>
      <c r="Q71" s="105">
        <f t="shared" si="43"/>
        <v>0</v>
      </c>
      <c r="R71" s="105">
        <f t="shared" si="43"/>
        <v>0</v>
      </c>
      <c r="S71" s="105">
        <f t="shared" si="43"/>
        <v>0</v>
      </c>
      <c r="T71" s="105"/>
      <c r="U71" s="105"/>
      <c r="V71" s="105"/>
      <c r="W71" s="105"/>
      <c r="X71" s="105"/>
      <c r="Y71" s="105"/>
      <c r="Z71" s="105">
        <f>Z66+Z67+Z68+Z69</f>
        <v>0</v>
      </c>
      <c r="AA71" s="105">
        <f>AA66+AA67+AA68+AA69</f>
        <v>0</v>
      </c>
      <c r="AB71" s="122"/>
      <c r="AC71" s="122"/>
      <c r="AD71" s="122"/>
      <c r="AE71" s="122"/>
      <c r="AF71" s="122"/>
      <c r="AG71" s="122"/>
      <c r="AH71" s="122"/>
      <c r="AI71" s="122"/>
      <c r="AJ71" s="122"/>
      <c r="AK71" s="126"/>
      <c r="AL71" s="127"/>
    </row>
    <row r="72" s="6" customFormat="1" ht="49" customHeight="1" spans="1:38">
      <c r="A72" s="35"/>
      <c r="B72" s="35"/>
      <c r="C72" s="35"/>
      <c r="D72" s="42" t="s">
        <v>130</v>
      </c>
      <c r="E72" s="46" t="s">
        <v>131</v>
      </c>
      <c r="F72" s="46"/>
      <c r="G72" s="46"/>
      <c r="H72" s="37"/>
      <c r="I72" s="37"/>
      <c r="J72" s="37">
        <f>H72+I72</f>
        <v>0</v>
      </c>
      <c r="K72" s="106" t="s">
        <v>132</v>
      </c>
      <c r="L72" s="69" t="s">
        <v>132</v>
      </c>
      <c r="M72" s="107"/>
      <c r="N72" s="37">
        <f>N6-N71</f>
        <v>0</v>
      </c>
      <c r="O72" s="37"/>
      <c r="P72" s="37"/>
      <c r="Q72" s="37" t="s">
        <v>132</v>
      </c>
      <c r="R72" s="37">
        <f>N72+P72</f>
        <v>0</v>
      </c>
      <c r="S72" s="37"/>
      <c r="T72" s="37"/>
      <c r="U72" s="37"/>
      <c r="V72" s="37"/>
      <c r="W72" s="37"/>
      <c r="X72" s="37"/>
      <c r="Y72" s="37"/>
      <c r="Z72" s="37"/>
      <c r="AA72" s="37"/>
      <c r="AB72" s="122"/>
      <c r="AC72" s="122"/>
      <c r="AD72" s="122"/>
      <c r="AE72" s="122"/>
      <c r="AF72" s="122"/>
      <c r="AG72" s="122"/>
      <c r="AH72" s="122"/>
      <c r="AI72" s="122"/>
      <c r="AJ72" s="122"/>
      <c r="AK72" s="126"/>
      <c r="AL72" s="127"/>
    </row>
    <row r="73" s="6" customFormat="1" ht="54" customHeight="1" spans="1:38">
      <c r="A73" s="35"/>
      <c r="B73" s="35"/>
      <c r="C73" s="35"/>
      <c r="D73" s="42" t="s">
        <v>133</v>
      </c>
      <c r="E73" s="46" t="s">
        <v>134</v>
      </c>
      <c r="F73" s="46"/>
      <c r="G73" s="46"/>
      <c r="H73" s="37"/>
      <c r="I73" s="37"/>
      <c r="J73" s="37">
        <f>H73+I73</f>
        <v>0</v>
      </c>
      <c r="K73" s="37"/>
      <c r="L73" s="69">
        <f>J73</f>
        <v>0</v>
      </c>
      <c r="M73" s="107"/>
      <c r="N73" s="37"/>
      <c r="O73" s="37">
        <f>L73-M73</f>
        <v>0</v>
      </c>
      <c r="P73" s="37"/>
      <c r="Q73" s="37">
        <f>M73+O73</f>
        <v>0</v>
      </c>
      <c r="R73" s="37">
        <f>Q73</f>
        <v>0</v>
      </c>
      <c r="S73" s="37"/>
      <c r="T73" s="37"/>
      <c r="U73" s="37"/>
      <c r="V73" s="37"/>
      <c r="W73" s="37"/>
      <c r="X73" s="37"/>
      <c r="Y73" s="37"/>
      <c r="Z73" s="37"/>
      <c r="AA73" s="37"/>
      <c r="AB73" s="122"/>
      <c r="AC73" s="122"/>
      <c r="AD73" s="122"/>
      <c r="AE73" s="122"/>
      <c r="AF73" s="122"/>
      <c r="AG73" s="122"/>
      <c r="AH73" s="122"/>
      <c r="AI73" s="122"/>
      <c r="AJ73" s="122"/>
      <c r="AK73" s="126"/>
      <c r="AL73" s="127"/>
    </row>
    <row r="74" s="6" customFormat="1" ht="20" customHeight="1" spans="1:38">
      <c r="A74" s="35"/>
      <c r="B74" s="35"/>
      <c r="C74" s="35"/>
      <c r="D74" s="42" t="s">
        <v>135</v>
      </c>
      <c r="E74" s="46"/>
      <c r="F74" s="46"/>
      <c r="G74" s="46"/>
      <c r="H74" s="37"/>
      <c r="I74" s="37"/>
      <c r="J74" s="37">
        <f>J6-J71-J72-J73</f>
        <v>0</v>
      </c>
      <c r="K74" s="37"/>
      <c r="L74" s="71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22"/>
      <c r="AC74" s="122"/>
      <c r="AD74" s="122"/>
      <c r="AE74" s="122"/>
      <c r="AF74" s="122"/>
      <c r="AG74" s="122"/>
      <c r="AH74" s="122"/>
      <c r="AI74" s="122"/>
      <c r="AJ74" s="122"/>
      <c r="AK74" s="126"/>
      <c r="AL74" s="127"/>
    </row>
    <row r="75" s="6" customFormat="1" ht="20" customHeight="1" spans="1:38">
      <c r="A75" s="35"/>
      <c r="B75" s="35"/>
      <c r="C75" s="35"/>
      <c r="D75" s="42" t="s">
        <v>136</v>
      </c>
      <c r="E75" s="46"/>
      <c r="F75" s="46"/>
      <c r="G75" s="46"/>
      <c r="H75" s="37"/>
      <c r="I75" s="37"/>
      <c r="J75" s="108" t="e">
        <f>J74/J6</f>
        <v>#DIV/0!</v>
      </c>
      <c r="K75" s="37"/>
      <c r="L75" s="109" t="e">
        <f>L74/L6</f>
        <v>#DIV/0!</v>
      </c>
      <c r="M75" s="109" t="e">
        <f>M74/M6</f>
        <v>#DIV/0!</v>
      </c>
      <c r="N75" s="109"/>
      <c r="O75" s="109"/>
      <c r="P75" s="109"/>
      <c r="Q75" s="109" t="e">
        <f>Q74/Q6</f>
        <v>#DIV/0!</v>
      </c>
      <c r="R75" s="109" t="e">
        <f>R74/R6</f>
        <v>#DIV/0!</v>
      </c>
      <c r="S75" s="105"/>
      <c r="T75" s="105"/>
      <c r="U75" s="105"/>
      <c r="V75" s="105"/>
      <c r="W75" s="105"/>
      <c r="X75" s="105"/>
      <c r="Y75" s="105"/>
      <c r="Z75" s="105"/>
      <c r="AA75" s="105"/>
      <c r="AB75" s="122"/>
      <c r="AC75" s="122"/>
      <c r="AD75" s="122"/>
      <c r="AE75" s="122"/>
      <c r="AF75" s="122"/>
      <c r="AG75" s="122"/>
      <c r="AH75" s="122"/>
      <c r="AI75" s="122"/>
      <c r="AJ75" s="122"/>
      <c r="AK75" s="126"/>
      <c r="AL75" s="127"/>
    </row>
    <row r="76" s="6" customFormat="1" ht="24" customHeight="1" spans="1:27">
      <c r="A76" s="95"/>
      <c r="B76" s="95"/>
      <c r="C76" s="95"/>
      <c r="D76" s="96"/>
      <c r="E76" s="97"/>
      <c r="F76" s="97"/>
      <c r="G76" s="97"/>
      <c r="H76" s="98"/>
      <c r="I76" s="98"/>
      <c r="J76" s="110" t="s">
        <v>137</v>
      </c>
      <c r="K76" s="111"/>
      <c r="L76" s="112" t="s">
        <v>138</v>
      </c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23"/>
      <c r="AA76" s="82"/>
    </row>
    <row r="77" s="6" customFormat="1" ht="13" customHeight="1" spans="1:27">
      <c r="A77" s="95"/>
      <c r="B77" s="95"/>
      <c r="C77" s="95"/>
      <c r="D77" s="96"/>
      <c r="E77" s="97"/>
      <c r="F77" s="97"/>
      <c r="G77" s="97"/>
      <c r="H77" s="98"/>
      <c r="I77" s="98"/>
      <c r="J77" s="114"/>
      <c r="K77" s="98"/>
      <c r="L77" s="115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23"/>
      <c r="AA77" s="82"/>
    </row>
    <row r="78" s="7" customFormat="1" ht="24" customHeight="1" spans="1:265">
      <c r="A78" s="99"/>
      <c r="B78" s="99"/>
      <c r="C78" s="99"/>
      <c r="E78" s="100"/>
      <c r="F78" s="100"/>
      <c r="G78" s="100"/>
      <c r="H78" s="101"/>
      <c r="I78" s="101"/>
      <c r="J78" s="116"/>
      <c r="K78" s="117"/>
      <c r="L78" s="117"/>
      <c r="M78" s="118"/>
      <c r="N78" s="117"/>
      <c r="O78" s="117"/>
      <c r="P78" s="119"/>
      <c r="Q78" s="119"/>
      <c r="R78" s="117"/>
      <c r="Z78" s="100"/>
      <c r="AA78" s="124"/>
      <c r="AB78" s="8"/>
      <c r="AC78" s="8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2"/>
      <c r="FL78" s="102"/>
      <c r="FM78" s="102"/>
      <c r="FN78" s="102"/>
      <c r="FO78" s="102"/>
      <c r="FP78" s="102"/>
      <c r="FQ78" s="102"/>
      <c r="FR78" s="102"/>
      <c r="FS78" s="102"/>
      <c r="FT78" s="102"/>
      <c r="FU78" s="102"/>
      <c r="FV78" s="102"/>
      <c r="FW78" s="102"/>
      <c r="FX78" s="102"/>
      <c r="FY78" s="102"/>
      <c r="FZ78" s="102"/>
      <c r="GA78" s="102"/>
      <c r="GB78" s="102"/>
      <c r="GC78" s="102"/>
      <c r="GD78" s="102"/>
      <c r="GE78" s="102"/>
      <c r="GF78" s="102"/>
      <c r="GG78" s="102"/>
      <c r="GH78" s="102"/>
      <c r="GI78" s="102"/>
      <c r="GJ78" s="102"/>
      <c r="GK78" s="102"/>
      <c r="GL78" s="102"/>
      <c r="GM78" s="102"/>
      <c r="GN78" s="102"/>
      <c r="GO78" s="102"/>
      <c r="GP78" s="102"/>
      <c r="GQ78" s="102"/>
      <c r="GR78" s="102"/>
      <c r="GS78" s="102"/>
      <c r="GT78" s="102"/>
      <c r="GU78" s="102"/>
      <c r="GV78" s="102"/>
      <c r="GW78" s="102"/>
      <c r="GX78" s="102"/>
      <c r="GY78" s="102"/>
      <c r="GZ78" s="102"/>
      <c r="HA78" s="102"/>
      <c r="HB78" s="102"/>
      <c r="HC78" s="102"/>
      <c r="HD78" s="102"/>
      <c r="HE78" s="102"/>
      <c r="HF78" s="102"/>
      <c r="HG78" s="102"/>
      <c r="HH78" s="102"/>
      <c r="HI78" s="102"/>
      <c r="HJ78" s="102"/>
      <c r="HK78" s="102"/>
      <c r="HL78" s="102"/>
      <c r="HM78" s="102"/>
      <c r="HN78" s="102"/>
      <c r="HO78" s="102"/>
      <c r="HP78" s="102"/>
      <c r="HQ78" s="102"/>
      <c r="HR78" s="102"/>
      <c r="HS78" s="102"/>
      <c r="HT78" s="102"/>
      <c r="HU78" s="102"/>
      <c r="HV78" s="102"/>
      <c r="HW78" s="102"/>
      <c r="HX78" s="102"/>
      <c r="HY78" s="102"/>
      <c r="HZ78" s="102"/>
      <c r="IA78" s="102"/>
      <c r="IB78" s="102"/>
      <c r="IC78" s="102"/>
      <c r="ID78" s="102"/>
      <c r="IE78" s="102"/>
      <c r="IF78" s="102"/>
      <c r="IG78" s="102"/>
      <c r="IH78" s="102"/>
      <c r="II78" s="102"/>
      <c r="IJ78" s="102"/>
      <c r="IK78" s="102"/>
      <c r="IL78" s="102"/>
      <c r="IM78" s="102"/>
      <c r="IN78" s="102"/>
      <c r="IO78" s="102"/>
      <c r="IP78" s="102"/>
      <c r="IQ78" s="102"/>
      <c r="IR78" s="102"/>
      <c r="IS78" s="102"/>
      <c r="IT78" s="102"/>
      <c r="IU78" s="102"/>
      <c r="IV78" s="102"/>
      <c r="IW78" s="102"/>
      <c r="IX78" s="102"/>
      <c r="IY78" s="102"/>
      <c r="IZ78" s="102"/>
      <c r="JA78" s="102"/>
      <c r="JB78" s="102"/>
      <c r="JC78" s="102"/>
      <c r="JD78" s="102"/>
      <c r="JE78" s="102"/>
    </row>
    <row r="79" s="7" customFormat="1" spans="1:265">
      <c r="A79" s="102"/>
      <c r="B79" s="102"/>
      <c r="C79" s="102"/>
      <c r="D79" s="102"/>
      <c r="E79" s="103"/>
      <c r="F79" s="103"/>
      <c r="G79" s="103"/>
      <c r="H79" s="103"/>
      <c r="I79" s="103"/>
      <c r="J79" s="103"/>
      <c r="K79" s="120"/>
      <c r="L79" s="103"/>
      <c r="M79" s="103"/>
      <c r="N79" s="103"/>
      <c r="O79" s="103"/>
      <c r="P79" s="103"/>
      <c r="Q79" s="103"/>
      <c r="R79" s="103"/>
      <c r="Z79" s="103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  <c r="EX79" s="102"/>
      <c r="EY79" s="102"/>
      <c r="EZ79" s="102"/>
      <c r="FA79" s="102"/>
      <c r="FB79" s="102"/>
      <c r="FC79" s="102"/>
      <c r="FD79" s="102"/>
      <c r="FE79" s="102"/>
      <c r="FF79" s="102"/>
      <c r="FG79" s="102"/>
      <c r="FH79" s="102"/>
      <c r="FI79" s="102"/>
      <c r="FJ79" s="102"/>
      <c r="FK79" s="102"/>
      <c r="FL79" s="102"/>
      <c r="FM79" s="102"/>
      <c r="FN79" s="102"/>
      <c r="FO79" s="102"/>
      <c r="FP79" s="102"/>
      <c r="FQ79" s="102"/>
      <c r="FR79" s="102"/>
      <c r="FS79" s="102"/>
      <c r="FT79" s="102"/>
      <c r="FU79" s="102"/>
      <c r="FV79" s="102"/>
      <c r="FW79" s="102"/>
      <c r="FX79" s="102"/>
      <c r="FY79" s="102"/>
      <c r="FZ79" s="102"/>
      <c r="GA79" s="102"/>
      <c r="GB79" s="102"/>
      <c r="GC79" s="102"/>
      <c r="GD79" s="102"/>
      <c r="GE79" s="102"/>
      <c r="GF79" s="102"/>
      <c r="GG79" s="102"/>
      <c r="GH79" s="102"/>
      <c r="GI79" s="102"/>
      <c r="GJ79" s="102"/>
      <c r="GK79" s="102"/>
      <c r="GL79" s="102"/>
      <c r="GM79" s="102"/>
      <c r="GN79" s="102"/>
      <c r="GO79" s="102"/>
      <c r="GP79" s="102"/>
      <c r="GQ79" s="102"/>
      <c r="GR79" s="102"/>
      <c r="GS79" s="102"/>
      <c r="GT79" s="102"/>
      <c r="GU79" s="102"/>
      <c r="GV79" s="102"/>
      <c r="GW79" s="102"/>
      <c r="GX79" s="102"/>
      <c r="GY79" s="102"/>
      <c r="GZ79" s="102"/>
      <c r="HA79" s="102"/>
      <c r="HB79" s="102"/>
      <c r="HC79" s="102"/>
      <c r="HD79" s="102"/>
      <c r="HE79" s="102"/>
      <c r="HF79" s="102"/>
      <c r="HG79" s="102"/>
      <c r="HH79" s="102"/>
      <c r="HI79" s="102"/>
      <c r="HJ79" s="102"/>
      <c r="HK79" s="102"/>
      <c r="HL79" s="102"/>
      <c r="HM79" s="102"/>
      <c r="HN79" s="102"/>
      <c r="HO79" s="102"/>
      <c r="HP79" s="102"/>
      <c r="HQ79" s="102"/>
      <c r="HR79" s="102"/>
      <c r="HS79" s="102"/>
      <c r="HT79" s="102"/>
      <c r="HU79" s="102"/>
      <c r="HV79" s="102"/>
      <c r="HW79" s="102"/>
      <c r="HX79" s="102"/>
      <c r="HY79" s="102"/>
      <c r="HZ79" s="102"/>
      <c r="IA79" s="102"/>
      <c r="IB79" s="102"/>
      <c r="IC79" s="102"/>
      <c r="ID79" s="102"/>
      <c r="IE79" s="102"/>
      <c r="IF79" s="102"/>
      <c r="IG79" s="102"/>
      <c r="IH79" s="102"/>
      <c r="II79" s="102"/>
      <c r="IJ79" s="102"/>
      <c r="IK79" s="102"/>
      <c r="IL79" s="102"/>
      <c r="IM79" s="102"/>
      <c r="IN79" s="102"/>
      <c r="IO79" s="102"/>
      <c r="IP79" s="102"/>
      <c r="IQ79" s="102"/>
      <c r="IR79" s="102"/>
      <c r="IS79" s="102"/>
      <c r="IT79" s="102"/>
      <c r="IU79" s="102"/>
      <c r="IV79" s="102"/>
      <c r="IW79" s="102"/>
      <c r="IX79" s="102"/>
      <c r="IY79" s="102"/>
      <c r="IZ79" s="102"/>
      <c r="JA79" s="102"/>
      <c r="JB79" s="102"/>
      <c r="JC79" s="102"/>
      <c r="JD79" s="102"/>
      <c r="JE79" s="102"/>
    </row>
    <row r="80" s="7" customFormat="1" spans="1:265">
      <c r="A80" s="102"/>
      <c r="B80" s="102"/>
      <c r="C80" s="102"/>
      <c r="D80" s="102"/>
      <c r="E80" s="103"/>
      <c r="F80" s="103"/>
      <c r="G80" s="103"/>
      <c r="H80" s="103"/>
      <c r="I80" s="103"/>
      <c r="J80" s="103"/>
      <c r="K80" s="120"/>
      <c r="L80" s="103"/>
      <c r="M80" s="103"/>
      <c r="N80" s="103"/>
      <c r="O80" s="103"/>
      <c r="P80" s="103"/>
      <c r="Q80" s="103"/>
      <c r="R80" s="103"/>
      <c r="Z80" s="103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  <c r="EX80" s="102"/>
      <c r="EY80" s="102"/>
      <c r="EZ80" s="102"/>
      <c r="FA80" s="102"/>
      <c r="FB80" s="102"/>
      <c r="FC80" s="102"/>
      <c r="FD80" s="102"/>
      <c r="FE80" s="102"/>
      <c r="FF80" s="102"/>
      <c r="FG80" s="102"/>
      <c r="FH80" s="102"/>
      <c r="FI80" s="102"/>
      <c r="FJ80" s="102"/>
      <c r="FK80" s="102"/>
      <c r="FL80" s="102"/>
      <c r="FM80" s="102"/>
      <c r="FN80" s="102"/>
      <c r="FO80" s="102"/>
      <c r="FP80" s="102"/>
      <c r="FQ80" s="102"/>
      <c r="FR80" s="102"/>
      <c r="FS80" s="102"/>
      <c r="FT80" s="102"/>
      <c r="FU80" s="102"/>
      <c r="FV80" s="102"/>
      <c r="FW80" s="102"/>
      <c r="FX80" s="102"/>
      <c r="FY80" s="102"/>
      <c r="FZ80" s="102"/>
      <c r="GA80" s="102"/>
      <c r="GB80" s="102"/>
      <c r="GC80" s="102"/>
      <c r="GD80" s="102"/>
      <c r="GE80" s="102"/>
      <c r="GF80" s="102"/>
      <c r="GG80" s="102"/>
      <c r="GH80" s="102"/>
      <c r="GI80" s="102"/>
      <c r="GJ80" s="102"/>
      <c r="GK80" s="102"/>
      <c r="GL80" s="102"/>
      <c r="GM80" s="102"/>
      <c r="GN80" s="102"/>
      <c r="GO80" s="102"/>
      <c r="GP80" s="102"/>
      <c r="GQ80" s="102"/>
      <c r="GR80" s="102"/>
      <c r="GS80" s="102"/>
      <c r="GT80" s="102"/>
      <c r="GU80" s="102"/>
      <c r="GV80" s="102"/>
      <c r="GW80" s="102"/>
      <c r="GX80" s="102"/>
      <c r="GY80" s="102"/>
      <c r="GZ80" s="102"/>
      <c r="HA80" s="102"/>
      <c r="HB80" s="102"/>
      <c r="HC80" s="102"/>
      <c r="HD80" s="102"/>
      <c r="HE80" s="102"/>
      <c r="HF80" s="102"/>
      <c r="HG80" s="102"/>
      <c r="HH80" s="102"/>
      <c r="HI80" s="102"/>
      <c r="HJ80" s="102"/>
      <c r="HK80" s="102"/>
      <c r="HL80" s="102"/>
      <c r="HM80" s="102"/>
      <c r="HN80" s="102"/>
      <c r="HO80" s="102"/>
      <c r="HP80" s="102"/>
      <c r="HQ80" s="102"/>
      <c r="HR80" s="102"/>
      <c r="HS80" s="102"/>
      <c r="HT80" s="102"/>
      <c r="HU80" s="102"/>
      <c r="HV80" s="102"/>
      <c r="HW80" s="102"/>
      <c r="HX80" s="102"/>
      <c r="HY80" s="102"/>
      <c r="HZ80" s="102"/>
      <c r="IA80" s="102"/>
      <c r="IB80" s="102"/>
      <c r="IC80" s="102"/>
      <c r="ID80" s="102"/>
      <c r="IE80" s="102"/>
      <c r="IF80" s="102"/>
      <c r="IG80" s="102"/>
      <c r="IH80" s="102"/>
      <c r="II80" s="102"/>
      <c r="IJ80" s="102"/>
      <c r="IK80" s="102"/>
      <c r="IL80" s="102"/>
      <c r="IM80" s="102"/>
      <c r="IN80" s="102"/>
      <c r="IO80" s="102"/>
      <c r="IP80" s="102"/>
      <c r="IQ80" s="102"/>
      <c r="IR80" s="102"/>
      <c r="IS80" s="102"/>
      <c r="IT80" s="102"/>
      <c r="IU80" s="102"/>
      <c r="IV80" s="102"/>
      <c r="IW80" s="102"/>
      <c r="IX80" s="102"/>
      <c r="IY80" s="102"/>
      <c r="IZ80" s="102"/>
      <c r="JA80" s="102"/>
      <c r="JB80" s="102"/>
      <c r="JC80" s="102"/>
      <c r="JD80" s="102"/>
      <c r="JE80" s="102"/>
    </row>
    <row r="81" s="7" customFormat="1" spans="1:265">
      <c r="A81" s="102"/>
      <c r="B81" s="102"/>
      <c r="C81" s="102"/>
      <c r="D81" s="102"/>
      <c r="E81" s="104"/>
      <c r="F81" s="104"/>
      <c r="G81" s="104"/>
      <c r="H81" s="103"/>
      <c r="I81" s="103"/>
      <c r="J81" s="103"/>
      <c r="K81" s="104"/>
      <c r="L81" s="103"/>
      <c r="M81" s="103"/>
      <c r="N81" s="100"/>
      <c r="O81" s="103"/>
      <c r="P81" s="103"/>
      <c r="Q81" s="103"/>
      <c r="R81" s="117"/>
      <c r="Z81" s="103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  <c r="EX81" s="102"/>
      <c r="EY81" s="102"/>
      <c r="EZ81" s="102"/>
      <c r="FA81" s="102"/>
      <c r="FB81" s="102"/>
      <c r="FC81" s="102"/>
      <c r="FD81" s="102"/>
      <c r="FE81" s="102"/>
      <c r="FF81" s="102"/>
      <c r="FG81" s="102"/>
      <c r="FH81" s="102"/>
      <c r="FI81" s="102"/>
      <c r="FJ81" s="102"/>
      <c r="FK81" s="102"/>
      <c r="FL81" s="102"/>
      <c r="FM81" s="102"/>
      <c r="FN81" s="102"/>
      <c r="FO81" s="102"/>
      <c r="FP81" s="102"/>
      <c r="FQ81" s="102"/>
      <c r="FR81" s="102"/>
      <c r="FS81" s="102"/>
      <c r="FT81" s="102"/>
      <c r="FU81" s="102"/>
      <c r="FV81" s="102"/>
      <c r="FW81" s="102"/>
      <c r="FX81" s="102"/>
      <c r="FY81" s="102"/>
      <c r="FZ81" s="102"/>
      <c r="GA81" s="102"/>
      <c r="GB81" s="102"/>
      <c r="GC81" s="102"/>
      <c r="GD81" s="102"/>
      <c r="GE81" s="102"/>
      <c r="GF81" s="102"/>
      <c r="GG81" s="102"/>
      <c r="GH81" s="102"/>
      <c r="GI81" s="102"/>
      <c r="GJ81" s="102"/>
      <c r="GK81" s="102"/>
      <c r="GL81" s="102"/>
      <c r="GM81" s="102"/>
      <c r="GN81" s="102"/>
      <c r="GO81" s="102"/>
      <c r="GP81" s="102"/>
      <c r="GQ81" s="102"/>
      <c r="GR81" s="102"/>
      <c r="GS81" s="102"/>
      <c r="GT81" s="102"/>
      <c r="GU81" s="102"/>
      <c r="GV81" s="102"/>
      <c r="GW81" s="102"/>
      <c r="GX81" s="102"/>
      <c r="GY81" s="102"/>
      <c r="GZ81" s="102"/>
      <c r="HA81" s="102"/>
      <c r="HB81" s="102"/>
      <c r="HC81" s="102"/>
      <c r="HD81" s="102"/>
      <c r="HE81" s="102"/>
      <c r="HF81" s="102"/>
      <c r="HG81" s="102"/>
      <c r="HH81" s="102"/>
      <c r="HI81" s="102"/>
      <c r="HJ81" s="102"/>
      <c r="HK81" s="102"/>
      <c r="HL81" s="102"/>
      <c r="HM81" s="102"/>
      <c r="HN81" s="102"/>
      <c r="HO81" s="102"/>
      <c r="HP81" s="102"/>
      <c r="HQ81" s="102"/>
      <c r="HR81" s="102"/>
      <c r="HS81" s="102"/>
      <c r="HT81" s="102"/>
      <c r="HU81" s="102"/>
      <c r="HV81" s="102"/>
      <c r="HW81" s="102"/>
      <c r="HX81" s="102"/>
      <c r="HY81" s="102"/>
      <c r="HZ81" s="102"/>
      <c r="IA81" s="102"/>
      <c r="IB81" s="102"/>
      <c r="IC81" s="102"/>
      <c r="ID81" s="102"/>
      <c r="IE81" s="102"/>
      <c r="IF81" s="102"/>
      <c r="IG81" s="102"/>
      <c r="IH81" s="102"/>
      <c r="II81" s="102"/>
      <c r="IJ81" s="102"/>
      <c r="IK81" s="102"/>
      <c r="IL81" s="102"/>
      <c r="IM81" s="102"/>
      <c r="IN81" s="102"/>
      <c r="IO81" s="102"/>
      <c r="IP81" s="102"/>
      <c r="IQ81" s="102"/>
      <c r="IR81" s="102"/>
      <c r="IS81" s="102"/>
      <c r="IT81" s="102"/>
      <c r="IU81" s="102"/>
      <c r="IV81" s="102"/>
      <c r="IW81" s="102"/>
      <c r="IX81" s="102"/>
      <c r="IY81" s="102"/>
      <c r="IZ81" s="102"/>
      <c r="JA81" s="102"/>
      <c r="JB81" s="102"/>
      <c r="JC81" s="102"/>
      <c r="JD81" s="102"/>
      <c r="JE81" s="102"/>
    </row>
    <row r="82" s="8" customFormat="1" spans="12:12">
      <c r="L82" s="9"/>
    </row>
  </sheetData>
  <mergeCells count="58">
    <mergeCell ref="B3:D3"/>
    <mergeCell ref="E3:F3"/>
    <mergeCell ref="G3:I3"/>
    <mergeCell ref="J3:K3"/>
    <mergeCell ref="L3:M3"/>
    <mergeCell ref="H4:L4"/>
    <mergeCell ref="M4:R4"/>
    <mergeCell ref="S4:Y4"/>
    <mergeCell ref="Z4:AK4"/>
    <mergeCell ref="H7:L7"/>
    <mergeCell ref="M7:R7"/>
    <mergeCell ref="S7:Y7"/>
    <mergeCell ref="Z7:AK7"/>
    <mergeCell ref="A3:A9"/>
    <mergeCell ref="B4:B5"/>
    <mergeCell ref="B7:B9"/>
    <mergeCell ref="C4:C5"/>
    <mergeCell ref="C7:C9"/>
    <mergeCell ref="D4:D5"/>
    <mergeCell ref="D7:D9"/>
    <mergeCell ref="E4:E5"/>
    <mergeCell ref="E7:E9"/>
    <mergeCell ref="F4:F5"/>
    <mergeCell ref="F7:F9"/>
    <mergeCell ref="G4:G5"/>
    <mergeCell ref="G7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4:AL10"/>
    <mergeCell ref="A1:S2"/>
  </mergeCells>
  <dataValidations count="1">
    <dataValidation type="list" allowBlank="1" showInputMessage="1" showErrorMessage="1" sqref="E6:G6">
      <formula1>"进场准备,在施,完工未验收,竣工已结,竣工未结,其它（停工）"</formula1>
    </dataValidation>
  </dataValidation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附表3项目效益审核表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</dc:creator>
  <cp:lastModifiedBy>梁朝人</cp:lastModifiedBy>
  <dcterms:created xsi:type="dcterms:W3CDTF">2026-04-16T00:24:00Z</dcterms:created>
  <dcterms:modified xsi:type="dcterms:W3CDTF">2026-04-16T15:12:06Z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E9752769681440F89F1470EAD11BCDD5_11</vt:lpwstr>
  </property>
  <property fmtid="{D5CDD505-2E9C-101B-9397-08002B2CF9AE}" pid="3" name="KSOProductBuildVer">
    <vt:lpwstr>2052-12.1.0.21541</vt:lpwstr>
  </property>
</Properties>
</file>