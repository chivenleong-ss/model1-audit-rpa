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-289958061.57</v>
      </c>
      <c r="N6" s="163" t="n">
        <v>-37816603.93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8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SUM(T20:V20)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80">
        <f>SUM(E12:E20)</f>
        <v/>
      </c>
      <c r="F21" s="180">
        <f>SUM(F12:F20)</f>
        <v/>
      </c>
      <c r="G21" s="180">
        <f>SUM(G12:G20)</f>
        <v/>
      </c>
      <c r="H21" s="180">
        <f>SUM(H12:H20)</f>
        <v/>
      </c>
      <c r="I21" s="180">
        <f>SUM(I12:I20)</f>
        <v/>
      </c>
      <c r="J21" s="180">
        <f>SUM(J12:J20)</f>
        <v/>
      </c>
      <c r="K21" s="180">
        <f>SUM(K12:K20)</f>
        <v/>
      </c>
      <c r="L21" s="180">
        <f>SUM(L12:L20)</f>
        <v/>
      </c>
      <c r="M21" s="180">
        <f>SUM(M12:M20)</f>
        <v/>
      </c>
      <c r="N21" s="180">
        <f>SUM(N12:N20)</f>
        <v/>
      </c>
      <c r="O21" s="180">
        <f>SUM(O12:O20)</f>
        <v/>
      </c>
      <c r="P21" s="180">
        <f>SUM(P12:P20)</f>
        <v/>
      </c>
      <c r="Q21" s="180">
        <f>SUM(Q12:Q20)</f>
        <v/>
      </c>
      <c r="R21" s="180">
        <f>SUM(R12:R20)</f>
        <v/>
      </c>
      <c r="S21" s="180">
        <f>SUM(S12:S20)</f>
        <v/>
      </c>
      <c r="T21" s="180">
        <f>SUM(T12:T20)</f>
        <v/>
      </c>
      <c r="U21" s="180">
        <f>SUM(U12:U20)</f>
        <v/>
      </c>
      <c r="V21" s="180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8" t="n"/>
      <c r="M22" s="166" t="n"/>
      <c r="N22" s="166" t="n"/>
      <c r="O22" s="166">
        <f>L22-M22</f>
        <v/>
      </c>
      <c r="P22" s="166">
        <f>K22-N22</f>
        <v/>
      </c>
      <c r="Q22" s="166">
        <f>M22+O22</f>
        <v/>
      </c>
      <c r="R22" s="166">
        <f>M22+N22+O22+P22</f>
        <v/>
      </c>
      <c r="S22" s="172">
        <f>SUM(T22:V22)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81" t="n"/>
      <c r="F32" s="181" t="n"/>
      <c r="G32" s="181" t="n"/>
      <c r="H32" s="166" t="n"/>
      <c r="I32" s="166" t="n"/>
      <c r="J32" s="166" t="n"/>
      <c r="K32" s="170" t="n"/>
      <c r="L32" s="178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SUM(T32:V32)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80">
        <f>SUM(E22:E32)</f>
        <v/>
      </c>
      <c r="F33" s="180">
        <f>SUM(F22:F32)</f>
        <v/>
      </c>
      <c r="G33" s="180">
        <f>SUM(G22:G32)</f>
        <v/>
      </c>
      <c r="H33" s="180">
        <f>SUM(H22:H32)</f>
        <v/>
      </c>
      <c r="I33" s="180">
        <f>SUM(I22:I32)</f>
        <v/>
      </c>
      <c r="J33" s="180">
        <f>SUM(J22:J32)</f>
        <v/>
      </c>
      <c r="K33" s="180">
        <f>SUM(K22:K32)</f>
        <v/>
      </c>
      <c r="L33" s="180">
        <f>SUM(L22:L32)</f>
        <v/>
      </c>
      <c r="M33" s="180">
        <f>SUM(M22:M32)</f>
        <v/>
      </c>
      <c r="N33" s="180">
        <f>SUM(N22:N32)</f>
        <v/>
      </c>
      <c r="O33" s="180">
        <f>SUM(O22:O32)</f>
        <v/>
      </c>
      <c r="P33" s="180">
        <f>SUM(P22:P32)</f>
        <v/>
      </c>
      <c r="Q33" s="180">
        <f>SUM(Q22:Q32)</f>
        <v/>
      </c>
      <c r="R33" s="180">
        <f>SUM(R22:R32)</f>
        <v/>
      </c>
      <c r="S33" s="180">
        <f>SUM(S22:S32)</f>
        <v/>
      </c>
      <c r="T33" s="180">
        <f>SUM(T22:T32)</f>
        <v/>
      </c>
      <c r="U33" s="180">
        <f>SUM(U22:U32)</f>
        <v/>
      </c>
      <c r="V33" s="180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8" t="n"/>
      <c r="M34" s="166" t="n"/>
      <c r="N34" s="166" t="n"/>
      <c r="O34" s="166">
        <f>L34-M34</f>
        <v/>
      </c>
      <c r="P34" s="166">
        <f>K34-N34</f>
        <v/>
      </c>
      <c r="Q34" s="166">
        <f>M34+O34</f>
        <v/>
      </c>
      <c r="R34" s="166">
        <f>M34+N34+O34+P34</f>
        <v/>
      </c>
      <c r="S34" s="172">
        <f>SUM(T34:V34)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8" t="n"/>
      <c r="M35" s="166" t="n"/>
      <c r="N35" s="166" t="n"/>
      <c r="O35" s="166">
        <f>L35-M35</f>
        <v/>
      </c>
      <c r="P35" s="166">
        <f>K35-N35</f>
        <v/>
      </c>
      <c r="Q35" s="166">
        <f>M35+O35</f>
        <v/>
      </c>
      <c r="R35" s="166">
        <f>M35+N35+O35+P35</f>
        <v/>
      </c>
      <c r="S35" s="172">
        <f>SUM(T35:V35)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81" t="n"/>
      <c r="F39" s="181" t="n"/>
      <c r="G39" s="181" t="n"/>
      <c r="H39" s="166" t="n">
        <v>0</v>
      </c>
      <c r="I39" s="166" t="n"/>
      <c r="J39" s="166" t="n"/>
      <c r="K39" s="170" t="n"/>
      <c r="L39" s="178" t="n"/>
      <c r="M39" s="166" t="n"/>
      <c r="N39" s="166" t="n"/>
      <c r="O39" s="166">
        <f>L39-M39</f>
        <v/>
      </c>
      <c r="P39" s="166">
        <f>K39-N39</f>
        <v/>
      </c>
      <c r="Q39" s="166">
        <f>M39+O39</f>
        <v/>
      </c>
      <c r="R39" s="166">
        <f>M39+N39+O39+P39</f>
        <v/>
      </c>
      <c r="S39" s="172">
        <f>SUM(T39:V39)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/>
      <c r="B58" s="21" t="n"/>
      <c r="C58" s="21" t="n"/>
      <c r="D58" s="31" t="inlineStr">
        <is>
          <t>材料库存（注：项目已结算未使用材料冲减项目成本，负数填报）</t>
        </is>
      </c>
      <c r="E58" s="181" t="n"/>
      <c r="F58" s="181" t="n"/>
      <c r="G58" s="181" t="n"/>
      <c r="H58" s="166" t="n"/>
      <c r="I58" s="166" t="n"/>
      <c r="J58" s="166" t="n"/>
      <c r="K58" s="170" t="n"/>
      <c r="L58" s="178" t="n"/>
      <c r="M58" s="166" t="n"/>
      <c r="N58" s="184" t="n"/>
      <c r="O58" s="166">
        <f>L58-M58</f>
        <v/>
      </c>
      <c r="P58" s="166">
        <f>K58-N58</f>
        <v/>
      </c>
      <c r="Q58" s="166">
        <f>M58+O58</f>
        <v/>
      </c>
      <c r="R58" s="166">
        <f>M58+N58+O58+P58</f>
        <v/>
      </c>
      <c r="S58" s="172">
        <f>SUM(T58:V58)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8" t="n"/>
      <c r="M59" s="185" t="n">
        <v>34020317.08</v>
      </c>
      <c r="N59" s="166" t="n"/>
      <c r="O59" s="166">
        <f>L59-M59</f>
        <v/>
      </c>
      <c r="P59" s="166">
        <f>K59-N59</f>
        <v/>
      </c>
      <c r="Q59" s="166">
        <f>M59+O59</f>
        <v/>
      </c>
      <c r="R59" s="166">
        <f>M59+N59+O59+P59</f>
        <v/>
      </c>
      <c r="S59" s="172">
        <f>SUM(T59:V59)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6" t="n"/>
      <c r="I60" s="186" t="n"/>
      <c r="J60" s="166" t="n"/>
      <c r="K60" s="170" t="n"/>
      <c r="L60" s="178" t="n"/>
      <c r="M60" s="187" t="n">
        <v>-8241729.17</v>
      </c>
      <c r="N60" s="186" t="n"/>
      <c r="O60" s="166">
        <f>L60-M60</f>
        <v/>
      </c>
      <c r="P60" s="166">
        <f>K60-N60</f>
        <v/>
      </c>
      <c r="Q60" s="166">
        <f>M60+O60</f>
        <v/>
      </c>
      <c r="R60" s="166">
        <f>M60+N60+O60+P60</f>
        <v/>
      </c>
      <c r="S60" s="172">
        <f>SUM(T60:V60)</f>
        <v/>
      </c>
      <c r="T60" s="186" t="n"/>
      <c r="U60" s="186" t="n"/>
      <c r="V60" s="186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81" t="n"/>
      <c r="F61" s="181" t="n"/>
      <c r="G61" s="181" t="n"/>
      <c r="H61" s="166" t="n">
        <v>0</v>
      </c>
      <c r="I61" s="166" t="n"/>
      <c r="J61" s="166" t="n"/>
      <c r="K61" s="170" t="n"/>
      <c r="L61" s="178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SUM(T61:V61)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80">
        <f>SUM(E34:E61)</f>
        <v/>
      </c>
      <c r="F62" s="180">
        <f>SUM(F34:F61)</f>
        <v/>
      </c>
      <c r="G62" s="180">
        <f>SUM(G34:G61)</f>
        <v/>
      </c>
      <c r="H62" s="180">
        <f>SUM(H34:H61)</f>
        <v/>
      </c>
      <c r="I62" s="180">
        <f>SUM(I34:I61)</f>
        <v/>
      </c>
      <c r="J62" s="180">
        <f>SUM(J34:J61)</f>
        <v/>
      </c>
      <c r="K62" s="180">
        <f>SUM(K34:K61)</f>
        <v/>
      </c>
      <c r="L62" s="180">
        <f>SUM(L34:L61)</f>
        <v/>
      </c>
      <c r="M62" s="180">
        <f>SUM(M34:M61)</f>
        <v/>
      </c>
      <c r="N62" s="180">
        <f>SUM(N34:N61)</f>
        <v/>
      </c>
      <c r="O62" s="180">
        <f>SUM(O34:O61)</f>
        <v/>
      </c>
      <c r="P62" s="180">
        <f>SUM(P34:P61)</f>
        <v/>
      </c>
      <c r="Q62" s="180">
        <f>SUM(Q34:Q61)</f>
        <v/>
      </c>
      <c r="R62" s="180">
        <f>SUM(R34:R61)</f>
        <v/>
      </c>
      <c r="S62" s="180">
        <f>SUM(S34:S61)</f>
        <v/>
      </c>
      <c r="T62" s="180">
        <f>SUM(T34:T61)</f>
        <v/>
      </c>
      <c r="U62" s="180">
        <f>SUM(U34:U61)</f>
        <v/>
      </c>
      <c r="V62" s="180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8">
        <f>J63-K63</f>
        <v/>
      </c>
      <c r="M63" s="161" t="n"/>
      <c r="N63" s="161" t="n"/>
      <c r="O63" s="166">
        <f>L63-M63</f>
        <v/>
      </c>
      <c r="P63" s="166">
        <f>K63-N63</f>
        <v/>
      </c>
      <c r="Q63" s="166">
        <f>M63+O63</f>
        <v/>
      </c>
      <c r="R63" s="166">
        <f>M63+N63+O63+P63</f>
        <v/>
      </c>
      <c r="S63" s="172">
        <f>SUM(T63:V63)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</row>
    <row r="69" ht="14" customHeight="1" s="139">
      <c r="A69" s="21" t="n"/>
      <c r="B69" s="21" t="n"/>
      <c r="C69" s="21" t="n"/>
      <c r="D69" s="26" t="inlineStr">
        <is>
          <t>**财务未列部分需增列***</t>
        </is>
      </c>
      <c r="E69" s="39" t="n"/>
      <c r="F69" s="39" t="n"/>
      <c r="G69" s="39" t="n"/>
      <c r="H69" s="166" t="n"/>
      <c r="I69" s="166" t="n"/>
      <c r="J69" s="166" t="n"/>
      <c r="K69" s="170" t="n">
        <v>0</v>
      </c>
      <c r="L69" s="178">
        <f>J69-K69</f>
        <v/>
      </c>
      <c r="M69" s="189" t="n"/>
      <c r="N69" s="189" t="n"/>
      <c r="O69" s="166">
        <f>L69-M69</f>
        <v/>
      </c>
      <c r="P69" s="166">
        <f>K69-N69</f>
        <v/>
      </c>
      <c r="Q69" s="166">
        <f>M69+O69</f>
        <v/>
      </c>
      <c r="R69" s="166">
        <f>M69+N69+O69+P69</f>
        <v/>
      </c>
      <c r="S69" s="172">
        <f>SUM(T69:V69)</f>
        <v/>
      </c>
      <c r="T69" s="189" t="n"/>
      <c r="U69" s="189" t="n"/>
      <c r="V69" s="189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39" customHeight="1" s="139">
      <c r="A70" s="28" t="n"/>
      <c r="B70" s="28" t="n"/>
      <c r="C70" s="28" t="n"/>
      <c r="D70" s="40" t="inlineStr">
        <is>
          <t>机械费小计：</t>
        </is>
      </c>
      <c r="E70" s="41" t="n"/>
      <c r="F70" s="41" t="n"/>
      <c r="G70" s="41" t="n"/>
      <c r="H70" s="180">
        <f>SUM(H63:H69)</f>
        <v/>
      </c>
      <c r="I70" s="180">
        <f>SUM(I63:I69)</f>
        <v/>
      </c>
      <c r="J70" s="180">
        <f>SUM(J63:J69)</f>
        <v/>
      </c>
      <c r="K70" s="180">
        <f>SUM(K63:K69)</f>
        <v/>
      </c>
      <c r="L70" s="190">
        <f>SUM(L63:L69)</f>
        <v/>
      </c>
      <c r="M70" s="180">
        <f>SUM(M63:M69)</f>
        <v/>
      </c>
      <c r="N70" s="180">
        <f>SUM(N63:N69)</f>
        <v/>
      </c>
      <c r="O70" s="180">
        <f>SUM(O63:O69)</f>
        <v/>
      </c>
      <c r="P70" s="180">
        <f>SUM(P63:P69)</f>
        <v/>
      </c>
      <c r="Q70" s="180">
        <f>SUM(Q63:Q69)</f>
        <v/>
      </c>
      <c r="R70" s="180">
        <f>SUM(R63:R69)</f>
        <v/>
      </c>
      <c r="S70" s="180">
        <f>SUM(S63:S69)</f>
        <v/>
      </c>
      <c r="T70" s="180" t="n"/>
      <c r="U70" s="180" t="n"/>
      <c r="V70" s="180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14" customHeight="1" s="139">
      <c r="A71" s="21" t="n"/>
      <c r="B71" s="21" t="n"/>
      <c r="C71" s="21" t="n"/>
      <c r="D71" s="31" t="inlineStr">
        <is>
          <t>（五）其他直接费</t>
        </is>
      </c>
      <c r="E71" s="27" t="n"/>
      <c r="F71" s="27" t="n"/>
      <c r="G71" s="27" t="n"/>
      <c r="H71" s="166" t="n"/>
      <c r="I71" s="166" t="n"/>
      <c r="J71" s="161" t="n">
        <v>0</v>
      </c>
      <c r="K71" s="170" t="n">
        <v>0</v>
      </c>
      <c r="L71" s="178">
        <f>J71-N71-P71</f>
        <v/>
      </c>
      <c r="M71" s="161" t="n"/>
      <c r="N71" s="161" t="n"/>
      <c r="O71" s="166">
        <f>L71-M71</f>
        <v/>
      </c>
      <c r="P71" s="166">
        <f>K71-N71</f>
        <v/>
      </c>
      <c r="Q71" s="166">
        <f>M71+O71</f>
        <v/>
      </c>
      <c r="R71" s="166">
        <f>M71+N71+O71+P71</f>
        <v/>
      </c>
      <c r="S71" s="172">
        <f>SUM(T71:V71)</f>
        <v/>
      </c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21" t="n"/>
      <c r="B75" s="21" t="n"/>
      <c r="C75" s="21" t="n"/>
      <c r="D75" s="26" t="inlineStr">
        <is>
          <t>**财务未列部分需增列***</t>
        </is>
      </c>
      <c r="E75" s="27" t="n"/>
      <c r="F75" s="27" t="n"/>
      <c r="G75" s="27" t="n"/>
      <c r="H75" s="166" t="n"/>
      <c r="I75" s="166" t="n"/>
      <c r="J75" s="161" t="n"/>
      <c r="K75" s="170" t="n"/>
      <c r="L75" s="178">
        <f>J75-K75</f>
        <v/>
      </c>
      <c r="M75" s="191" t="n"/>
      <c r="N75" s="191" t="n"/>
      <c r="O75" s="166">
        <f>L75-M75</f>
        <v/>
      </c>
      <c r="P75" s="166">
        <f>K75-N75</f>
        <v/>
      </c>
      <c r="Q75" s="166">
        <f>M75+O75</f>
        <v/>
      </c>
      <c r="R75" s="166">
        <f>M75+N75+O75+P75</f>
        <v/>
      </c>
      <c r="S75" s="172">
        <f>SUM(T75:V75)</f>
        <v/>
      </c>
      <c r="T75" s="191" t="n"/>
      <c r="U75" s="191" t="n"/>
      <c r="V75" s="19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14" customHeight="1" s="139">
      <c r="A76" s="42" t="n"/>
      <c r="B76" s="42" t="n"/>
      <c r="C76" s="42" t="n"/>
      <c r="D76" s="40" t="inlineStr">
        <is>
          <t>其他直接费小计：</t>
        </is>
      </c>
      <c r="E76" s="43" t="n"/>
      <c r="F76" s="43" t="n"/>
      <c r="G76" s="43" t="n"/>
      <c r="H76" s="180">
        <f>SUM(H71:H75)</f>
        <v/>
      </c>
      <c r="I76" s="180">
        <f>SUM(I71:I75)</f>
        <v/>
      </c>
      <c r="J76" s="180">
        <f>SUM(J71:J75)</f>
        <v/>
      </c>
      <c r="K76" s="180">
        <f>SUM(K71:K75)</f>
        <v/>
      </c>
      <c r="L76" s="190">
        <f>SUM(L71:L75)</f>
        <v/>
      </c>
      <c r="M76" s="180">
        <f>SUM(M71:M75)</f>
        <v/>
      </c>
      <c r="N76" s="180">
        <f>SUM(N71:N75)</f>
        <v/>
      </c>
      <c r="O76" s="180">
        <f>L76-M76</f>
        <v/>
      </c>
      <c r="P76" s="180">
        <f>SUM(P71:P75)</f>
        <v/>
      </c>
      <c r="Q76" s="180">
        <f>M76+O76</f>
        <v/>
      </c>
      <c r="R76" s="180">
        <f>SUM(R71:R75)</f>
        <v/>
      </c>
      <c r="S76" s="180">
        <f>SUM(S71:S75)</f>
        <v/>
      </c>
      <c r="T76" s="180" t="n"/>
      <c r="U76" s="180" t="n"/>
      <c r="V76" s="180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14" customHeight="1" s="139">
      <c r="A77" s="21" t="n"/>
      <c r="B77" s="21" t="n"/>
      <c r="C77" s="21" t="n"/>
      <c r="D77" s="31" t="inlineStr">
        <is>
          <t>（六）间接费</t>
        </is>
      </c>
      <c r="E77" s="27" t="n"/>
      <c r="F77" s="27" t="n"/>
      <c r="G77" s="27" t="n"/>
      <c r="H77" s="161" t="n"/>
      <c r="I77" s="166" t="n"/>
      <c r="J77" s="166" t="n">
        <v>0</v>
      </c>
      <c r="K77" s="170" t="n">
        <v>0</v>
      </c>
      <c r="L77" s="178">
        <f>J77-N77-P77</f>
        <v/>
      </c>
      <c r="M77" s="161" t="n"/>
      <c r="N77" s="161" t="n"/>
      <c r="O77" s="166">
        <f>L77-M77</f>
        <v/>
      </c>
      <c r="P77" s="166">
        <f>K77-N77</f>
        <v/>
      </c>
      <c r="Q77" s="166">
        <f>M77+O77</f>
        <v/>
      </c>
      <c r="R77" s="166">
        <f>M77+N77+O77+P77</f>
        <v/>
      </c>
      <c r="S77" s="172">
        <f>SUM(T77:V77)</f>
        <v/>
      </c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21" t="n"/>
      <c r="B110" s="21" t="n"/>
      <c r="C110" s="21" t="n"/>
      <c r="D110" s="26" t="inlineStr">
        <is>
          <t>**财务未列部分需增列***</t>
        </is>
      </c>
      <c r="E110" s="27" t="n"/>
      <c r="F110" s="27" t="n"/>
      <c r="G110" s="27" t="n"/>
      <c r="H110" s="191" t="n"/>
      <c r="I110" s="166" t="n"/>
      <c r="J110" s="191" t="n"/>
      <c r="K110" s="170" t="n"/>
      <c r="L110" s="178" t="n"/>
      <c r="M110" s="191" t="n"/>
      <c r="N110" s="166" t="n"/>
      <c r="O110" s="166">
        <f>L110-M110</f>
        <v/>
      </c>
      <c r="P110" s="166">
        <f>K110-N110</f>
        <v/>
      </c>
      <c r="Q110" s="166">
        <f>M110+O110</f>
        <v/>
      </c>
      <c r="R110" s="166">
        <f>M110+N110+O110+P110</f>
        <v/>
      </c>
      <c r="S110" s="172">
        <f>SUM(T110:V110)</f>
        <v/>
      </c>
      <c r="T110" s="191" t="n"/>
      <c r="U110" s="191" t="n"/>
      <c r="V110" s="19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42" t="n"/>
      <c r="B111" s="42" t="n"/>
      <c r="C111" s="42" t="n"/>
      <c r="D111" s="40" t="inlineStr">
        <is>
          <t>间接费小计：</t>
        </is>
      </c>
      <c r="E111" s="43" t="n"/>
      <c r="F111" s="43" t="n"/>
      <c r="G111" s="43" t="n"/>
      <c r="H111" s="180">
        <f>SUM(H77:H110)</f>
        <v/>
      </c>
      <c r="I111" s="180">
        <f>SUM(I77:I110)</f>
        <v/>
      </c>
      <c r="J111" s="180">
        <f>SUM(J77:J110)</f>
        <v/>
      </c>
      <c r="K111" s="180">
        <f>SUM(K77:K110)</f>
        <v/>
      </c>
      <c r="L111" s="190">
        <f>SUM(L77:L110)</f>
        <v/>
      </c>
      <c r="M111" s="190">
        <f>SUM(M77:M110)</f>
        <v/>
      </c>
      <c r="N111" s="190">
        <f>SUM(N77:N110)</f>
        <v/>
      </c>
      <c r="O111" s="190">
        <f>SUM(O77:O110)</f>
        <v/>
      </c>
      <c r="P111" s="190">
        <f>SUM(P77:P110)</f>
        <v/>
      </c>
      <c r="Q111" s="190">
        <f>SUM(Q77:Q110)</f>
        <v/>
      </c>
      <c r="R111" s="190">
        <f>SUM(R77:R110)</f>
        <v/>
      </c>
      <c r="S111" s="190">
        <f>SUM(S77:S110)</f>
        <v/>
      </c>
      <c r="T111" s="190" t="n"/>
      <c r="U111" s="190" t="n"/>
      <c r="V111" s="190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>
      <c r="A112" s="21" t="n"/>
      <c r="B112" s="21" t="n"/>
      <c r="C112" s="21" t="n"/>
      <c r="D112" s="31" t="inlineStr">
        <is>
          <t>（七）安全费</t>
        </is>
      </c>
      <c r="E112" s="27" t="n"/>
      <c r="F112" s="27" t="n"/>
      <c r="G112" s="27" t="n"/>
      <c r="H112" s="166" t="n"/>
      <c r="I112" s="166" t="n"/>
      <c r="J112" s="161" t="n">
        <v>0</v>
      </c>
      <c r="K112" s="192" t="n"/>
      <c r="L112" s="178">
        <f>J112-N112-P112</f>
        <v/>
      </c>
      <c r="M112" s="166" t="n"/>
      <c r="N112" s="166" t="n"/>
      <c r="O112" s="166">
        <f>L112-M112</f>
        <v/>
      </c>
      <c r="P112" s="166">
        <f>K112-N112</f>
        <v/>
      </c>
      <c r="Q112" s="166">
        <f>M112+O112</f>
        <v/>
      </c>
      <c r="R112" s="166">
        <f>M112+N112+O112+P112</f>
        <v/>
      </c>
      <c r="S112" s="172">
        <f>SUM(T112:V112)</f>
        <v/>
      </c>
      <c r="T112" s="191" t="n"/>
      <c r="U112" s="191" t="n"/>
      <c r="V112" s="191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</row>
    <row r="116">
      <c r="A116" s="42" t="n"/>
      <c r="B116" s="42" t="n"/>
      <c r="C116" s="42" t="n"/>
      <c r="D116" s="40" t="inlineStr">
        <is>
          <t>安全费小计：</t>
        </is>
      </c>
      <c r="E116" s="40" t="n"/>
      <c r="F116" s="40" t="n"/>
      <c r="G116" s="40" t="n"/>
      <c r="H116" s="180">
        <f>SUM(H112:H115)</f>
        <v/>
      </c>
      <c r="I116" s="180">
        <f>SUM(I112:I115)</f>
        <v/>
      </c>
      <c r="J116" s="180" t="n">
        <v>0</v>
      </c>
      <c r="K116" s="180" t="n">
        <v>0</v>
      </c>
      <c r="L116" s="178">
        <f>J116-K116</f>
        <v/>
      </c>
      <c r="M116" s="193" t="n"/>
      <c r="N116" s="193" t="n"/>
      <c r="O116" s="190">
        <f>SUM(O112:O115)</f>
        <v/>
      </c>
      <c r="P116" s="190">
        <f>SUM(P112:P115)</f>
        <v/>
      </c>
      <c r="Q116" s="190">
        <f>SUM(Q112:Q115)</f>
        <v/>
      </c>
      <c r="R116" s="190">
        <f>SUM(R112:R115)</f>
        <v/>
      </c>
      <c r="S116" s="190">
        <f>SUM(S112:S115)</f>
        <v/>
      </c>
      <c r="T116" s="193" t="n"/>
      <c r="U116" s="193" t="n"/>
      <c r="V116" s="193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>
      <c r="A117" s="42" t="n"/>
      <c r="B117" s="42" t="n"/>
      <c r="C117" s="42" t="n"/>
      <c r="D117" s="40" t="inlineStr">
        <is>
          <t>三、成本合计：</t>
        </is>
      </c>
      <c r="E117" s="43" t="n"/>
      <c r="F117" s="43" t="n"/>
      <c r="G117" s="43" t="n"/>
      <c r="H117" s="180">
        <f>H21+H33+H62+H70+H76+H111+H116</f>
        <v/>
      </c>
      <c r="I117" s="180">
        <f>I21+I33+I62+I70+I76+I111+I116</f>
        <v/>
      </c>
      <c r="J117" s="180">
        <f>J21+J33+J62+J70+J76+J111+J116</f>
        <v/>
      </c>
      <c r="K117" s="180">
        <f>K21+K33+K62+K70+K76+K111+K116</f>
        <v/>
      </c>
      <c r="L117" s="190">
        <f>L21+L33+L62+L70+L76+L111+L116</f>
        <v/>
      </c>
      <c r="M117" s="193">
        <f>M21+M33+M62+M70+M76+M111+M116</f>
        <v/>
      </c>
      <c r="N117" s="193">
        <f>N21+N33+N62+N70+N76+N111+N116</f>
        <v/>
      </c>
      <c r="O117" s="193">
        <f>O21+O33+O62+O70+O76+O111+O116</f>
        <v/>
      </c>
      <c r="P117" s="193">
        <f>P21+P33+P62+P70+P76+P111+P116</f>
        <v/>
      </c>
      <c r="Q117" s="193">
        <f>Q21+Q33+Q62+Q70+Q76+Q111+Q116</f>
        <v/>
      </c>
      <c r="R117" s="193">
        <f>R21+R33+R62+R70+R76+R111+R116</f>
        <v/>
      </c>
      <c r="S117" s="193">
        <f>S21+S33+S62+S70+S76+S111+S116</f>
        <v/>
      </c>
      <c r="T117" s="193" t="n"/>
      <c r="U117" s="193" t="n"/>
      <c r="V117" s="193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>
      <c r="A118" s="21" t="n"/>
      <c r="B118" s="21" t="n"/>
      <c r="C118" s="21" t="n"/>
      <c r="D118" s="31" t="inlineStr">
        <is>
          <t>四、计提保修金</t>
        </is>
      </c>
      <c r="E118" s="96" t="inlineStr">
        <is>
          <t>（在建：房建0.6%，其它0.4%；在保修期间的按0.3~0.5%自行确定;保修期结束为0）</t>
        </is>
      </c>
      <c r="F118" s="96" t="n"/>
      <c r="G118" s="96" t="n"/>
      <c r="H118" s="161" t="n"/>
      <c r="I118" s="161" t="n"/>
      <c r="J118" s="161">
        <f>H118+I118</f>
        <v/>
      </c>
      <c r="K118" s="161" t="n"/>
      <c r="L118" s="178">
        <f>J118-K118</f>
        <v/>
      </c>
      <c r="M118" s="166" t="n"/>
      <c r="N118" s="166" t="n"/>
      <c r="O118" s="166">
        <f>L118-M118</f>
        <v/>
      </c>
      <c r="P118" s="166">
        <f>K118-N118</f>
        <v/>
      </c>
      <c r="Q118" s="166">
        <f>M118+O118</f>
        <v/>
      </c>
      <c r="R118" s="166">
        <f>M118+N118+O118+P118</f>
        <v/>
      </c>
      <c r="S118" s="172">
        <f>SUM(T118:V118)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>
      <c r="A119" s="21" t="n"/>
      <c r="B119" s="21" t="n"/>
      <c r="C119" s="21" t="n"/>
      <c r="D119" s="31" t="inlineStr">
        <is>
          <t>五、过程节点奖金</t>
        </is>
      </c>
      <c r="E119" s="27" t="n"/>
      <c r="F119" s="27" t="n"/>
      <c r="G119" s="27" t="n"/>
      <c r="H119" s="161" t="n"/>
      <c r="I119" s="161" t="n"/>
      <c r="J119" s="161">
        <f>H119+I119</f>
        <v/>
      </c>
      <c r="K119" s="161" t="n"/>
      <c r="L119" s="178">
        <f>J119-K119</f>
        <v/>
      </c>
      <c r="M119" s="166" t="n"/>
      <c r="N119" s="166" t="n"/>
      <c r="O119" s="166">
        <f>L119-M119</f>
        <v/>
      </c>
      <c r="P119" s="166">
        <f>K119-N119</f>
        <v/>
      </c>
      <c r="Q119" s="166">
        <f>M119+O119</f>
        <v/>
      </c>
      <c r="R119" s="166">
        <f>M119+N119+O119+P119</f>
        <v/>
      </c>
      <c r="S119" s="172">
        <f>SUM(T119:V119)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inlineStr">
        <is>
          <t>六、资金占用费用</t>
        </is>
      </c>
      <c r="E120" s="27" t="n"/>
      <c r="F120" s="27" t="n"/>
      <c r="G120" s="27" t="n"/>
      <c r="H120" s="166" t="n"/>
      <c r="I120" s="166" t="n"/>
      <c r="J120" s="161">
        <f>H120+I120</f>
        <v/>
      </c>
      <c r="K120" s="166" t="n"/>
      <c r="L120" s="178">
        <f>J120-K120</f>
        <v/>
      </c>
      <c r="M120" s="185" t="n">
        <v>762837.87</v>
      </c>
      <c r="N120" s="166" t="n"/>
      <c r="O120" s="166">
        <f>L120-M120</f>
        <v/>
      </c>
      <c r="P120" s="166">
        <f>K120-N120</f>
        <v/>
      </c>
      <c r="Q120" s="166">
        <f>M120+O120</f>
        <v/>
      </c>
      <c r="R120" s="166">
        <f>M120+N120+O120+P120</f>
        <v/>
      </c>
      <c r="S120" s="172">
        <f>SUM(T120:V120)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21" t="n"/>
      <c r="B121" s="21" t="n"/>
      <c r="C121" s="21" t="n"/>
      <c r="D121" s="31" t="inlineStr">
        <is>
          <t>七、局投资收益（局投资项目选填）</t>
        </is>
      </c>
      <c r="E121" s="27" t="n"/>
      <c r="F121" s="27" t="n"/>
      <c r="G121" s="27" t="n"/>
      <c r="H121" s="166" t="n"/>
      <c r="I121" s="166" t="n"/>
      <c r="J121" s="161">
        <f>H121+I121</f>
        <v/>
      </c>
      <c r="K121" s="166" t="n"/>
      <c r="L121" s="178">
        <f>J121-K121</f>
        <v/>
      </c>
      <c r="M121" s="166" t="n"/>
      <c r="N121" s="166" t="n"/>
      <c r="O121" s="166">
        <f>L121-M121</f>
        <v/>
      </c>
      <c r="P121" s="166">
        <f>K121-N121</f>
        <v/>
      </c>
      <c r="Q121" s="166">
        <f>M121+O121</f>
        <v/>
      </c>
      <c r="R121" s="166">
        <f>M121+N121+O121+P121</f>
        <v/>
      </c>
      <c r="S121" s="172">
        <f>SUM(T121:V121)</f>
        <v/>
      </c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>
      <c r="A122" s="42" t="n"/>
      <c r="B122" s="42" t="n"/>
      <c r="C122" s="42" t="n"/>
      <c r="D122" s="40" t="inlineStr">
        <is>
          <t>八、研发费用</t>
        </is>
      </c>
      <c r="E122" s="43" t="n"/>
      <c r="F122" s="43" t="n"/>
      <c r="G122" s="43" t="n"/>
      <c r="H122" s="180" t="n"/>
      <c r="I122" s="180" t="n"/>
      <c r="J122" s="180">
        <f>H122+I122</f>
        <v/>
      </c>
      <c r="K122" s="180" t="n"/>
      <c r="L122" s="190">
        <f>J122-K122</f>
        <v/>
      </c>
      <c r="M122" s="193">
        <f>SUM(M75:M77)</f>
        <v/>
      </c>
      <c r="N122" s="193">
        <f>SUM(N75:N77)</f>
        <v/>
      </c>
      <c r="O122" s="193">
        <f>SUM(O75:O77)</f>
        <v/>
      </c>
      <c r="P122" s="193">
        <f>SUM(P75:P77)</f>
        <v/>
      </c>
      <c r="Q122" s="193">
        <f>SUM(Q75:Q77)</f>
        <v/>
      </c>
      <c r="R122" s="193">
        <f>SUM(R75:R77)</f>
        <v/>
      </c>
      <c r="S122" s="193">
        <f>SUM(S75:S77)</f>
        <v/>
      </c>
      <c r="T122" s="193">
        <f>SUM(T75:T77)</f>
        <v/>
      </c>
      <c r="U122" s="193">
        <f>SUM(U75:U77)</f>
        <v/>
      </c>
      <c r="V122" s="193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>
      <c r="A123" s="176" t="n"/>
      <c r="B123" s="176" t="n"/>
      <c r="C123" s="195" t="n"/>
      <c r="D123" s="195" t="inlineStr">
        <is>
          <t>材料费</t>
        </is>
      </c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96" t="n">
        <v>3926272.64</v>
      </c>
      <c r="N123" s="197" t="n"/>
      <c r="O123" s="197">
        <f>L123-M123</f>
        <v/>
      </c>
      <c r="P123" s="197">
        <f>K123-N123</f>
        <v/>
      </c>
      <c r="Q123" s="197">
        <f>M123+O123</f>
        <v/>
      </c>
      <c r="R123" s="197">
        <f>M123+N123+O123+P123</f>
        <v/>
      </c>
      <c r="S123" s="197" t="n"/>
      <c r="T123" s="197" t="n"/>
      <c r="U123" s="197" t="n"/>
      <c r="V123" s="197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8" t="n"/>
      <c r="B127" s="28" t="n"/>
      <c r="C127" s="28" t="n"/>
      <c r="D127" s="40" t="inlineStr">
        <is>
          <t>八、成本及费用合计（三+四+五+六+七）</t>
        </is>
      </c>
      <c r="E127" s="41" t="n"/>
      <c r="F127" s="41" t="n"/>
      <c r="G127" s="41" t="n"/>
      <c r="H127" s="180">
        <f>H117+H118+H119+H120+H121</f>
        <v/>
      </c>
      <c r="I127" s="180">
        <f>I117+I118+I119+I120+I121</f>
        <v/>
      </c>
      <c r="J127" s="109">
        <f>J117+J118+J119+J120+J121</f>
        <v/>
      </c>
      <c r="K127" s="180">
        <f>K117+K118+K119+K120+K121</f>
        <v/>
      </c>
      <c r="L127" s="110">
        <f>L117+L118+L119+L120+L121</f>
        <v/>
      </c>
      <c r="M127" s="198">
        <f>M117+M118+M119+M120+M121</f>
        <v/>
      </c>
      <c r="N127" s="198">
        <f>N117+N118+N119+N120+N121</f>
        <v/>
      </c>
      <c r="O127" s="198">
        <f>O117+O118+O119+O120+O121</f>
        <v/>
      </c>
      <c r="P127" s="198">
        <f>P117+P118+P119+P120+P121</f>
        <v/>
      </c>
      <c r="Q127" s="198">
        <f>Q117+Q118+Q119+Q120+Q121</f>
        <v/>
      </c>
      <c r="R127" s="198">
        <f>R117+R118+R119+R120+R121</f>
        <v/>
      </c>
      <c r="S127" s="193">
        <f>S117+S118+S119+S120+S121</f>
        <v/>
      </c>
      <c r="T127" s="193" t="n"/>
      <c r="U127" s="193" t="n"/>
      <c r="V127" s="193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>
      <c r="A128" s="28" t="n"/>
      <c r="B128" s="28" t="n"/>
      <c r="C128" s="28" t="n"/>
      <c r="D128" s="40" t="inlineStr">
        <is>
          <t>九、增值税实际税负（按财务数据）</t>
        </is>
      </c>
      <c r="E128" s="41" t="inlineStr">
        <is>
          <t>根据财务账面实际已缴纳增值税额+尚需缴纳的增值税额</t>
        </is>
      </c>
      <c r="F128" s="41" t="n"/>
      <c r="G128" s="41" t="n"/>
      <c r="H128" s="180" t="n"/>
      <c r="I128" s="180" t="n"/>
      <c r="J128" s="109">
        <f>H79+I79</f>
        <v/>
      </c>
      <c r="K128" s="180" t="inlineStr">
        <is>
          <t>/</t>
        </is>
      </c>
      <c r="L128" s="110" t="inlineStr">
        <is>
          <t>/</t>
        </is>
      </c>
      <c r="M128" s="198" t="n"/>
      <c r="N128" s="198">
        <f>N6-N78</f>
        <v/>
      </c>
      <c r="O128" s="198" t="n"/>
      <c r="P128" s="198" t="n"/>
      <c r="Q128" s="198" t="inlineStr">
        <is>
          <t>/</t>
        </is>
      </c>
      <c r="R128" s="198">
        <f>N79+P79</f>
        <v/>
      </c>
      <c r="S128" s="193" t="n"/>
      <c r="T128" s="193" t="n"/>
      <c r="U128" s="193" t="n"/>
      <c r="V128" s="193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>
      <c r="A129" s="28" t="n"/>
      <c r="B129" s="28" t="n"/>
      <c r="C129" s="28" t="n"/>
      <c r="D129" s="40" t="inlineStr">
        <is>
          <t>十、税金及附加（按财务数据）</t>
        </is>
      </c>
      <c r="E129" s="41" t="inlineStr">
        <is>
          <t>根据财务账面实际已缴纳税金及附加+尚需缴纳的税金及附加</t>
        </is>
      </c>
      <c r="F129" s="41" t="n"/>
      <c r="G129" s="41" t="n"/>
      <c r="H129" s="180" t="n"/>
      <c r="I129" s="180" t="n"/>
      <c r="J129" s="109">
        <f>H80+I80</f>
        <v/>
      </c>
      <c r="K129" s="180" t="n"/>
      <c r="L129" s="110">
        <f>J80</f>
        <v/>
      </c>
      <c r="M129" s="201" t="n">
        <v>260389.37</v>
      </c>
      <c r="N129" s="198" t="n"/>
      <c r="O129" s="198">
        <f>L80-M80</f>
        <v/>
      </c>
      <c r="P129" s="198" t="n"/>
      <c r="Q129" s="198">
        <f>M80+O80</f>
        <v/>
      </c>
      <c r="R129" s="198">
        <f>Q80</f>
        <v/>
      </c>
      <c r="S129" s="193" t="n"/>
      <c r="T129" s="193" t="n"/>
      <c r="U129" s="193" t="n"/>
      <c r="V129" s="193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>
      <c r="A130" s="28" t="n"/>
      <c r="B130" s="28" t="n"/>
      <c r="C130" s="28" t="n"/>
      <c r="D130" s="40" t="inlineStr">
        <is>
          <t>十一、利润</t>
        </is>
      </c>
      <c r="E130" s="41" t="n"/>
      <c r="F130" s="41" t="n"/>
      <c r="G130" s="41" t="n"/>
      <c r="H130" s="180" t="n"/>
      <c r="I130" s="180" t="n"/>
      <c r="J130" s="109">
        <f>J6-J78-J79-J80</f>
        <v/>
      </c>
      <c r="K130" s="180" t="n"/>
      <c r="L130" s="110" t="n"/>
      <c r="M130" s="198" t="n"/>
      <c r="N130" s="198" t="n"/>
      <c r="O130" s="198" t="n"/>
      <c r="P130" s="198" t="n"/>
      <c r="Q130" s="198" t="n"/>
      <c r="R130" s="198" t="n"/>
      <c r="S130" s="193" t="n"/>
      <c r="T130" s="193" t="n"/>
      <c r="U130" s="193" t="n"/>
      <c r="V130" s="193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>
      <c r="A131" s="28" t="n"/>
      <c r="B131" s="28" t="n"/>
      <c r="C131" s="28" t="n"/>
      <c r="D131" s="40" t="inlineStr">
        <is>
          <t>十二、利润率</t>
        </is>
      </c>
      <c r="E131" s="41" t="n"/>
      <c r="F131" s="41" t="n"/>
      <c r="G131" s="41" t="n"/>
      <c r="H131" s="180" t="n"/>
      <c r="I131" s="180" t="n"/>
      <c r="J131" s="109">
        <f>J81/J6</f>
        <v/>
      </c>
      <c r="K131" s="180" t="n"/>
      <c r="L131" s="110">
        <f>L81/L6</f>
        <v/>
      </c>
      <c r="M131" s="198">
        <f>M81/M6</f>
        <v/>
      </c>
      <c r="N131" s="198" t="n"/>
      <c r="O131" s="198" t="n"/>
      <c r="P131" s="198" t="n"/>
      <c r="Q131" s="198">
        <f>Q81/Q6</f>
        <v/>
      </c>
      <c r="R131" s="198">
        <f>R81/R6</f>
        <v/>
      </c>
      <c r="S131" s="193" t="n"/>
      <c r="T131" s="193" t="n"/>
      <c r="U131" s="193" t="n"/>
      <c r="V131" s="193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2026-04-19T03:03:35Z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