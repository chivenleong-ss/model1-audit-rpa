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b val="1"/>
      <color rgb="FFFF0000"/>
      <sz val="10"/>
    </font>
    <font>
      <name val="宋体"/>
      <charset val="134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1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10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166" fontId="7" fillId="0" borderId="1" applyAlignment="1" pivotButton="0" quotePrefix="0" xfId="49">
      <alignment horizontal="left" vertical="center"/>
    </xf>
    <xf numFmtId="165" fontId="6" fillId="5" borderId="1" applyAlignment="1" pivotButton="0" quotePrefix="0" xfId="1">
      <alignment horizontal="center" vertical="center" wrapText="1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165" fontId="10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4" authorId="0" shapeId="0">
      <text>
        <t>于:
**同财务账面合同履约成本/工程施工成本/直接人工费数据一致**</t>
      </text>
    </comment>
    <comment ref="F24" authorId="0" shapeId="0">
      <text>
        <t>于:
**同财务账面合同履约成本/工程施工成本/直接人工费数据一致**</t>
      </text>
    </comment>
    <comment ref="G24" authorId="0" shapeId="0">
      <text>
        <t>于:
**同财务账面合同履约成本/工程施工成本/直接人工费数据一致**</t>
      </text>
    </comment>
    <comment ref="H24" authorId="0" shapeId="0">
      <text>
        <t>于:
**同财务账面合同履约成本/工程施工成本/直接人工费数据一致**</t>
      </text>
    </comment>
    <comment ref="I24" authorId="0" shapeId="0">
      <text>
        <t>于:
**同财务账面合同履约成本/工程施工成本/直接人工费数据一致**</t>
      </text>
    </comment>
    <comment ref="J24" authorId="0" shapeId="0">
      <text>
        <t>于:
**同财务账面合同履约成本/工程施工成本/直接人工费数据一致**</t>
      </text>
    </comment>
    <comment ref="K24" authorId="0" shapeId="0">
      <text>
        <t>于:
**同财务账面合同履约成本/工程施工成本/直接人工费数据一致**</t>
      </text>
    </comment>
    <comment ref="L24" authorId="0" shapeId="0">
      <text>
        <t>于:
**同财务账面合同履约成本/工程施工成本/直接人工费数据一致**</t>
      </text>
    </comment>
    <comment ref="M24" authorId="0" shapeId="0">
      <text>
        <t>于:
**同财务账面合同履约成本/工程施工成本/直接人工费数据一致**</t>
      </text>
    </comment>
    <comment ref="N24" authorId="0" shapeId="0">
      <text>
        <t>于:
**同财务账面合同履约成本/工程施工成本/直接人工费数据一致**</t>
      </text>
    </comment>
    <comment ref="O24" authorId="0" shapeId="0">
      <text>
        <t>于:
**同财务账面合同履约成本/工程施工成本/直接人工费数据一致**</t>
      </text>
    </comment>
    <comment ref="P24" authorId="0" shapeId="0">
      <text>
        <t>于:
**同财务账面合同履约成本/工程施工成本/直接人工费数据一致**</t>
      </text>
    </comment>
    <comment ref="Q24" authorId="0" shapeId="0">
      <text>
        <t>于:
**同财务账面合同履约成本/工程施工成本/直接人工费数据一致**</t>
      </text>
    </comment>
    <comment ref="R24" authorId="0" shapeId="0">
      <text>
        <t>于:
**同财务账面合同履约成本/工程施工成本/直接人工费数据一致**</t>
      </text>
    </comment>
    <comment ref="S24" authorId="0" shapeId="0">
      <text>
        <t>于:
**同财务账面合同履约成本/工程施工成本/直接人工费数据一致**</t>
      </text>
    </comment>
    <comment ref="T24" authorId="0" shapeId="0">
      <text>
        <t>于:
**同财务账面合同履约成本/工程施工成本/直接人工费数据一致**</t>
      </text>
    </comment>
    <comment ref="U24" authorId="0" shapeId="0">
      <text>
        <t>于:
**同财务账面合同履约成本/工程施工成本/直接人工费数据一致**</t>
      </text>
    </comment>
    <comment ref="V24" authorId="0" shapeId="0">
      <text>
        <t>于:
**同财务账面合同履约成本/工程施工成本/直接人工费数据一致**</t>
      </text>
    </comment>
    <comment ref="W24" authorId="0" shapeId="0">
      <text>
        <t>于:
**同财务账面合同履约成本/工程施工成本/直接人工费数据一致**</t>
      </text>
    </comment>
    <comment ref="X24" authorId="0" shapeId="0">
      <text>
        <t>于:
**同财务账面合同履约成本/工程施工成本/直接人工费数据一致**</t>
      </text>
    </comment>
    <comment ref="Y24" authorId="0" shapeId="0">
      <text>
        <t>于:
**同财务账面合同履约成本/工程施工成本/直接人工费数据一致**</t>
      </text>
    </comment>
    <comment ref="Z24" authorId="0" shapeId="0">
      <text>
        <t>于:
**同财务账面合同履约成本/工程施工成本/直接人工费数据一致**</t>
      </text>
    </comment>
    <comment ref="AA24" authorId="0" shapeId="0">
      <text>
        <t>于:
**同财务账面合同履约成本/工程施工成本/直接人工费数据一致**</t>
      </text>
    </comment>
    <comment ref="AB24" authorId="0" shapeId="0">
      <text>
        <t>于:
**同财务账面合同履约成本/工程施工成本/直接人工费数据一致**</t>
      </text>
    </comment>
    <comment ref="AC24" authorId="0" shapeId="0">
      <text>
        <t>于:
**同财务账面合同履约成本/工程施工成本/直接人工费数据一致**</t>
      </text>
    </comment>
    <comment ref="AD24" authorId="0" shapeId="0">
      <text>
        <t>于:
**同财务账面合同履约成本/工程施工成本/直接人工费数据一致**</t>
      </text>
    </comment>
    <comment ref="AE24" authorId="0" shapeId="0">
      <text>
        <t>于:
**同财务账面合同履约成本/工程施工成本/直接人工费数据一致**</t>
      </text>
    </comment>
    <comment ref="AF24" authorId="0" shapeId="0">
      <text>
        <t>于:
**同财务账面合同履约成本/工程施工成本/直接人工费数据一致**</t>
      </text>
    </comment>
    <comment ref="AG24" authorId="0" shapeId="0">
      <text>
        <t>于:
**同财务账面合同履约成本/工程施工成本/直接人工费数据一致**</t>
      </text>
    </comment>
    <comment ref="AH24" authorId="0" shapeId="0">
      <text>
        <t>于:
**同财务账面合同履约成本/工程施工成本/直接人工费数据一致**</t>
      </text>
    </comment>
    <comment ref="AI24" authorId="0" shapeId="0">
      <text>
        <t>于:
**同财务账面合同履约成本/工程施工成本/直接人工费数据一致**</t>
      </text>
    </comment>
    <comment ref="AJ24" authorId="0" shapeId="0">
      <text>
        <t>于:
**同财务账面合同履约成本/工程施工成本/直接人工费数据一致**</t>
      </text>
    </comment>
    <comment ref="AK24" authorId="0" shapeId="0">
      <text>
        <t>于:
**同财务账面合同履约成本/工程施工成本/直接人工费数据一致**</t>
      </text>
    </comment>
    <comment ref="M78" authorId="1" shapeId="0">
      <text>
        <t xml:space="preserve">**同财务账面合同履约成本/工程施工成本/机械租赁费数据一致**
</t>
      </text>
    </comment>
    <comment ref="M89" authorId="0" shapeId="0">
      <text>
        <t>于:
**同财务账面合同履约成本/工程施工成本其他直接费数据一致**</t>
      </text>
    </comment>
    <comment ref="M136" authorId="1" shapeId="0">
      <text>
        <t>**同财务账面合同履约成本/工程施工成本/间接费数据一致**</t>
      </text>
    </comment>
    <comment ref="D147" authorId="2" shapeId="0">
      <text>
        <t>（在建：房建0.6%，其它0.4%；在保修期间的按0.3~0.5%自行确定;保修期结束为0）</t>
      </text>
    </comment>
    <comment ref="E15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5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C: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6"/>
  <sheetViews>
    <sheetView tabSelected="1" topLeftCell="I41" zoomScale="70" zoomScaleNormal="70" workbookViewId="0">
      <selection activeCell="M75" sqref="M75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width="35.0545454545455" customWidth="1" style="1" min="5" max="5"/>
    <col width="20" customWidth="1" style="1" min="6" max="6"/>
    <col width="19.1909090909091" customWidth="1" style="1" min="7" max="7"/>
    <col width="20.9090909090909" customWidth="1" style="1" min="8" max="8"/>
    <col width="25.2545454545455" customWidth="1" style="1" min="9" max="9"/>
    <col width="20.9090909090909" customWidth="1" style="1" min="10" max="11"/>
    <col width="24.0363636363636" customWidth="1" style="115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6">
      <c r="A1" s="3" t="inlineStr">
        <is>
          <t xml:space="preserve">            项目效益审核表               单位：元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3" t="n"/>
      <c r="U1" s="3" t="n"/>
      <c r="V1" s="3" t="n"/>
      <c r="W1" s="3" t="n"/>
      <c r="X1" s="3" t="n"/>
      <c r="Y1" s="3" t="n"/>
      <c r="Z1" s="3" t="n"/>
      <c r="AA1" s="118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</row>
    <row r="2" ht="25.5" customHeight="1" s="116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3" t="n"/>
      <c r="U2" s="3" t="n"/>
      <c r="V2" s="3" t="n"/>
      <c r="W2" s="3" t="n"/>
      <c r="X2" s="3" t="n"/>
      <c r="Y2" s="3" t="n"/>
      <c r="Z2" s="3" t="n"/>
      <c r="AA2" s="119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</row>
    <row r="3" ht="25.5" customHeight="1" s="116">
      <c r="A3" s="5" t="inlineStr">
        <is>
          <t>序号</t>
        </is>
      </c>
      <c r="B3" s="6" t="inlineStr">
        <is>
          <t>业主名称：</t>
        </is>
      </c>
      <c r="C3" s="117" t="n"/>
      <c r="D3" s="117" t="n"/>
      <c r="E3" s="6" t="inlineStr">
        <is>
          <t>业主所属集团：</t>
        </is>
      </c>
      <c r="F3" s="117" t="n"/>
      <c r="G3" s="6" t="inlineStr">
        <is>
          <t>我司签约单位：</t>
        </is>
      </c>
      <c r="H3" s="117" t="n"/>
      <c r="I3" s="117" t="n"/>
      <c r="J3" s="6" t="inlineStr">
        <is>
          <t>本表填报时间：</t>
        </is>
      </c>
      <c r="K3" s="117" t="n"/>
      <c r="L3" s="6" t="inlineStr">
        <is>
          <t>数据截止时间：</t>
        </is>
      </c>
      <c r="M3" s="117" t="n"/>
      <c r="N3" s="3" t="n"/>
      <c r="O3" s="3" t="n"/>
      <c r="P3" s="3" t="n"/>
      <c r="Q3" s="3" t="n"/>
      <c r="R3" s="3" t="n"/>
      <c r="S3" s="62" t="n"/>
      <c r="T3" s="62" t="n"/>
      <c r="U3" s="62" t="n"/>
      <c r="V3" s="62" t="n"/>
      <c r="W3" s="62" t="n"/>
      <c r="X3" s="62" t="n"/>
      <c r="Y3" s="62" t="n"/>
      <c r="Z3" s="3" t="n"/>
      <c r="AA3" s="119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</row>
    <row r="4" ht="14" customHeight="1" s="116">
      <c r="A4" s="120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1" t="inlineStr">
        <is>
          <t>商务/材料确认</t>
        </is>
      </c>
      <c r="I4" s="122" t="n"/>
      <c r="J4" s="122" t="n"/>
      <c r="K4" s="122" t="n"/>
      <c r="L4" s="123" t="n"/>
      <c r="M4" s="124" t="inlineStr">
        <is>
          <t>财务确认</t>
        </is>
      </c>
      <c r="N4" s="122" t="n"/>
      <c r="O4" s="122" t="n"/>
      <c r="P4" s="122" t="n"/>
      <c r="Q4" s="122" t="n"/>
      <c r="R4" s="123" t="n"/>
      <c r="S4" s="125" t="inlineStr">
        <is>
          <t>债权情况</t>
        </is>
      </c>
      <c r="T4" s="122" t="n"/>
      <c r="U4" s="122" t="n"/>
      <c r="V4" s="122" t="n"/>
      <c r="W4" s="122" t="n"/>
      <c r="X4" s="122" t="n"/>
      <c r="Y4" s="123" t="n"/>
      <c r="Z4" s="126" t="inlineStr">
        <is>
          <t>税务情况</t>
        </is>
      </c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3" t="n"/>
      <c r="AL4" s="127" t="inlineStr">
        <is>
          <t>备注</t>
        </is>
      </c>
    </row>
    <row r="5" ht="39" customHeight="1" s="116">
      <c r="A5" s="120" t="n"/>
      <c r="B5" s="128" t="n"/>
      <c r="C5" s="128" t="n"/>
      <c r="D5" s="128" t="n"/>
      <c r="E5" s="128" t="n"/>
      <c r="F5" s="128" t="n"/>
      <c r="G5" s="128" t="n"/>
      <c r="H5" s="121" t="inlineStr">
        <is>
          <t>业主累计确认工程量
(含增值税)</t>
        </is>
      </c>
      <c r="I5" s="121" t="inlineStr">
        <is>
          <t>已完成未确权工程量
(含增值税)</t>
        </is>
      </c>
      <c r="J5" s="121" t="inlineStr">
        <is>
          <t>累计实际完成工作量
(含增值税)</t>
        </is>
      </c>
      <c r="K5" s="129" t="inlineStr">
        <is>
          <t>其中：实际收入应计增值税</t>
        </is>
      </c>
      <c r="L5" s="130" t="inlineStr">
        <is>
          <t>累计实际完成工作量（不含增值税）</t>
        </is>
      </c>
      <c r="M5" s="131" t="inlineStr">
        <is>
          <t>财务累计入账收入
（不含增值税）</t>
        </is>
      </c>
      <c r="N5" s="131" t="inlineStr">
        <is>
          <t>已价税分离的增值税金额(财务账面数据)</t>
        </is>
      </c>
      <c r="O5" s="131" t="inlineStr">
        <is>
          <t>应入未入账收入（商务实际完成不含税产值-财务账面列报收入）</t>
        </is>
      </c>
      <c r="P5" s="131" t="inlineStr">
        <is>
          <t>尚未价税分离的增值税金</t>
        </is>
      </c>
      <c r="Q5" s="131" t="inlineStr">
        <is>
          <t>财务累计应确认收入（不含增值税）</t>
        </is>
      </c>
      <c r="R5" s="131" t="inlineStr">
        <is>
          <t>财务累计应确认收入（含增值税）</t>
        </is>
      </c>
      <c r="S5" s="132" t="inlineStr">
        <is>
          <t>实际收款</t>
        </is>
      </c>
      <c r="T5" s="132" t="inlineStr">
        <is>
          <t>其中：财务账面已列报收款</t>
        </is>
      </c>
      <c r="U5" s="132" t="inlineStr">
        <is>
          <t>其中：已抵债未入账收款</t>
        </is>
      </c>
      <c r="V5" s="132" t="inlineStr">
        <is>
          <t>其中：其他未入账收款</t>
        </is>
      </c>
      <c r="W5" s="132" t="inlineStr">
        <is>
          <t>债权总额</t>
        </is>
      </c>
      <c r="X5" s="132" t="inlineStr">
        <is>
          <t>其中：应收总额</t>
        </is>
      </c>
      <c r="Y5" s="132" t="inlineStr">
        <is>
          <t>是否已取得对账单
（以取得双方用印对账单为准）</t>
        </is>
      </c>
      <c r="Z5" s="133" t="inlineStr">
        <is>
          <t>累计已开发票（含税）</t>
        </is>
      </c>
      <c r="AA5" s="133" t="inlineStr">
        <is>
          <t>其中：分包抵扣发票额
（含税）</t>
        </is>
      </c>
      <c r="AB5" s="133" t="inlineStr">
        <is>
          <t>其中：增值税项下已抵扣税额</t>
        </is>
      </c>
      <c r="AC5" s="133" t="inlineStr">
        <is>
          <t>累计已开具营业税发票</t>
        </is>
      </c>
      <c r="AD5" s="133" t="inlineStr">
        <is>
          <t>其中：分包分供抵扣发票额</t>
        </is>
      </c>
      <c r="AE5" s="133" t="inlineStr">
        <is>
          <t>累计已开具增值税发票
（含税）</t>
        </is>
      </c>
      <c r="AF5" s="133" t="inlineStr">
        <is>
          <t>其中：预缴时分包抵扣发票额</t>
        </is>
      </c>
      <c r="AG5" s="133" t="inlineStr">
        <is>
          <t>其中：增值税项下已抵扣税额</t>
        </is>
      </c>
      <c r="AH5" s="133" t="inlineStr">
        <is>
          <t>按结算未开具发票额</t>
        </is>
      </c>
      <c r="AI5" s="133" t="inlineStr">
        <is>
          <t>按收款未开具发票额</t>
        </is>
      </c>
      <c r="AJ5" s="133" t="inlineStr">
        <is>
          <t>当前适用税率</t>
        </is>
      </c>
      <c r="AK5" s="133" t="inlineStr">
        <is>
          <t>应收账款-待转销税额</t>
        </is>
      </c>
      <c r="AL5" s="120" t="n"/>
    </row>
    <row r="6" ht="14" customHeight="1" s="116">
      <c r="A6" s="120" t="n"/>
      <c r="B6" s="5" t="inlineStr">
        <is>
          <t>L400001831</t>
        </is>
      </c>
      <c r="C6" s="5" t="n">
        <v>1220137354</v>
      </c>
      <c r="D6" s="5" t="inlineStr">
        <is>
          <t>广州市黄埔区汤村项目复建区1号地块施工总承包及总承包管理配合服务</t>
        </is>
      </c>
      <c r="E6" s="15" t="n"/>
      <c r="F6" s="15" t="n"/>
      <c r="G6" s="15" t="n"/>
      <c r="H6" s="134" t="n"/>
      <c r="I6" s="134" t="n"/>
      <c r="J6" s="135">
        <f>H6+I6</f>
        <v/>
      </c>
      <c r="K6" s="135" t="n"/>
      <c r="L6" s="136">
        <f>J6-K6</f>
        <v/>
      </c>
      <c r="M6" s="137" t="n">
        <v>-289958061.57</v>
      </c>
      <c r="N6" s="137" t="n">
        <v>-37816603.93</v>
      </c>
      <c r="O6" s="137">
        <f>L6-M6</f>
        <v/>
      </c>
      <c r="P6" s="137">
        <f>K6-N6</f>
        <v/>
      </c>
      <c r="Q6" s="138">
        <f>M6+O6</f>
        <v/>
      </c>
      <c r="R6" s="138">
        <f>M6+N6+O6+P6</f>
        <v/>
      </c>
      <c r="S6" s="139" t="n"/>
      <c r="T6" s="139" t="n"/>
      <c r="U6" s="139" t="n"/>
      <c r="V6" s="139" t="n"/>
      <c r="W6" s="139" t="n"/>
      <c r="X6" s="139" t="n"/>
      <c r="Y6" s="139" t="n"/>
      <c r="Z6" s="140">
        <f>SUM(AA6:AJ6)</f>
        <v/>
      </c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1">
        <f>AB6/1.17*0.17+AC6/1.16*0.16+AD6/1.11*0.11+AE6/1.1*0.1+AF6/1.09*0.09+AI6/1.03*0.03</f>
        <v/>
      </c>
      <c r="AL6" s="120" t="n"/>
    </row>
    <row r="7" ht="14" customHeight="1" s="116">
      <c r="A7" s="120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2" t="inlineStr">
        <is>
          <t>商务、物资确认</t>
        </is>
      </c>
      <c r="I7" s="122" t="n"/>
      <c r="J7" s="122" t="n"/>
      <c r="K7" s="122" t="n"/>
      <c r="L7" s="123" t="n"/>
      <c r="M7" s="124" t="inlineStr">
        <is>
          <t>财务确认</t>
        </is>
      </c>
      <c r="N7" s="122" t="n"/>
      <c r="O7" s="122" t="n"/>
      <c r="P7" s="122" t="n"/>
      <c r="Q7" s="122" t="n"/>
      <c r="R7" s="123" t="n"/>
      <c r="S7" s="125" t="inlineStr">
        <is>
          <t>债务情况</t>
        </is>
      </c>
      <c r="T7" s="122" t="n"/>
      <c r="U7" s="122" t="n"/>
      <c r="V7" s="122" t="n"/>
      <c r="W7" s="122" t="n"/>
      <c r="X7" s="122" t="n"/>
      <c r="Y7" s="123" t="n"/>
      <c r="Z7" s="126" t="inlineStr">
        <is>
          <t>税务情况</t>
        </is>
      </c>
      <c r="AA7" s="122" t="n"/>
      <c r="AB7" s="122" t="n"/>
      <c r="AC7" s="122" t="n"/>
      <c r="AD7" s="122" t="n"/>
      <c r="AE7" s="122" t="n"/>
      <c r="AF7" s="122" t="n"/>
      <c r="AG7" s="122" t="n"/>
      <c r="AH7" s="122" t="n"/>
      <c r="AI7" s="122" t="n"/>
      <c r="AJ7" s="122" t="n"/>
      <c r="AK7" s="123" t="n"/>
      <c r="AL7" s="120" t="n"/>
    </row>
    <row r="8" ht="14" customHeight="1" s="116">
      <c r="A8" s="120" t="n"/>
      <c r="B8" s="120" t="n"/>
      <c r="C8" s="120" t="n"/>
      <c r="D8" s="120" t="n"/>
      <c r="E8" s="120" t="n"/>
      <c r="F8" s="120" t="n"/>
      <c r="G8" s="120" t="n"/>
      <c r="H8" s="142" t="inlineStr">
        <is>
          <t>商务已结(含税)</t>
        </is>
      </c>
      <c r="I8" s="142" t="inlineStr">
        <is>
          <t>截止目前应结未结(含税)</t>
        </is>
      </c>
      <c r="J8" s="142" t="inlineStr">
        <is>
          <t>实际诶计成本(含税)</t>
        </is>
      </c>
      <c r="K8" s="143" t="inlineStr">
        <is>
          <t>累计成本可抵扣增值税税金</t>
        </is>
      </c>
      <c r="L8" s="144" t="inlineStr">
        <is>
          <t>实际累计成本
（不含可抵扣税金）</t>
        </is>
      </c>
      <c r="M8" s="131" t="inlineStr">
        <is>
          <t>截止目前财务已入账成本（不含增值税）
**同财务账面合同履约成本/工程施工成本一致**</t>
        </is>
      </c>
      <c r="N8" s="131" t="inlineStr">
        <is>
          <t>已价税分离的增值税金
（财务账面数据）</t>
        </is>
      </c>
      <c r="O8" s="131" t="inlineStr">
        <is>
          <t>应入未入账成本（不含增值税）</t>
        </is>
      </c>
      <c r="P8" s="131" t="inlineStr">
        <is>
          <t>尚未价税分离的增值税金</t>
        </is>
      </c>
      <c r="Q8" s="131" t="inlineStr">
        <is>
          <t>实际成本
（不含增值税）</t>
        </is>
      </c>
      <c r="R8" s="131" t="inlineStr">
        <is>
          <t>实际成本
（含增值税）</t>
        </is>
      </c>
      <c r="S8" s="132" t="inlineStr">
        <is>
          <t>累计付款</t>
        </is>
      </c>
      <c r="T8" s="132" t="inlineStr">
        <is>
          <t>其中：财务账面已列报付款</t>
        </is>
      </c>
      <c r="U8" s="132" t="inlineStr">
        <is>
          <t>其中：已办理供应链或票据背书未入账付款</t>
        </is>
      </c>
      <c r="V8" s="132" t="inlineStr">
        <is>
          <t>其中：其他未入账付款</t>
        </is>
      </c>
      <c r="W8" s="132" t="inlineStr">
        <is>
          <t>债务总额</t>
        </is>
      </c>
      <c r="X8" s="132" t="inlineStr">
        <is>
          <t>其中：应付总额</t>
        </is>
      </c>
      <c r="Y8" s="132" t="inlineStr">
        <is>
          <t>是否已取得对账单
（以取得双方用印对账单为准）</t>
        </is>
      </c>
      <c r="Z8" s="133" t="inlineStr">
        <is>
          <t>累计已收取发票（含税）</t>
        </is>
      </c>
      <c r="AA8" s="133" t="inlineStr">
        <is>
          <t>其中：累计已收取营业税发票额</t>
        </is>
      </c>
      <c r="AB8" s="133" t="inlineStr">
        <is>
          <t>其中：累计已收取增值税发票额</t>
        </is>
      </c>
      <c r="AC8" s="133" t="inlineStr">
        <is>
          <t>其中：营业税及增值税预缴时已抵扣发票额</t>
        </is>
      </c>
      <c r="AD8" s="133" t="inlineStr">
        <is>
          <t>已收取增值税发票对应税额</t>
        </is>
      </c>
      <c r="AE8" s="133" t="inlineStr">
        <is>
          <t>其中：已认证税额</t>
        </is>
      </c>
      <c r="AF8" s="133" t="inlineStr">
        <is>
          <t>已收取待认证税额</t>
        </is>
      </c>
      <c r="AG8" s="133" t="n"/>
      <c r="AH8" s="133" t="inlineStr">
        <is>
          <t>按结算未收取发票额</t>
        </is>
      </c>
      <c r="AI8" s="133" t="inlineStr">
        <is>
          <t>按付款未收取发票额</t>
        </is>
      </c>
      <c r="AJ8" s="133" t="inlineStr">
        <is>
          <t>当前适用税率</t>
        </is>
      </c>
      <c r="AK8" s="133" t="inlineStr">
        <is>
          <t>其他应收-待扣减税额</t>
        </is>
      </c>
      <c r="AL8" s="120" t="n"/>
    </row>
    <row r="9" ht="14" customHeight="1" s="116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0" t="n"/>
    </row>
    <row r="10" ht="14" customHeight="1" s="116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8" t="n"/>
    </row>
    <row r="11" ht="14" customHeight="1" s="116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40" t="n"/>
      <c r="I11" s="140" t="n"/>
      <c r="J11" s="140" t="n"/>
      <c r="K11" s="145" t="n"/>
      <c r="L11" s="146" t="n"/>
      <c r="M11" s="135" t="n"/>
      <c r="N11" s="135" t="n"/>
      <c r="O11" s="140">
        <f>L11-M11</f>
        <v/>
      </c>
      <c r="P11" s="140">
        <f>K11-N11</f>
        <v/>
      </c>
      <c r="Q11" s="140">
        <f>M11+O11</f>
        <v/>
      </c>
      <c r="R11" s="140">
        <f>M11+N11+O11+P11</f>
        <v/>
      </c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1">
        <f>AB11/1.17*0.17+AC11/1.16*0.16+AD11/1.11*0.11+AE11/1.1*0.1+AF11/1.09*0.09+AI11/1.03*0.03</f>
        <v/>
      </c>
      <c r="AL11" s="77" t="n"/>
    </row>
    <row r="12" ht="14" customHeight="1" s="116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40" t="n"/>
      <c r="I12" s="140" t="n"/>
      <c r="J12" s="140" t="n"/>
      <c r="K12" s="145" t="n"/>
      <c r="L12" s="146" t="n"/>
      <c r="M12" s="135" t="n"/>
      <c r="N12" s="135" t="n"/>
      <c r="O12" s="140">
        <f>L12-M12</f>
        <v/>
      </c>
      <c r="P12" s="140">
        <f>K12-N12</f>
        <v/>
      </c>
      <c r="Q12" s="140">
        <f>M12+O12</f>
        <v/>
      </c>
      <c r="R12" s="140">
        <f>M12+N12+O12+P12</f>
        <v/>
      </c>
      <c r="S12" s="141" t="n"/>
      <c r="T12" s="141" t="n"/>
      <c r="U12" s="141" t="n"/>
      <c r="V12" s="141" t="n"/>
      <c r="W12" s="141" t="n"/>
      <c r="X12" s="141" t="n"/>
      <c r="Y12" s="141" t="n"/>
      <c r="Z12" s="141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1">
        <f>AB12/1.17*0.17+AC12/1.16*0.16+AD12/1.11*0.11+AE12/1.1*0.1+AF12/1.09*0.09+AI12/1.03*0.03</f>
        <v/>
      </c>
      <c r="AL12" s="77" t="n"/>
    </row>
    <row r="13" ht="14" customHeight="1" s="116">
      <c r="A13" s="19" t="n">
        <v>1</v>
      </c>
      <c r="B13" s="19" t="n"/>
      <c r="C13" s="19" t="n"/>
      <c r="D13" s="148" t="n"/>
      <c r="E13" s="19" t="n"/>
      <c r="F13" s="19" t="n"/>
      <c r="G13" s="19" t="n"/>
      <c r="H13" s="140" t="n"/>
      <c r="I13" s="140" t="n"/>
      <c r="J13" s="140" t="n"/>
      <c r="K13" s="145" t="n"/>
      <c r="L13" s="149" t="n"/>
      <c r="M13" s="140" t="n"/>
      <c r="N13" s="140" t="n"/>
      <c r="O13" s="140">
        <f>L13-M13</f>
        <v/>
      </c>
      <c r="P13" s="140">
        <f>K13-N13</f>
        <v/>
      </c>
      <c r="Q13" s="140">
        <f>M13+O13</f>
        <v/>
      </c>
      <c r="R13" s="140">
        <f>M13+N13+O13+P13</f>
        <v/>
      </c>
      <c r="S13" s="141" t="n"/>
      <c r="T13" s="141" t="n"/>
      <c r="U13" s="141" t="n"/>
      <c r="V13" s="141" t="n"/>
      <c r="W13" s="141" t="n"/>
      <c r="X13" s="141" t="n"/>
      <c r="Y13" s="141" t="n"/>
      <c r="Z13" s="140">
        <f>SUM(AA13:AJ13)</f>
        <v/>
      </c>
      <c r="AA13" s="147" t="n"/>
      <c r="AB13" s="147" t="n"/>
      <c r="AC13" s="147" t="n"/>
      <c r="AD13" s="147" t="n"/>
      <c r="AE13" s="147" t="n"/>
      <c r="AF13" s="147" t="n"/>
      <c r="AG13" s="147" t="n"/>
      <c r="AH13" s="147" t="n"/>
      <c r="AI13" s="147" t="n"/>
      <c r="AJ13" s="147" t="n"/>
      <c r="AK13" s="141">
        <f>AB13/1.17*0.17+AC13/1.16*0.16+AD13/1.11*0.11+AE13/1.1*0.1+AF13/1.09*0.09+AI13/1.03*0.03</f>
        <v/>
      </c>
      <c r="AL13" s="77" t="n"/>
    </row>
    <row r="14" ht="14" customHeight="1" s="116">
      <c r="A14" s="19" t="n">
        <v>2</v>
      </c>
      <c r="B14" s="19" t="n"/>
      <c r="C14" s="19" t="n"/>
      <c r="D14" s="148" t="n"/>
      <c r="E14" s="19" t="n"/>
      <c r="F14" s="19" t="n"/>
      <c r="G14" s="19" t="n"/>
      <c r="H14" s="140" t="n"/>
      <c r="I14" s="140" t="n"/>
      <c r="J14" s="140" t="n"/>
      <c r="K14" s="145" t="n"/>
      <c r="L14" s="149" t="n"/>
      <c r="M14" s="140" t="n"/>
      <c r="N14" s="140" t="n"/>
      <c r="O14" s="140">
        <f>L14-M14</f>
        <v/>
      </c>
      <c r="P14" s="140">
        <f>K14-N14</f>
        <v/>
      </c>
      <c r="Q14" s="140">
        <f>M14+O14</f>
        <v/>
      </c>
      <c r="R14" s="140">
        <f>M14+N14+O14+P14</f>
        <v/>
      </c>
      <c r="S14" s="141" t="n"/>
      <c r="T14" s="141" t="n"/>
      <c r="U14" s="141" t="n"/>
      <c r="V14" s="141" t="n"/>
      <c r="W14" s="141" t="n"/>
      <c r="X14" s="141" t="n"/>
      <c r="Y14" s="141" t="n"/>
      <c r="Z14" s="140">
        <f>SUM(AA14:AJ14)</f>
        <v/>
      </c>
      <c r="AA14" s="147" t="n"/>
      <c r="AB14" s="147" t="n"/>
      <c r="AC14" s="147" t="n"/>
      <c r="AD14" s="147" t="n"/>
      <c r="AE14" s="147" t="n"/>
      <c r="AF14" s="147" t="n"/>
      <c r="AG14" s="147" t="n"/>
      <c r="AH14" s="147" t="n"/>
      <c r="AI14" s="147" t="n"/>
      <c r="AJ14" s="147" t="n"/>
      <c r="AK14" s="141">
        <f>AB14/1.17*0.17+AC14/1.16*0.16+AD14/1.11*0.11+AE14/1.1*0.1+AF14/1.09*0.09+AI14/1.03*0.03</f>
        <v/>
      </c>
      <c r="AL14" s="77" t="n"/>
    </row>
    <row r="15" ht="14" customHeight="1" s="116">
      <c r="A15" s="19" t="n">
        <v>3</v>
      </c>
      <c r="B15" s="19" t="n"/>
      <c r="C15" s="19" t="n"/>
      <c r="D15" s="148" t="n"/>
      <c r="E15" s="19" t="n"/>
      <c r="F15" s="19" t="n"/>
      <c r="G15" s="19" t="n"/>
      <c r="H15" s="140" t="n"/>
      <c r="I15" s="140" t="n"/>
      <c r="J15" s="140" t="n"/>
      <c r="K15" s="145" t="n"/>
      <c r="L15" s="149" t="n"/>
      <c r="M15" s="140" t="n"/>
      <c r="N15" s="140" t="n"/>
      <c r="O15" s="140">
        <f>L15-M15</f>
        <v/>
      </c>
      <c r="P15" s="140">
        <f>K15-N15</f>
        <v/>
      </c>
      <c r="Q15" s="140">
        <f>M15+O15</f>
        <v/>
      </c>
      <c r="R15" s="140">
        <f>M15+N15+O15+P15</f>
        <v/>
      </c>
      <c r="S15" s="141" t="n"/>
      <c r="T15" s="141" t="n"/>
      <c r="U15" s="141" t="n"/>
      <c r="V15" s="141" t="n"/>
      <c r="W15" s="141" t="n"/>
      <c r="X15" s="141" t="n"/>
      <c r="Y15" s="141" t="n"/>
      <c r="Z15" s="140">
        <f>SUM(AA15:AJ15)</f>
        <v/>
      </c>
      <c r="AA15" s="147" t="n"/>
      <c r="AB15" s="147" t="n"/>
      <c r="AC15" s="147" t="n"/>
      <c r="AD15" s="147" t="n"/>
      <c r="AE15" s="147" t="n"/>
      <c r="AF15" s="147" t="n"/>
      <c r="AG15" s="147" t="n"/>
      <c r="AH15" s="147" t="n"/>
      <c r="AI15" s="147" t="n"/>
      <c r="AJ15" s="147" t="n"/>
      <c r="AK15" s="141">
        <f>AB15/1.17*0.17+AC15/1.16*0.16+AD15/1.11*0.11+AE15/1.1*0.1+AF15/1.09*0.09+AI15/1.03*0.03</f>
        <v/>
      </c>
      <c r="AL15" s="77" t="n"/>
    </row>
    <row r="16" ht="14" customHeight="1" s="116">
      <c r="A16" s="150" t="n"/>
      <c r="B16" s="150" t="n"/>
      <c r="C16" s="151" t="inlineStr">
        <is>
          <t>中建四局一公司广州分公司以局名义项目</t>
        </is>
      </c>
      <c r="D16" s="151" t="n"/>
      <c r="E16" s="150" t="n"/>
      <c r="F16" s="150" t="n"/>
      <c r="G16" s="150" t="n"/>
      <c r="H16" s="150" t="n"/>
      <c r="I16" s="150" t="n"/>
      <c r="J16" s="150" t="n"/>
      <c r="K16" s="150" t="n"/>
      <c r="L16" s="150" t="n"/>
      <c r="M16" s="150" t="n"/>
      <c r="N16" s="150" t="n"/>
      <c r="O16" s="150" t="n"/>
      <c r="P16" s="152" t="n">
        <v>1277824.57</v>
      </c>
      <c r="Q16" s="150" t="n"/>
      <c r="R16" s="150" t="n"/>
      <c r="S16" s="150" t="n"/>
      <c r="T16" s="150" t="n"/>
    </row>
    <row r="17" ht="14" customHeight="1" s="116">
      <c r="A17" s="150" t="n"/>
      <c r="B17" s="150" t="n"/>
      <c r="C17" s="151" t="inlineStr">
        <is>
          <t>姚建霞-封存</t>
        </is>
      </c>
      <c r="D17" s="151" t="n"/>
      <c r="E17" s="150" t="n"/>
      <c r="F17" s="150" t="n"/>
      <c r="G17" s="150" t="n"/>
      <c r="H17" s="150" t="n"/>
      <c r="I17" s="150" t="n"/>
      <c r="J17" s="150" t="n"/>
      <c r="K17" s="150" t="n"/>
      <c r="L17" s="150" t="n"/>
      <c r="M17" s="150" t="n"/>
      <c r="N17" s="150" t="n"/>
      <c r="O17" s="150" t="n"/>
      <c r="P17" s="152" t="n">
        <v>75440</v>
      </c>
      <c r="Q17" s="150" t="n"/>
      <c r="R17" s="150" t="n"/>
      <c r="S17" s="150" t="n"/>
      <c r="T17" s="150" t="n"/>
    </row>
    <row r="18" ht="14" customHeight="1" s="116">
      <c r="A18" s="150" t="n"/>
      <c r="B18" s="150" t="n"/>
      <c r="C18" s="151" t="inlineStr">
        <is>
          <t>广州市万有达建筑工程有限公司</t>
        </is>
      </c>
      <c r="D18" s="151" t="inlineStr">
        <is>
          <t>中建四局0200202103604002</t>
        </is>
      </c>
      <c r="E18" s="150" t="n"/>
      <c r="F18" s="150" t="n"/>
      <c r="G18" s="150" t="n"/>
      <c r="H18" s="150" t="n"/>
      <c r="I18" s="150" t="n"/>
      <c r="J18" s="150" t="n"/>
      <c r="K18" s="150" t="n"/>
      <c r="L18" s="150" t="n"/>
      <c r="M18" s="150" t="n"/>
      <c r="N18" s="150" t="n"/>
      <c r="O18" s="150" t="n"/>
      <c r="P18" s="152" t="n">
        <v>39139848.98</v>
      </c>
      <c r="Q18" s="150" t="n"/>
      <c r="R18" s="150" t="n"/>
      <c r="S18" s="150" t="n"/>
      <c r="T18" s="150" t="n"/>
    </row>
    <row r="19" ht="14" customHeight="1" s="116">
      <c r="A19" s="150" t="n"/>
      <c r="B19" s="150" t="n"/>
      <c r="C19" s="151" t="inlineStr">
        <is>
          <t>朱新伟</t>
        </is>
      </c>
      <c r="D19" s="151" t="n"/>
      <c r="E19" s="150" t="n"/>
      <c r="F19" s="150" t="n"/>
      <c r="G19" s="150" t="n"/>
      <c r="H19" s="150" t="n"/>
      <c r="I19" s="150" t="n"/>
      <c r="J19" s="150" t="n"/>
      <c r="K19" s="150" t="n"/>
      <c r="L19" s="150" t="n"/>
      <c r="M19" s="150" t="n"/>
      <c r="N19" s="150" t="n"/>
      <c r="O19" s="150" t="n"/>
      <c r="P19" s="152" t="n">
        <v>59500</v>
      </c>
      <c r="Q19" s="150" t="n"/>
      <c r="R19" s="150" t="n"/>
      <c r="S19" s="150" t="n"/>
      <c r="T19" s="150" t="n"/>
    </row>
    <row r="20" ht="14" customHeight="1" s="116">
      <c r="A20" s="150" t="n"/>
      <c r="B20" s="150" t="n"/>
      <c r="C20" s="151" t="inlineStr">
        <is>
          <t>汤燕英-封存</t>
        </is>
      </c>
      <c r="D20" s="151" t="n"/>
      <c r="E20" s="150" t="n"/>
      <c r="F20" s="150" t="n"/>
      <c r="G20" s="150" t="n"/>
      <c r="H20" s="150" t="n"/>
      <c r="I20" s="150" t="n"/>
      <c r="J20" s="150" t="n"/>
      <c r="K20" s="150" t="n"/>
      <c r="L20" s="150" t="n"/>
      <c r="M20" s="150" t="n"/>
      <c r="N20" s="150" t="n"/>
      <c r="O20" s="150" t="n"/>
      <c r="P20" s="152" t="n">
        <v>71338.33</v>
      </c>
      <c r="Q20" s="150" t="n"/>
      <c r="R20" s="150" t="n"/>
      <c r="S20" s="150" t="n"/>
      <c r="T20" s="150" t="n"/>
    </row>
    <row r="21" ht="14" customHeight="1" s="116">
      <c r="A21" s="150" t="n"/>
      <c r="B21" s="150" t="n"/>
      <c r="C21" s="151" t="inlineStr">
        <is>
          <t>湖南阳旭建筑劳务服务有限公司</t>
        </is>
      </c>
      <c r="D21" s="151" t="inlineStr">
        <is>
          <t>中建四局0200202103604001</t>
        </is>
      </c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2" t="n">
        <v>149405.03</v>
      </c>
      <c r="Q21" s="150" t="n"/>
      <c r="R21" s="150" t="n"/>
      <c r="S21" s="150" t="n"/>
      <c r="T21" s="150" t="n"/>
    </row>
    <row r="22" ht="14" customHeight="1" s="116">
      <c r="A22" s="150" t="n"/>
      <c r="B22" s="150" t="n"/>
      <c r="C22" s="151" t="inlineStr">
        <is>
          <t>胡伟龙</t>
        </is>
      </c>
      <c r="D22" s="151" t="n"/>
      <c r="E22" s="150" t="n"/>
      <c r="F22" s="150" t="n"/>
      <c r="G22" s="150" t="n"/>
      <c r="H22" s="150" t="n"/>
      <c r="I22" s="150" t="n"/>
      <c r="J22" s="150" t="n"/>
      <c r="K22" s="150" t="n"/>
      <c r="L22" s="150" t="n"/>
      <c r="M22" s="150" t="n"/>
      <c r="N22" s="150" t="n"/>
      <c r="O22" s="150" t="n"/>
      <c r="P22" s="152" t="n">
        <v>74013.34</v>
      </c>
      <c r="Q22" s="150" t="n"/>
      <c r="R22" s="150" t="n"/>
      <c r="S22" s="150" t="n"/>
      <c r="T22" s="150" t="n"/>
    </row>
    <row r="23" ht="14" customHeight="1" s="116">
      <c r="A23" s="19" t="n"/>
      <c r="B23" s="19" t="n"/>
      <c r="C23" s="19" t="n"/>
      <c r="D23" s="24" t="inlineStr">
        <is>
          <t>**财务未列部分需增列***</t>
        </is>
      </c>
      <c r="E23" s="25" t="n"/>
      <c r="F23" s="25" t="n"/>
      <c r="G23" s="25" t="n"/>
      <c r="H23" s="140" t="n"/>
      <c r="I23" s="140" t="n"/>
      <c r="J23" s="140" t="n"/>
      <c r="K23" s="145" t="n"/>
      <c r="L23" s="149" t="n"/>
      <c r="M23" s="140" t="n"/>
      <c r="N23" s="140" t="n"/>
      <c r="O23" s="140">
        <f>L16-M16</f>
        <v/>
      </c>
      <c r="P23" s="140">
        <f>K16-N16</f>
        <v/>
      </c>
      <c r="Q23" s="140">
        <f>M16+O16</f>
        <v/>
      </c>
      <c r="R23" s="140">
        <f>M16+N16+O16+P16</f>
        <v/>
      </c>
      <c r="S23" s="140" t="n"/>
      <c r="T23" s="140" t="n"/>
      <c r="U23" s="140" t="n"/>
      <c r="V23" s="140" t="n"/>
      <c r="W23" s="140" t="n"/>
      <c r="X23" s="140" t="n"/>
      <c r="Y23" s="140" t="n"/>
      <c r="Z23" s="140">
        <f>SUM(AA16:AJ16)</f>
        <v/>
      </c>
      <c r="AA23" s="153" t="n"/>
      <c r="AB23" s="141" t="n"/>
      <c r="AC23" s="141" t="n"/>
      <c r="AD23" s="141" t="n"/>
      <c r="AE23" s="141" t="n"/>
      <c r="AF23" s="141" t="n"/>
      <c r="AG23" s="141" t="n"/>
      <c r="AH23" s="141" t="n"/>
      <c r="AI23" s="141" t="n"/>
      <c r="AJ23" s="141" t="n"/>
      <c r="AK23" s="141">
        <f>AB16/1.17*0.17+AC16/1.16*0.16+AD16/1.11*0.11+AE16/1.1*0.1+AF16/1.09*0.09+AI16/1.03*0.03</f>
        <v/>
      </c>
      <c r="AL23" s="78" t="n"/>
    </row>
    <row r="24" ht="14" customHeight="1" s="116">
      <c r="A24" s="26" t="n"/>
      <c r="B24" s="26" t="n"/>
      <c r="C24" s="26" t="n"/>
      <c r="D24" s="27" t="inlineStr">
        <is>
          <t>人工费小计：</t>
        </is>
      </c>
      <c r="E24" s="154">
        <f>SUM(E12:E16)</f>
        <v/>
      </c>
      <c r="F24" s="154">
        <f>SUM(F12:F16)</f>
        <v/>
      </c>
      <c r="G24" s="154">
        <f>SUM(G12:G16)</f>
        <v/>
      </c>
      <c r="H24" s="154">
        <f>SUM(H12:H16)</f>
        <v/>
      </c>
      <c r="I24" s="154">
        <f>SUM(I12:I16)</f>
        <v/>
      </c>
      <c r="J24" s="154">
        <f>SUM(J12:J16)</f>
        <v/>
      </c>
      <c r="K24" s="154">
        <f>SUM(K12:K16)</f>
        <v/>
      </c>
      <c r="L24" s="154">
        <f>SUM(L12:L16)</f>
        <v/>
      </c>
      <c r="M24" s="154">
        <f>SUM(M12:M16)</f>
        <v/>
      </c>
      <c r="N24" s="154">
        <f>SUM(N12:N16)</f>
        <v/>
      </c>
      <c r="O24" s="154">
        <f>SUM(O12:O16)</f>
        <v/>
      </c>
      <c r="P24" s="154">
        <f>SUM(P12:P16)</f>
        <v/>
      </c>
      <c r="Q24" s="154">
        <f>SUM(Q12:Q16)</f>
        <v/>
      </c>
      <c r="R24" s="154">
        <f>SUM(R12:R16)</f>
        <v/>
      </c>
      <c r="S24" s="154">
        <f>SUM(S12:S16)</f>
        <v/>
      </c>
      <c r="T24" s="154">
        <f>SUM(T12:T16)</f>
        <v/>
      </c>
      <c r="U24" s="154">
        <f>SUM(U12:U16)</f>
        <v/>
      </c>
      <c r="V24" s="154">
        <f>SUM(V12:V16)</f>
        <v/>
      </c>
      <c r="W24" s="154">
        <f>SUM(W12:W16)</f>
        <v/>
      </c>
      <c r="X24" s="154">
        <f>SUM(X12:X16)</f>
        <v/>
      </c>
      <c r="Y24" s="154">
        <f>SUM(Y12:Y16)</f>
        <v/>
      </c>
      <c r="Z24" s="154">
        <f>SUM(Z12:Z16)</f>
        <v/>
      </c>
      <c r="AA24" s="154">
        <f>SUM(AA12:AA16)</f>
        <v/>
      </c>
      <c r="AB24" s="154">
        <f>SUM(AB12:AB16)</f>
        <v/>
      </c>
      <c r="AC24" s="154">
        <f>SUM(AC12:AC16)</f>
        <v/>
      </c>
      <c r="AD24" s="154">
        <f>SUM(AD12:AD16)</f>
        <v/>
      </c>
      <c r="AE24" s="154">
        <f>SUM(AE12:AE16)</f>
        <v/>
      </c>
      <c r="AF24" s="154">
        <f>SUM(AF12:AF16)</f>
        <v/>
      </c>
      <c r="AG24" s="154">
        <f>SUM(AG12:AG16)</f>
        <v/>
      </c>
      <c r="AH24" s="154">
        <f>SUM(AH12:AH16)</f>
        <v/>
      </c>
      <c r="AI24" s="154">
        <f>SUM(AI12:AI16)</f>
        <v/>
      </c>
      <c r="AJ24" s="154">
        <f>SUM(AJ12:AJ16)</f>
        <v/>
      </c>
      <c r="AK24" s="154">
        <f>SUM(AK12:AK16)</f>
        <v/>
      </c>
      <c r="AL24" s="77" t="n"/>
    </row>
    <row r="25" ht="14" customHeight="1" s="116">
      <c r="A25" s="19" t="n"/>
      <c r="B25" s="19" t="n"/>
      <c r="C25" s="19" t="n"/>
      <c r="D25" s="29" t="inlineStr">
        <is>
          <t>（二）分包工程</t>
        </is>
      </c>
      <c r="E25" s="19" t="n"/>
      <c r="F25" s="19" t="n"/>
      <c r="G25" s="19" t="n"/>
      <c r="H25" s="140" t="n"/>
      <c r="I25" s="140" t="n"/>
      <c r="J25" s="140" t="n"/>
      <c r="K25" s="145" t="n"/>
      <c r="L25" s="149" t="n"/>
      <c r="M25" s="140" t="n"/>
      <c r="N25" s="140" t="n"/>
      <c r="O25" s="140">
        <f>L18-M18</f>
        <v/>
      </c>
      <c r="P25" s="140">
        <f>K18-N18</f>
        <v/>
      </c>
      <c r="Q25" s="140">
        <f>M18+O18</f>
        <v/>
      </c>
      <c r="R25" s="140">
        <f>M18+N18+O18+P18</f>
        <v/>
      </c>
      <c r="S25" s="147" t="n"/>
      <c r="T25" s="147" t="n"/>
      <c r="U25" s="147" t="n"/>
      <c r="V25" s="147" t="n"/>
      <c r="W25" s="147" t="n"/>
      <c r="X25" s="147" t="n"/>
      <c r="Y25" s="147" t="n"/>
      <c r="Z25" s="147" t="n"/>
      <c r="AA25" s="147" t="n"/>
      <c r="AB25" s="147" t="n"/>
      <c r="AC25" s="147" t="n"/>
      <c r="AD25" s="147" t="n"/>
      <c r="AE25" s="147" t="n"/>
      <c r="AF25" s="147" t="n"/>
      <c r="AG25" s="147" t="n"/>
      <c r="AH25" s="147" t="n"/>
      <c r="AI25" s="147" t="n"/>
      <c r="AJ25" s="147" t="n"/>
      <c r="AK25" s="141">
        <f>AB18/1.17*0.17+AC18/1.16*0.16+AD18/1.11*0.11+AE18/1.1*0.1+AF18/1.09*0.09+AI18/1.03*0.03</f>
        <v/>
      </c>
      <c r="AL25" s="77" t="n"/>
    </row>
    <row r="26" ht="14" customHeight="1" s="116">
      <c r="A26" s="19" t="n">
        <v>1</v>
      </c>
      <c r="B26" s="19" t="n"/>
      <c r="C26" s="19" t="n"/>
      <c r="D26" s="148" t="n"/>
      <c r="E26" s="30" t="n"/>
      <c r="F26" s="30" t="n"/>
      <c r="G26" s="30" t="n"/>
      <c r="H26" s="140" t="n"/>
      <c r="I26" s="57" t="n"/>
      <c r="J26" s="140" t="n"/>
      <c r="K26" s="145" t="n"/>
      <c r="L26" s="149" t="n"/>
      <c r="M26" s="140" t="n"/>
      <c r="N26" s="140" t="n"/>
      <c r="O26" s="140">
        <f>L19-M19</f>
        <v/>
      </c>
      <c r="P26" s="140">
        <f>K19-N19</f>
        <v/>
      </c>
      <c r="Q26" s="140">
        <f>M19+O19</f>
        <v/>
      </c>
      <c r="R26" s="140">
        <f>M19+N19+O19+P19</f>
        <v/>
      </c>
      <c r="S26" s="147" t="n"/>
      <c r="T26" s="147" t="n"/>
      <c r="U26" s="147" t="n"/>
      <c r="V26" s="147" t="n"/>
      <c r="W26" s="147" t="n"/>
      <c r="X26" s="147" t="n"/>
      <c r="Y26" s="147" t="n"/>
      <c r="Z26" s="140">
        <f>SUM(AA19:AJ19)</f>
        <v/>
      </c>
      <c r="AA26" s="147" t="n"/>
      <c r="AB26" s="147" t="n"/>
      <c r="AC26" s="147" t="n"/>
      <c r="AD26" s="147" t="n"/>
      <c r="AE26" s="147" t="n"/>
      <c r="AF26" s="147" t="n"/>
      <c r="AG26" s="147" t="n"/>
      <c r="AH26" s="147" t="n"/>
      <c r="AI26" s="147" t="n"/>
      <c r="AJ26" s="147" t="n"/>
      <c r="AK26" s="141">
        <f>AB19/1.17*0.17+AC19/1.16*0.16+AD19/1.11*0.11+AE19/1.1*0.1+AF19/1.09*0.09+AI19/1.03*0.03</f>
        <v/>
      </c>
      <c r="AL26" s="77" t="n"/>
    </row>
    <row r="27" ht="14" customHeight="1" s="116">
      <c r="A27" s="19" t="n">
        <v>2</v>
      </c>
      <c r="B27" s="19" t="n"/>
      <c r="C27" s="19" t="n"/>
      <c r="D27" s="148" t="n"/>
      <c r="E27" s="153" t="n"/>
      <c r="F27" s="153" t="n"/>
      <c r="G27" s="153" t="n"/>
      <c r="H27" s="140" t="n"/>
      <c r="I27" s="140" t="n"/>
      <c r="J27" s="140" t="n"/>
      <c r="K27" s="145" t="n"/>
      <c r="L27" s="149" t="n"/>
      <c r="M27" s="140" t="n"/>
      <c r="N27" s="140" t="n"/>
      <c r="O27" s="140">
        <f>L20-M20</f>
        <v/>
      </c>
      <c r="P27" s="140">
        <f>K20-N20</f>
        <v/>
      </c>
      <c r="Q27" s="140">
        <f>M20+O20</f>
        <v/>
      </c>
      <c r="R27" s="140">
        <f>M20+N20+O20+P20</f>
        <v/>
      </c>
      <c r="S27" s="147" t="n"/>
      <c r="T27" s="147" t="n"/>
      <c r="U27" s="147" t="n"/>
      <c r="V27" s="147" t="n"/>
      <c r="W27" s="147" t="n"/>
      <c r="X27" s="147" t="n"/>
      <c r="Y27" s="147" t="n"/>
      <c r="Z27" s="140">
        <f>SUM(AA20:AJ20)</f>
        <v/>
      </c>
      <c r="AA27" s="147" t="n"/>
      <c r="AB27" s="147" t="n"/>
      <c r="AC27" s="147" t="n"/>
      <c r="AD27" s="147" t="n"/>
      <c r="AE27" s="147" t="n"/>
      <c r="AF27" s="147" t="n"/>
      <c r="AG27" s="147" t="n"/>
      <c r="AH27" s="147" t="n"/>
      <c r="AI27" s="147" t="n"/>
      <c r="AJ27" s="147" t="n"/>
      <c r="AK27" s="141">
        <f>AB20/1.17*0.17+AC20/1.16*0.16+AD20/1.11*0.11+AE20/1.1*0.1+AF20/1.09*0.09+AI20/1.03*0.03</f>
        <v/>
      </c>
      <c r="AL27" s="77" t="n"/>
    </row>
    <row r="28" ht="14" customHeight="1" s="116">
      <c r="A28" s="19" t="n">
        <v>3</v>
      </c>
      <c r="B28" s="19" t="n"/>
      <c r="C28" s="19" t="n"/>
      <c r="D28" s="148" t="n"/>
      <c r="E28" s="30" t="n"/>
      <c r="F28" s="30" t="n"/>
      <c r="G28" s="30" t="n"/>
      <c r="H28" s="140" t="n"/>
      <c r="I28" s="140" t="n"/>
      <c r="J28" s="140" t="n"/>
      <c r="K28" s="145" t="n"/>
      <c r="L28" s="149" t="n"/>
      <c r="M28" s="140" t="n"/>
      <c r="N28" s="140" t="n"/>
      <c r="O28" s="140">
        <f>L21-M21</f>
        <v/>
      </c>
      <c r="P28" s="140">
        <f>K21-N21</f>
        <v/>
      </c>
      <c r="Q28" s="140">
        <f>M21+O21</f>
        <v/>
      </c>
      <c r="R28" s="140">
        <f>M21+N21+O21+P21</f>
        <v/>
      </c>
      <c r="S28" s="147" t="n"/>
      <c r="T28" s="147" t="n"/>
      <c r="U28" s="147" t="n"/>
      <c r="V28" s="147" t="n"/>
      <c r="W28" s="147" t="n"/>
      <c r="X28" s="147" t="n"/>
      <c r="Y28" s="147" t="n"/>
      <c r="Z28" s="140">
        <f>SUM(AA21:AJ21)</f>
        <v/>
      </c>
      <c r="AA28" s="147" t="n"/>
      <c r="AB28" s="147" t="n"/>
      <c r="AC28" s="147" t="n"/>
      <c r="AD28" s="147" t="n"/>
      <c r="AE28" s="147" t="n"/>
      <c r="AF28" s="147" t="n"/>
      <c r="AG28" s="147" t="n"/>
      <c r="AH28" s="147" t="n"/>
      <c r="AI28" s="147" t="n"/>
      <c r="AJ28" s="147" t="n"/>
      <c r="AK28" s="141">
        <f>AB21/1.17*0.17+AC21/1.16*0.16+AD21/1.11*0.11+AE21/1.1*0.1+AF21/1.09*0.09+AI21/1.03*0.03</f>
        <v/>
      </c>
      <c r="AL28" s="77" t="n"/>
    </row>
    <row r="29" ht="14" customHeight="1" s="116">
      <c r="A29" s="150" t="n"/>
      <c r="B29" s="150" t="n"/>
      <c r="C29" s="151" t="inlineStr">
        <is>
          <t>广东新添美安防技术有限公司</t>
        </is>
      </c>
      <c r="D29" s="151" t="inlineStr">
        <is>
          <t>中建四局0200202103603003</t>
        </is>
      </c>
      <c r="E29" s="150" t="n"/>
      <c r="F29" s="150" t="n"/>
      <c r="G29" s="150" t="n"/>
      <c r="H29" s="150" t="n"/>
      <c r="I29" s="150" t="n"/>
      <c r="J29" s="150" t="n"/>
      <c r="K29" s="150" t="n"/>
      <c r="L29" s="150" t="n"/>
      <c r="M29" s="150" t="n"/>
      <c r="N29" s="150" t="n"/>
      <c r="O29" s="150" t="n"/>
      <c r="P29" s="152" t="n">
        <v>7542836.89</v>
      </c>
      <c r="Q29" s="150" t="n"/>
      <c r="R29" s="150" t="n"/>
      <c r="S29" s="150" t="n"/>
      <c r="T29" s="150" t="n"/>
    </row>
    <row r="30" ht="14" customHeight="1" s="116">
      <c r="A30" s="150" t="n"/>
      <c r="B30" s="150" t="n"/>
      <c r="C30" s="151" t="inlineStr">
        <is>
          <t>广东粤忠晟保安服务有限公司</t>
        </is>
      </c>
      <c r="D30" s="151" t="inlineStr">
        <is>
          <t>中建四局020020210036030002</t>
        </is>
      </c>
      <c r="E30" s="150" t="n"/>
      <c r="F30" s="150" t="n"/>
      <c r="G30" s="150" t="n"/>
      <c r="H30" s="150" t="n"/>
      <c r="I30" s="150" t="n"/>
      <c r="J30" s="150" t="n"/>
      <c r="K30" s="150" t="n"/>
      <c r="L30" s="150" t="n"/>
      <c r="M30" s="150" t="n"/>
      <c r="N30" s="150" t="n"/>
      <c r="O30" s="150" t="n"/>
      <c r="P30" s="152" t="n">
        <v>1429064.55</v>
      </c>
      <c r="Q30" s="150" t="n"/>
      <c r="R30" s="150" t="n"/>
      <c r="S30" s="150" t="n"/>
      <c r="T30" s="150" t="n"/>
    </row>
    <row r="31" ht="14" customHeight="1" s="116">
      <c r="A31" s="150" t="n"/>
      <c r="B31" s="150" t="n"/>
      <c r="C31" s="151" t="inlineStr">
        <is>
          <t>无客商-计提汤村复1地块安全生产费</t>
        </is>
      </c>
      <c r="D31" s="151" t="n"/>
      <c r="E31" s="150" t="n"/>
      <c r="F31" s="150" t="n"/>
      <c r="G31" s="150" t="n"/>
      <c r="H31" s="150" t="n"/>
      <c r="I31" s="150" t="n"/>
      <c r="J31" s="150" t="n"/>
      <c r="K31" s="150" t="n"/>
      <c r="L31" s="150" t="n"/>
      <c r="M31" s="150" t="n"/>
      <c r="N31" s="150" t="n"/>
      <c r="O31" s="150" t="n"/>
      <c r="P31" s="152" t="n">
        <v>-5809818.35</v>
      </c>
      <c r="Q31" s="150" t="n"/>
      <c r="R31" s="150" t="n"/>
      <c r="S31" s="150" t="n"/>
      <c r="T31" s="150" t="n"/>
    </row>
    <row r="32" ht="26" customHeight="1" s="116">
      <c r="A32" s="150" t="n"/>
      <c r="B32" s="150" t="n"/>
      <c r="C32" s="151" t="inlineStr">
        <is>
          <t>无客商-计提汤村汤村复1地块安全生产费</t>
        </is>
      </c>
      <c r="D32" s="151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0" t="n"/>
      <c r="P32" s="152" t="n">
        <v>0</v>
      </c>
      <c r="Q32" s="150" t="n"/>
      <c r="R32" s="150" t="n"/>
      <c r="S32" s="150" t="n"/>
      <c r="T32" s="150" t="n"/>
    </row>
    <row r="33" ht="14" customHeight="1" s="116">
      <c r="A33" s="150" t="n"/>
      <c r="B33" s="150" t="n"/>
      <c r="C33" s="151" t="inlineStr">
        <is>
          <t>正工模块化建筑科技（深圳）有限公司</t>
        </is>
      </c>
      <c r="D33" s="151" t="inlineStr">
        <is>
          <t>中建四局0200202103603001</t>
        </is>
      </c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0" t="n"/>
      <c r="P33" s="152" t="n">
        <v>1322968.79</v>
      </c>
      <c r="Q33" s="150" t="n"/>
      <c r="R33" s="150" t="n"/>
      <c r="S33" s="150" t="n"/>
      <c r="T33" s="150" t="n"/>
    </row>
    <row r="34" ht="14" customHeight="1" s="116">
      <c r="A34" s="150" t="n"/>
      <c r="B34" s="150" t="n"/>
      <c r="C34" s="151" t="inlineStr">
        <is>
          <t>江西志特新材料股份有限公司</t>
        </is>
      </c>
      <c r="D34" s="151" t="inlineStr">
        <is>
          <t>中建四局0200202103603005</t>
        </is>
      </c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0" t="n"/>
      <c r="P34" s="152" t="n">
        <v>6462444.78</v>
      </c>
      <c r="Q34" s="150" t="n"/>
      <c r="R34" s="150" t="n"/>
      <c r="S34" s="150" t="n"/>
      <c r="T34" s="150" t="n"/>
    </row>
    <row r="35" ht="14" customHeight="1" s="116">
      <c r="A35" s="150" t="n"/>
      <c r="B35" s="150" t="n"/>
      <c r="C35" s="151" t="inlineStr">
        <is>
          <t>深圳市华西安装工程有限公司</t>
        </is>
      </c>
      <c r="D35" s="151" t="inlineStr">
        <is>
          <t>中建四局0200202103603004</t>
        </is>
      </c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0" t="n"/>
      <c r="P35" s="152" t="n">
        <v>16033034.52</v>
      </c>
      <c r="Q35" s="150" t="n"/>
      <c r="R35" s="150" t="n"/>
      <c r="S35" s="150" t="n"/>
      <c r="T35" s="150" t="n"/>
    </row>
    <row r="36" ht="14" customHeight="1" s="116">
      <c r="A36" s="150" t="n"/>
      <c r="B36" s="150" t="n"/>
      <c r="C36" s="151" t="inlineStr">
        <is>
          <t>湖北省隆兴防水材料有限责任公司</t>
        </is>
      </c>
      <c r="D36" s="151" t="inlineStr">
        <is>
          <t>中建四局0200202103603006</t>
        </is>
      </c>
      <c r="E36" s="150" t="n"/>
      <c r="F36" s="150" t="n"/>
      <c r="G36" s="150" t="n"/>
      <c r="H36" s="150" t="n"/>
      <c r="I36" s="150" t="n"/>
      <c r="J36" s="150" t="n"/>
      <c r="K36" s="150" t="n"/>
      <c r="L36" s="150" t="n"/>
      <c r="M36" s="150" t="n"/>
      <c r="N36" s="150" t="n"/>
      <c r="O36" s="150" t="n"/>
      <c r="P36" s="152" t="n">
        <v>3141650.02</v>
      </c>
      <c r="Q36" s="150" t="n"/>
      <c r="R36" s="150" t="n"/>
      <c r="S36" s="150" t="n"/>
      <c r="T36" s="150" t="n"/>
    </row>
    <row r="37" ht="14" customHeight="1" s="116">
      <c r="A37" s="150" t="n"/>
      <c r="B37" s="150" t="n"/>
      <c r="C37" s="151" t="inlineStr">
        <is>
          <t>湖南阳旭建筑劳务服务有限公司</t>
        </is>
      </c>
      <c r="D37" s="151" t="inlineStr">
        <is>
          <t>中建四局0200202103603002</t>
        </is>
      </c>
      <c r="E37" s="150" t="n"/>
      <c r="F37" s="150" t="n"/>
      <c r="G37" s="150" t="n"/>
      <c r="H37" s="150" t="n"/>
      <c r="I37" s="150" t="n"/>
      <c r="J37" s="150" t="n"/>
      <c r="K37" s="150" t="n"/>
      <c r="L37" s="150" t="n"/>
      <c r="M37" s="150" t="n"/>
      <c r="N37" s="150" t="n"/>
      <c r="O37" s="150" t="n"/>
      <c r="P37" s="152" t="n">
        <v>39456446.11</v>
      </c>
      <c r="Q37" s="150" t="n"/>
      <c r="R37" s="150" t="n"/>
      <c r="S37" s="150" t="n"/>
      <c r="T37" s="150" t="n"/>
    </row>
    <row r="38" ht="14" customHeight="1" s="116">
      <c r="A38" s="19" t="n"/>
      <c r="B38" s="19" t="n"/>
      <c r="C38" s="19" t="n"/>
      <c r="D38" s="24" t="inlineStr">
        <is>
          <t>**财务未列部分需增列***</t>
        </is>
      </c>
      <c r="E38" s="155" t="n"/>
      <c r="F38" s="155" t="n"/>
      <c r="G38" s="155" t="n"/>
      <c r="H38" s="140" t="n"/>
      <c r="I38" s="140" t="n"/>
      <c r="J38" s="140" t="n"/>
      <c r="K38" s="145" t="n"/>
      <c r="L38" s="149" t="n"/>
      <c r="M38" s="140" t="n"/>
      <c r="N38" s="140" t="n"/>
      <c r="O38" s="140">
        <f>L22-M22</f>
        <v/>
      </c>
      <c r="P38" s="140">
        <f>K22-N22</f>
        <v/>
      </c>
      <c r="Q38" s="140">
        <f>M22+O22</f>
        <v/>
      </c>
      <c r="R38" s="140">
        <f>M22+N22+O22+P22</f>
        <v/>
      </c>
      <c r="S38" s="140" t="n"/>
      <c r="T38" s="140" t="n"/>
      <c r="U38" s="140" t="n"/>
      <c r="V38" s="140" t="n"/>
      <c r="W38" s="140" t="n"/>
      <c r="X38" s="140" t="n"/>
      <c r="Y38" s="140" t="n"/>
      <c r="Z38" s="147" t="n"/>
      <c r="AA38" s="147" t="n"/>
      <c r="AB38" s="141" t="n"/>
      <c r="AC38" s="141" t="n"/>
      <c r="AD38" s="141" t="n"/>
      <c r="AE38" s="141" t="n"/>
      <c r="AF38" s="141" t="n"/>
      <c r="AG38" s="141" t="n"/>
      <c r="AH38" s="141" t="n"/>
      <c r="AI38" s="141" t="n"/>
      <c r="AJ38" s="141" t="n"/>
      <c r="AK38" s="141">
        <f>AB22/1.17*0.17+AC22/1.16*0.16+AD22/1.11*0.11+AE22/1.1*0.1+AF22/1.09*0.09+AI22/1.03*0.03</f>
        <v/>
      </c>
      <c r="AL38" s="78" t="n"/>
    </row>
    <row r="39" ht="14" customHeight="1" s="116">
      <c r="A39" s="26" t="n"/>
      <c r="B39" s="26" t="n"/>
      <c r="C39" s="26" t="n"/>
      <c r="D39" s="27" t="inlineStr">
        <is>
          <t>分包工程小计：</t>
        </is>
      </c>
      <c r="E39" s="154">
        <f>SUM(E18:E22)</f>
        <v/>
      </c>
      <c r="F39" s="154">
        <f>SUM(F18:F22)</f>
        <v/>
      </c>
      <c r="G39" s="154">
        <f>SUM(G18:G22)</f>
        <v/>
      </c>
      <c r="H39" s="154">
        <f>SUM(H18:H22)</f>
        <v/>
      </c>
      <c r="I39" s="154">
        <f>SUM(I18:I22)</f>
        <v/>
      </c>
      <c r="J39" s="154">
        <f>SUM(J18:J22)</f>
        <v/>
      </c>
      <c r="K39" s="154">
        <f>SUM(K18:K22)</f>
        <v/>
      </c>
      <c r="L39" s="154">
        <f>SUM(L18:L22)</f>
        <v/>
      </c>
      <c r="M39" s="154">
        <f>SUM(M18:M22)</f>
        <v/>
      </c>
      <c r="N39" s="154">
        <f>SUM(N18:N22)</f>
        <v/>
      </c>
      <c r="O39" s="154">
        <f>SUM(O18:O22)</f>
        <v/>
      </c>
      <c r="P39" s="154">
        <f>SUM(P18:P22)</f>
        <v/>
      </c>
      <c r="Q39" s="154">
        <f>SUM(Q18:Q22)</f>
        <v/>
      </c>
      <c r="R39" s="154">
        <f>SUM(R18:R22)</f>
        <v/>
      </c>
      <c r="S39" s="154">
        <f>SUM(S18:S22)</f>
        <v/>
      </c>
      <c r="T39" s="154">
        <f>SUM(T18:T22)</f>
        <v/>
      </c>
      <c r="U39" s="154">
        <f>SUM(U18:U22)</f>
        <v/>
      </c>
      <c r="V39" s="154">
        <f>SUM(V18:V22)</f>
        <v/>
      </c>
      <c r="W39" s="154">
        <f>SUM(W18:W22)</f>
        <v/>
      </c>
      <c r="X39" s="154">
        <f>SUM(X18:X22)</f>
        <v/>
      </c>
      <c r="Y39" s="154">
        <f>SUM(Y18:Y22)</f>
        <v/>
      </c>
      <c r="Z39" s="154">
        <f>SUM(Z18:Z22)</f>
        <v/>
      </c>
      <c r="AA39" s="154">
        <f>SUM(AA18:AA22)</f>
        <v/>
      </c>
      <c r="AB39" s="154">
        <f>SUM(AB18:AB22)</f>
        <v/>
      </c>
      <c r="AC39" s="154">
        <f>SUM(AC18:AC22)</f>
        <v/>
      </c>
      <c r="AD39" s="154">
        <f>SUM(AD18:AD22)</f>
        <v/>
      </c>
      <c r="AE39" s="154">
        <f>SUM(AE18:AE22)</f>
        <v/>
      </c>
      <c r="AF39" s="154">
        <f>SUM(AF18:AF22)</f>
        <v/>
      </c>
      <c r="AG39" s="154">
        <f>SUM(AG18:AG22)</f>
        <v/>
      </c>
      <c r="AH39" s="154">
        <f>SUM(AH18:AH22)</f>
        <v/>
      </c>
      <c r="AI39" s="154">
        <f>SUM(AI18:AI22)</f>
        <v/>
      </c>
      <c r="AJ39" s="154">
        <f>SUM(AJ18:AJ22)</f>
        <v/>
      </c>
      <c r="AK39" s="154">
        <f>SUM(AK18:AK22)</f>
        <v/>
      </c>
      <c r="AL39" s="77" t="n"/>
    </row>
    <row r="40" ht="14" customHeight="1" s="116">
      <c r="A40" s="19" t="n"/>
      <c r="B40" s="19" t="n"/>
      <c r="C40" s="19" t="n"/>
      <c r="D40" s="29" t="inlineStr">
        <is>
          <t>(三)材料费</t>
        </is>
      </c>
      <c r="E40" s="19" t="n"/>
      <c r="F40" s="19" t="n"/>
      <c r="G40" s="19" t="n"/>
      <c r="H40" s="140" t="n"/>
      <c r="I40" s="140" t="n"/>
      <c r="J40" s="140" t="n"/>
      <c r="K40" s="145" t="n"/>
      <c r="L40" s="149" t="n"/>
      <c r="M40" s="140" t="n"/>
      <c r="N40" s="140" t="n"/>
      <c r="O40" s="140">
        <f>L24-M24</f>
        <v/>
      </c>
      <c r="P40" s="140">
        <f>K24-N24</f>
        <v/>
      </c>
      <c r="Q40" s="140">
        <f>M24+O24</f>
        <v/>
      </c>
      <c r="R40" s="140">
        <f>M24+N24+O24+P24</f>
        <v/>
      </c>
      <c r="S40" s="147" t="n"/>
      <c r="T40" s="147" t="n"/>
      <c r="U40" s="147" t="n"/>
      <c r="V40" s="147" t="n"/>
      <c r="W40" s="147" t="n"/>
      <c r="X40" s="147" t="n"/>
      <c r="Y40" s="147" t="n"/>
      <c r="Z40" s="147" t="n"/>
      <c r="AA40" s="147" t="n"/>
      <c r="AB40" s="156" t="n"/>
      <c r="AC40" s="156" t="n"/>
      <c r="AD40" s="156" t="n"/>
      <c r="AE40" s="156" t="n"/>
      <c r="AF40" s="156" t="n"/>
      <c r="AG40" s="156" t="n"/>
      <c r="AH40" s="156" t="n"/>
      <c r="AI40" s="156" t="n"/>
      <c r="AJ40" s="156" t="n"/>
      <c r="AK40" s="141">
        <f>AB24/1.17*0.17+AC24/1.16*0.16+AD24/1.11*0.11+AE24/1.1*0.1+AF24/1.09*0.09+AI24/1.03*0.03</f>
        <v/>
      </c>
      <c r="AL40" s="79" t="n"/>
    </row>
    <row r="41" ht="14" customHeight="1" s="116">
      <c r="A41" s="19" t="n"/>
      <c r="B41" s="19" t="n"/>
      <c r="C41" s="19" t="n"/>
      <c r="D41" s="140" t="inlineStr">
        <is>
          <t>（1）集中采购</t>
        </is>
      </c>
      <c r="E41" s="19" t="n"/>
      <c r="F41" s="19" t="n"/>
      <c r="G41" s="19" t="n"/>
      <c r="H41" s="140" t="n"/>
      <c r="I41" s="140" t="n"/>
      <c r="J41" s="140" t="n"/>
      <c r="K41" s="145" t="n"/>
      <c r="L41" s="149" t="n"/>
      <c r="M41" s="140" t="n"/>
      <c r="N41" s="140" t="n"/>
      <c r="O41" s="140">
        <f>L25-M25</f>
        <v/>
      </c>
      <c r="P41" s="140">
        <f>K25-N25</f>
        <v/>
      </c>
      <c r="Q41" s="140">
        <f>M25+O25</f>
        <v/>
      </c>
      <c r="R41" s="140">
        <f>M25+N25+O25+P25</f>
        <v/>
      </c>
      <c r="S41" s="147" t="n"/>
      <c r="T41" s="147" t="n"/>
      <c r="U41" s="147" t="n"/>
      <c r="V41" s="147" t="n"/>
      <c r="W41" s="147" t="n"/>
      <c r="X41" s="147" t="n"/>
      <c r="Y41" s="147" t="n"/>
      <c r="Z41" s="147" t="n"/>
      <c r="AA41" s="147" t="n"/>
      <c r="AB41" s="156" t="n"/>
      <c r="AC41" s="156" t="n"/>
      <c r="AD41" s="156" t="n"/>
      <c r="AE41" s="156" t="n"/>
      <c r="AF41" s="156" t="n"/>
      <c r="AG41" s="156" t="n"/>
      <c r="AH41" s="156" t="n"/>
      <c r="AI41" s="156" t="n"/>
      <c r="AJ41" s="156" t="n"/>
      <c r="AK41" s="141">
        <f>AB25/1.17*0.17+AC25/1.16*0.16+AD25/1.11*0.11+AE25/1.1*0.1+AF25/1.09*0.09+AI25/1.03*0.03</f>
        <v/>
      </c>
      <c r="AL41" s="79" t="n"/>
    </row>
    <row r="42" ht="14" customHeight="1" s="116">
      <c r="A42" s="19" t="n">
        <v>1</v>
      </c>
      <c r="B42" s="19" t="n"/>
      <c r="C42" s="19" t="n"/>
      <c r="D42" s="148" t="n"/>
      <c r="E42" s="153" t="n"/>
      <c r="F42" s="153" t="n"/>
      <c r="G42" s="153" t="n"/>
      <c r="H42" s="140" t="n"/>
      <c r="I42" s="140" t="n"/>
      <c r="J42" s="140" t="n"/>
      <c r="K42" s="145" t="n"/>
      <c r="L42" s="149" t="n"/>
      <c r="M42" s="140" t="n"/>
      <c r="N42" s="140" t="n"/>
      <c r="O42" s="140">
        <f>L26-M26</f>
        <v/>
      </c>
      <c r="P42" s="140">
        <f>K26-N26</f>
        <v/>
      </c>
      <c r="Q42" s="140">
        <f>M26+O26</f>
        <v/>
      </c>
      <c r="R42" s="140">
        <f>M26+N26+O26+P26</f>
        <v/>
      </c>
      <c r="S42" s="147" t="n"/>
      <c r="T42" s="147" t="n"/>
      <c r="U42" s="147" t="n"/>
      <c r="V42" s="147" t="n"/>
      <c r="W42" s="147" t="n"/>
      <c r="X42" s="147" t="n"/>
      <c r="Y42" s="147" t="n"/>
      <c r="Z42" s="140">
        <f>SUM(AA26:AJ26)</f>
        <v/>
      </c>
      <c r="AA42" s="147" t="n"/>
      <c r="AB42" s="156" t="n"/>
      <c r="AC42" s="156" t="n"/>
      <c r="AD42" s="156" t="n"/>
      <c r="AE42" s="156" t="n"/>
      <c r="AF42" s="156" t="n"/>
      <c r="AG42" s="156" t="n"/>
      <c r="AH42" s="156" t="n"/>
      <c r="AI42" s="156" t="n"/>
      <c r="AJ42" s="156" t="n"/>
      <c r="AK42" s="141">
        <f>AB26/1.17*0.17+AC26/1.16*0.16+AD26/1.11*0.11+AE26/1.1*0.1+AF26/1.09*0.09+AI26/1.03*0.03</f>
        <v/>
      </c>
      <c r="AL42" s="79" t="n"/>
    </row>
    <row r="43" ht="14" customHeight="1" s="116">
      <c r="A43" s="19" t="n">
        <v>2</v>
      </c>
      <c r="B43" s="19" t="n"/>
      <c r="C43" s="19" t="n"/>
      <c r="D43" s="148" t="n"/>
      <c r="E43" s="153" t="n"/>
      <c r="F43" s="153" t="n"/>
      <c r="G43" s="153" t="n"/>
      <c r="H43" s="140" t="n"/>
      <c r="I43" s="140" t="n"/>
      <c r="J43" s="140" t="n"/>
      <c r="K43" s="145" t="n"/>
      <c r="L43" s="149" t="n"/>
      <c r="M43" s="140" t="n"/>
      <c r="N43" s="140" t="n"/>
      <c r="O43" s="140">
        <f>L27-M27</f>
        <v/>
      </c>
      <c r="P43" s="140">
        <f>K27-N27</f>
        <v/>
      </c>
      <c r="Q43" s="140">
        <f>M27+O27</f>
        <v/>
      </c>
      <c r="R43" s="140">
        <f>M27+N27+O27+P27</f>
        <v/>
      </c>
      <c r="S43" s="147" t="n"/>
      <c r="T43" s="147" t="n"/>
      <c r="U43" s="147" t="n"/>
      <c r="V43" s="147" t="n"/>
      <c r="W43" s="147" t="n"/>
      <c r="X43" s="147" t="n"/>
      <c r="Y43" s="147" t="n"/>
      <c r="Z43" s="140">
        <f>SUM(AA27:AJ27)</f>
        <v/>
      </c>
      <c r="AA43" s="147" t="n"/>
      <c r="AB43" s="156" t="n"/>
      <c r="AC43" s="156" t="n"/>
      <c r="AD43" s="156" t="n"/>
      <c r="AE43" s="156" t="n"/>
      <c r="AF43" s="156" t="n"/>
      <c r="AG43" s="156" t="n"/>
      <c r="AH43" s="156" t="n"/>
      <c r="AI43" s="156" t="n"/>
      <c r="AJ43" s="156" t="n"/>
      <c r="AK43" s="141">
        <f>AB27/1.17*0.17+AC27/1.16*0.16+AD27/1.11*0.11+AE27/1.1*0.1+AF27/1.09*0.09+AI27/1.03*0.03</f>
        <v/>
      </c>
      <c r="AL43" s="79" t="n"/>
    </row>
    <row r="44" ht="14" customHeight="1" s="116">
      <c r="A44" s="19" t="n">
        <v>3</v>
      </c>
      <c r="B44" s="19" t="n"/>
      <c r="C44" s="19" t="n"/>
      <c r="D44" s="148" t="n"/>
      <c r="E44" s="153" t="n"/>
      <c r="F44" s="153" t="n"/>
      <c r="G44" s="153" t="n"/>
      <c r="H44" s="140" t="n"/>
      <c r="I44" s="140" t="n"/>
      <c r="J44" s="140" t="n"/>
      <c r="K44" s="145" t="n"/>
      <c r="L44" s="149" t="n"/>
      <c r="M44" s="140" t="n"/>
      <c r="N44" s="140" t="n"/>
      <c r="O44" s="140">
        <f>L28-M28</f>
        <v/>
      </c>
      <c r="P44" s="140">
        <f>K28-N28</f>
        <v/>
      </c>
      <c r="Q44" s="140">
        <f>M28+O28</f>
        <v/>
      </c>
      <c r="R44" s="140">
        <f>M28+N28+O28+P28</f>
        <v/>
      </c>
      <c r="S44" s="147" t="n"/>
      <c r="T44" s="147" t="n"/>
      <c r="U44" s="147" t="n"/>
      <c r="V44" s="147" t="n"/>
      <c r="W44" s="147" t="n"/>
      <c r="X44" s="147" t="n"/>
      <c r="Y44" s="147" t="n"/>
      <c r="Z44" s="140">
        <f>SUM(AA28:AJ28)</f>
        <v/>
      </c>
      <c r="AA44" s="147" t="n"/>
      <c r="AB44" s="156" t="n"/>
      <c r="AC44" s="156" t="n"/>
      <c r="AD44" s="156" t="n"/>
      <c r="AE44" s="156" t="n"/>
      <c r="AF44" s="156" t="n"/>
      <c r="AG44" s="156" t="n"/>
      <c r="AH44" s="156" t="n"/>
      <c r="AI44" s="156" t="n"/>
      <c r="AJ44" s="156" t="n"/>
      <c r="AK44" s="141">
        <f>AB28/1.17*0.17+AC28/1.16*0.16+AD28/1.11*0.11+AE28/1.1*0.1+AF28/1.09*0.09+AI28/1.03*0.03</f>
        <v/>
      </c>
      <c r="AL44" s="79" t="n"/>
    </row>
    <row r="45" ht="14" customHeight="1" s="116">
      <c r="A45" s="19" t="n"/>
      <c r="B45" s="19" t="n"/>
      <c r="C45" s="19" t="n"/>
      <c r="D45" s="140" t="inlineStr">
        <is>
          <t>（2）自行采购</t>
        </is>
      </c>
      <c r="E45" s="155" t="n"/>
      <c r="F45" s="155" t="n"/>
      <c r="G45" s="155" t="n"/>
      <c r="H45" s="140" t="n">
        <v>0</v>
      </c>
      <c r="I45" s="140" t="n"/>
      <c r="J45" s="140" t="n"/>
      <c r="K45" s="145" t="n"/>
      <c r="L45" s="149" t="n"/>
      <c r="M45" s="140" t="n"/>
      <c r="N45" s="140" t="n"/>
      <c r="O45" s="140">
        <f>L29-M29</f>
        <v/>
      </c>
      <c r="P45" s="140">
        <f>K29-N29</f>
        <v/>
      </c>
      <c r="Q45" s="140">
        <f>M29+O29</f>
        <v/>
      </c>
      <c r="R45" s="140">
        <f>M29+N29+O29+P29</f>
        <v/>
      </c>
      <c r="S45" s="147" t="n"/>
      <c r="T45" s="147" t="n"/>
      <c r="U45" s="147" t="n"/>
      <c r="V45" s="147" t="n"/>
      <c r="W45" s="147" t="n"/>
      <c r="X45" s="147" t="n"/>
      <c r="Y45" s="147" t="n"/>
      <c r="Z45" s="140">
        <f>SUM(AA29:AJ29)</f>
        <v/>
      </c>
      <c r="AA45" s="147" t="n"/>
      <c r="AB45" s="156" t="n"/>
      <c r="AC45" s="156" t="n"/>
      <c r="AD45" s="156" t="n"/>
      <c r="AE45" s="156" t="n"/>
      <c r="AF45" s="156" t="n"/>
      <c r="AG45" s="156" t="n"/>
      <c r="AH45" s="156" t="n"/>
      <c r="AI45" s="156" t="n"/>
      <c r="AJ45" s="156" t="n"/>
      <c r="AK45" s="141">
        <f>AB29/1.17*0.17+AC29/1.16*0.16+AD29/1.11*0.11+AE29/1.1*0.1+AF29/1.09*0.09+AI29/1.03*0.03</f>
        <v/>
      </c>
      <c r="AL45" s="79" t="n"/>
    </row>
    <row r="46" ht="14" customHeight="1" s="116">
      <c r="A46" s="150" t="n"/>
      <c r="B46" s="150" t="n"/>
      <c r="C46" s="151" t="inlineStr">
        <is>
          <t>东莞市广拓建材贸易有限公司</t>
        </is>
      </c>
      <c r="D46" s="151" t="inlineStr">
        <is>
          <t>中建四局02002021036060015</t>
        </is>
      </c>
      <c r="E46" s="150" t="n"/>
      <c r="F46" s="150" t="n"/>
      <c r="G46" s="150" t="n"/>
      <c r="H46" s="150" t="n"/>
      <c r="I46" s="150" t="n"/>
      <c r="J46" s="150" t="n"/>
      <c r="K46" s="150" t="n"/>
      <c r="L46" s="150" t="n"/>
      <c r="M46" s="150" t="n"/>
      <c r="N46" s="150" t="n"/>
      <c r="O46" s="150" t="n"/>
      <c r="P46" s="152" t="n">
        <v>2678965.24</v>
      </c>
      <c r="Q46" s="150" t="n"/>
      <c r="R46" s="150" t="n"/>
      <c r="S46" s="150" t="n"/>
      <c r="T46" s="150" t="n"/>
    </row>
    <row r="47" ht="14" customHeight="1" s="116">
      <c r="A47" s="150" t="n"/>
      <c r="B47" s="150" t="n"/>
      <c r="C47" s="151" t="inlineStr">
        <is>
          <t>中励供应链管理（浙江）有限公司</t>
        </is>
      </c>
      <c r="D47" s="151" t="inlineStr">
        <is>
          <t>中建四局0200202103606012</t>
        </is>
      </c>
      <c r="E47" s="150" t="n"/>
      <c r="F47" s="150" t="n"/>
      <c r="G47" s="150" t="n"/>
      <c r="H47" s="150" t="n"/>
      <c r="I47" s="150" t="n"/>
      <c r="J47" s="150" t="n"/>
      <c r="K47" s="150" t="n"/>
      <c r="L47" s="150" t="n"/>
      <c r="M47" s="150" t="n"/>
      <c r="N47" s="150" t="n"/>
      <c r="O47" s="150" t="n"/>
      <c r="P47" s="152" t="n">
        <v>23889974.12</v>
      </c>
      <c r="Q47" s="150" t="n"/>
      <c r="R47" s="150" t="n"/>
      <c r="S47" s="150" t="n"/>
      <c r="T47" s="150" t="n"/>
    </row>
    <row r="48" ht="14" customHeight="1" s="116">
      <c r="A48" s="150" t="n"/>
      <c r="B48" s="150" t="n"/>
      <c r="C48" s="151" t="inlineStr">
        <is>
          <t>佛山唐贵五金电器有限公司</t>
        </is>
      </c>
      <c r="D48" s="151" t="inlineStr">
        <is>
          <t>中建四局0200202103606002</t>
        </is>
      </c>
      <c r="E48" s="150" t="n"/>
      <c r="F48" s="150" t="n"/>
      <c r="G48" s="150" t="n"/>
      <c r="H48" s="150" t="n"/>
      <c r="I48" s="150" t="n"/>
      <c r="J48" s="150" t="n"/>
      <c r="K48" s="150" t="n"/>
      <c r="L48" s="150" t="n"/>
      <c r="M48" s="150" t="n"/>
      <c r="N48" s="150" t="n"/>
      <c r="O48" s="150" t="n"/>
      <c r="P48" s="152" t="n">
        <v>1606662.27</v>
      </c>
      <c r="Q48" s="150" t="n"/>
      <c r="R48" s="150" t="n"/>
      <c r="S48" s="150" t="n"/>
      <c r="T48" s="150" t="n"/>
    </row>
    <row r="49" ht="14" customHeight="1" s="116">
      <c r="A49" s="150" t="n"/>
      <c r="B49" s="150" t="n"/>
      <c r="C49" s="151" t="inlineStr">
        <is>
          <t>佛山唐贵五金电器有限公司</t>
        </is>
      </c>
      <c r="D49" s="151" t="inlineStr">
        <is>
          <t>中建四局0200202103606010</t>
        </is>
      </c>
      <c r="E49" s="150" t="n"/>
      <c r="F49" s="150" t="n"/>
      <c r="G49" s="150" t="n"/>
      <c r="H49" s="150" t="n"/>
      <c r="I49" s="150" t="n"/>
      <c r="J49" s="150" t="n"/>
      <c r="K49" s="150" t="n"/>
      <c r="L49" s="150" t="n"/>
      <c r="M49" s="150" t="n"/>
      <c r="N49" s="150" t="n"/>
      <c r="O49" s="150" t="n"/>
      <c r="P49" s="152" t="n">
        <v>122485.42</v>
      </c>
      <c r="Q49" s="150" t="n"/>
      <c r="R49" s="150" t="n"/>
      <c r="S49" s="150" t="n"/>
      <c r="T49" s="150" t="n"/>
    </row>
    <row r="50" ht="14" customHeight="1" s="116">
      <c r="A50" s="150" t="n"/>
      <c r="B50" s="150" t="n"/>
      <c r="C50" s="151" t="inlineStr">
        <is>
          <t>佛山市众万油品贸易有限公司</t>
        </is>
      </c>
      <c r="D50" s="151" t="inlineStr">
        <is>
          <t>中建四局0200202103606004</t>
        </is>
      </c>
      <c r="E50" s="150" t="n"/>
      <c r="F50" s="150" t="n"/>
      <c r="G50" s="150" t="n"/>
      <c r="H50" s="150" t="n"/>
      <c r="I50" s="150" t="n"/>
      <c r="J50" s="150" t="n"/>
      <c r="K50" s="150" t="n"/>
      <c r="L50" s="150" t="n"/>
      <c r="M50" s="150" t="n"/>
      <c r="N50" s="150" t="n"/>
      <c r="O50" s="150" t="n"/>
      <c r="P50" s="152" t="n">
        <v>159653.02</v>
      </c>
      <c r="Q50" s="150" t="n"/>
      <c r="R50" s="150" t="n"/>
      <c r="S50" s="150" t="n"/>
      <c r="T50" s="150" t="n"/>
    </row>
    <row r="51" ht="14" customHeight="1" s="116">
      <c r="A51" s="150" t="n"/>
      <c r="B51" s="150" t="n"/>
      <c r="C51" s="151" t="inlineStr">
        <is>
          <t>佛山市翊德通新型环保科技建材有限公司</t>
        </is>
      </c>
      <c r="D51" s="151" t="inlineStr">
        <is>
          <t>中建四局0200202103606013</t>
        </is>
      </c>
      <c r="E51" s="150" t="n"/>
      <c r="F51" s="150" t="n"/>
      <c r="G51" s="150" t="n"/>
      <c r="H51" s="150" t="n"/>
      <c r="I51" s="150" t="n"/>
      <c r="J51" s="150" t="n"/>
      <c r="K51" s="150" t="n"/>
      <c r="L51" s="150" t="n"/>
      <c r="M51" s="150" t="n"/>
      <c r="N51" s="150" t="n"/>
      <c r="O51" s="150" t="n"/>
      <c r="P51" s="152" t="n">
        <v>3870637.75</v>
      </c>
      <c r="Q51" s="150" t="n"/>
      <c r="R51" s="150" t="n"/>
      <c r="S51" s="150" t="n"/>
      <c r="T51" s="150" t="n"/>
    </row>
    <row r="52" ht="14" customHeight="1" s="116">
      <c r="A52" s="150" t="n"/>
      <c r="B52" s="150" t="n"/>
      <c r="C52" s="151" t="inlineStr">
        <is>
          <t>广东广物物资有限公司</t>
        </is>
      </c>
      <c r="D52" s="151" t="inlineStr">
        <is>
          <t>中建四局0200202103606003</t>
        </is>
      </c>
      <c r="E52" s="150" t="n"/>
      <c r="F52" s="150" t="n"/>
      <c r="G52" s="150" t="n"/>
      <c r="H52" s="150" t="n"/>
      <c r="I52" s="150" t="n"/>
      <c r="J52" s="150" t="n"/>
      <c r="K52" s="150" t="n"/>
      <c r="L52" s="150" t="n"/>
      <c r="M52" s="150" t="n"/>
      <c r="N52" s="150" t="n"/>
      <c r="O52" s="150" t="n"/>
      <c r="P52" s="152" t="n">
        <v>11516250.3</v>
      </c>
      <c r="Q52" s="150" t="n"/>
      <c r="R52" s="150" t="n"/>
      <c r="S52" s="150" t="n"/>
      <c r="T52" s="150" t="n"/>
    </row>
    <row r="53" ht="14" customHeight="1" s="116">
      <c r="A53" s="150" t="n"/>
      <c r="B53" s="150" t="n"/>
      <c r="C53" s="151" t="inlineStr">
        <is>
          <t>广州东龙混凝土有限公司</t>
        </is>
      </c>
      <c r="D53" s="151" t="inlineStr">
        <is>
          <t>中建四局02002021036060014</t>
        </is>
      </c>
      <c r="E53" s="150" t="n"/>
      <c r="F53" s="150" t="n"/>
      <c r="G53" s="150" t="n"/>
      <c r="H53" s="150" t="n"/>
      <c r="I53" s="150" t="n"/>
      <c r="J53" s="150" t="n"/>
      <c r="K53" s="150" t="n"/>
      <c r="L53" s="150" t="n"/>
      <c r="M53" s="150" t="n"/>
      <c r="N53" s="150" t="n"/>
      <c r="O53" s="150" t="n"/>
      <c r="P53" s="152" t="n">
        <v>21666282.13</v>
      </c>
      <c r="Q53" s="150" t="n"/>
      <c r="R53" s="150" t="n"/>
      <c r="S53" s="150" t="n"/>
      <c r="T53" s="150" t="n"/>
    </row>
    <row r="54" ht="14" customHeight="1" s="116">
      <c r="A54" s="150" t="n"/>
      <c r="B54" s="150" t="n"/>
      <c r="C54" s="151" t="inlineStr">
        <is>
          <t>广州市万竣混凝土有限公司</t>
        </is>
      </c>
      <c r="D54" s="151" t="inlineStr">
        <is>
          <t>中建四局0200202103606001</t>
        </is>
      </c>
      <c r="E54" s="150" t="n"/>
      <c r="F54" s="150" t="n"/>
      <c r="G54" s="150" t="n"/>
      <c r="H54" s="150" t="n"/>
      <c r="I54" s="150" t="n"/>
      <c r="J54" s="150" t="n"/>
      <c r="K54" s="150" t="n"/>
      <c r="L54" s="150" t="n"/>
      <c r="M54" s="150" t="n"/>
      <c r="N54" s="150" t="n"/>
      <c r="O54" s="150" t="n"/>
      <c r="P54" s="152" t="n">
        <v>18159564.73</v>
      </c>
      <c r="Q54" s="150" t="n"/>
      <c r="R54" s="150" t="n"/>
      <c r="S54" s="150" t="n"/>
      <c r="T54" s="150" t="n"/>
    </row>
    <row r="55" ht="14" customHeight="1" s="116">
      <c r="A55" s="150" t="n"/>
      <c r="B55" s="150" t="n"/>
      <c r="C55" s="151" t="inlineStr">
        <is>
          <t>广州市番禺区石楼镇沙南建材二厂</t>
        </is>
      </c>
      <c r="D55" s="151" t="inlineStr">
        <is>
          <t>中建四局0200202103606005</t>
        </is>
      </c>
      <c r="E55" s="150" t="n"/>
      <c r="F55" s="150" t="n"/>
      <c r="G55" s="150" t="n"/>
      <c r="H55" s="150" t="n"/>
      <c r="I55" s="150" t="n"/>
      <c r="J55" s="150" t="n"/>
      <c r="K55" s="150" t="n"/>
      <c r="L55" s="150" t="n"/>
      <c r="M55" s="150" t="n"/>
      <c r="N55" s="150" t="n"/>
      <c r="O55" s="150" t="n"/>
      <c r="P55" s="152" t="n">
        <v>1222044.27</v>
      </c>
      <c r="Q55" s="150" t="n"/>
      <c r="R55" s="150" t="n"/>
      <c r="S55" s="150" t="n"/>
      <c r="T55" s="150" t="n"/>
    </row>
    <row r="56" ht="14" customHeight="1" s="116">
      <c r="A56" s="150" t="n"/>
      <c r="B56" s="150" t="n"/>
      <c r="C56" s="151" t="inlineStr">
        <is>
          <t>广州稔华建材有限公司</t>
        </is>
      </c>
      <c r="D56" s="151" t="inlineStr">
        <is>
          <t>中建四局0200202103606009</t>
        </is>
      </c>
      <c r="E56" s="150" t="n"/>
      <c r="F56" s="150" t="n"/>
      <c r="G56" s="150" t="n"/>
      <c r="H56" s="150" t="n"/>
      <c r="I56" s="150" t="n"/>
      <c r="J56" s="150" t="n"/>
      <c r="K56" s="150" t="n"/>
      <c r="L56" s="150" t="n"/>
      <c r="M56" s="150" t="n"/>
      <c r="N56" s="150" t="n"/>
      <c r="O56" s="150" t="n"/>
      <c r="P56" s="152" t="n">
        <v>747879.41</v>
      </c>
      <c r="Q56" s="150" t="n"/>
      <c r="R56" s="150" t="n"/>
      <c r="S56" s="150" t="n"/>
      <c r="T56" s="150" t="n"/>
    </row>
    <row r="57" ht="14" customHeight="1" s="116">
      <c r="A57" s="150" t="n"/>
      <c r="B57" s="150" t="n"/>
      <c r="C57" s="151" t="inlineStr">
        <is>
          <t>广州辰辰建材租赁有限公司</t>
        </is>
      </c>
      <c r="D57" s="151" t="inlineStr">
        <is>
          <t>中建四局0200202103606007</t>
        </is>
      </c>
      <c r="E57" s="150" t="n"/>
      <c r="F57" s="150" t="n"/>
      <c r="G57" s="150" t="n"/>
      <c r="H57" s="150" t="n"/>
      <c r="I57" s="150" t="n"/>
      <c r="J57" s="150" t="n"/>
      <c r="K57" s="150" t="n"/>
      <c r="L57" s="150" t="n"/>
      <c r="M57" s="150" t="n"/>
      <c r="N57" s="150" t="n"/>
      <c r="O57" s="150" t="n"/>
      <c r="P57" s="152" t="n">
        <v>446060</v>
      </c>
      <c r="Q57" s="150" t="n"/>
      <c r="R57" s="150" t="n"/>
      <c r="S57" s="150" t="n"/>
      <c r="T57" s="150" t="n"/>
    </row>
    <row r="58" ht="14" customHeight="1" s="116">
      <c r="A58" s="150" t="n"/>
      <c r="B58" s="150" t="n"/>
      <c r="C58" s="151" t="inlineStr">
        <is>
          <t>清远市榕兴新型环保建材有限责任公司</t>
        </is>
      </c>
      <c r="D58" s="151" t="inlineStr">
        <is>
          <t>中建四局0200202103606006</t>
        </is>
      </c>
      <c r="E58" s="150" t="n"/>
      <c r="F58" s="150" t="n"/>
      <c r="G58" s="150" t="n"/>
      <c r="H58" s="150" t="n"/>
      <c r="I58" s="150" t="n"/>
      <c r="J58" s="150" t="n"/>
      <c r="K58" s="150" t="n"/>
      <c r="L58" s="150" t="n"/>
      <c r="M58" s="150" t="n"/>
      <c r="N58" s="150" t="n"/>
      <c r="O58" s="150" t="n"/>
      <c r="P58" s="152" t="n">
        <v>1109491.46</v>
      </c>
      <c r="Q58" s="150" t="n"/>
      <c r="R58" s="150" t="n"/>
      <c r="S58" s="150" t="n"/>
      <c r="T58" s="150" t="n"/>
    </row>
    <row r="59" ht="14" customHeight="1" s="116">
      <c r="A59" s="150" t="n"/>
      <c r="B59" s="150" t="n"/>
      <c r="C59" s="151" t="inlineStr">
        <is>
          <t>湖南轨道物流发展有限公司</t>
        </is>
      </c>
      <c r="D59" s="151" t="inlineStr">
        <is>
          <t>中建四局0200202103606008</t>
        </is>
      </c>
      <c r="E59" s="150" t="n"/>
      <c r="F59" s="150" t="n"/>
      <c r="G59" s="150" t="n"/>
      <c r="H59" s="150" t="n"/>
      <c r="I59" s="150" t="n"/>
      <c r="J59" s="150" t="n"/>
      <c r="K59" s="150" t="n"/>
      <c r="L59" s="150" t="n"/>
      <c r="M59" s="150" t="n"/>
      <c r="N59" s="150" t="n"/>
      <c r="O59" s="150" t="n"/>
      <c r="P59" s="152" t="n">
        <v>28926566.64</v>
      </c>
      <c r="Q59" s="150" t="n"/>
      <c r="R59" s="150" t="n"/>
      <c r="S59" s="150" t="n"/>
      <c r="T59" s="150" t="n"/>
    </row>
    <row r="60" ht="14" customHeight="1" s="116">
      <c r="A60" s="150" t="n"/>
      <c r="B60" s="150" t="n"/>
      <c r="C60" s="151" t="inlineStr">
        <is>
          <t>其他</t>
        </is>
      </c>
      <c r="D60" s="151" t="n"/>
      <c r="E60" s="150" t="n"/>
      <c r="F60" s="150" t="n"/>
      <c r="G60" s="150" t="n"/>
      <c r="H60" s="150" t="n"/>
      <c r="I60" s="150" t="n"/>
      <c r="J60" s="150" t="n"/>
      <c r="K60" s="150" t="n"/>
      <c r="L60" s="150" t="n"/>
      <c r="M60" s="150" t="n"/>
      <c r="N60" s="150" t="n"/>
      <c r="O60" s="150" t="n"/>
      <c r="P60" s="152" t="n">
        <v>-127.2</v>
      </c>
      <c r="Q60" s="150" t="n"/>
      <c r="R60" s="150" t="n"/>
      <c r="S60" s="150" t="n"/>
      <c r="T60" s="150" t="n"/>
    </row>
    <row r="61" ht="14" customHeight="1" s="116">
      <c r="A61" s="150" t="n"/>
      <c r="B61" s="150" t="n"/>
      <c r="C61" s="151" t="inlineStr">
        <is>
          <t>废旧物资处置</t>
        </is>
      </c>
      <c r="D61" s="151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2" t="n">
        <v>-465452.87</v>
      </c>
      <c r="Q61" s="150" t="n"/>
      <c r="R61" s="150" t="n"/>
      <c r="S61" s="150" t="n"/>
      <c r="T61" s="150" t="n"/>
    </row>
    <row r="62" ht="14" customHeight="1" s="116">
      <c r="A62" s="150" t="n"/>
      <c r="B62" s="150" t="n"/>
      <c r="C62" s="151" t="inlineStr">
        <is>
          <t>研发支出-材料费</t>
        </is>
      </c>
      <c r="D62" s="151" t="n"/>
      <c r="E62" s="150" t="n"/>
      <c r="F62" s="150" t="n"/>
      <c r="G62" s="150" t="n"/>
      <c r="H62" s="150" t="n"/>
      <c r="I62" s="150" t="n"/>
      <c r="J62" s="150" t="n"/>
      <c r="K62" s="150" t="n"/>
      <c r="L62" s="150" t="n"/>
      <c r="M62" s="150" t="n"/>
      <c r="N62" s="150" t="n"/>
      <c r="O62" s="150" t="n"/>
      <c r="P62" s="152" t="n">
        <v>-3926272.64</v>
      </c>
      <c r="Q62" s="150" t="n"/>
      <c r="R62" s="150" t="n"/>
      <c r="S62" s="150" t="n"/>
      <c r="T62" s="150" t="n"/>
    </row>
    <row r="63" ht="14" customHeight="1" s="116">
      <c r="A63" s="19" t="n">
        <v>1</v>
      </c>
      <c r="B63" s="19" t="n"/>
      <c r="C63" s="19" t="n"/>
      <c r="D63" s="148" t="n"/>
      <c r="E63" s="155" t="n"/>
      <c r="F63" s="155" t="n"/>
      <c r="G63" s="155" t="n"/>
      <c r="H63" s="140" t="n"/>
      <c r="I63" s="140" t="n"/>
      <c r="J63" s="140" t="n"/>
      <c r="K63" s="145" t="n"/>
      <c r="L63" s="149" t="n"/>
      <c r="M63" s="140" t="n"/>
      <c r="N63" s="140" t="n"/>
      <c r="O63" s="140">
        <f>L30-M30</f>
        <v/>
      </c>
      <c r="P63" s="140">
        <f>K30-N30</f>
        <v/>
      </c>
      <c r="Q63" s="140">
        <f>M30+O30</f>
        <v/>
      </c>
      <c r="R63" s="140">
        <f>M30+N30+O30+P30</f>
        <v/>
      </c>
      <c r="S63" s="147" t="n"/>
      <c r="T63" s="147" t="n"/>
      <c r="U63" s="147" t="n"/>
      <c r="V63" s="147" t="n"/>
      <c r="W63" s="147" t="n"/>
      <c r="X63" s="147" t="n"/>
      <c r="Y63" s="147" t="n"/>
      <c r="Z63" s="140">
        <f>SUM(AA30:AJ30)</f>
        <v/>
      </c>
      <c r="AA63" s="147" t="n"/>
      <c r="AB63" s="156" t="n"/>
      <c r="AC63" s="156" t="n"/>
      <c r="AD63" s="156" t="n"/>
      <c r="AE63" s="156" t="n"/>
      <c r="AF63" s="156" t="n"/>
      <c r="AG63" s="156" t="n"/>
      <c r="AH63" s="156" t="n"/>
      <c r="AI63" s="156" t="n"/>
      <c r="AJ63" s="156" t="n"/>
      <c r="AK63" s="141">
        <f>AB30/1.17*0.17+AC30/1.16*0.16+AD30/1.11*0.11+AE30/1.1*0.1+AF30/1.09*0.09+AI30/1.03*0.03</f>
        <v/>
      </c>
      <c r="AL63" s="79" t="n"/>
    </row>
    <row r="64" ht="14" customHeight="1" s="116">
      <c r="A64" s="19" t="n">
        <v>2</v>
      </c>
      <c r="B64" s="19" t="n"/>
      <c r="C64" s="19" t="n"/>
      <c r="D64" s="148" t="n"/>
      <c r="E64" s="155" t="n"/>
      <c r="F64" s="155" t="n"/>
      <c r="G64" s="155" t="n"/>
      <c r="H64" s="140" t="n"/>
      <c r="I64" s="140" t="n"/>
      <c r="J64" s="140" t="n"/>
      <c r="K64" s="145" t="n"/>
      <c r="L64" s="149" t="n"/>
      <c r="M64" s="140" t="n"/>
      <c r="N64" s="58" t="n"/>
      <c r="O64" s="140">
        <f>L31-M31</f>
        <v/>
      </c>
      <c r="P64" s="140">
        <f>K31-N31</f>
        <v/>
      </c>
      <c r="Q64" s="140">
        <f>M31+O31</f>
        <v/>
      </c>
      <c r="R64" s="140">
        <f>M31+N31+O31+P31</f>
        <v/>
      </c>
      <c r="S64" s="147" t="n"/>
      <c r="T64" s="147" t="n"/>
      <c r="U64" s="147" t="n"/>
      <c r="V64" s="147" t="n"/>
      <c r="W64" s="147" t="n"/>
      <c r="X64" s="147" t="n"/>
      <c r="Y64" s="147" t="n"/>
      <c r="Z64" s="140">
        <f>SUM(AA31:AJ31)</f>
        <v/>
      </c>
      <c r="AA64" s="147" t="n"/>
      <c r="AB64" s="156" t="n"/>
      <c r="AC64" s="156" t="n"/>
      <c r="AD64" s="156" t="n"/>
      <c r="AE64" s="156" t="n"/>
      <c r="AF64" s="156" t="n"/>
      <c r="AG64" s="156" t="n"/>
      <c r="AH64" s="156" t="n"/>
      <c r="AI64" s="156" t="n"/>
      <c r="AJ64" s="156" t="n"/>
      <c r="AK64" s="141">
        <f>AB31/1.17*0.17+AC31/1.16*0.16+AD31/1.11*0.11+AE31/1.1*0.1+AF31/1.09*0.09+AI31/1.03*0.03</f>
        <v/>
      </c>
      <c r="AL64" s="79" t="n"/>
    </row>
    <row r="65" ht="14" customHeight="1" s="116">
      <c r="A65" s="19" t="n">
        <v>3</v>
      </c>
      <c r="B65" s="19" t="n"/>
      <c r="C65" s="19" t="n"/>
      <c r="D65" s="33" t="inlineStr">
        <is>
          <t>材料库存（注：项目已结算未使用材料冲减项目成本，负数填报）</t>
        </is>
      </c>
      <c r="E65" s="19" t="n"/>
      <c r="F65" s="19" t="n"/>
      <c r="G65" s="19" t="n"/>
      <c r="H65" s="140" t="n"/>
      <c r="I65" s="140" t="n"/>
      <c r="J65" s="140" t="n"/>
      <c r="K65" s="145" t="n"/>
      <c r="L65" s="149" t="n"/>
      <c r="M65" s="140" t="n"/>
      <c r="N65" s="140" t="n"/>
      <c r="O65" s="140">
        <f>L32-M32</f>
        <v/>
      </c>
      <c r="P65" s="140">
        <f>K32-N32</f>
        <v/>
      </c>
      <c r="Q65" s="140">
        <f>M32+O32</f>
        <v/>
      </c>
      <c r="R65" s="140">
        <f>M32+N32+O32+P32</f>
        <v/>
      </c>
      <c r="S65" s="147" t="n"/>
      <c r="T65" s="147" t="n"/>
      <c r="U65" s="147" t="n"/>
      <c r="V65" s="147" t="n"/>
      <c r="W65" s="147" t="n"/>
      <c r="X65" s="147" t="n"/>
      <c r="Y65" s="147" t="n"/>
      <c r="Z65" s="140">
        <f>SUM(AA32:AJ32)</f>
        <v/>
      </c>
      <c r="AA65" s="147" t="n"/>
      <c r="AB65" s="156" t="n"/>
      <c r="AC65" s="156" t="n"/>
      <c r="AD65" s="156" t="n"/>
      <c r="AE65" s="156" t="n"/>
      <c r="AF65" s="156" t="n"/>
      <c r="AG65" s="156" t="n"/>
      <c r="AH65" s="156" t="n"/>
      <c r="AI65" s="156" t="n"/>
      <c r="AJ65" s="156" t="n"/>
      <c r="AK65" s="141">
        <f>AB32/1.17*0.17+AC32/1.16*0.16+AD32/1.11*0.11+AE32/1.1*0.1+AF32/1.09*0.09+AI32/1.03*0.03</f>
        <v/>
      </c>
      <c r="AL65" s="79" t="n"/>
    </row>
    <row r="66" ht="14" customHeight="1" s="116">
      <c r="A66" s="19" t="n">
        <v>4</v>
      </c>
      <c r="B66" s="19" t="n"/>
      <c r="C66" s="19" t="n"/>
      <c r="D66" s="29" t="inlineStr">
        <is>
          <t>材料调入</t>
        </is>
      </c>
      <c r="E66" s="19" t="n"/>
      <c r="F66" s="19" t="n"/>
      <c r="G66" s="19" t="n"/>
      <c r="H66" s="140" t="n"/>
      <c r="I66" s="140" t="n"/>
      <c r="J66" s="140" t="n"/>
      <c r="K66" s="145" t="n"/>
      <c r="L66" s="149" t="n"/>
      <c r="M66" s="140" t="n"/>
      <c r="N66" s="140" t="n"/>
      <c r="O66" s="140">
        <f>L33-M33</f>
        <v/>
      </c>
      <c r="P66" s="157" t="n">
        <v>34020317.08</v>
      </c>
      <c r="Q66" s="140">
        <f>M33+O33</f>
        <v/>
      </c>
      <c r="R66" s="140">
        <f>M33+N33+O33+P33</f>
        <v/>
      </c>
      <c r="S66" s="147" t="n"/>
      <c r="T66" s="147" t="n"/>
      <c r="U66" s="147" t="n"/>
      <c r="V66" s="147" t="n"/>
      <c r="W66" s="147" t="n"/>
      <c r="X66" s="147" t="n"/>
      <c r="Y66" s="147" t="n"/>
      <c r="Z66" s="140">
        <f>SUM(AA33:AJ33)</f>
        <v/>
      </c>
      <c r="AA66" s="147" t="n"/>
      <c r="AB66" s="156" t="n"/>
      <c r="AC66" s="156" t="n"/>
      <c r="AD66" s="156" t="n"/>
      <c r="AE66" s="156" t="n"/>
      <c r="AF66" s="156" t="n"/>
      <c r="AG66" s="156" t="n"/>
      <c r="AH66" s="156" t="n"/>
      <c r="AI66" s="156" t="n"/>
      <c r="AJ66" s="156" t="n"/>
      <c r="AK66" s="141">
        <f>AB33/1.17*0.17+AC33/1.16*0.16+AD33/1.11*0.11+AE33/1.1*0.1+AF33/1.09*0.09+AI33/1.03*0.03</f>
        <v/>
      </c>
      <c r="AL66" s="79" t="n"/>
    </row>
    <row r="67" ht="14" customHeight="1" s="116">
      <c r="A67" s="19" t="n">
        <v>5</v>
      </c>
      <c r="B67" s="19" t="n"/>
      <c r="C67" s="19" t="n"/>
      <c r="D67" s="29" t="inlineStr">
        <is>
          <t>材料调出（注：负数填报）</t>
        </is>
      </c>
      <c r="E67" s="34" t="n"/>
      <c r="F67" s="34" t="n"/>
      <c r="G67" s="34" t="n"/>
      <c r="H67" s="158" t="n"/>
      <c r="I67" s="158" t="n"/>
      <c r="J67" s="140" t="n"/>
      <c r="K67" s="145" t="n"/>
      <c r="L67" s="149" t="n"/>
      <c r="M67" s="158" t="n"/>
      <c r="N67" s="158" t="n"/>
      <c r="O67" s="140">
        <f>L34-M34</f>
        <v/>
      </c>
      <c r="P67" s="157" t="n">
        <v>-8241729.17</v>
      </c>
      <c r="Q67" s="140">
        <f>M34+O34</f>
        <v/>
      </c>
      <c r="R67" s="140">
        <f>M34+N34+O34+P34</f>
        <v/>
      </c>
      <c r="S67" s="158" t="n"/>
      <c r="T67" s="158" t="n"/>
      <c r="U67" s="158" t="n"/>
      <c r="V67" s="158" t="n"/>
      <c r="W67" s="158" t="n"/>
      <c r="X67" s="158" t="n"/>
      <c r="Y67" s="158" t="n"/>
      <c r="Z67" s="140">
        <f>SUM(AA34:AJ34)</f>
        <v/>
      </c>
      <c r="AA67" s="158" t="n"/>
      <c r="AB67" s="159" t="n"/>
      <c r="AC67" s="159" t="n"/>
      <c r="AD67" s="159" t="n"/>
      <c r="AE67" s="159" t="n"/>
      <c r="AF67" s="159" t="n"/>
      <c r="AG67" s="159" t="n"/>
      <c r="AH67" s="159" t="n"/>
      <c r="AI67" s="159" t="n"/>
      <c r="AJ67" s="159" t="n"/>
      <c r="AK67" s="141">
        <f>AB34/1.17*0.17+AC34/1.16*0.16+AD34/1.11*0.11+AE34/1.1*0.1+AF34/1.09*0.09+AI34/1.03*0.03</f>
        <v/>
      </c>
      <c r="AL67" s="80" t="n"/>
    </row>
    <row r="68" ht="14" customHeight="1" s="116">
      <c r="A68" s="19" t="n"/>
      <c r="B68" s="19" t="n"/>
      <c r="C68" s="19" t="n"/>
      <c r="D68" s="24" t="inlineStr">
        <is>
          <t>**财务未列部分需增列***</t>
        </is>
      </c>
      <c r="E68" s="155" t="n"/>
      <c r="F68" s="155" t="n"/>
      <c r="G68" s="155" t="n"/>
      <c r="H68" s="140" t="n">
        <v>0</v>
      </c>
      <c r="I68" s="140" t="n"/>
      <c r="J68" s="140" t="n"/>
      <c r="K68" s="145" t="n"/>
      <c r="L68" s="149" t="n"/>
      <c r="M68" s="140" t="n"/>
      <c r="N68" s="140" t="n"/>
      <c r="O68" s="140">
        <f>L35-M35</f>
        <v/>
      </c>
      <c r="P68" s="140">
        <f>K35-N35</f>
        <v/>
      </c>
      <c r="Q68" s="140">
        <f>M35+O35</f>
        <v/>
      </c>
      <c r="R68" s="140">
        <f>M35+N35+O35+P35</f>
        <v/>
      </c>
      <c r="S68" s="147" t="n"/>
      <c r="T68" s="147" t="n"/>
      <c r="U68" s="147" t="n"/>
      <c r="V68" s="147" t="n"/>
      <c r="W68" s="147" t="n"/>
      <c r="X68" s="147" t="n"/>
      <c r="Y68" s="147" t="n"/>
      <c r="Z68" s="147" t="n"/>
      <c r="AA68" s="147" t="n"/>
      <c r="AB68" s="156" t="n"/>
      <c r="AC68" s="156" t="n"/>
      <c r="AD68" s="156" t="n"/>
      <c r="AE68" s="156" t="n"/>
      <c r="AF68" s="156" t="n"/>
      <c r="AG68" s="156" t="n"/>
      <c r="AH68" s="156" t="n"/>
      <c r="AI68" s="156" t="n"/>
      <c r="AJ68" s="156" t="n"/>
      <c r="AK68" s="141">
        <f>AB35/1.17*0.17+AC35/1.16*0.16+AD35/1.11*0.11+AE35/1.1*0.1+AF35/1.09*0.09+AI35/1.03*0.03</f>
        <v/>
      </c>
      <c r="AL68" s="79" t="n"/>
    </row>
    <row r="69" ht="14" customHeight="1" s="116">
      <c r="A69" s="26" t="n"/>
      <c r="B69" s="26" t="n"/>
      <c r="C69" s="26" t="n"/>
      <c r="D69" s="27" t="inlineStr">
        <is>
          <t>材料费小计：</t>
        </is>
      </c>
      <c r="E69" s="154">
        <f>SUM(E24:E35)</f>
        <v/>
      </c>
      <c r="F69" s="154">
        <f>SUM(F24:F35)</f>
        <v/>
      </c>
      <c r="G69" s="154">
        <f>SUM(G24:G35)</f>
        <v/>
      </c>
      <c r="H69" s="154">
        <f>SUM(H24:H35)</f>
        <v/>
      </c>
      <c r="I69" s="154">
        <f>SUM(I24:I35)</f>
        <v/>
      </c>
      <c r="J69" s="154">
        <f>SUM(J24:J35)</f>
        <v/>
      </c>
      <c r="K69" s="154">
        <f>SUM(K24:K35)</f>
        <v/>
      </c>
      <c r="L69" s="154">
        <f>SUM(L24:L35)</f>
        <v/>
      </c>
      <c r="M69" s="154">
        <f>SUM(M24:M35)</f>
        <v/>
      </c>
      <c r="N69" s="154">
        <f>SUM(N24:N35)</f>
        <v/>
      </c>
      <c r="O69" s="154">
        <f>SUM(O24:O35)</f>
        <v/>
      </c>
      <c r="P69" s="154">
        <f>SUM(P24:P35)</f>
        <v/>
      </c>
      <c r="Q69" s="154">
        <f>SUM(Q24:Q35)</f>
        <v/>
      </c>
      <c r="R69" s="154">
        <f>SUM(R24:R35)</f>
        <v/>
      </c>
      <c r="S69" s="154">
        <f>SUM(S24:S35)</f>
        <v/>
      </c>
      <c r="T69" s="154">
        <f>SUM(T24:T35)</f>
        <v/>
      </c>
      <c r="U69" s="154">
        <f>SUM(U24:U35)</f>
        <v/>
      </c>
      <c r="V69" s="154">
        <f>SUM(V24:V35)</f>
        <v/>
      </c>
      <c r="W69" s="154">
        <f>SUM(W24:W35)</f>
        <v/>
      </c>
      <c r="X69" s="154">
        <f>SUM(X24:X35)</f>
        <v/>
      </c>
      <c r="Y69" s="154">
        <f>SUM(Y24:Y35)</f>
        <v/>
      </c>
      <c r="Z69" s="154">
        <f>SUM(Z24:Z35)</f>
        <v/>
      </c>
      <c r="AA69" s="154">
        <f>SUM(AA24:AA35)</f>
        <v/>
      </c>
      <c r="AB69" s="154">
        <f>SUM(AB24:AB35)</f>
        <v/>
      </c>
      <c r="AC69" s="154">
        <f>SUM(AC24:AC35)</f>
        <v/>
      </c>
      <c r="AD69" s="154">
        <f>SUM(AD24:AD35)</f>
        <v/>
      </c>
      <c r="AE69" s="154">
        <f>SUM(AE24:AE35)</f>
        <v/>
      </c>
      <c r="AF69" s="154">
        <f>SUM(AF24:AF35)</f>
        <v/>
      </c>
      <c r="AG69" s="154">
        <f>SUM(AG24:AG35)</f>
        <v/>
      </c>
      <c r="AH69" s="154">
        <f>SUM(AH24:AH35)</f>
        <v/>
      </c>
      <c r="AI69" s="154">
        <f>SUM(AI24:AI35)</f>
        <v/>
      </c>
      <c r="AJ69" s="154">
        <f>SUM(AJ24:AJ35)</f>
        <v/>
      </c>
      <c r="AK69" s="154">
        <f>SUM(AK24:AK35)</f>
        <v/>
      </c>
      <c r="AL69" s="77" t="n"/>
    </row>
    <row r="70" ht="14" customHeight="1" s="116">
      <c r="A70" s="19" t="n"/>
      <c r="B70" s="19" t="n"/>
      <c r="C70" s="19" t="n"/>
      <c r="D70" s="29" t="inlineStr">
        <is>
          <t>(四）机械租赁费</t>
        </is>
      </c>
      <c r="E70" s="25" t="n"/>
      <c r="F70" s="25" t="n"/>
      <c r="G70" s="25" t="n"/>
      <c r="H70" s="140" t="n"/>
      <c r="I70" s="140" t="n"/>
      <c r="J70" s="140" t="n"/>
      <c r="K70" s="145" t="n">
        <v>0</v>
      </c>
      <c r="L70" s="149">
        <f>J37-K37</f>
        <v/>
      </c>
      <c r="M70" s="135" t="n"/>
      <c r="N70" s="135" t="n"/>
      <c r="O70" s="140">
        <f>L37-M37</f>
        <v/>
      </c>
      <c r="P70" s="140">
        <f>K37-N37</f>
        <v/>
      </c>
      <c r="Q70" s="140">
        <f>M37+O37</f>
        <v/>
      </c>
      <c r="R70" s="140">
        <f>M37+N37+O37+P37</f>
        <v/>
      </c>
      <c r="S70" s="147" t="n"/>
      <c r="T70" s="147" t="n"/>
      <c r="U70" s="147" t="n"/>
      <c r="V70" s="147" t="n"/>
      <c r="W70" s="147" t="n"/>
      <c r="X70" s="147" t="n"/>
      <c r="Y70" s="147" t="n"/>
      <c r="Z70" s="147" t="n"/>
      <c r="AA70" s="147" t="n"/>
      <c r="AB70" s="147" t="n"/>
      <c r="AC70" s="147" t="n"/>
      <c r="AD70" s="147" t="n"/>
      <c r="AE70" s="147" t="n"/>
      <c r="AF70" s="147" t="n"/>
      <c r="AG70" s="147" t="n"/>
      <c r="AH70" s="147" t="n"/>
      <c r="AI70" s="147" t="n"/>
      <c r="AJ70" s="147" t="n"/>
      <c r="AK70" s="141">
        <f>AB37/1.17*0.17+AC37/1.16*0.16+AD37/1.11*0.11+AE37/1.1*0.1+AF37/1.09*0.09+AI37/1.03*0.03</f>
        <v/>
      </c>
      <c r="AL70" s="77" t="n"/>
    </row>
    <row r="71" ht="39" customHeight="1" s="116">
      <c r="A71" s="19" t="n"/>
      <c r="B71" s="19" t="n"/>
      <c r="C71" s="19" t="n"/>
      <c r="D71" s="36" t="n"/>
      <c r="E71" s="37" t="n"/>
      <c r="F71" s="37" t="n"/>
      <c r="G71" s="37" t="n"/>
      <c r="H71" s="140" t="n"/>
      <c r="I71" s="140" t="n"/>
      <c r="J71" s="140">
        <f>H38+I38</f>
        <v/>
      </c>
      <c r="K71" s="145" t="n">
        <v>0</v>
      </c>
      <c r="L71" s="149">
        <f>J38-K38</f>
        <v/>
      </c>
      <c r="M71" s="140" t="n"/>
      <c r="N71" s="140" t="n"/>
      <c r="O71" s="140">
        <f>L38-M38</f>
        <v/>
      </c>
      <c r="P71" s="140">
        <f>K38-N38</f>
        <v/>
      </c>
      <c r="Q71" s="140">
        <f>M38+O38</f>
        <v/>
      </c>
      <c r="R71" s="140">
        <f>M38+N38+O38+P38</f>
        <v/>
      </c>
      <c r="S71" s="147" t="n"/>
      <c r="T71" s="147" t="n"/>
      <c r="U71" s="147" t="n"/>
      <c r="V71" s="147" t="n"/>
      <c r="W71" s="147" t="n"/>
      <c r="X71" s="147" t="n"/>
      <c r="Y71" s="147" t="n"/>
      <c r="Z71" s="140">
        <f>SUM(AA38:AJ38)</f>
        <v/>
      </c>
      <c r="AA71" s="147" t="n"/>
      <c r="AB71" s="147" t="n"/>
      <c r="AC71" s="147" t="n"/>
      <c r="AD71" s="147" t="n"/>
      <c r="AE71" s="147" t="n"/>
      <c r="AF71" s="147" t="n"/>
      <c r="AG71" s="147" t="n"/>
      <c r="AH71" s="147" t="n"/>
      <c r="AI71" s="147" t="n"/>
      <c r="AJ71" s="147" t="n"/>
      <c r="AK71" s="141">
        <f>AB38/1.17*0.17+AC38/1.16*0.16+AD38/1.11*0.11+AE38/1.1*0.1+AF38/1.09*0.09+AI38/1.03*0.03</f>
        <v/>
      </c>
      <c r="AL71" s="77" t="n"/>
    </row>
    <row r="72" ht="14" customHeight="1" s="116">
      <c r="A72" s="150" t="n"/>
      <c r="B72" s="150" t="n"/>
      <c r="C72" s="151" t="inlineStr">
        <is>
          <t>佛山市南海鼎赞机械设备有限公司</t>
        </is>
      </c>
      <c r="D72" s="151" t="inlineStr">
        <is>
          <t>中建四局020020210036050002</t>
        </is>
      </c>
      <c r="E72" s="150" t="n"/>
      <c r="F72" s="150" t="n"/>
      <c r="G72" s="150" t="n"/>
      <c r="H72" s="150" t="n"/>
      <c r="I72" s="150" t="n"/>
      <c r="J72" s="150" t="n"/>
      <c r="K72" s="150" t="n"/>
      <c r="L72" s="150" t="n"/>
      <c r="M72" s="150" t="n"/>
      <c r="N72" s="150" t="n"/>
      <c r="O72" s="150" t="n"/>
      <c r="P72" s="152" t="n">
        <v>3140750.01</v>
      </c>
      <c r="Q72" s="150" t="n"/>
      <c r="R72" s="150" t="n"/>
      <c r="S72" s="150" t="n"/>
      <c r="T72" s="150" t="n"/>
    </row>
    <row r="73" ht="14" customHeight="1" s="116">
      <c r="A73" s="150" t="n"/>
      <c r="B73" s="150" t="n"/>
      <c r="C73" s="151" t="inlineStr">
        <is>
          <t>广东君晖建筑工程有限公司</t>
        </is>
      </c>
      <c r="D73" s="151" t="inlineStr">
        <is>
          <t>中建四局020020210036050001</t>
        </is>
      </c>
      <c r="E73" s="150" t="n"/>
      <c r="F73" s="150" t="n"/>
      <c r="G73" s="150" t="n"/>
      <c r="H73" s="150" t="n"/>
      <c r="I73" s="150" t="n"/>
      <c r="J73" s="150" t="n"/>
      <c r="K73" s="150" t="n"/>
      <c r="L73" s="150" t="n"/>
      <c r="M73" s="150" t="n"/>
      <c r="N73" s="150" t="n"/>
      <c r="O73" s="150" t="n"/>
      <c r="P73" s="152" t="n">
        <v>394403.33</v>
      </c>
      <c r="Q73" s="150" t="n"/>
      <c r="R73" s="150" t="n"/>
      <c r="S73" s="150" t="n"/>
      <c r="T73" s="150" t="n"/>
    </row>
    <row r="74" ht="14" customHeight="1" s="116">
      <c r="A74" s="150" t="n"/>
      <c r="B74" s="150" t="n"/>
      <c r="C74" s="151" t="inlineStr">
        <is>
          <t>广州小老虎建筑机械租赁有限公司</t>
        </is>
      </c>
      <c r="D74" s="151" t="inlineStr">
        <is>
          <t>中建四局0200202103605001</t>
        </is>
      </c>
      <c r="E74" s="150" t="n"/>
      <c r="F74" s="150" t="n"/>
      <c r="G74" s="150" t="n"/>
      <c r="H74" s="150" t="n"/>
      <c r="I74" s="150" t="n"/>
      <c r="J74" s="150" t="n"/>
      <c r="K74" s="150" t="n"/>
      <c r="L74" s="150" t="n"/>
      <c r="M74" s="150" t="n"/>
      <c r="N74" s="150" t="n"/>
      <c r="O74" s="150" t="n"/>
      <c r="P74" s="152" t="n">
        <v>8322775.17</v>
      </c>
      <c r="Q74" s="150" t="n"/>
      <c r="R74" s="150" t="n"/>
      <c r="S74" s="150" t="n"/>
      <c r="T74" s="150" t="n"/>
    </row>
    <row r="75" ht="14" customHeight="1" s="116">
      <c r="A75" s="150" t="n"/>
      <c r="B75" s="150" t="n"/>
      <c r="C75" s="151" t="inlineStr">
        <is>
          <t>广州易达运输有限公司</t>
        </is>
      </c>
      <c r="D75" s="151" t="inlineStr">
        <is>
          <t>中建四局0200202103605002</t>
        </is>
      </c>
      <c r="E75" s="150" t="n"/>
      <c r="F75" s="150" t="n"/>
      <c r="G75" s="150" t="n"/>
      <c r="H75" s="150" t="n"/>
      <c r="I75" s="150" t="n"/>
      <c r="J75" s="150" t="n"/>
      <c r="K75" s="150" t="n"/>
      <c r="L75" s="150" t="n"/>
      <c r="M75" s="150" t="n"/>
      <c r="N75" s="150" t="n"/>
      <c r="O75" s="150" t="n"/>
      <c r="P75" s="152" t="n">
        <v>58915.4</v>
      </c>
      <c r="Q75" s="150" t="n"/>
      <c r="R75" s="150" t="n"/>
      <c r="S75" s="150" t="n"/>
      <c r="T75" s="150" t="n"/>
    </row>
    <row r="76" ht="14" customHeight="1" s="116">
      <c r="A76" s="150" t="n"/>
      <c r="B76" s="150" t="n"/>
      <c r="C76" s="151" t="inlineStr">
        <is>
          <t>深圳市鑫俊辉机械设备有限公司</t>
        </is>
      </c>
      <c r="D76" s="151" t="inlineStr">
        <is>
          <t>中建四局02002021036050003</t>
        </is>
      </c>
      <c r="E76" s="150" t="n"/>
      <c r="F76" s="150" t="n"/>
      <c r="G76" s="150" t="n"/>
      <c r="H76" s="150" t="n"/>
      <c r="I76" s="150" t="n"/>
      <c r="J76" s="150" t="n"/>
      <c r="K76" s="150" t="n"/>
      <c r="L76" s="150" t="n"/>
      <c r="M76" s="150" t="n"/>
      <c r="N76" s="150" t="n"/>
      <c r="O76" s="150" t="n"/>
      <c r="P76" s="152" t="n">
        <v>260430</v>
      </c>
      <c r="Q76" s="150" t="n"/>
      <c r="R76" s="150" t="n"/>
      <c r="S76" s="150" t="n"/>
      <c r="T76" s="150" t="n"/>
    </row>
    <row r="77" ht="14" customHeight="1" s="116">
      <c r="A77" s="19" t="n"/>
      <c r="B77" s="19" t="n"/>
      <c r="C77" s="19" t="n"/>
      <c r="D77" s="24" t="inlineStr">
        <is>
          <t>**财务未列部分需增列***</t>
        </is>
      </c>
      <c r="E77" s="38" t="n"/>
      <c r="F77" s="38" t="n"/>
      <c r="G77" s="38" t="n"/>
      <c r="H77" s="140" t="n"/>
      <c r="I77" s="140" t="n"/>
      <c r="J77" s="140" t="n"/>
      <c r="K77" s="145" t="n">
        <v>0</v>
      </c>
      <c r="L77" s="149">
        <f>J39-K39</f>
        <v/>
      </c>
      <c r="M77" s="160" t="n"/>
      <c r="N77" s="160" t="n"/>
      <c r="O77" s="140">
        <f>L39-M39</f>
        <v/>
      </c>
      <c r="P77" s="140">
        <f>K39-N39</f>
        <v/>
      </c>
      <c r="Q77" s="140">
        <f>M39+O39</f>
        <v/>
      </c>
      <c r="R77" s="140">
        <f>M39+N39+O39+P39</f>
        <v/>
      </c>
      <c r="S77" s="160" t="n"/>
      <c r="T77" s="160" t="n"/>
      <c r="U77" s="160" t="n"/>
      <c r="V77" s="160" t="n"/>
      <c r="W77" s="160" t="n"/>
      <c r="X77" s="160" t="n"/>
      <c r="Y77" s="160" t="n"/>
      <c r="Z77" s="160" t="n"/>
      <c r="AA77" s="147" t="n"/>
      <c r="AB77" s="141" t="n"/>
      <c r="AC77" s="141" t="n"/>
      <c r="AD77" s="141" t="n"/>
      <c r="AE77" s="141" t="n"/>
      <c r="AF77" s="141" t="n"/>
      <c r="AG77" s="141" t="n"/>
      <c r="AH77" s="141" t="n"/>
      <c r="AI77" s="141" t="n"/>
      <c r="AJ77" s="141" t="n"/>
      <c r="AK77" s="141">
        <f>AB39/1.17*0.17+AC39/1.16*0.16+AD39/1.11*0.11+AE39/1.1*0.1+AF39/1.09*0.09+AI39/1.03*0.03</f>
        <v/>
      </c>
      <c r="AL77" s="78" t="n"/>
    </row>
    <row r="78" ht="14" customHeight="1" s="116">
      <c r="A78" s="26" t="n"/>
      <c r="B78" s="26" t="n"/>
      <c r="C78" s="26" t="n"/>
      <c r="D78" s="39" t="inlineStr">
        <is>
          <t>机械费小计：</t>
        </is>
      </c>
      <c r="E78" s="18" t="n"/>
      <c r="F78" s="18" t="n"/>
      <c r="G78" s="18" t="n"/>
      <c r="H78" s="154">
        <f>SUM(H38:H39)</f>
        <v/>
      </c>
      <c r="I78" s="154">
        <f>SUM(I38:I39)</f>
        <v/>
      </c>
      <c r="J78" s="154">
        <f>SUM(J38:J39)</f>
        <v/>
      </c>
      <c r="K78" s="154">
        <f>SUM(K38:K39)</f>
        <v/>
      </c>
      <c r="L78" s="161">
        <f>SUM(L38:L39)</f>
        <v/>
      </c>
      <c r="M78" s="154">
        <f>SUM(M38:M39)</f>
        <v/>
      </c>
      <c r="N78" s="154">
        <f>SUM(N38:N39)</f>
        <v/>
      </c>
      <c r="O78" s="154">
        <f>SUM(O38:O39)</f>
        <v/>
      </c>
      <c r="P78" s="154">
        <f>SUM(P38:P39)</f>
        <v/>
      </c>
      <c r="Q78" s="154">
        <f>SUM(Q38:Q39)</f>
        <v/>
      </c>
      <c r="R78" s="154">
        <f>SUM(R38:R39)</f>
        <v/>
      </c>
      <c r="S78" s="154">
        <f>SUM(S38:S39)</f>
        <v/>
      </c>
      <c r="T78" s="154" t="n"/>
      <c r="U78" s="154" t="n"/>
      <c r="V78" s="154" t="n"/>
      <c r="W78" s="154" t="n"/>
      <c r="X78" s="154" t="n"/>
      <c r="Y78" s="154" t="n"/>
      <c r="Z78" s="154">
        <f>SUM(Z38:Z39)</f>
        <v/>
      </c>
      <c r="AA78" s="154">
        <f>SUM(AA39:AA39)</f>
        <v/>
      </c>
      <c r="AB78" s="154" t="n"/>
      <c r="AC78" s="154" t="n"/>
      <c r="AD78" s="154" t="n"/>
      <c r="AE78" s="154" t="n"/>
      <c r="AF78" s="154" t="n"/>
      <c r="AG78" s="154" t="n"/>
      <c r="AH78" s="154" t="n"/>
      <c r="AI78" s="154" t="n"/>
      <c r="AJ78" s="154" t="n"/>
      <c r="AK78" s="154" t="n"/>
      <c r="AL78" s="77" t="n"/>
    </row>
    <row r="79" ht="14" customHeight="1" s="116">
      <c r="A79" s="19" t="n"/>
      <c r="B79" s="19" t="n"/>
      <c r="C79" s="19" t="n"/>
      <c r="D79" s="29" t="inlineStr">
        <is>
          <t>（五）其他直接费</t>
        </is>
      </c>
      <c r="E79" s="25" t="n"/>
      <c r="F79" s="25" t="n"/>
      <c r="G79" s="25" t="n"/>
      <c r="H79" s="140" t="n"/>
      <c r="I79" s="140" t="n"/>
      <c r="J79" s="135" t="n">
        <v>0</v>
      </c>
      <c r="K79" s="145" t="n">
        <v>0</v>
      </c>
      <c r="L79" s="149">
        <f>J41-N41-P41</f>
        <v/>
      </c>
      <c r="M79" s="135" t="n"/>
      <c r="N79" s="135" t="n"/>
      <c r="O79" s="140">
        <f>L41-M41</f>
        <v/>
      </c>
      <c r="P79" s="140">
        <f>K41-N41</f>
        <v/>
      </c>
      <c r="Q79" s="140">
        <f>M41+O41</f>
        <v/>
      </c>
      <c r="R79" s="140">
        <f>M41+N41+O41+P41</f>
        <v/>
      </c>
      <c r="S79" s="147" t="n"/>
      <c r="T79" s="147" t="n"/>
      <c r="U79" s="147" t="n"/>
      <c r="V79" s="147" t="n"/>
      <c r="W79" s="147" t="n"/>
      <c r="X79" s="147" t="n"/>
      <c r="Y79" s="147" t="n"/>
      <c r="Z79" s="147" t="n"/>
      <c r="AA79" s="147" t="n"/>
      <c r="AB79" s="147" t="n"/>
      <c r="AC79" s="147" t="n"/>
      <c r="AD79" s="147" t="n"/>
      <c r="AE79" s="147" t="n"/>
      <c r="AF79" s="147" t="n"/>
      <c r="AG79" s="147" t="n"/>
      <c r="AH79" s="147" t="n"/>
      <c r="AI79" s="147" t="n"/>
      <c r="AJ79" s="147" t="n"/>
      <c r="AK79" s="141" t="n"/>
      <c r="AL79" s="77" t="n"/>
    </row>
    <row r="80" ht="26" customHeight="1" s="116">
      <c r="A80" s="19" t="n">
        <v>1</v>
      </c>
      <c r="B80" s="19" t="n"/>
      <c r="C80" s="19" t="n"/>
      <c r="D80" s="148" t="inlineStr">
        <is>
          <t>检验实验费</t>
        </is>
      </c>
      <c r="E80" s="25" t="n"/>
      <c r="F80" s="25" t="n"/>
      <c r="G80" s="25" t="n"/>
      <c r="H80" s="140" t="n"/>
      <c r="I80" s="140" t="n"/>
      <c r="J80" s="140">
        <f>H42+I42</f>
        <v/>
      </c>
      <c r="K80" s="145" t="n">
        <v>0</v>
      </c>
      <c r="L80" s="149">
        <f>J42-K42</f>
        <v/>
      </c>
      <c r="M80" s="162" t="n"/>
      <c r="N80" s="162" t="n"/>
      <c r="O80" s="140">
        <f>L42-M42</f>
        <v/>
      </c>
      <c r="P80" s="140">
        <f>K42-N42</f>
        <v/>
      </c>
      <c r="Q80" s="140">
        <f>M42+O42</f>
        <v/>
      </c>
      <c r="R80" s="140">
        <f>M42+N42+O42+P42</f>
        <v/>
      </c>
      <c r="S80" s="162" t="n"/>
      <c r="T80" s="162" t="n"/>
      <c r="U80" s="162" t="n"/>
      <c r="V80" s="162" t="n"/>
      <c r="W80" s="162" t="n"/>
      <c r="X80" s="162" t="n"/>
      <c r="Y80" s="162" t="n"/>
      <c r="Z80" s="140">
        <f>SUM(AA42:AJ42)</f>
        <v/>
      </c>
      <c r="AA80" s="147" t="n"/>
      <c r="AB80" s="147" t="n"/>
      <c r="AC80" s="147" t="n"/>
      <c r="AD80" s="147" t="n"/>
      <c r="AE80" s="147" t="n"/>
      <c r="AF80" s="147" t="n"/>
      <c r="AG80" s="147" t="n"/>
      <c r="AH80" s="147" t="n"/>
      <c r="AI80" s="147" t="n"/>
      <c r="AJ80" s="147" t="n"/>
      <c r="AK80" s="141" t="n"/>
      <c r="AL80" s="77" t="n"/>
    </row>
    <row r="81" ht="26" customHeight="1" s="116">
      <c r="A81" s="19" t="n">
        <v>2</v>
      </c>
      <c r="B81" s="19" t="n"/>
      <c r="C81" s="19" t="n"/>
      <c r="D81" s="148" t="inlineStr">
        <is>
          <t>水费</t>
        </is>
      </c>
      <c r="E81" s="25" t="n"/>
      <c r="F81" s="25" t="n"/>
      <c r="G81" s="25" t="n"/>
      <c r="H81" s="140" t="n"/>
      <c r="I81" s="140" t="n"/>
      <c r="J81" s="140">
        <f>H43+I43</f>
        <v/>
      </c>
      <c r="K81" s="145" t="n">
        <v>0</v>
      </c>
      <c r="L81" s="149">
        <f>J43-K43</f>
        <v/>
      </c>
      <c r="M81" s="162" t="n"/>
      <c r="N81" s="162" t="n"/>
      <c r="O81" s="140">
        <f>L43-M43</f>
        <v/>
      </c>
      <c r="P81" s="140">
        <f>K43-N43</f>
        <v/>
      </c>
      <c r="Q81" s="140">
        <f>M43+O43</f>
        <v/>
      </c>
      <c r="R81" s="140">
        <f>M43+N43+O43+P43</f>
        <v/>
      </c>
      <c r="S81" s="162" t="n"/>
      <c r="T81" s="162" t="n"/>
      <c r="U81" s="162" t="n"/>
      <c r="V81" s="162" t="n"/>
      <c r="W81" s="162" t="n"/>
      <c r="X81" s="162" t="n"/>
      <c r="Y81" s="162" t="n"/>
      <c r="Z81" s="140">
        <f>SUM(AA43:AJ43)</f>
        <v/>
      </c>
      <c r="AA81" s="147" t="n"/>
      <c r="AB81" s="147" t="n"/>
      <c r="AC81" s="147" t="n"/>
      <c r="AD81" s="147" t="n"/>
      <c r="AE81" s="147" t="n"/>
      <c r="AF81" s="147" t="n"/>
      <c r="AG81" s="147" t="n"/>
      <c r="AH81" s="147" t="n"/>
      <c r="AI81" s="147" t="n"/>
      <c r="AJ81" s="147" t="n"/>
      <c r="AK81" s="141" t="n"/>
      <c r="AL81" s="77" t="n"/>
    </row>
    <row r="82" ht="14" customHeight="1" s="116">
      <c r="A82" s="19" t="n">
        <v>3</v>
      </c>
      <c r="B82" s="19" t="n"/>
      <c r="C82" s="19" t="n"/>
      <c r="D82" s="148" t="inlineStr">
        <is>
          <t>电费</t>
        </is>
      </c>
      <c r="E82" s="25" t="n"/>
      <c r="F82" s="25" t="n"/>
      <c r="G82" s="25" t="n"/>
      <c r="H82" s="140" t="n"/>
      <c r="I82" s="140" t="n"/>
      <c r="J82" s="140">
        <f>H44+I44</f>
        <v/>
      </c>
      <c r="K82" s="145" t="n">
        <v>0</v>
      </c>
      <c r="L82" s="149">
        <f>J44-K44</f>
        <v/>
      </c>
      <c r="M82" s="162" t="n"/>
      <c r="N82" s="162" t="n"/>
      <c r="O82" s="140">
        <f>L44-M44</f>
        <v/>
      </c>
      <c r="P82" s="140">
        <f>K44-N44</f>
        <v/>
      </c>
      <c r="Q82" s="140">
        <f>M44+O44</f>
        <v/>
      </c>
      <c r="R82" s="140">
        <f>M44+N44+O44+P44</f>
        <v/>
      </c>
      <c r="S82" s="162" t="n"/>
      <c r="T82" s="162" t="n"/>
      <c r="U82" s="162" t="n"/>
      <c r="V82" s="162" t="n"/>
      <c r="W82" s="162" t="n"/>
      <c r="X82" s="162" t="n"/>
      <c r="Y82" s="162" t="n"/>
      <c r="Z82" s="140">
        <f>SUM(AA44:AJ44)</f>
        <v/>
      </c>
      <c r="AA82" s="147" t="n"/>
      <c r="AB82" s="147" t="n"/>
      <c r="AC82" s="147" t="n"/>
      <c r="AD82" s="147" t="n"/>
      <c r="AE82" s="147" t="n"/>
      <c r="AF82" s="147" t="n"/>
      <c r="AG82" s="147" t="n"/>
      <c r="AH82" s="147" t="n"/>
      <c r="AI82" s="147" t="n"/>
      <c r="AJ82" s="147" t="n"/>
      <c r="AK82" s="141" t="n"/>
      <c r="AL82" s="77" t="n"/>
    </row>
    <row r="83" ht="14" customHeight="1" s="116">
      <c r="A83" s="19" t="n">
        <v>4</v>
      </c>
      <c r="B83" s="19" t="n"/>
      <c r="C83" s="19" t="n"/>
      <c r="D83" s="148" t="inlineStr">
        <is>
          <t>临时设施折旧费</t>
        </is>
      </c>
      <c r="E83" s="25" t="n"/>
      <c r="F83" s="25" t="n"/>
      <c r="G83" s="25" t="n"/>
      <c r="H83" s="140" t="n"/>
      <c r="I83" s="140" t="n"/>
      <c r="J83" s="140">
        <f>H45+I45</f>
        <v/>
      </c>
      <c r="K83" s="145" t="n">
        <v>0</v>
      </c>
      <c r="L83" s="149">
        <f>J45-K45</f>
        <v/>
      </c>
      <c r="M83" s="162" t="n"/>
      <c r="N83" s="162" t="n"/>
      <c r="O83" s="140">
        <f>L45-M45</f>
        <v/>
      </c>
      <c r="P83" s="140">
        <f>K45-N45</f>
        <v/>
      </c>
      <c r="Q83" s="140">
        <f>M45+O45</f>
        <v/>
      </c>
      <c r="R83" s="140">
        <f>M45+N45+O45+P45</f>
        <v/>
      </c>
      <c r="S83" s="162" t="n"/>
      <c r="T83" s="162" t="n"/>
      <c r="U83" s="162" t="n"/>
      <c r="V83" s="162" t="n"/>
      <c r="W83" s="162" t="n"/>
      <c r="X83" s="162" t="n"/>
      <c r="Y83" s="162" t="n"/>
      <c r="Z83" s="140">
        <f>SUM(AA45:AJ45)</f>
        <v/>
      </c>
      <c r="AA83" s="147" t="n"/>
      <c r="AB83" s="147" t="n"/>
      <c r="AC83" s="147" t="n"/>
      <c r="AD83" s="147" t="n"/>
      <c r="AE83" s="147" t="n"/>
      <c r="AF83" s="147" t="n"/>
      <c r="AG83" s="147" t="n"/>
      <c r="AH83" s="147" t="n"/>
      <c r="AI83" s="147" t="n"/>
      <c r="AJ83" s="147" t="n"/>
      <c r="AK83" s="141" t="n"/>
      <c r="AL83" s="77" t="n"/>
    </row>
    <row r="84" ht="14" customHeight="1" s="116">
      <c r="A84" s="19" t="n">
        <v>5</v>
      </c>
      <c r="B84" s="19" t="n"/>
      <c r="C84" s="19" t="n"/>
      <c r="D84" s="148" t="inlineStr">
        <is>
          <t>其他</t>
        </is>
      </c>
      <c r="E84" s="25" t="n"/>
      <c r="F84" s="25" t="n"/>
      <c r="G84" s="25" t="n"/>
      <c r="H84" s="140" t="n"/>
      <c r="I84" s="140" t="n"/>
      <c r="J84" s="140">
        <f>H46+I46</f>
        <v/>
      </c>
      <c r="K84" s="145" t="n">
        <v>0</v>
      </c>
      <c r="L84" s="149">
        <f>J46-K46</f>
        <v/>
      </c>
      <c r="M84" s="162" t="n"/>
      <c r="N84" s="162" t="n">
        <v>0</v>
      </c>
      <c r="O84" s="140">
        <f>L46-M46</f>
        <v/>
      </c>
      <c r="P84" s="140">
        <f>K46-N46</f>
        <v/>
      </c>
      <c r="Q84" s="140">
        <f>M46+O46</f>
        <v/>
      </c>
      <c r="R84" s="140">
        <f>M46+N46+O46+P46</f>
        <v/>
      </c>
      <c r="S84" s="162" t="n"/>
      <c r="T84" s="162" t="n"/>
      <c r="U84" s="162" t="n"/>
      <c r="V84" s="162" t="n"/>
      <c r="W84" s="162" t="n"/>
      <c r="X84" s="162" t="n"/>
      <c r="Y84" s="162" t="n"/>
      <c r="Z84" s="140">
        <f>SUM(AA46:AJ46)</f>
        <v/>
      </c>
      <c r="AA84" s="147" t="n"/>
      <c r="AB84" s="147" t="n"/>
      <c r="AC84" s="147" t="n"/>
      <c r="AD84" s="147" t="n"/>
      <c r="AE84" s="147" t="n"/>
      <c r="AF84" s="147" t="n"/>
      <c r="AG84" s="147" t="n"/>
      <c r="AH84" s="147" t="n"/>
      <c r="AI84" s="147" t="n"/>
      <c r="AJ84" s="147" t="n"/>
      <c r="AK84" s="141" t="n"/>
      <c r="AL84" s="77" t="n"/>
    </row>
    <row r="85" ht="14" customHeight="1" s="116">
      <c r="A85" s="150" t="n"/>
      <c r="B85" s="150" t="n"/>
      <c r="C85" s="151" t="inlineStr">
        <is>
          <t>保险费</t>
        </is>
      </c>
      <c r="D85" s="151" t="n"/>
      <c r="E85" s="150" t="n"/>
      <c r="F85" s="150" t="n"/>
      <c r="G85" s="150" t="n"/>
      <c r="H85" s="150" t="n"/>
      <c r="I85" s="150" t="n"/>
      <c r="J85" s="150" t="n"/>
      <c r="K85" s="150" t="n"/>
      <c r="L85" s="150" t="n"/>
      <c r="M85" s="150" t="n"/>
      <c r="N85" s="150" t="n"/>
      <c r="O85" s="150" t="n"/>
      <c r="P85" s="152" t="n">
        <v>432696.64</v>
      </c>
      <c r="Q85" s="150" t="n"/>
      <c r="R85" s="150" t="n"/>
      <c r="S85" s="150" t="n"/>
      <c r="T85" s="150" t="n"/>
    </row>
    <row r="86">
      <c r="A86" s="150" t="n"/>
      <c r="B86" s="150" t="n"/>
      <c r="C86" s="151" t="inlineStr">
        <is>
          <t>其他</t>
        </is>
      </c>
      <c r="D86" s="151" t="n"/>
      <c r="E86" s="150" t="n"/>
      <c r="F86" s="150" t="n"/>
      <c r="G86" s="150" t="n"/>
      <c r="H86" s="150" t="n"/>
      <c r="I86" s="150" t="n"/>
      <c r="J86" s="150" t="n"/>
      <c r="K86" s="150" t="n"/>
      <c r="L86" s="150" t="n"/>
      <c r="M86" s="150" t="n"/>
      <c r="N86" s="150" t="n"/>
      <c r="O86" s="150" t="n"/>
      <c r="P86" s="152" t="n">
        <v>1154170.62</v>
      </c>
      <c r="Q86" s="150" t="n"/>
      <c r="R86" s="150" t="n"/>
      <c r="S86" s="150" t="n"/>
      <c r="T86" s="150" t="n"/>
    </row>
    <row r="87">
      <c r="A87" s="150" t="n"/>
      <c r="B87" s="150" t="n"/>
      <c r="C87" s="151" t="inlineStr">
        <is>
          <t>检验试验费</t>
        </is>
      </c>
      <c r="D87" s="151" t="n"/>
      <c r="E87" s="150" t="n"/>
      <c r="F87" s="150" t="n"/>
      <c r="G87" s="150" t="n"/>
      <c r="H87" s="150" t="n"/>
      <c r="I87" s="150" t="n"/>
      <c r="J87" s="150" t="n"/>
      <c r="K87" s="150" t="n"/>
      <c r="L87" s="150" t="n"/>
      <c r="M87" s="150" t="n"/>
      <c r="N87" s="150" t="n"/>
      <c r="O87" s="150" t="n"/>
      <c r="P87" s="152" t="n">
        <v>704751.05</v>
      </c>
      <c r="Q87" s="150" t="n"/>
      <c r="R87" s="150" t="n"/>
      <c r="S87" s="150" t="n"/>
      <c r="T87" s="150" t="n"/>
    </row>
    <row r="88">
      <c r="A88" s="19" t="n"/>
      <c r="B88" s="19" t="n"/>
      <c r="C88" s="19" t="n"/>
      <c r="D88" s="24" t="inlineStr">
        <is>
          <t>**财务未列部分需增列***</t>
        </is>
      </c>
      <c r="E88" s="25" t="n"/>
      <c r="F88" s="25" t="n"/>
      <c r="G88" s="25" t="n"/>
      <c r="H88" s="140" t="n"/>
      <c r="I88" s="140" t="n"/>
      <c r="J88" s="135" t="n"/>
      <c r="K88" s="145" t="n"/>
      <c r="L88" s="149">
        <f>J47-K47</f>
        <v/>
      </c>
      <c r="M88" s="162" t="n"/>
      <c r="N88" s="162" t="n"/>
      <c r="O88" s="140">
        <f>L47-M47</f>
        <v/>
      </c>
      <c r="P88" s="140">
        <f>K47-N47</f>
        <v/>
      </c>
      <c r="Q88" s="140">
        <f>M47+O47</f>
        <v/>
      </c>
      <c r="R88" s="140">
        <f>M47+N47+O47+P47</f>
        <v/>
      </c>
      <c r="S88" s="162" t="n"/>
      <c r="T88" s="162" t="n"/>
      <c r="U88" s="162" t="n"/>
      <c r="V88" s="162" t="n"/>
      <c r="W88" s="162" t="n"/>
      <c r="X88" s="162" t="n"/>
      <c r="Y88" s="162" t="n"/>
      <c r="Z88" s="140">
        <f>SUM(AA47:AJ47)</f>
        <v/>
      </c>
      <c r="AA88" s="147" t="n"/>
      <c r="AB88" s="147" t="n"/>
      <c r="AC88" s="147" t="n"/>
      <c r="AD88" s="147" t="n"/>
      <c r="AE88" s="147" t="n"/>
      <c r="AF88" s="147" t="n"/>
      <c r="AG88" s="147" t="n"/>
      <c r="AH88" s="147" t="n"/>
      <c r="AI88" s="147" t="n"/>
      <c r="AJ88" s="147" t="n"/>
      <c r="AK88" s="141" t="n"/>
      <c r="AL88" s="77" t="n"/>
    </row>
    <row r="89">
      <c r="A89" s="40" t="n"/>
      <c r="B89" s="40" t="n"/>
      <c r="C89" s="40" t="n"/>
      <c r="D89" s="39" t="inlineStr">
        <is>
          <t>其他直接费小计：</t>
        </is>
      </c>
      <c r="E89" s="41" t="n"/>
      <c r="F89" s="41" t="n"/>
      <c r="G89" s="41" t="n"/>
      <c r="H89" s="154">
        <f>SUM(H41:H46)</f>
        <v/>
      </c>
      <c r="I89" s="154">
        <f>SUM(I41:I46)</f>
        <v/>
      </c>
      <c r="J89" s="154">
        <f>SUM(J41:J46)</f>
        <v/>
      </c>
      <c r="K89" s="154">
        <f>SUM(K41:K46)</f>
        <v/>
      </c>
      <c r="L89" s="161">
        <f>SUM(L41:L46)</f>
        <v/>
      </c>
      <c r="M89" s="154">
        <f>SUM(M42:M46)</f>
        <v/>
      </c>
      <c r="N89" s="154">
        <f>SUM(N42:N46)</f>
        <v/>
      </c>
      <c r="O89" s="154">
        <f>L48-M48</f>
        <v/>
      </c>
      <c r="P89" s="154">
        <f>SUM(P42:P46)</f>
        <v/>
      </c>
      <c r="Q89" s="154">
        <f>M48+O48</f>
        <v/>
      </c>
      <c r="R89" s="154">
        <f>SUM(R42:R46)</f>
        <v/>
      </c>
      <c r="S89" s="154">
        <f>SUM(S42:S46)</f>
        <v/>
      </c>
      <c r="T89" s="154" t="n"/>
      <c r="U89" s="154" t="n"/>
      <c r="V89" s="154" t="n"/>
      <c r="W89" s="154" t="n"/>
      <c r="X89" s="154" t="n"/>
      <c r="Y89" s="154" t="n"/>
      <c r="Z89" s="154">
        <f>SUM(Z42:Z46)</f>
        <v/>
      </c>
      <c r="AA89" s="154">
        <f>SUM(AA42:AA46)</f>
        <v/>
      </c>
      <c r="AB89" s="154">
        <f>SUM(AB42:AB46)</f>
        <v/>
      </c>
      <c r="AC89" s="154">
        <f>SUM(AC42:AC46)</f>
        <v/>
      </c>
      <c r="AD89" s="154">
        <f>SUM(AD42:AD46)</f>
        <v/>
      </c>
      <c r="AE89" s="154">
        <f>SUM(AE42:AE46)</f>
        <v/>
      </c>
      <c r="AF89" s="154">
        <f>SUM(AF42:AF46)</f>
        <v/>
      </c>
      <c r="AG89" s="154" t="n"/>
      <c r="AH89" s="154" t="n"/>
      <c r="AI89" s="154">
        <f>SUM(AI42:AI46)</f>
        <v/>
      </c>
      <c r="AJ89" s="154">
        <f>SUM(AJ42:AJ46)</f>
        <v/>
      </c>
      <c r="AK89" s="154">
        <f>SUM(AK42:AK46)</f>
        <v/>
      </c>
      <c r="AL89" s="77" t="n"/>
    </row>
    <row r="90">
      <c r="A90" s="19" t="n"/>
      <c r="B90" s="19" t="n"/>
      <c r="C90" s="19" t="n"/>
      <c r="D90" s="29" t="inlineStr">
        <is>
          <t>（六）间接费</t>
        </is>
      </c>
      <c r="E90" s="25" t="n"/>
      <c r="F90" s="25" t="n"/>
      <c r="G90" s="25" t="n"/>
      <c r="H90" s="135" t="n"/>
      <c r="I90" s="140" t="n"/>
      <c r="J90" s="140" t="n">
        <v>0</v>
      </c>
      <c r="K90" s="145" t="n">
        <v>0</v>
      </c>
      <c r="L90" s="149">
        <f>J49-N49-P49</f>
        <v/>
      </c>
      <c r="M90" s="135" t="n"/>
      <c r="N90" s="135" t="n"/>
      <c r="O90" s="140">
        <f>L49-M49</f>
        <v/>
      </c>
      <c r="P90" s="140">
        <f>K49-N49</f>
        <v/>
      </c>
      <c r="Q90" s="140">
        <f>M49+O49</f>
        <v/>
      </c>
      <c r="R90" s="140">
        <f>M49+N49+O49+P49</f>
        <v/>
      </c>
      <c r="S90" s="147" t="n"/>
      <c r="T90" s="147" t="n"/>
      <c r="U90" s="147" t="n"/>
      <c r="V90" s="147" t="n"/>
      <c r="W90" s="147" t="n"/>
      <c r="X90" s="147" t="n"/>
      <c r="Y90" s="147" t="n"/>
      <c r="Z90" s="147" t="n"/>
      <c r="AA90" s="147" t="n"/>
      <c r="AB90" s="147" t="n"/>
      <c r="AC90" s="147" t="n"/>
      <c r="AD90" s="147" t="n"/>
      <c r="AE90" s="147" t="n"/>
      <c r="AF90" s="147" t="n"/>
      <c r="AG90" s="147" t="n"/>
      <c r="AH90" s="147" t="n"/>
      <c r="AI90" s="147" t="n"/>
      <c r="AJ90" s="147" t="n"/>
      <c r="AK90" s="141" t="n"/>
      <c r="AL90" s="77" t="n"/>
    </row>
    <row r="91">
      <c r="A91" s="19" t="n">
        <v>1</v>
      </c>
      <c r="B91" s="19" t="n"/>
      <c r="C91" s="19" t="n"/>
      <c r="D91" s="148" t="inlineStr">
        <is>
          <t>工资</t>
        </is>
      </c>
      <c r="E91" s="25" t="n"/>
      <c r="F91" s="25" t="n"/>
      <c r="G91" s="25" t="n"/>
      <c r="H91" s="162" t="n"/>
      <c r="I91" s="140" t="n"/>
      <c r="J91" s="162">
        <f>H50+I50</f>
        <v/>
      </c>
      <c r="K91" s="145" t="n">
        <v>0</v>
      </c>
      <c r="L91" s="149">
        <f>J50-K50</f>
        <v/>
      </c>
      <c r="M91" s="162" t="n"/>
      <c r="N91" s="162" t="n"/>
      <c r="O91" s="140">
        <f>L50-M50</f>
        <v/>
      </c>
      <c r="P91" s="140">
        <f>K50-N50</f>
        <v/>
      </c>
      <c r="Q91" s="140">
        <f>M50+O50</f>
        <v/>
      </c>
      <c r="R91" s="140">
        <f>M50+N50+O50+P50</f>
        <v/>
      </c>
      <c r="S91" s="162" t="n"/>
      <c r="T91" s="162" t="n"/>
      <c r="U91" s="162" t="n"/>
      <c r="V91" s="162" t="n"/>
      <c r="W91" s="162" t="n"/>
      <c r="X91" s="162" t="n"/>
      <c r="Y91" s="162" t="n"/>
      <c r="Z91" s="140">
        <f>SUM(AA50:AJ50)</f>
        <v/>
      </c>
      <c r="AA91" s="147" t="n"/>
      <c r="AB91" s="147" t="n"/>
      <c r="AC91" s="147" t="n"/>
      <c r="AD91" s="147" t="n"/>
      <c r="AE91" s="147" t="n"/>
      <c r="AF91" s="147" t="n"/>
      <c r="AG91" s="147" t="n"/>
      <c r="AH91" s="147" t="n"/>
      <c r="AI91" s="147" t="n"/>
      <c r="AJ91" s="147" t="n"/>
      <c r="AK91" s="141" t="n"/>
      <c r="AL91" s="77" t="n"/>
    </row>
    <row r="92">
      <c r="A92" s="19" t="n">
        <v>2</v>
      </c>
      <c r="B92" s="19" t="n"/>
      <c r="C92" s="19" t="n"/>
      <c r="D92" s="148" t="inlineStr">
        <is>
          <t>福利费</t>
        </is>
      </c>
      <c r="E92" s="25" t="n"/>
      <c r="F92" s="25" t="n"/>
      <c r="G92" s="25" t="n"/>
      <c r="H92" s="162" t="n"/>
      <c r="I92" s="140" t="n"/>
      <c r="J92" s="162">
        <f>H51+I51</f>
        <v/>
      </c>
      <c r="K92" s="145" t="n">
        <v>0</v>
      </c>
      <c r="L92" s="149">
        <f>J51-K51</f>
        <v/>
      </c>
      <c r="M92" s="162" t="n"/>
      <c r="N92" s="162" t="n"/>
      <c r="O92" s="140">
        <f>L51-M51</f>
        <v/>
      </c>
      <c r="P92" s="140">
        <f>K51-N51</f>
        <v/>
      </c>
      <c r="Q92" s="140">
        <f>M51+O51</f>
        <v/>
      </c>
      <c r="R92" s="140">
        <f>M51+N51+O51+P51</f>
        <v/>
      </c>
      <c r="S92" s="162" t="n"/>
      <c r="T92" s="162" t="n"/>
      <c r="U92" s="162" t="n"/>
      <c r="V92" s="162" t="n"/>
      <c r="W92" s="162" t="n"/>
      <c r="X92" s="162" t="n"/>
      <c r="Y92" s="162" t="n"/>
      <c r="Z92" s="140">
        <f>SUM(AA51:AJ51)</f>
        <v/>
      </c>
      <c r="AA92" s="147" t="n"/>
      <c r="AB92" s="147" t="n"/>
      <c r="AC92" s="147" t="n"/>
      <c r="AD92" s="147" t="n"/>
      <c r="AE92" s="147" t="n"/>
      <c r="AF92" s="147" t="n"/>
      <c r="AG92" s="147" t="n"/>
      <c r="AH92" s="147" t="n"/>
      <c r="AI92" s="147" t="n"/>
      <c r="AJ92" s="147" t="n"/>
      <c r="AK92" s="141" t="n"/>
      <c r="AL92" s="77" t="n"/>
    </row>
    <row r="93">
      <c r="A93" s="19" t="n">
        <v>3</v>
      </c>
      <c r="B93" s="19" t="n"/>
      <c r="C93" s="19" t="n"/>
      <c r="D93" s="148" t="inlineStr">
        <is>
          <t>折旧费</t>
        </is>
      </c>
      <c r="E93" s="25" t="n"/>
      <c r="F93" s="25" t="n"/>
      <c r="G93" s="25" t="n"/>
      <c r="H93" s="162" t="n"/>
      <c r="I93" s="140" t="n"/>
      <c r="J93" s="162">
        <f>H52+I52</f>
        <v/>
      </c>
      <c r="K93" s="145" t="n">
        <v>0</v>
      </c>
      <c r="L93" s="149">
        <f>J52-K52</f>
        <v/>
      </c>
      <c r="M93" s="162" t="n"/>
      <c r="N93" s="140" t="n"/>
      <c r="O93" s="140">
        <f>L52-M52</f>
        <v/>
      </c>
      <c r="P93" s="140">
        <f>K52-N52</f>
        <v/>
      </c>
      <c r="Q93" s="140">
        <f>M52+O52</f>
        <v/>
      </c>
      <c r="R93" s="140">
        <f>M52+N52+O52+P52</f>
        <v/>
      </c>
      <c r="S93" s="162" t="n"/>
      <c r="T93" s="162" t="n"/>
      <c r="U93" s="162" t="n"/>
      <c r="V93" s="162" t="n"/>
      <c r="W93" s="162" t="n"/>
      <c r="X93" s="162" t="n"/>
      <c r="Y93" s="162" t="n"/>
      <c r="Z93" s="140">
        <f>SUM(AA52:AJ52)</f>
        <v/>
      </c>
      <c r="AA93" s="147" t="n"/>
      <c r="AB93" s="147" t="n"/>
      <c r="AC93" s="147" t="n"/>
      <c r="AD93" s="147" t="n"/>
      <c r="AE93" s="147" t="n"/>
      <c r="AF93" s="147" t="n"/>
      <c r="AG93" s="147" t="n"/>
      <c r="AH93" s="147" t="n"/>
      <c r="AI93" s="147" t="n"/>
      <c r="AJ93" s="147" t="n"/>
      <c r="AK93" s="141" t="n"/>
      <c r="AL93" s="77" t="n"/>
    </row>
    <row r="94">
      <c r="A94" s="19" t="n">
        <v>4</v>
      </c>
      <c r="B94" s="19" t="n"/>
      <c r="C94" s="19" t="n"/>
      <c r="D94" s="148" t="inlineStr">
        <is>
          <t>修理费</t>
        </is>
      </c>
      <c r="E94" s="25" t="n"/>
      <c r="F94" s="25" t="n"/>
      <c r="G94" s="25" t="n"/>
      <c r="H94" s="162" t="n"/>
      <c r="I94" s="140" t="n"/>
      <c r="J94" s="162">
        <f>H53+I53</f>
        <v/>
      </c>
      <c r="K94" s="145" t="n">
        <v>0</v>
      </c>
      <c r="L94" s="149">
        <f>J53-K53</f>
        <v/>
      </c>
      <c r="M94" s="162" t="n"/>
      <c r="N94" s="162" t="n"/>
      <c r="O94" s="140">
        <f>L53-M53</f>
        <v/>
      </c>
      <c r="P94" s="140">
        <f>K53-N53</f>
        <v/>
      </c>
      <c r="Q94" s="140">
        <f>M53+O53</f>
        <v/>
      </c>
      <c r="R94" s="140">
        <f>M53+N53+O53+P53</f>
        <v/>
      </c>
      <c r="S94" s="162" t="n"/>
      <c r="T94" s="162" t="n"/>
      <c r="U94" s="162" t="n"/>
      <c r="V94" s="162" t="n"/>
      <c r="W94" s="162" t="n"/>
      <c r="X94" s="162" t="n"/>
      <c r="Y94" s="162" t="n"/>
      <c r="Z94" s="140">
        <f>SUM(AA53:AJ53)</f>
        <v/>
      </c>
      <c r="AA94" s="147" t="n"/>
      <c r="AB94" s="147" t="n"/>
      <c r="AC94" s="147" t="n"/>
      <c r="AD94" s="147" t="n"/>
      <c r="AE94" s="147" t="n"/>
      <c r="AF94" s="147" t="n"/>
      <c r="AG94" s="147" t="n"/>
      <c r="AH94" s="147" t="n"/>
      <c r="AI94" s="147" t="n"/>
      <c r="AJ94" s="147" t="n"/>
      <c r="AK94" s="141" t="n"/>
      <c r="AL94" s="77" t="n"/>
    </row>
    <row r="95">
      <c r="A95" s="19" t="n">
        <v>5</v>
      </c>
      <c r="B95" s="19" t="n"/>
      <c r="C95" s="19" t="n"/>
      <c r="D95" s="148" t="inlineStr">
        <is>
          <t>物料消耗</t>
        </is>
      </c>
      <c r="E95" s="25" t="n"/>
      <c r="F95" s="25" t="n"/>
      <c r="G95" s="25" t="n"/>
      <c r="H95" s="162" t="n"/>
      <c r="I95" s="140" t="n"/>
      <c r="J95" s="162">
        <f>H54+I54</f>
        <v/>
      </c>
      <c r="K95" s="145" t="n">
        <v>0</v>
      </c>
      <c r="L95" s="149">
        <f>J54-K54</f>
        <v/>
      </c>
      <c r="M95" s="162" t="n"/>
      <c r="N95" s="162" t="n"/>
      <c r="O95" s="140">
        <f>L54-M54</f>
        <v/>
      </c>
      <c r="P95" s="140">
        <f>K54-N54</f>
        <v/>
      </c>
      <c r="Q95" s="140">
        <f>M54+O54</f>
        <v/>
      </c>
      <c r="R95" s="140">
        <f>M54+N54+O54+P54</f>
        <v/>
      </c>
      <c r="S95" s="162" t="n"/>
      <c r="T95" s="162" t="n"/>
      <c r="U95" s="162" t="n"/>
      <c r="V95" s="162" t="n"/>
      <c r="W95" s="162" t="n"/>
      <c r="X95" s="162" t="n"/>
      <c r="Y95" s="162" t="n"/>
      <c r="Z95" s="140">
        <f>SUM(AA54:AJ54)</f>
        <v/>
      </c>
      <c r="AA95" s="147" t="n"/>
      <c r="AB95" s="147" t="n"/>
      <c r="AC95" s="147" t="n"/>
      <c r="AD95" s="147" t="n"/>
      <c r="AE95" s="147" t="n"/>
      <c r="AF95" s="147" t="n"/>
      <c r="AG95" s="147" t="n"/>
      <c r="AH95" s="147" t="n"/>
      <c r="AI95" s="147" t="n"/>
      <c r="AJ95" s="147" t="n"/>
      <c r="AK95" s="141" t="n"/>
      <c r="AL95" s="77" t="n"/>
    </row>
    <row r="96">
      <c r="A96" s="19" t="n">
        <v>6</v>
      </c>
      <c r="B96" s="19" t="n"/>
      <c r="C96" s="19" t="n"/>
      <c r="D96" s="148" t="inlineStr">
        <is>
          <t>办公费</t>
        </is>
      </c>
      <c r="E96" s="25" t="n"/>
      <c r="F96" s="25" t="n"/>
      <c r="G96" s="25" t="n"/>
      <c r="H96" s="162" t="n"/>
      <c r="I96" s="140" t="n"/>
      <c r="J96" s="162">
        <f>H55+I55</f>
        <v/>
      </c>
      <c r="K96" s="145" t="n">
        <v>0</v>
      </c>
      <c r="L96" s="149">
        <f>J55-K55</f>
        <v/>
      </c>
      <c r="M96" s="162" t="n"/>
      <c r="N96" s="162" t="n"/>
      <c r="O96" s="140">
        <f>L55-M55</f>
        <v/>
      </c>
      <c r="P96" s="140">
        <f>K55-N55</f>
        <v/>
      </c>
      <c r="Q96" s="140">
        <f>M55+O55</f>
        <v/>
      </c>
      <c r="R96" s="140">
        <f>M55+N55+O55+P55</f>
        <v/>
      </c>
      <c r="S96" s="162" t="n"/>
      <c r="T96" s="162" t="n"/>
      <c r="U96" s="162" t="n"/>
      <c r="V96" s="162" t="n"/>
      <c r="W96" s="162" t="n"/>
      <c r="X96" s="162" t="n"/>
      <c r="Y96" s="162" t="n"/>
      <c r="Z96" s="140">
        <f>SUM(AA55:AJ55)</f>
        <v/>
      </c>
      <c r="AA96" s="147" t="n"/>
      <c r="AB96" s="147" t="n"/>
      <c r="AC96" s="147" t="n"/>
      <c r="AD96" s="147" t="n"/>
      <c r="AE96" s="147" t="n"/>
      <c r="AF96" s="147" t="n"/>
      <c r="AG96" s="147" t="n"/>
      <c r="AH96" s="147" t="n"/>
      <c r="AI96" s="147" t="n"/>
      <c r="AJ96" s="147" t="n"/>
      <c r="AK96" s="141" t="n"/>
      <c r="AL96" s="77" t="n"/>
    </row>
    <row r="97">
      <c r="A97" s="19" t="n">
        <v>7</v>
      </c>
      <c r="B97" s="19" t="n"/>
      <c r="C97" s="19" t="n"/>
      <c r="D97" s="148" t="inlineStr">
        <is>
          <t>差旅费</t>
        </is>
      </c>
      <c r="E97" s="25" t="n"/>
      <c r="F97" s="25" t="n"/>
      <c r="G97" s="25" t="n"/>
      <c r="H97" s="162" t="n"/>
      <c r="I97" s="140" t="n"/>
      <c r="J97" s="162">
        <f>H56+I56</f>
        <v/>
      </c>
      <c r="K97" s="145" t="n">
        <v>0</v>
      </c>
      <c r="L97" s="149">
        <f>J56-K56</f>
        <v/>
      </c>
      <c r="M97" s="162" t="n"/>
      <c r="N97" s="162" t="n"/>
      <c r="O97" s="140">
        <f>L56-M56</f>
        <v/>
      </c>
      <c r="P97" s="140">
        <f>K56-N56</f>
        <v/>
      </c>
      <c r="Q97" s="140">
        <f>M56+O56</f>
        <v/>
      </c>
      <c r="R97" s="140">
        <f>M56+N56+O56+P56</f>
        <v/>
      </c>
      <c r="S97" s="162" t="n"/>
      <c r="T97" s="162" t="n"/>
      <c r="U97" s="162" t="n"/>
      <c r="V97" s="162" t="n"/>
      <c r="W97" s="162" t="n"/>
      <c r="X97" s="162" t="n"/>
      <c r="Y97" s="162" t="n"/>
      <c r="Z97" s="140">
        <f>SUM(AA56:AJ56)</f>
        <v/>
      </c>
      <c r="AA97" s="147" t="n"/>
      <c r="AB97" s="147" t="n"/>
      <c r="AC97" s="147" t="n"/>
      <c r="AD97" s="147" t="n"/>
      <c r="AE97" s="147" t="n"/>
      <c r="AF97" s="147" t="n"/>
      <c r="AG97" s="147" t="n"/>
      <c r="AH97" s="147" t="n"/>
      <c r="AI97" s="147" t="n"/>
      <c r="AJ97" s="147" t="n"/>
      <c r="AK97" s="141" t="n"/>
      <c r="AL97" s="77" t="n"/>
    </row>
    <row r="98">
      <c r="A98" s="19" t="n">
        <v>8</v>
      </c>
      <c r="B98" s="19" t="n"/>
      <c r="C98" s="19" t="n"/>
      <c r="D98" s="148" t="inlineStr">
        <is>
          <t>劳动保护费</t>
        </is>
      </c>
      <c r="E98" s="25" t="n"/>
      <c r="F98" s="25" t="n"/>
      <c r="G98" s="25" t="n"/>
      <c r="H98" s="162" t="n"/>
      <c r="I98" s="140" t="n"/>
      <c r="J98" s="162">
        <f>H57+I57</f>
        <v/>
      </c>
      <c r="K98" s="145" t="n">
        <v>0</v>
      </c>
      <c r="L98" s="149">
        <f>J57-K57</f>
        <v/>
      </c>
      <c r="M98" s="162" t="n"/>
      <c r="N98" s="140" t="n"/>
      <c r="O98" s="140">
        <f>L57-M57</f>
        <v/>
      </c>
      <c r="P98" s="140">
        <f>K57-N57</f>
        <v/>
      </c>
      <c r="Q98" s="140">
        <f>M57+O57</f>
        <v/>
      </c>
      <c r="R98" s="140">
        <f>M57+N57+O57+P57</f>
        <v/>
      </c>
      <c r="S98" s="162" t="n"/>
      <c r="T98" s="162" t="n"/>
      <c r="U98" s="162" t="n"/>
      <c r="V98" s="162" t="n"/>
      <c r="W98" s="162" t="n"/>
      <c r="X98" s="162" t="n"/>
      <c r="Y98" s="162" t="n"/>
      <c r="Z98" s="140">
        <f>SUM(AA57:AJ57)</f>
        <v/>
      </c>
      <c r="AA98" s="147" t="n"/>
      <c r="AB98" s="147" t="n"/>
      <c r="AC98" s="147" t="n"/>
      <c r="AD98" s="147" t="n"/>
      <c r="AE98" s="147" t="n"/>
      <c r="AF98" s="147" t="n"/>
      <c r="AG98" s="147" t="n"/>
      <c r="AH98" s="147" t="n"/>
      <c r="AI98" s="147" t="n"/>
      <c r="AJ98" s="147" t="n"/>
      <c r="AK98" s="141" t="n"/>
      <c r="AL98" s="77" t="n"/>
    </row>
    <row r="99">
      <c r="A99" s="19" t="n">
        <v>9</v>
      </c>
      <c r="B99" s="19" t="n"/>
      <c r="C99" s="19" t="n"/>
      <c r="D99" s="148" t="inlineStr">
        <is>
          <t>工程保险费</t>
        </is>
      </c>
      <c r="E99" s="25" t="n"/>
      <c r="F99" s="25" t="n"/>
      <c r="G99" s="25" t="n"/>
      <c r="H99" s="162" t="n"/>
      <c r="I99" s="140" t="n"/>
      <c r="J99" s="162">
        <f>H58+I58</f>
        <v/>
      </c>
      <c r="K99" s="145" t="n">
        <v>0</v>
      </c>
      <c r="L99" s="149">
        <f>J58-K58</f>
        <v/>
      </c>
      <c r="M99" s="162" t="n"/>
      <c r="N99" s="162" t="n"/>
      <c r="O99" s="140">
        <f>L58-M58</f>
        <v/>
      </c>
      <c r="P99" s="140">
        <f>K58-N58</f>
        <v/>
      </c>
      <c r="Q99" s="140">
        <f>M58+O58</f>
        <v/>
      </c>
      <c r="R99" s="140">
        <f>M58+N58+O58+P58</f>
        <v/>
      </c>
      <c r="S99" s="162" t="n"/>
      <c r="T99" s="162" t="n"/>
      <c r="U99" s="162" t="n"/>
      <c r="V99" s="162" t="n"/>
      <c r="W99" s="162" t="n"/>
      <c r="X99" s="162" t="n"/>
      <c r="Y99" s="162" t="n"/>
      <c r="Z99" s="140">
        <f>SUM(AA58:AJ58)</f>
        <v/>
      </c>
      <c r="AA99" s="147" t="n"/>
      <c r="AB99" s="147" t="n"/>
      <c r="AC99" s="147" t="n"/>
      <c r="AD99" s="147" t="n"/>
      <c r="AE99" s="147" t="n"/>
      <c r="AF99" s="147" t="n"/>
      <c r="AG99" s="147" t="n"/>
      <c r="AH99" s="147" t="n"/>
      <c r="AI99" s="147" t="n"/>
      <c r="AJ99" s="147" t="n"/>
      <c r="AK99" s="141" t="n"/>
      <c r="AL99" s="77" t="n"/>
    </row>
    <row r="100">
      <c r="A100" s="19" t="n">
        <v>10</v>
      </c>
      <c r="B100" s="19" t="n"/>
      <c r="C100" s="19" t="n"/>
      <c r="D100" s="148" t="inlineStr">
        <is>
          <t>租赁费</t>
        </is>
      </c>
      <c r="E100" s="25" t="n"/>
      <c r="F100" s="25" t="n"/>
      <c r="G100" s="25" t="n"/>
      <c r="H100" s="162" t="n"/>
      <c r="I100" s="140" t="n"/>
      <c r="J100" s="162">
        <f>H59+I59</f>
        <v/>
      </c>
      <c r="K100" s="145" t="n">
        <v>0</v>
      </c>
      <c r="L100" s="149">
        <f>J59-K59</f>
        <v/>
      </c>
      <c r="M100" s="162" t="n"/>
      <c r="N100" s="140" t="n"/>
      <c r="O100" s="140">
        <f>L59-M59</f>
        <v/>
      </c>
      <c r="P100" s="140">
        <f>K59-N59</f>
        <v/>
      </c>
      <c r="Q100" s="140">
        <f>M59+O59</f>
        <v/>
      </c>
      <c r="R100" s="140">
        <f>M59+N59+O59+P59</f>
        <v/>
      </c>
      <c r="S100" s="162" t="n"/>
      <c r="T100" s="162" t="n"/>
      <c r="U100" s="162" t="n"/>
      <c r="V100" s="162" t="n"/>
      <c r="W100" s="162" t="n"/>
      <c r="X100" s="162" t="n"/>
      <c r="Y100" s="162" t="n"/>
      <c r="Z100" s="140">
        <f>SUM(AA59:AJ59)</f>
        <v/>
      </c>
      <c r="AA100" s="147" t="n"/>
      <c r="AB100" s="147" t="n"/>
      <c r="AC100" s="147" t="n"/>
      <c r="AD100" s="147" t="n"/>
      <c r="AE100" s="147" t="n"/>
      <c r="AF100" s="147" t="n"/>
      <c r="AG100" s="147" t="n"/>
      <c r="AH100" s="147" t="n"/>
      <c r="AI100" s="147" t="n"/>
      <c r="AJ100" s="147" t="n"/>
      <c r="AK100" s="141" t="n"/>
      <c r="AL100" s="77" t="n"/>
    </row>
    <row r="101">
      <c r="A101" s="19" t="n">
        <v>11</v>
      </c>
      <c r="B101" s="19" t="n"/>
      <c r="C101" s="19" t="n"/>
      <c r="D101" s="148" t="inlineStr">
        <is>
          <t>水电费</t>
        </is>
      </c>
      <c r="E101" s="25" t="n"/>
      <c r="F101" s="25" t="n"/>
      <c r="G101" s="25" t="n"/>
      <c r="H101" s="162" t="n"/>
      <c r="I101" s="140" t="n"/>
      <c r="J101" s="162">
        <f>H60+I60</f>
        <v/>
      </c>
      <c r="K101" s="145" t="n">
        <v>0</v>
      </c>
      <c r="L101" s="149">
        <f>J60-K60</f>
        <v/>
      </c>
      <c r="M101" s="162" t="n"/>
      <c r="N101" s="140" t="n"/>
      <c r="O101" s="140">
        <f>L60-M60</f>
        <v/>
      </c>
      <c r="P101" s="140">
        <f>K60-N60</f>
        <v/>
      </c>
      <c r="Q101" s="140">
        <f>M60+O60</f>
        <v/>
      </c>
      <c r="R101" s="140">
        <f>M60+N60+O60+P60</f>
        <v/>
      </c>
      <c r="S101" s="162" t="n"/>
      <c r="T101" s="162" t="n"/>
      <c r="U101" s="162" t="n"/>
      <c r="V101" s="162" t="n"/>
      <c r="W101" s="162" t="n"/>
      <c r="X101" s="162" t="n"/>
      <c r="Y101" s="162" t="n"/>
      <c r="Z101" s="140">
        <f>SUM(AA60:AJ60)</f>
        <v/>
      </c>
      <c r="AA101" s="147" t="n"/>
      <c r="AB101" s="147" t="n"/>
      <c r="AC101" s="147" t="n"/>
      <c r="AD101" s="147" t="n"/>
      <c r="AE101" s="147" t="n"/>
      <c r="AF101" s="147" t="n"/>
      <c r="AG101" s="147" t="n"/>
      <c r="AH101" s="147" t="n"/>
      <c r="AI101" s="147" t="n"/>
      <c r="AJ101" s="147" t="n"/>
      <c r="AK101" s="141" t="n"/>
      <c r="AL101" s="77" t="n"/>
    </row>
    <row r="102">
      <c r="A102" s="19" t="n">
        <v>12</v>
      </c>
      <c r="B102" s="19" t="n"/>
      <c r="C102" s="19" t="n"/>
      <c r="D102" s="148" t="inlineStr">
        <is>
          <t>其他</t>
        </is>
      </c>
      <c r="E102" s="25" t="n"/>
      <c r="F102" s="25" t="n"/>
      <c r="G102" s="25" t="n"/>
      <c r="H102" s="162" t="n"/>
      <c r="I102" s="140" t="n"/>
      <c r="J102" s="162">
        <f>H61+I61</f>
        <v/>
      </c>
      <c r="K102" s="145" t="n"/>
      <c r="L102" s="149">
        <f>J61-K61</f>
        <v/>
      </c>
      <c r="M102" s="162" t="n"/>
      <c r="N102" s="140" t="n"/>
      <c r="O102" s="140">
        <f>L61-M61</f>
        <v/>
      </c>
      <c r="P102" s="140">
        <f>K61-N61</f>
        <v/>
      </c>
      <c r="Q102" s="140">
        <f>M61+O61</f>
        <v/>
      </c>
      <c r="R102" s="140">
        <f>M61+N61+O61+P61</f>
        <v/>
      </c>
      <c r="S102" s="162" t="n"/>
      <c r="T102" s="162" t="n"/>
      <c r="U102" s="162" t="n"/>
      <c r="V102" s="162" t="n"/>
      <c r="W102" s="162" t="n"/>
      <c r="X102" s="162" t="n"/>
      <c r="Y102" s="162" t="n"/>
      <c r="Z102" s="140">
        <f>SUM(AA61:AJ61)</f>
        <v/>
      </c>
      <c r="AA102" s="147" t="n"/>
      <c r="AB102" s="141" t="n"/>
      <c r="AC102" s="141" t="n"/>
      <c r="AD102" s="141" t="n"/>
      <c r="AE102" s="141" t="n"/>
      <c r="AF102" s="141" t="n"/>
      <c r="AG102" s="141" t="n"/>
      <c r="AH102" s="141" t="n"/>
      <c r="AI102" s="141" t="n"/>
      <c r="AJ102" s="141" t="n"/>
      <c r="AK102" s="141" t="n"/>
      <c r="AL102" s="78" t="n"/>
    </row>
    <row r="103">
      <c r="A103" s="150" t="n"/>
      <c r="B103" s="150" t="n"/>
      <c r="C103" s="151" t="inlineStr">
        <is>
          <t>企业年金</t>
        </is>
      </c>
      <c r="D103" s="151" t="n"/>
      <c r="E103" s="150" t="n"/>
      <c r="F103" s="150" t="n"/>
      <c r="G103" s="150" t="n"/>
      <c r="H103" s="150" t="n"/>
      <c r="I103" s="150" t="n"/>
      <c r="J103" s="150" t="n"/>
      <c r="K103" s="150" t="n"/>
      <c r="L103" s="150" t="n"/>
      <c r="M103" s="150" t="n"/>
      <c r="N103" s="150" t="n"/>
      <c r="O103" s="150" t="n"/>
      <c r="P103" s="152" t="n">
        <v>17742.24</v>
      </c>
      <c r="Q103" s="150" t="n"/>
      <c r="R103" s="150" t="n"/>
      <c r="S103" s="150" t="n"/>
      <c r="T103" s="150" t="n"/>
    </row>
    <row r="104">
      <c r="A104" s="150" t="n"/>
      <c r="B104" s="150" t="n"/>
      <c r="C104" s="151" t="inlineStr">
        <is>
          <t>住房公积金</t>
        </is>
      </c>
      <c r="D104" s="151" t="n"/>
      <c r="E104" s="150" t="n"/>
      <c r="F104" s="150" t="n"/>
      <c r="G104" s="150" t="n"/>
      <c r="H104" s="150" t="n"/>
      <c r="I104" s="150" t="n"/>
      <c r="J104" s="150" t="n"/>
      <c r="K104" s="150" t="n"/>
      <c r="L104" s="150" t="n"/>
      <c r="M104" s="150" t="n"/>
      <c r="N104" s="150" t="n"/>
      <c r="O104" s="150" t="n"/>
      <c r="P104" s="152" t="n">
        <v>354846</v>
      </c>
      <c r="Q104" s="150" t="n"/>
      <c r="R104" s="150" t="n"/>
      <c r="S104" s="150" t="n"/>
      <c r="T104" s="150" t="n"/>
    </row>
    <row r="105">
      <c r="A105" s="150" t="n"/>
      <c r="B105" s="150" t="n"/>
      <c r="C105" s="151" t="inlineStr">
        <is>
          <t>保安保洁费</t>
        </is>
      </c>
      <c r="D105" s="151" t="n"/>
      <c r="E105" s="150" t="n"/>
      <c r="F105" s="150" t="n"/>
      <c r="G105" s="150" t="n"/>
      <c r="H105" s="150" t="n"/>
      <c r="I105" s="150" t="n"/>
      <c r="J105" s="150" t="n"/>
      <c r="K105" s="150" t="n"/>
      <c r="L105" s="150" t="n"/>
      <c r="M105" s="150" t="n"/>
      <c r="N105" s="150" t="n"/>
      <c r="O105" s="150" t="n"/>
      <c r="P105" s="152" t="n">
        <v>85380.32000000001</v>
      </c>
      <c r="Q105" s="150" t="n"/>
      <c r="R105" s="150" t="n"/>
      <c r="S105" s="150" t="n"/>
      <c r="T105" s="150" t="n"/>
    </row>
    <row r="106">
      <c r="A106" s="150" t="n"/>
      <c r="B106" s="150" t="n"/>
      <c r="C106" s="151" t="inlineStr">
        <is>
          <t>修理费</t>
        </is>
      </c>
      <c r="D106" s="151" t="n"/>
      <c r="E106" s="150" t="n"/>
      <c r="F106" s="150" t="n"/>
      <c r="G106" s="150" t="n"/>
      <c r="H106" s="150" t="n"/>
      <c r="I106" s="150" t="n"/>
      <c r="J106" s="150" t="n"/>
      <c r="K106" s="150" t="n"/>
      <c r="L106" s="150" t="n"/>
      <c r="M106" s="150" t="n"/>
      <c r="N106" s="150" t="n"/>
      <c r="O106" s="150" t="n"/>
      <c r="P106" s="152" t="n">
        <v>45517.86</v>
      </c>
      <c r="Q106" s="150" t="n"/>
      <c r="R106" s="150" t="n"/>
      <c r="S106" s="150" t="n"/>
      <c r="T106" s="150" t="n"/>
    </row>
    <row r="107">
      <c r="A107" s="150" t="n"/>
      <c r="B107" s="150" t="n"/>
      <c r="C107" s="151" t="inlineStr">
        <is>
          <t>其他</t>
        </is>
      </c>
      <c r="D107" s="151" t="n"/>
      <c r="E107" s="150" t="n"/>
      <c r="F107" s="150" t="n"/>
      <c r="G107" s="150" t="n"/>
      <c r="H107" s="150" t="n"/>
      <c r="I107" s="150" t="n"/>
      <c r="J107" s="150" t="n"/>
      <c r="K107" s="150" t="n"/>
      <c r="L107" s="150" t="n"/>
      <c r="M107" s="150" t="n"/>
      <c r="N107" s="150" t="n"/>
      <c r="O107" s="150" t="n"/>
      <c r="P107" s="152" t="n">
        <v>35702.91</v>
      </c>
      <c r="Q107" s="150" t="n"/>
      <c r="R107" s="150" t="n"/>
      <c r="S107" s="150" t="n"/>
      <c r="T107" s="150" t="n"/>
    </row>
    <row r="108">
      <c r="A108" s="150" t="n"/>
      <c r="B108" s="150" t="n"/>
      <c r="C108" s="151" t="inlineStr">
        <is>
          <t>冲晒印刷费</t>
        </is>
      </c>
      <c r="D108" s="151" t="n"/>
      <c r="E108" s="150" t="n"/>
      <c r="F108" s="150" t="n"/>
      <c r="G108" s="150" t="n"/>
      <c r="H108" s="150" t="n"/>
      <c r="I108" s="150" t="n"/>
      <c r="J108" s="150" t="n"/>
      <c r="K108" s="150" t="n"/>
      <c r="L108" s="150" t="n"/>
      <c r="M108" s="150" t="n"/>
      <c r="N108" s="150" t="n"/>
      <c r="O108" s="150" t="n"/>
      <c r="P108" s="152" t="n">
        <v>141655.44</v>
      </c>
      <c r="Q108" s="150" t="n"/>
      <c r="R108" s="150" t="n"/>
      <c r="S108" s="150" t="n"/>
      <c r="T108" s="150" t="n"/>
    </row>
    <row r="109">
      <c r="A109" s="150" t="n"/>
      <c r="B109" s="150" t="n"/>
      <c r="C109" s="151" t="inlineStr">
        <is>
          <t>办公用品费</t>
        </is>
      </c>
      <c r="D109" s="151" t="n"/>
      <c r="E109" s="150" t="n"/>
      <c r="F109" s="150" t="n"/>
      <c r="G109" s="150" t="n"/>
      <c r="H109" s="150" t="n"/>
      <c r="I109" s="150" t="n"/>
      <c r="J109" s="150" t="n"/>
      <c r="K109" s="150" t="n"/>
      <c r="L109" s="150" t="n"/>
      <c r="M109" s="150" t="n"/>
      <c r="N109" s="150" t="n"/>
      <c r="O109" s="150" t="n"/>
      <c r="P109" s="152" t="n">
        <v>342874.91</v>
      </c>
      <c r="Q109" s="150" t="n"/>
      <c r="R109" s="150" t="n"/>
      <c r="S109" s="150" t="n"/>
      <c r="T109" s="150" t="n"/>
    </row>
    <row r="110">
      <c r="A110" s="150" t="n"/>
      <c r="B110" s="150" t="n"/>
      <c r="C110" s="151" t="inlineStr">
        <is>
          <t>医疗保险</t>
        </is>
      </c>
      <c r="D110" s="151" t="n"/>
      <c r="E110" s="150" t="n"/>
      <c r="F110" s="150" t="n"/>
      <c r="G110" s="150" t="n"/>
      <c r="H110" s="150" t="n"/>
      <c r="I110" s="150" t="n"/>
      <c r="J110" s="150" t="n"/>
      <c r="K110" s="150" t="n"/>
      <c r="L110" s="150" t="n"/>
      <c r="M110" s="150" t="n"/>
      <c r="N110" s="150" t="n"/>
      <c r="O110" s="150" t="n"/>
      <c r="P110" s="152" t="n">
        <v>239686.83</v>
      </c>
      <c r="Q110" s="150" t="n"/>
      <c r="R110" s="150" t="n"/>
      <c r="S110" s="150" t="n"/>
      <c r="T110" s="150" t="n"/>
    </row>
    <row r="111">
      <c r="A111" s="150" t="n"/>
      <c r="B111" s="150" t="n"/>
      <c r="C111" s="151" t="inlineStr">
        <is>
          <t>基本养老保险</t>
        </is>
      </c>
      <c r="D111" s="151" t="n"/>
      <c r="E111" s="150" t="n"/>
      <c r="F111" s="150" t="n"/>
      <c r="G111" s="150" t="n"/>
      <c r="H111" s="150" t="n"/>
      <c r="I111" s="150" t="n"/>
      <c r="J111" s="150" t="n"/>
      <c r="K111" s="150" t="n"/>
      <c r="L111" s="150" t="n"/>
      <c r="M111" s="150" t="n"/>
      <c r="N111" s="150" t="n"/>
      <c r="O111" s="150" t="n"/>
      <c r="P111" s="152" t="n">
        <v>785587.66</v>
      </c>
      <c r="Q111" s="150" t="n"/>
      <c r="R111" s="150" t="n"/>
      <c r="S111" s="150" t="n"/>
      <c r="T111" s="150" t="n"/>
    </row>
    <row r="112">
      <c r="A112" s="150" t="n"/>
      <c r="B112" s="150" t="n"/>
      <c r="C112" s="151" t="inlineStr">
        <is>
          <t>境内差旅费</t>
        </is>
      </c>
      <c r="D112" s="151" t="n"/>
      <c r="E112" s="150" t="n"/>
      <c r="F112" s="150" t="n"/>
      <c r="G112" s="150" t="n"/>
      <c r="H112" s="150" t="n"/>
      <c r="I112" s="150" t="n"/>
      <c r="J112" s="150" t="n"/>
      <c r="K112" s="150" t="n"/>
      <c r="L112" s="150" t="n"/>
      <c r="M112" s="150" t="n"/>
      <c r="N112" s="150" t="n"/>
      <c r="O112" s="150" t="n"/>
      <c r="P112" s="152" t="n">
        <v>56605.13</v>
      </c>
      <c r="Q112" s="150" t="n"/>
      <c r="R112" s="150" t="n"/>
      <c r="S112" s="150" t="n"/>
      <c r="T112" s="150" t="n"/>
    </row>
    <row r="113">
      <c r="A113" s="150" t="n"/>
      <c r="B113" s="150" t="n"/>
      <c r="C113" s="151" t="inlineStr">
        <is>
          <t>失业保险</t>
        </is>
      </c>
      <c r="D113" s="151" t="n"/>
      <c r="E113" s="150" t="n"/>
      <c r="F113" s="150" t="n"/>
      <c r="G113" s="150" t="n"/>
      <c r="H113" s="150" t="n"/>
      <c r="I113" s="150" t="n"/>
      <c r="J113" s="150" t="n"/>
      <c r="K113" s="150" t="n"/>
      <c r="L113" s="150" t="n"/>
      <c r="M113" s="150" t="n"/>
      <c r="N113" s="150" t="n"/>
      <c r="O113" s="150" t="n"/>
      <c r="P113" s="152" t="n">
        <v>27374.29</v>
      </c>
      <c r="Q113" s="150" t="n"/>
      <c r="R113" s="150" t="n"/>
      <c r="S113" s="150" t="n"/>
      <c r="T113" s="150" t="n"/>
    </row>
    <row r="114">
      <c r="A114" s="150" t="n"/>
      <c r="B114" s="150" t="n"/>
      <c r="C114" s="151" t="inlineStr">
        <is>
          <t>工会经费</t>
        </is>
      </c>
      <c r="D114" s="151" t="n"/>
      <c r="E114" s="150" t="n"/>
      <c r="F114" s="150" t="n"/>
      <c r="G114" s="150" t="n"/>
      <c r="H114" s="150" t="n"/>
      <c r="I114" s="150" t="n"/>
      <c r="J114" s="150" t="n"/>
      <c r="K114" s="150" t="n"/>
      <c r="L114" s="150" t="n"/>
      <c r="M114" s="150" t="n"/>
      <c r="N114" s="150" t="n"/>
      <c r="O114" s="150" t="n"/>
      <c r="P114" s="152" t="n">
        <v>68528.91</v>
      </c>
      <c r="Q114" s="150" t="n"/>
      <c r="R114" s="150" t="n"/>
      <c r="S114" s="150" t="n"/>
      <c r="T114" s="150" t="n"/>
    </row>
    <row r="115">
      <c r="A115" s="150" t="n"/>
      <c r="B115" s="150" t="n"/>
      <c r="C115" s="151" t="inlineStr">
        <is>
          <t>工伤保险</t>
        </is>
      </c>
      <c r="D115" s="151" t="n"/>
      <c r="E115" s="150" t="n"/>
      <c r="F115" s="150" t="n"/>
      <c r="G115" s="150" t="n"/>
      <c r="H115" s="150" t="n"/>
      <c r="I115" s="150" t="n"/>
      <c r="J115" s="150" t="n"/>
      <c r="K115" s="150" t="n"/>
      <c r="L115" s="150" t="n"/>
      <c r="M115" s="150" t="n"/>
      <c r="N115" s="150" t="n"/>
      <c r="O115" s="150" t="n"/>
      <c r="P115" s="152" t="n">
        <v>41844.32</v>
      </c>
      <c r="Q115" s="150" t="n"/>
      <c r="R115" s="150" t="n"/>
      <c r="S115" s="150" t="n"/>
      <c r="T115" s="150" t="n"/>
    </row>
    <row r="116">
      <c r="A116" s="150" t="n"/>
      <c r="B116" s="150" t="n"/>
      <c r="C116" s="151" t="inlineStr">
        <is>
          <t>工资</t>
        </is>
      </c>
      <c r="D116" s="151" t="n"/>
      <c r="E116" s="150" t="n"/>
      <c r="F116" s="150" t="n"/>
      <c r="G116" s="150" t="n"/>
      <c r="H116" s="150" t="n"/>
      <c r="I116" s="150" t="n"/>
      <c r="J116" s="150" t="n"/>
      <c r="K116" s="150" t="n"/>
      <c r="L116" s="150" t="n"/>
      <c r="M116" s="150" t="n"/>
      <c r="N116" s="150" t="n"/>
      <c r="O116" s="150" t="n"/>
      <c r="P116" s="152" t="n">
        <v>6390165.85</v>
      </c>
      <c r="Q116" s="150" t="n"/>
      <c r="R116" s="150" t="n"/>
      <c r="S116" s="150" t="n"/>
      <c r="T116" s="150" t="n"/>
    </row>
    <row r="117">
      <c r="A117" s="150" t="n"/>
      <c r="B117" s="150" t="n"/>
      <c r="C117" s="151" t="inlineStr">
        <is>
          <t>市内交通费</t>
        </is>
      </c>
      <c r="D117" s="151" t="n"/>
      <c r="E117" s="150" t="n"/>
      <c r="F117" s="150" t="n"/>
      <c r="G117" s="150" t="n"/>
      <c r="H117" s="150" t="n"/>
      <c r="I117" s="150" t="n"/>
      <c r="J117" s="150" t="n"/>
      <c r="K117" s="150" t="n"/>
      <c r="L117" s="150" t="n"/>
      <c r="M117" s="150" t="n"/>
      <c r="N117" s="150" t="n"/>
      <c r="O117" s="150" t="n"/>
      <c r="P117" s="152" t="n">
        <v>249.88</v>
      </c>
      <c r="Q117" s="150" t="n"/>
      <c r="R117" s="150" t="n"/>
      <c r="S117" s="150" t="n"/>
      <c r="T117" s="150" t="n"/>
    </row>
    <row r="118">
      <c r="A118" s="150" t="n"/>
      <c r="B118" s="150" t="n"/>
      <c r="C118" s="151" t="inlineStr">
        <is>
          <t>律师费</t>
        </is>
      </c>
      <c r="D118" s="151" t="n"/>
      <c r="E118" s="150" t="n"/>
      <c r="F118" s="150" t="n"/>
      <c r="G118" s="150" t="n"/>
      <c r="H118" s="150" t="n"/>
      <c r="I118" s="150" t="n"/>
      <c r="J118" s="150" t="n"/>
      <c r="K118" s="150" t="n"/>
      <c r="L118" s="150" t="n"/>
      <c r="M118" s="150" t="n"/>
      <c r="N118" s="150" t="n"/>
      <c r="O118" s="150" t="n"/>
      <c r="P118" s="152" t="n">
        <v>24056.6</v>
      </c>
      <c r="Q118" s="150" t="n"/>
      <c r="R118" s="150" t="n"/>
      <c r="S118" s="150" t="n"/>
      <c r="T118" s="150" t="n"/>
    </row>
    <row r="119">
      <c r="A119" s="150" t="n"/>
      <c r="B119" s="150" t="n"/>
      <c r="C119" s="151" t="inlineStr">
        <is>
          <t>折旧费</t>
        </is>
      </c>
      <c r="D119" s="151" t="n"/>
      <c r="E119" s="150" t="n"/>
      <c r="F119" s="150" t="n"/>
      <c r="G119" s="150" t="n"/>
      <c r="H119" s="150" t="n"/>
      <c r="I119" s="150" t="n"/>
      <c r="J119" s="150" t="n"/>
      <c r="K119" s="150" t="n"/>
      <c r="L119" s="150" t="n"/>
      <c r="M119" s="150" t="n"/>
      <c r="N119" s="150" t="n"/>
      <c r="O119" s="150" t="n"/>
      <c r="P119" s="152" t="n">
        <v>8068.7</v>
      </c>
      <c r="Q119" s="150" t="n"/>
      <c r="R119" s="150" t="n"/>
      <c r="S119" s="150" t="n"/>
      <c r="T119" s="150" t="n"/>
    </row>
    <row r="120">
      <c r="A120" s="150" t="n"/>
      <c r="B120" s="150" t="n"/>
      <c r="C120" s="151" t="inlineStr">
        <is>
          <t>燃油费</t>
        </is>
      </c>
      <c r="D120" s="151" t="n"/>
      <c r="E120" s="150" t="n"/>
      <c r="F120" s="150" t="n"/>
      <c r="G120" s="150" t="n"/>
      <c r="H120" s="150" t="n"/>
      <c r="I120" s="150" t="n"/>
      <c r="J120" s="150" t="n"/>
      <c r="K120" s="150" t="n"/>
      <c r="L120" s="150" t="n"/>
      <c r="M120" s="150" t="n"/>
      <c r="N120" s="150" t="n"/>
      <c r="O120" s="150" t="n"/>
      <c r="P120" s="152" t="n">
        <v>61952.74</v>
      </c>
      <c r="Q120" s="150" t="n"/>
      <c r="R120" s="150" t="n"/>
      <c r="S120" s="150" t="n"/>
      <c r="T120" s="150" t="n"/>
    </row>
    <row r="121">
      <c r="A121" s="150" t="n"/>
      <c r="B121" s="150" t="n"/>
      <c r="C121" s="151" t="inlineStr">
        <is>
          <t>物业管理费</t>
        </is>
      </c>
      <c r="D121" s="151" t="n"/>
      <c r="E121" s="150" t="n"/>
      <c r="F121" s="150" t="n"/>
      <c r="G121" s="150" t="n"/>
      <c r="H121" s="150" t="n"/>
      <c r="I121" s="150" t="n"/>
      <c r="J121" s="150" t="n"/>
      <c r="K121" s="150" t="n"/>
      <c r="L121" s="150" t="n"/>
      <c r="M121" s="150" t="n"/>
      <c r="N121" s="150" t="n"/>
      <c r="O121" s="150" t="n"/>
      <c r="P121" s="152" t="n">
        <v>399120.24</v>
      </c>
      <c r="Q121" s="150" t="n"/>
      <c r="R121" s="150" t="n"/>
      <c r="S121" s="150" t="n"/>
      <c r="T121" s="150" t="n"/>
    </row>
    <row r="122">
      <c r="A122" s="150" t="n"/>
      <c r="B122" s="150" t="n"/>
      <c r="C122" s="151" t="inlineStr">
        <is>
          <t>生育保险</t>
        </is>
      </c>
      <c r="D122" s="151" t="n"/>
      <c r="E122" s="150" t="n"/>
      <c r="F122" s="150" t="n"/>
      <c r="G122" s="150" t="n"/>
      <c r="H122" s="150" t="n"/>
      <c r="I122" s="150" t="n"/>
      <c r="J122" s="150" t="n"/>
      <c r="K122" s="150" t="n"/>
      <c r="L122" s="150" t="n"/>
      <c r="M122" s="150" t="n"/>
      <c r="N122" s="150" t="n"/>
      <c r="O122" s="150" t="n"/>
      <c r="P122" s="152" t="n">
        <v>5673.75</v>
      </c>
      <c r="Q122" s="150" t="n"/>
      <c r="R122" s="150" t="n"/>
      <c r="S122" s="150" t="n"/>
      <c r="T122" s="150" t="n"/>
    </row>
    <row r="123">
      <c r="A123" s="150" t="n"/>
      <c r="B123" s="150" t="n"/>
      <c r="C123" s="151" t="inlineStr">
        <is>
          <t>社保及公积金</t>
        </is>
      </c>
      <c r="D123" s="151" t="n"/>
      <c r="E123" s="150" t="n"/>
      <c r="F123" s="150" t="n"/>
      <c r="G123" s="150" t="n"/>
      <c r="H123" s="150" t="n"/>
      <c r="I123" s="150" t="n"/>
      <c r="J123" s="150" t="n"/>
      <c r="K123" s="150" t="n"/>
      <c r="L123" s="150" t="n"/>
      <c r="M123" s="150" t="n"/>
      <c r="N123" s="150" t="n"/>
      <c r="O123" s="150" t="n"/>
      <c r="P123" s="152" t="n">
        <v>275511.16</v>
      </c>
      <c r="Q123" s="150" t="n"/>
      <c r="R123" s="150" t="n"/>
      <c r="S123" s="150" t="n"/>
      <c r="T123" s="150" t="n"/>
    </row>
    <row r="124">
      <c r="A124" s="150" t="n"/>
      <c r="B124" s="150" t="n"/>
      <c r="C124" s="151" t="inlineStr">
        <is>
          <t>租车费</t>
        </is>
      </c>
      <c r="D124" s="151" t="n"/>
      <c r="E124" s="150" t="n"/>
      <c r="F124" s="150" t="n"/>
      <c r="G124" s="150" t="n"/>
      <c r="H124" s="150" t="n"/>
      <c r="I124" s="150" t="n"/>
      <c r="J124" s="150" t="n"/>
      <c r="K124" s="150" t="n"/>
      <c r="L124" s="150" t="n"/>
      <c r="M124" s="150" t="n"/>
      <c r="N124" s="150" t="n"/>
      <c r="O124" s="150" t="n"/>
      <c r="P124" s="152" t="n">
        <v>18229.2</v>
      </c>
      <c r="Q124" s="150" t="n"/>
      <c r="R124" s="150" t="n"/>
      <c r="S124" s="150" t="n"/>
      <c r="T124" s="150" t="n"/>
    </row>
    <row r="125">
      <c r="A125" s="150" t="n"/>
      <c r="B125" s="150" t="n"/>
      <c r="C125" s="151" t="inlineStr">
        <is>
          <t>维修保养费</t>
        </is>
      </c>
      <c r="D125" s="151" t="n"/>
      <c r="E125" s="150" t="n"/>
      <c r="F125" s="150" t="n"/>
      <c r="G125" s="150" t="n"/>
      <c r="H125" s="150" t="n"/>
      <c r="I125" s="150" t="n"/>
      <c r="J125" s="150" t="n"/>
      <c r="K125" s="150" t="n"/>
      <c r="L125" s="150" t="n"/>
      <c r="M125" s="150" t="n"/>
      <c r="N125" s="150" t="n"/>
      <c r="O125" s="150" t="n"/>
      <c r="P125" s="152" t="n">
        <v>16244.86</v>
      </c>
      <c r="Q125" s="150" t="n"/>
      <c r="R125" s="150" t="n"/>
      <c r="S125" s="150" t="n"/>
      <c r="T125" s="150" t="n"/>
    </row>
    <row r="126">
      <c r="A126" s="150" t="n"/>
      <c r="B126" s="150" t="n"/>
      <c r="C126" s="151" t="inlineStr">
        <is>
          <t>网络使用费</t>
        </is>
      </c>
      <c r="D126" s="151" t="n"/>
      <c r="E126" s="150" t="n"/>
      <c r="F126" s="150" t="n"/>
      <c r="G126" s="150" t="n"/>
      <c r="H126" s="150" t="n"/>
      <c r="I126" s="150" t="n"/>
      <c r="J126" s="150" t="n"/>
      <c r="K126" s="150" t="n"/>
      <c r="L126" s="150" t="n"/>
      <c r="M126" s="150" t="n"/>
      <c r="N126" s="150" t="n"/>
      <c r="O126" s="150" t="n"/>
      <c r="P126" s="152" t="n">
        <v>127503.01</v>
      </c>
      <c r="Q126" s="150" t="n"/>
      <c r="R126" s="150" t="n"/>
      <c r="S126" s="150" t="n"/>
      <c r="T126" s="150" t="n"/>
    </row>
    <row r="127">
      <c r="A127" s="150" t="n"/>
      <c r="B127" s="150" t="n"/>
      <c r="C127" s="151" t="inlineStr">
        <is>
          <t>职工教育经费</t>
        </is>
      </c>
      <c r="D127" s="151" t="n"/>
      <c r="E127" s="150" t="n"/>
      <c r="F127" s="150" t="n"/>
      <c r="G127" s="150" t="n"/>
      <c r="H127" s="150" t="n"/>
      <c r="I127" s="150" t="n"/>
      <c r="J127" s="150" t="n"/>
      <c r="K127" s="150" t="n"/>
      <c r="L127" s="150" t="n"/>
      <c r="M127" s="150" t="n"/>
      <c r="N127" s="150" t="n"/>
      <c r="O127" s="150" t="n"/>
      <c r="P127" s="152" t="n">
        <v>35002.91</v>
      </c>
      <c r="Q127" s="150" t="n"/>
      <c r="R127" s="150" t="n"/>
      <c r="S127" s="150" t="n"/>
      <c r="T127" s="150" t="n"/>
    </row>
    <row r="128">
      <c r="A128" s="150" t="n"/>
      <c r="B128" s="150" t="n"/>
      <c r="C128" s="151" t="inlineStr">
        <is>
          <t>职工福利费</t>
        </is>
      </c>
      <c r="D128" s="151" t="n"/>
      <c r="E128" s="150" t="n"/>
      <c r="F128" s="150" t="n"/>
      <c r="G128" s="150" t="n"/>
      <c r="H128" s="150" t="n"/>
      <c r="I128" s="150" t="n"/>
      <c r="J128" s="150" t="n"/>
      <c r="K128" s="150" t="n"/>
      <c r="L128" s="150" t="n"/>
      <c r="M128" s="150" t="n"/>
      <c r="N128" s="150" t="n"/>
      <c r="O128" s="150" t="n"/>
      <c r="P128" s="152" t="n">
        <v>188522.63</v>
      </c>
      <c r="Q128" s="150" t="n"/>
      <c r="R128" s="150" t="n"/>
      <c r="S128" s="150" t="n"/>
      <c r="T128" s="150" t="n"/>
    </row>
    <row r="129">
      <c r="A129" s="150" t="n"/>
      <c r="B129" s="150" t="n"/>
      <c r="C129" s="151" t="inlineStr">
        <is>
          <t>补充医疗保险</t>
        </is>
      </c>
      <c r="D129" s="151" t="n"/>
      <c r="E129" s="150" t="n"/>
      <c r="F129" s="150" t="n"/>
      <c r="G129" s="150" t="n"/>
      <c r="H129" s="150" t="n"/>
      <c r="I129" s="150" t="n"/>
      <c r="J129" s="150" t="n"/>
      <c r="K129" s="150" t="n"/>
      <c r="L129" s="150" t="n"/>
      <c r="M129" s="150" t="n"/>
      <c r="N129" s="150" t="n"/>
      <c r="O129" s="150" t="n"/>
      <c r="P129" s="152" t="n">
        <v>2802.66</v>
      </c>
      <c r="Q129" s="150" t="n"/>
      <c r="R129" s="150" t="n"/>
      <c r="S129" s="150" t="n"/>
      <c r="T129" s="150" t="n"/>
    </row>
    <row r="130">
      <c r="A130" s="150" t="n"/>
      <c r="B130" s="150" t="n"/>
      <c r="C130" s="151" t="inlineStr">
        <is>
          <t>诉讼费</t>
        </is>
      </c>
      <c r="D130" s="151" t="n"/>
      <c r="E130" s="150" t="n"/>
      <c r="F130" s="150" t="n"/>
      <c r="G130" s="150" t="n"/>
      <c r="H130" s="150" t="n"/>
      <c r="I130" s="150" t="n"/>
      <c r="J130" s="150" t="n"/>
      <c r="K130" s="150" t="n"/>
      <c r="L130" s="150" t="n"/>
      <c r="M130" s="150" t="n"/>
      <c r="N130" s="150" t="n"/>
      <c r="O130" s="150" t="n"/>
      <c r="P130" s="152" t="n">
        <v>310729.56</v>
      </c>
      <c r="Q130" s="150" t="n"/>
      <c r="R130" s="150" t="n"/>
      <c r="S130" s="150" t="n"/>
      <c r="T130" s="150" t="n"/>
    </row>
    <row r="131">
      <c r="A131" s="150" t="n"/>
      <c r="B131" s="150" t="n"/>
      <c r="C131" s="151" t="inlineStr">
        <is>
          <t>路桥及停车费</t>
        </is>
      </c>
      <c r="D131" s="151" t="n"/>
      <c r="E131" s="150" t="n"/>
      <c r="F131" s="150" t="n"/>
      <c r="G131" s="150" t="n"/>
      <c r="H131" s="150" t="n"/>
      <c r="I131" s="150" t="n"/>
      <c r="J131" s="150" t="n"/>
      <c r="K131" s="150" t="n"/>
      <c r="L131" s="150" t="n"/>
      <c r="M131" s="150" t="n"/>
      <c r="N131" s="150" t="n"/>
      <c r="O131" s="150" t="n"/>
      <c r="P131" s="152" t="n">
        <v>40569.97</v>
      </c>
      <c r="Q131" s="150" t="n"/>
      <c r="R131" s="150" t="n"/>
      <c r="S131" s="150" t="n"/>
      <c r="T131" s="150" t="n"/>
    </row>
    <row r="132">
      <c r="A132" s="150" t="n"/>
      <c r="B132" s="150" t="n"/>
      <c r="C132" s="151" t="inlineStr">
        <is>
          <t>软件费</t>
        </is>
      </c>
      <c r="D132" s="151" t="n"/>
      <c r="E132" s="150" t="n"/>
      <c r="F132" s="150" t="n"/>
      <c r="G132" s="150" t="n"/>
      <c r="H132" s="150" t="n"/>
      <c r="I132" s="150" t="n"/>
      <c r="J132" s="150" t="n"/>
      <c r="K132" s="150" t="n"/>
      <c r="L132" s="150" t="n"/>
      <c r="M132" s="150" t="n"/>
      <c r="N132" s="150" t="n"/>
      <c r="O132" s="150" t="n"/>
      <c r="P132" s="152" t="n">
        <v>14454.72</v>
      </c>
      <c r="Q132" s="150" t="n"/>
      <c r="R132" s="150" t="n"/>
      <c r="S132" s="150" t="n"/>
      <c r="T132" s="150" t="n"/>
    </row>
    <row r="133">
      <c r="A133" s="150" t="n"/>
      <c r="B133" s="150" t="n"/>
      <c r="C133" s="151" t="inlineStr">
        <is>
          <t>通信费</t>
        </is>
      </c>
      <c r="D133" s="151" t="n"/>
      <c r="E133" s="150" t="n"/>
      <c r="F133" s="150" t="n"/>
      <c r="G133" s="150" t="n"/>
      <c r="H133" s="150" t="n"/>
      <c r="I133" s="150" t="n"/>
      <c r="J133" s="150" t="n"/>
      <c r="K133" s="150" t="n"/>
      <c r="L133" s="150" t="n"/>
      <c r="M133" s="150" t="n"/>
      <c r="N133" s="150" t="n"/>
      <c r="O133" s="150" t="n"/>
      <c r="P133" s="152" t="n">
        <v>35361.79</v>
      </c>
      <c r="Q133" s="150" t="n"/>
      <c r="R133" s="150" t="n"/>
      <c r="S133" s="150" t="n"/>
      <c r="T133" s="150" t="n"/>
    </row>
    <row r="134">
      <c r="A134" s="150" t="n"/>
      <c r="B134" s="150" t="n"/>
      <c r="C134" s="151" t="inlineStr">
        <is>
          <t>邮寄费</t>
        </is>
      </c>
      <c r="D134" s="151" t="n"/>
      <c r="E134" s="150" t="n"/>
      <c r="F134" s="150" t="n"/>
      <c r="G134" s="150" t="n"/>
      <c r="H134" s="150" t="n"/>
      <c r="I134" s="150" t="n"/>
      <c r="J134" s="150" t="n"/>
      <c r="K134" s="150" t="n"/>
      <c r="L134" s="150" t="n"/>
      <c r="M134" s="150" t="n"/>
      <c r="N134" s="150" t="n"/>
      <c r="O134" s="150" t="n"/>
      <c r="P134" s="152" t="n">
        <v>604.72</v>
      </c>
      <c r="Q134" s="150" t="n"/>
      <c r="R134" s="150" t="n"/>
      <c r="S134" s="150" t="n"/>
      <c r="T134" s="150" t="n"/>
    </row>
    <row r="135">
      <c r="A135" s="19" t="n"/>
      <c r="B135" s="19" t="n"/>
      <c r="C135" s="19" t="n"/>
      <c r="D135" s="24" t="inlineStr">
        <is>
          <t>**财务未列部分需增列***</t>
        </is>
      </c>
      <c r="E135" s="25" t="n"/>
      <c r="F135" s="25" t="n"/>
      <c r="G135" s="25" t="n"/>
      <c r="H135" s="162" t="n"/>
      <c r="I135" s="140" t="n"/>
      <c r="J135" s="162" t="n"/>
      <c r="K135" s="145" t="n"/>
      <c r="L135" s="149" t="n"/>
      <c r="M135" s="162" t="n"/>
      <c r="N135" s="140" t="n"/>
      <c r="O135" s="140">
        <f>L62-M62</f>
        <v/>
      </c>
      <c r="P135" s="140">
        <f>K62-N62</f>
        <v/>
      </c>
      <c r="Q135" s="140">
        <f>M62+O62</f>
        <v/>
      </c>
      <c r="R135" s="140">
        <f>M62+N62+O62+P62</f>
        <v/>
      </c>
      <c r="S135" s="162" t="n"/>
      <c r="T135" s="162" t="n"/>
      <c r="U135" s="162" t="n"/>
      <c r="V135" s="162" t="n"/>
      <c r="W135" s="162" t="n"/>
      <c r="X135" s="162" t="n"/>
      <c r="Y135" s="162" t="n"/>
      <c r="Z135" s="162" t="n"/>
      <c r="AA135" s="147" t="n"/>
      <c r="AB135" s="141" t="n"/>
      <c r="AC135" s="141" t="n"/>
      <c r="AD135" s="141" t="n"/>
      <c r="AE135" s="141" t="n"/>
      <c r="AF135" s="141" t="n"/>
      <c r="AG135" s="141" t="n"/>
      <c r="AH135" s="141" t="n"/>
      <c r="AI135" s="141" t="n"/>
      <c r="AJ135" s="141" t="n"/>
      <c r="AK135" s="141" t="n"/>
      <c r="AL135" s="78" t="n"/>
    </row>
    <row r="136">
      <c r="A136" s="40" t="n"/>
      <c r="B136" s="40" t="n"/>
      <c r="C136" s="40" t="n"/>
      <c r="D136" s="39" t="inlineStr">
        <is>
          <t>间接费小计：</t>
        </is>
      </c>
      <c r="E136" s="41" t="n"/>
      <c r="F136" s="41" t="n"/>
      <c r="G136" s="41" t="n"/>
      <c r="H136" s="154">
        <f>SUM(H49:H61)</f>
        <v/>
      </c>
      <c r="I136" s="154">
        <f>SUM(I49:I61)</f>
        <v/>
      </c>
      <c r="J136" s="154">
        <f>SUM(J49:J61)</f>
        <v/>
      </c>
      <c r="K136" s="154">
        <f>SUM(K49:K61)</f>
        <v/>
      </c>
      <c r="L136" s="161">
        <f>SUM(L49:L61)</f>
        <v/>
      </c>
      <c r="M136" s="161">
        <f>SUM(M49:M61)</f>
        <v/>
      </c>
      <c r="N136" s="161">
        <f>SUM(N49:N61)</f>
        <v/>
      </c>
      <c r="O136" s="161">
        <f>SUM(O49:O61)</f>
        <v/>
      </c>
      <c r="P136" s="161">
        <f>SUM(P49:P61)</f>
        <v/>
      </c>
      <c r="Q136" s="161">
        <f>SUM(Q49:Q61)</f>
        <v/>
      </c>
      <c r="R136" s="161">
        <f>SUM(R49:R61)</f>
        <v/>
      </c>
      <c r="S136" s="161">
        <f>SUM(S49:S61)</f>
        <v/>
      </c>
      <c r="T136" s="161" t="n"/>
      <c r="U136" s="161" t="n"/>
      <c r="V136" s="161" t="n"/>
      <c r="W136" s="161" t="n"/>
      <c r="X136" s="161" t="n"/>
      <c r="Y136" s="161" t="n"/>
      <c r="Z136" s="161">
        <f>SUM(Z49:Z61)</f>
        <v/>
      </c>
      <c r="AA136" s="161">
        <f>SUM(AA49:AA61)</f>
        <v/>
      </c>
      <c r="AB136" s="161">
        <f>SUM(AB49:AB61)</f>
        <v/>
      </c>
      <c r="AC136" s="161">
        <f>SUM(AC49:AC61)</f>
        <v/>
      </c>
      <c r="AD136" s="161">
        <f>SUM(AD49:AD61)</f>
        <v/>
      </c>
      <c r="AE136" s="161">
        <f>SUM(AE49:AE61)</f>
        <v/>
      </c>
      <c r="AF136" s="161">
        <f>SUM(AF49:AF61)</f>
        <v/>
      </c>
      <c r="AG136" s="161" t="n"/>
      <c r="AH136" s="161" t="n"/>
      <c r="AI136" s="161">
        <f>SUM(AI49:AI61)</f>
        <v/>
      </c>
      <c r="AJ136" s="161">
        <f>SUM(AJ49:AJ61)</f>
        <v/>
      </c>
      <c r="AK136" s="161">
        <f>SUM(AK49:AK61)</f>
        <v/>
      </c>
      <c r="AL136" s="78" t="n"/>
    </row>
    <row r="137">
      <c r="A137" s="19" t="n"/>
      <c r="B137" s="19" t="n"/>
      <c r="C137" s="19" t="n"/>
      <c r="D137" s="29" t="inlineStr">
        <is>
          <t>（七）安全费</t>
        </is>
      </c>
      <c r="E137" s="25" t="n"/>
      <c r="F137" s="25" t="n"/>
      <c r="G137" s="25" t="n"/>
      <c r="H137" s="140" t="n"/>
      <c r="I137" s="140" t="n"/>
      <c r="J137" s="135" t="n">
        <v>0</v>
      </c>
      <c r="K137" s="163" t="n"/>
      <c r="L137" s="149">
        <f>J64-N64-P64</f>
        <v/>
      </c>
      <c r="M137" s="140" t="n"/>
      <c r="N137" s="140" t="n"/>
      <c r="O137" s="140">
        <f>L64-M64</f>
        <v/>
      </c>
      <c r="P137" s="140">
        <f>K64-N64</f>
        <v/>
      </c>
      <c r="Q137" s="140">
        <f>M64+O64</f>
        <v/>
      </c>
      <c r="R137" s="140">
        <f>M64+N64+O64+P64</f>
        <v/>
      </c>
      <c r="S137" s="162" t="n"/>
      <c r="T137" s="162" t="n"/>
      <c r="U137" s="162" t="n"/>
      <c r="V137" s="162" t="n"/>
      <c r="W137" s="162" t="n"/>
      <c r="X137" s="162" t="n"/>
      <c r="Y137" s="162" t="n"/>
      <c r="Z137" s="160" t="n"/>
      <c r="AA137" s="147" t="n"/>
      <c r="AB137" s="141" t="n"/>
      <c r="AC137" s="141" t="n"/>
      <c r="AD137" s="141" t="n"/>
      <c r="AE137" s="141" t="n"/>
      <c r="AF137" s="141" t="n"/>
      <c r="AG137" s="141" t="n"/>
      <c r="AH137" s="141" t="n"/>
      <c r="AI137" s="141" t="n"/>
      <c r="AJ137" s="141" t="n"/>
      <c r="AK137" s="141" t="n"/>
      <c r="AL137" s="78" t="n"/>
    </row>
    <row r="138">
      <c r="A138" s="19" t="n"/>
      <c r="B138" s="19" t="n"/>
      <c r="C138" s="19" t="n"/>
      <c r="D138" s="29" t="n"/>
      <c r="E138" s="25" t="n"/>
      <c r="F138" s="25" t="n"/>
      <c r="G138" s="25" t="n"/>
      <c r="H138" s="140" t="n"/>
      <c r="I138" s="140" t="n"/>
      <c r="J138" s="135">
        <f>H65+I65</f>
        <v/>
      </c>
      <c r="K138" s="140" t="n"/>
      <c r="L138" s="149">
        <f>J65-K65</f>
        <v/>
      </c>
      <c r="M138" s="140" t="n"/>
      <c r="N138" s="140" t="n"/>
      <c r="O138" s="140">
        <f>L65-M65</f>
        <v/>
      </c>
      <c r="P138" s="140">
        <f>K65-N65</f>
        <v/>
      </c>
      <c r="Q138" s="140">
        <f>M65+O65</f>
        <v/>
      </c>
      <c r="R138" s="140">
        <f>M65+N65+O65+P65</f>
        <v/>
      </c>
      <c r="S138" s="147" t="n"/>
      <c r="T138" s="147" t="n"/>
      <c r="U138" s="147" t="n"/>
      <c r="V138" s="147" t="n"/>
      <c r="W138" s="147" t="n"/>
      <c r="X138" s="147" t="n"/>
      <c r="Y138" s="147" t="n"/>
      <c r="Z138" s="147" t="n"/>
      <c r="AA138" s="147" t="n"/>
      <c r="AB138" s="141" t="n"/>
      <c r="AC138" s="141" t="n"/>
      <c r="AD138" s="141" t="n"/>
      <c r="AE138" s="141" t="n"/>
      <c r="AF138" s="141" t="n"/>
      <c r="AG138" s="141" t="n"/>
      <c r="AH138" s="141" t="n"/>
      <c r="AI138" s="141" t="n"/>
      <c r="AJ138" s="141" t="n"/>
      <c r="AK138" s="141" t="n"/>
      <c r="AL138" s="78" t="n"/>
    </row>
    <row r="139">
      <c r="A139" s="19" t="n"/>
      <c r="B139" s="19" t="n"/>
      <c r="C139" s="19" t="n"/>
      <c r="D139" s="29" t="n"/>
      <c r="E139" s="25" t="n"/>
      <c r="F139" s="25" t="n"/>
      <c r="G139" s="25" t="n"/>
      <c r="H139" s="140" t="n"/>
      <c r="I139" s="140" t="n"/>
      <c r="J139" s="135">
        <f>H66+I66</f>
        <v/>
      </c>
      <c r="K139" s="140" t="n"/>
      <c r="L139" s="149">
        <f>J66-K66</f>
        <v/>
      </c>
      <c r="M139" s="140" t="n"/>
      <c r="N139" s="140" t="n"/>
      <c r="O139" s="140">
        <f>L66-M66</f>
        <v/>
      </c>
      <c r="P139" s="140">
        <f>K66-N66</f>
        <v/>
      </c>
      <c r="Q139" s="140">
        <f>M66+O66</f>
        <v/>
      </c>
      <c r="R139" s="140">
        <f>M66+N66+O66+P66</f>
        <v/>
      </c>
      <c r="S139" s="147" t="n"/>
      <c r="T139" s="147" t="n"/>
      <c r="U139" s="147" t="n"/>
      <c r="V139" s="147" t="n"/>
      <c r="W139" s="147" t="n"/>
      <c r="X139" s="147" t="n"/>
      <c r="Y139" s="147" t="n"/>
      <c r="Z139" s="147" t="n"/>
      <c r="AA139" s="147" t="n"/>
      <c r="AB139" s="141" t="n"/>
      <c r="AC139" s="141" t="n"/>
      <c r="AD139" s="141" t="n"/>
      <c r="AE139" s="141" t="n"/>
      <c r="AF139" s="141" t="n"/>
      <c r="AG139" s="141" t="n"/>
      <c r="AH139" s="141" t="n"/>
      <c r="AI139" s="141" t="n"/>
      <c r="AJ139" s="141" t="n"/>
      <c r="AK139" s="141" t="n"/>
      <c r="AL139" s="78" t="n"/>
    </row>
    <row r="140">
      <c r="A140" s="19" t="n"/>
      <c r="B140" s="19" t="n"/>
      <c r="C140" s="19" t="n"/>
      <c r="D140" s="29" t="n"/>
      <c r="E140" s="25" t="n"/>
      <c r="F140" s="25" t="n"/>
      <c r="G140" s="25" t="n"/>
      <c r="H140" s="140" t="n"/>
      <c r="I140" s="140" t="n"/>
      <c r="J140" s="135">
        <f>H67+I67</f>
        <v/>
      </c>
      <c r="K140" s="140" t="n"/>
      <c r="L140" s="149">
        <f>J67-K67</f>
        <v/>
      </c>
      <c r="M140" s="140" t="n"/>
      <c r="N140" s="140" t="n"/>
      <c r="O140" s="140">
        <f>L67-M67</f>
        <v/>
      </c>
      <c r="P140" s="140">
        <f>K67-N67</f>
        <v/>
      </c>
      <c r="Q140" s="140">
        <f>M67+O67</f>
        <v/>
      </c>
      <c r="R140" s="140">
        <f>M67+N67+O67+P67</f>
        <v/>
      </c>
      <c r="S140" s="147" t="n"/>
      <c r="T140" s="147" t="n"/>
      <c r="U140" s="147" t="n"/>
      <c r="V140" s="147" t="n"/>
      <c r="W140" s="147" t="n"/>
      <c r="X140" s="147" t="n"/>
      <c r="Y140" s="147" t="n"/>
      <c r="Z140" s="147" t="n"/>
      <c r="AA140" s="147" t="n"/>
      <c r="AB140" s="141" t="n"/>
      <c r="AC140" s="141" t="n"/>
      <c r="AD140" s="141" t="n"/>
      <c r="AE140" s="141" t="n"/>
      <c r="AF140" s="141" t="n"/>
      <c r="AG140" s="141" t="n"/>
      <c r="AH140" s="141" t="n"/>
      <c r="AI140" s="141" t="n"/>
      <c r="AJ140" s="141" t="n"/>
      <c r="AK140" s="141" t="n"/>
      <c r="AL140" s="78" t="n"/>
    </row>
    <row r="141">
      <c r="A141" s="19" t="n"/>
      <c r="B141" s="19" t="n"/>
      <c r="C141" s="19" t="n"/>
      <c r="D141" s="29" t="n"/>
      <c r="E141" s="25" t="n"/>
      <c r="F141" s="25" t="n"/>
      <c r="G141" s="25" t="n"/>
      <c r="H141" s="140" t="n"/>
      <c r="I141" s="140" t="n"/>
      <c r="J141" s="135">
        <f>H68+I68</f>
        <v/>
      </c>
      <c r="K141" s="140" t="n"/>
      <c r="L141" s="149">
        <f>J68-K68</f>
        <v/>
      </c>
      <c r="M141" s="140" t="n"/>
      <c r="N141" s="140" t="n"/>
      <c r="O141" s="140">
        <f>L68-M68</f>
        <v/>
      </c>
      <c r="P141" s="140">
        <f>K68-N68</f>
        <v/>
      </c>
      <c r="Q141" s="140">
        <f>M68+O68</f>
        <v/>
      </c>
      <c r="R141" s="140">
        <f>M68+N68+O68+P68</f>
        <v/>
      </c>
      <c r="S141" s="147" t="n"/>
      <c r="T141" s="147" t="n"/>
      <c r="U141" s="147" t="n"/>
      <c r="V141" s="147" t="n"/>
      <c r="W141" s="147" t="n"/>
      <c r="X141" s="147" t="n"/>
      <c r="Y141" s="147" t="n"/>
      <c r="Z141" s="147" t="n"/>
      <c r="AA141" s="147" t="n"/>
      <c r="AB141" s="141" t="n"/>
      <c r="AC141" s="141" t="n"/>
      <c r="AD141" s="141" t="n"/>
      <c r="AE141" s="141" t="n"/>
      <c r="AF141" s="141" t="n"/>
      <c r="AG141" s="141" t="n"/>
      <c r="AH141" s="141" t="n"/>
      <c r="AI141" s="141" t="n"/>
      <c r="AJ141" s="141" t="n"/>
      <c r="AK141" s="141" t="n"/>
      <c r="AL141" s="78" t="n"/>
    </row>
    <row r="142">
      <c r="A142" s="150" t="n"/>
      <c r="B142" s="150" t="n"/>
      <c r="C142" s="151" t="inlineStr">
        <is>
          <t>分包工程支出</t>
        </is>
      </c>
      <c r="D142" s="151" t="n"/>
      <c r="E142" s="150" t="n"/>
      <c r="F142" s="150" t="n"/>
      <c r="G142" s="150" t="n"/>
      <c r="H142" s="150" t="n"/>
      <c r="I142" s="150" t="n"/>
      <c r="J142" s="150" t="n"/>
      <c r="K142" s="150" t="n"/>
      <c r="L142" s="150" t="n"/>
      <c r="M142" s="150" t="n"/>
      <c r="N142" s="150" t="n"/>
      <c r="O142" s="150" t="n"/>
      <c r="P142" s="152" t="n">
        <v>7404340.81</v>
      </c>
      <c r="Q142" s="150" t="n"/>
      <c r="R142" s="150" t="n"/>
      <c r="S142" s="150" t="n"/>
      <c r="T142" s="150" t="n"/>
    </row>
    <row r="143">
      <c r="A143" s="150" t="n"/>
      <c r="B143" s="150" t="n"/>
      <c r="C143" s="151" t="inlineStr">
        <is>
          <t>报销</t>
        </is>
      </c>
      <c r="D143" s="151" t="n"/>
      <c r="E143" s="150" t="n"/>
      <c r="F143" s="150" t="n"/>
      <c r="G143" s="150" t="n"/>
      <c r="H143" s="150" t="n"/>
      <c r="I143" s="150" t="n"/>
      <c r="J143" s="150" t="n"/>
      <c r="K143" s="150" t="n"/>
      <c r="L143" s="150" t="n"/>
      <c r="M143" s="150" t="n"/>
      <c r="N143" s="150" t="n"/>
      <c r="O143" s="150" t="n"/>
      <c r="P143" s="152" t="n">
        <v>162980</v>
      </c>
      <c r="Q143" s="150" t="n"/>
      <c r="R143" s="150" t="n"/>
      <c r="S143" s="150" t="n"/>
      <c r="T143" s="150" t="n"/>
    </row>
    <row r="144">
      <c r="A144" s="150" t="n"/>
      <c r="B144" s="150" t="n"/>
      <c r="C144" s="151" t="inlineStr">
        <is>
          <t>直接人工费</t>
        </is>
      </c>
      <c r="D144" s="151" t="n"/>
      <c r="E144" s="150" t="n"/>
      <c r="F144" s="150" t="n"/>
      <c r="G144" s="150" t="n"/>
      <c r="H144" s="150" t="n"/>
      <c r="I144" s="150" t="n"/>
      <c r="J144" s="150" t="n"/>
      <c r="K144" s="150" t="n"/>
      <c r="L144" s="150" t="n"/>
      <c r="M144" s="150" t="n"/>
      <c r="N144" s="150" t="n"/>
      <c r="O144" s="150" t="n"/>
      <c r="P144" s="152" t="n">
        <v>951309.41</v>
      </c>
      <c r="Q144" s="150" t="n"/>
      <c r="R144" s="150" t="n"/>
      <c r="S144" s="150" t="n"/>
      <c r="T144" s="150" t="n"/>
    </row>
    <row r="145">
      <c r="A145" s="40" t="n"/>
      <c r="B145" s="40" t="n"/>
      <c r="C145" s="40" t="n"/>
      <c r="D145" s="39" t="inlineStr">
        <is>
          <t>安全费小计：</t>
        </is>
      </c>
      <c r="E145" s="39" t="n"/>
      <c r="F145" s="39" t="n"/>
      <c r="G145" s="39" t="n"/>
      <c r="H145" s="154">
        <f>SUM(H64)</f>
        <v/>
      </c>
      <c r="I145" s="154">
        <f>SUM(I64)</f>
        <v/>
      </c>
      <c r="J145" s="154" t="n">
        <v>0</v>
      </c>
      <c r="K145" s="154" t="n">
        <v>0</v>
      </c>
      <c r="L145" s="149">
        <f>J69-K69</f>
        <v/>
      </c>
      <c r="M145" s="164" t="n"/>
      <c r="N145" s="164" t="n"/>
      <c r="O145" s="161">
        <f>SUM(O51:O63)</f>
        <v/>
      </c>
      <c r="P145" s="161">
        <f>SUM(P51:P63)</f>
        <v/>
      </c>
      <c r="Q145" s="161">
        <f>SUM(Q51:Q63)</f>
        <v/>
      </c>
      <c r="R145" s="161">
        <f>SUM(R51:R63)</f>
        <v/>
      </c>
      <c r="S145" s="161">
        <f>SUM(S51:S63)</f>
        <v/>
      </c>
      <c r="T145" s="164" t="n"/>
      <c r="U145" s="164" t="n"/>
      <c r="V145" s="164" t="n"/>
      <c r="W145" s="164" t="n"/>
      <c r="X145" s="164" t="n"/>
      <c r="Y145" s="164" t="n"/>
      <c r="Z145" s="164" t="n"/>
      <c r="AA145" s="164">
        <f>SUM(AA64)</f>
        <v/>
      </c>
      <c r="AB145" s="164">
        <f>SUM(AB64)</f>
        <v/>
      </c>
      <c r="AC145" s="164">
        <f>SUM(AC64)</f>
        <v/>
      </c>
      <c r="AD145" s="164">
        <f>SUM(AD64)</f>
        <v/>
      </c>
      <c r="AE145" s="164">
        <f>SUM(AE64)</f>
        <v/>
      </c>
      <c r="AF145" s="164">
        <f>SUM(AF64)</f>
        <v/>
      </c>
      <c r="AG145" s="164" t="n"/>
      <c r="AH145" s="164" t="n"/>
      <c r="AI145" s="164">
        <f>SUM(AI64)</f>
        <v/>
      </c>
      <c r="AJ145" s="164">
        <f>SUM(AJ64)</f>
        <v/>
      </c>
      <c r="AK145" s="164">
        <f>SUM(AK64)</f>
        <v/>
      </c>
      <c r="AL145" s="112" t="n"/>
    </row>
    <row r="146">
      <c r="A146" s="40" t="n"/>
      <c r="B146" s="40" t="n"/>
      <c r="C146" s="40" t="n"/>
      <c r="D146" s="39" t="inlineStr">
        <is>
          <t>三、成本合计：</t>
        </is>
      </c>
      <c r="E146" s="41" t="n"/>
      <c r="F146" s="41" t="n"/>
      <c r="G146" s="41" t="n"/>
      <c r="H146" s="154">
        <f>H17+H23+H36+H40+H48+H63+H69</f>
        <v/>
      </c>
      <c r="I146" s="154">
        <f>I17+I23+I36+I40+I48+I63+I69</f>
        <v/>
      </c>
      <c r="J146" s="154">
        <f>J17+J23+J36+J40+J48+J63+J69</f>
        <v/>
      </c>
      <c r="K146" s="154">
        <f>K17+K23+K36+K40+K48+K63+K69</f>
        <v/>
      </c>
      <c r="L146" s="161">
        <f>L17+L23+L36+L40+L48+L63+L69</f>
        <v/>
      </c>
      <c r="M146" s="164">
        <f>M17+M23+M36+M40+M48+M63+M69</f>
        <v/>
      </c>
      <c r="N146" s="164">
        <f>N17+N23+N36+N40+N48+N63+N69</f>
        <v/>
      </c>
      <c r="O146" s="164">
        <f>O17+O23+O36+O40+O48+O63+O69</f>
        <v/>
      </c>
      <c r="P146" s="164">
        <f>P17+P23+P36+P40+P48+P63+P69</f>
        <v/>
      </c>
      <c r="Q146" s="164">
        <f>Q17+Q23+Q36+Q40+Q48+Q63+Q69</f>
        <v/>
      </c>
      <c r="R146" s="164">
        <f>R17+R23+R36+R40+R48+R63+R69</f>
        <v/>
      </c>
      <c r="S146" s="164">
        <f>S17+S23+S36+S40+S48+S63+S69</f>
        <v/>
      </c>
      <c r="T146" s="164" t="n"/>
      <c r="U146" s="164" t="n"/>
      <c r="V146" s="164" t="n"/>
      <c r="W146" s="164" t="n"/>
      <c r="X146" s="164" t="n"/>
      <c r="Y146" s="164" t="n"/>
      <c r="Z146" s="164">
        <f>Z17+Z23+Z36+Z40+Z48+Z63+Z69</f>
        <v/>
      </c>
      <c r="AA146" s="164">
        <f>AA17+AA23+AA36+AA40+AA48+AA63+AA69</f>
        <v/>
      </c>
      <c r="AB146" s="164">
        <f>AB17+AB23+AB36+AB40+AB48+AB63+AB69</f>
        <v/>
      </c>
      <c r="AC146" s="164">
        <f>AC17+AC23+AC36+AC40+AC48+AC63+AC69</f>
        <v/>
      </c>
      <c r="AD146" s="164">
        <f>AD17+AD23+AD36+AD40+AD48+AD63+AD69</f>
        <v/>
      </c>
      <c r="AE146" s="164">
        <f>AE17+AE23+AE36+AE40+AE48+AE63+AE69</f>
        <v/>
      </c>
      <c r="AF146" s="164">
        <f>AF17+AF23+AF36+AF40+AF48+AF63+AF69</f>
        <v/>
      </c>
      <c r="AG146" s="164" t="n"/>
      <c r="AH146" s="164" t="n"/>
      <c r="AI146" s="164">
        <f>AI17+AI23+AI36+AI40+AI48+AI63+AI69</f>
        <v/>
      </c>
      <c r="AJ146" s="164">
        <f>AJ17+AJ23+AJ36+AJ40+AJ48+AJ63+AJ69</f>
        <v/>
      </c>
      <c r="AK146" s="164">
        <f>AK17+AK23+AK36+AK40+AK48+AK63+AK69</f>
        <v/>
      </c>
      <c r="AL146" s="112" t="n"/>
    </row>
    <row r="147">
      <c r="A147" s="19" t="n"/>
      <c r="B147" s="19" t="n"/>
      <c r="C147" s="19" t="n"/>
      <c r="D147" s="29" t="inlineStr">
        <is>
          <t>四、计提保修金</t>
        </is>
      </c>
      <c r="E147" s="81" t="inlineStr">
        <is>
          <t>（在建：房建0.6%，其它0.4%；在保修期间的按0.3~0.5%自行确定;保修期结束为0）</t>
        </is>
      </c>
      <c r="F147" s="81" t="n"/>
      <c r="G147" s="81" t="n"/>
      <c r="H147" s="135" t="n"/>
      <c r="I147" s="135" t="n"/>
      <c r="J147" s="135">
        <f>H71+I71</f>
        <v/>
      </c>
      <c r="K147" s="135" t="n"/>
      <c r="L147" s="149">
        <f>J71-K71</f>
        <v/>
      </c>
      <c r="M147" s="140" t="n"/>
      <c r="N147" s="140" t="n"/>
      <c r="O147" s="140">
        <f>L71-M71</f>
        <v/>
      </c>
      <c r="P147" s="140">
        <f>K71-N71</f>
        <v/>
      </c>
      <c r="Q147" s="140">
        <f>M71+O71</f>
        <v/>
      </c>
      <c r="R147" s="140">
        <f>M71+N71+O71+P71</f>
        <v/>
      </c>
      <c r="S147" s="147" t="n"/>
      <c r="T147" s="147" t="n"/>
      <c r="U147" s="147" t="n"/>
      <c r="V147" s="147" t="n"/>
      <c r="W147" s="147" t="n"/>
      <c r="X147" s="147" t="n"/>
      <c r="Y147" s="147" t="n"/>
      <c r="Z147" s="147" t="n"/>
      <c r="AA147" s="147">
        <f>Q71-S71</f>
        <v/>
      </c>
      <c r="AB147" s="165" t="n"/>
      <c r="AC147" s="165" t="n"/>
      <c r="AD147" s="165" t="n"/>
      <c r="AE147" s="165" t="n"/>
      <c r="AF147" s="165" t="n"/>
      <c r="AG147" s="165" t="n"/>
      <c r="AH147" s="165" t="n"/>
      <c r="AI147" s="165" t="n"/>
      <c r="AJ147" s="165" t="n"/>
      <c r="AK147" s="141" t="n"/>
      <c r="AL147" s="112" t="n"/>
    </row>
    <row r="148">
      <c r="A148" s="19" t="n"/>
      <c r="B148" s="19" t="n"/>
      <c r="C148" s="19" t="n"/>
      <c r="D148" s="29" t="inlineStr">
        <is>
          <t>五、过程节点奖金</t>
        </is>
      </c>
      <c r="E148" s="25" t="n"/>
      <c r="F148" s="25" t="n"/>
      <c r="G148" s="25" t="n"/>
      <c r="H148" s="135" t="n"/>
      <c r="I148" s="135" t="n"/>
      <c r="J148" s="135">
        <f>H72+I72</f>
        <v/>
      </c>
      <c r="K148" s="135" t="n"/>
      <c r="L148" s="149">
        <f>J72-K72</f>
        <v/>
      </c>
      <c r="M148" s="140" t="n"/>
      <c r="N148" s="140" t="n"/>
      <c r="O148" s="140">
        <f>L72-M72</f>
        <v/>
      </c>
      <c r="P148" s="140">
        <f>K72-N72</f>
        <v/>
      </c>
      <c r="Q148" s="140">
        <f>M72+O72</f>
        <v/>
      </c>
      <c r="R148" s="140">
        <f>M72+N72+O72+P72</f>
        <v/>
      </c>
      <c r="S148" s="147" t="n"/>
      <c r="T148" s="147" t="n"/>
      <c r="U148" s="147" t="n"/>
      <c r="V148" s="147" t="n"/>
      <c r="W148" s="147" t="n"/>
      <c r="X148" s="147" t="n"/>
      <c r="Y148" s="147" t="n"/>
      <c r="Z148" s="147" t="n"/>
      <c r="AA148" s="147" t="n"/>
      <c r="AB148" s="141" t="n"/>
      <c r="AC148" s="141" t="n"/>
      <c r="AD148" s="141" t="n"/>
      <c r="AE148" s="141" t="n"/>
      <c r="AF148" s="141" t="n"/>
      <c r="AG148" s="141" t="n"/>
      <c r="AH148" s="141" t="n"/>
      <c r="AI148" s="141" t="n"/>
      <c r="AJ148" s="141" t="n"/>
      <c r="AK148" s="141" t="n"/>
      <c r="AL148" s="78" t="n"/>
    </row>
    <row r="149">
      <c r="A149" s="19" t="n"/>
      <c r="B149" s="19" t="n"/>
      <c r="C149" s="19" t="n"/>
      <c r="D149" s="29" t="inlineStr">
        <is>
          <t>六、资金占用费用</t>
        </is>
      </c>
      <c r="E149" s="25" t="n"/>
      <c r="F149" s="25" t="n"/>
      <c r="G149" s="25" t="n"/>
      <c r="H149" s="140" t="n"/>
      <c r="I149" s="140" t="n"/>
      <c r="J149" s="135">
        <f>H73+I73</f>
        <v/>
      </c>
      <c r="K149" s="140" t="n"/>
      <c r="L149" s="149">
        <f>J73-K73</f>
        <v/>
      </c>
      <c r="M149" s="140" t="n"/>
      <c r="N149" s="140" t="n"/>
      <c r="O149" s="140">
        <f>L73-M73</f>
        <v/>
      </c>
      <c r="P149" s="157" t="n">
        <v>762837.87</v>
      </c>
      <c r="Q149" s="140">
        <f>M73+O73</f>
        <v/>
      </c>
      <c r="R149" s="140">
        <f>M73+N73+O73+P73</f>
        <v/>
      </c>
      <c r="S149" s="147" t="n"/>
      <c r="T149" s="147" t="n"/>
      <c r="U149" s="147" t="n"/>
      <c r="V149" s="147" t="n"/>
      <c r="W149" s="147" t="n"/>
      <c r="X149" s="147" t="n"/>
      <c r="Y149" s="147" t="n"/>
      <c r="Z149" s="147" t="n"/>
      <c r="AA149" s="147" t="n"/>
      <c r="AB149" s="141" t="n"/>
      <c r="AC149" s="141" t="n"/>
      <c r="AD149" s="141" t="n"/>
      <c r="AE149" s="141" t="n"/>
      <c r="AF149" s="141" t="n"/>
      <c r="AG149" s="141" t="n"/>
      <c r="AH149" s="141" t="n"/>
      <c r="AI149" s="141" t="n"/>
      <c r="AJ149" s="141" t="n"/>
      <c r="AK149" s="141" t="n"/>
      <c r="AL149" s="78" t="n"/>
    </row>
    <row r="150">
      <c r="A150" s="19" t="n"/>
      <c r="B150" s="19" t="n"/>
      <c r="C150" s="19" t="n"/>
      <c r="D150" s="29" t="inlineStr">
        <is>
          <t>七、局投资收益（局投资项目选填）</t>
        </is>
      </c>
      <c r="E150" s="25" t="n"/>
      <c r="F150" s="25" t="n"/>
      <c r="G150" s="25" t="n"/>
      <c r="H150" s="140" t="n"/>
      <c r="I150" s="140" t="n"/>
      <c r="J150" s="135">
        <f>H74+I74</f>
        <v/>
      </c>
      <c r="K150" s="140" t="n"/>
      <c r="L150" s="149">
        <f>J74-K74</f>
        <v/>
      </c>
      <c r="M150" s="140" t="n"/>
      <c r="N150" s="140" t="n"/>
      <c r="O150" s="140">
        <f>L74-M74</f>
        <v/>
      </c>
      <c r="P150" s="140">
        <f>K74-N74</f>
        <v/>
      </c>
      <c r="Q150" s="140">
        <f>M74+O74</f>
        <v/>
      </c>
      <c r="R150" s="140">
        <f>M74+N74+O74+P74</f>
        <v/>
      </c>
      <c r="S150" s="147" t="n"/>
      <c r="T150" s="147" t="n"/>
      <c r="U150" s="147" t="n"/>
      <c r="V150" s="147" t="n"/>
      <c r="W150" s="147" t="n"/>
      <c r="X150" s="147" t="n"/>
      <c r="Y150" s="147" t="n"/>
      <c r="Z150" s="147" t="n"/>
      <c r="AA150" s="147" t="n"/>
      <c r="AB150" s="141" t="n"/>
      <c r="AC150" s="141" t="n"/>
      <c r="AD150" s="141" t="n"/>
      <c r="AE150" s="141" t="n"/>
      <c r="AF150" s="141" t="n"/>
      <c r="AG150" s="141" t="n"/>
      <c r="AH150" s="141" t="n"/>
      <c r="AI150" s="141" t="n"/>
      <c r="AJ150" s="141" t="n"/>
      <c r="AK150" s="141" t="n"/>
      <c r="AL150" s="78" t="n"/>
    </row>
    <row r="151">
      <c r="A151" s="40" t="n"/>
      <c r="B151" s="40" t="n"/>
      <c r="C151" s="40" t="n"/>
      <c r="D151" s="39" t="inlineStr">
        <is>
          <t>八、研发费用</t>
        </is>
      </c>
      <c r="E151" s="41" t="n"/>
      <c r="F151" s="41" t="n"/>
      <c r="G151" s="41" t="n"/>
      <c r="H151" s="154" t="n"/>
      <c r="I151" s="154" t="n"/>
      <c r="J151" s="154">
        <f>H75+I75</f>
        <v/>
      </c>
      <c r="K151" s="154" t="n"/>
      <c r="L151" s="161">
        <f>J75-K75</f>
        <v/>
      </c>
      <c r="M151" s="164">
        <f>SUM(M76:M78)</f>
        <v/>
      </c>
      <c r="N151" s="164">
        <f>SUM(N76:N78)</f>
        <v/>
      </c>
      <c r="O151" s="164">
        <f>SUM(O76:O78)</f>
        <v/>
      </c>
      <c r="P151" s="164">
        <f>SUM(P76:P78)</f>
        <v/>
      </c>
      <c r="Q151" s="164">
        <f>SUM(Q76:Q78)</f>
        <v/>
      </c>
      <c r="R151" s="164">
        <f>SUM(R76:R78)</f>
        <v/>
      </c>
      <c r="S151" s="164">
        <f>SUM(S76:S78)</f>
        <v/>
      </c>
      <c r="T151" s="164">
        <f>SUM(T76:T78)</f>
        <v/>
      </c>
      <c r="U151" s="164">
        <f>SUM(U76:U78)</f>
        <v/>
      </c>
      <c r="V151" s="164">
        <f>SUM(V76:V78)</f>
        <v/>
      </c>
      <c r="W151" s="164">
        <f>SUM(W76:W78)</f>
        <v/>
      </c>
      <c r="X151" s="164">
        <f>SUM(X76:X78)</f>
        <v/>
      </c>
      <c r="Y151" s="164">
        <f>SUM(Y76:Y78)</f>
        <v/>
      </c>
      <c r="Z151" s="164">
        <f>SUM(Z76:Z78)</f>
        <v/>
      </c>
      <c r="AA151" s="164">
        <f>SUM(AA76:AA78)</f>
        <v/>
      </c>
      <c r="AB151" s="164">
        <f>SUM(AB76:AB78)</f>
        <v/>
      </c>
      <c r="AC151" s="164">
        <f>SUM(AC76:AC78)</f>
        <v/>
      </c>
      <c r="AD151" s="164">
        <f>SUM(AD76:AD78)</f>
        <v/>
      </c>
      <c r="AE151" s="164">
        <f>SUM(AE76:AE78)</f>
        <v/>
      </c>
      <c r="AF151" s="164">
        <f>SUM(AF76:AF78)</f>
        <v/>
      </c>
      <c r="AG151" s="164">
        <f>SUM(AG76:AG78)</f>
        <v/>
      </c>
      <c r="AH151" s="164">
        <f>SUM(AH76:AH78)</f>
        <v/>
      </c>
      <c r="AI151" s="164">
        <f>SUM(AI76:AI78)</f>
        <v/>
      </c>
      <c r="AJ151" s="164">
        <f>SUM(AJ76:AJ78)</f>
        <v/>
      </c>
      <c r="AK151" s="164">
        <f>SUM(AK76:AK78)</f>
        <v/>
      </c>
      <c r="AL151" s="112" t="n"/>
    </row>
    <row r="152">
      <c r="A152" s="150" t="n"/>
      <c r="B152" s="150" t="n"/>
      <c r="C152" s="151" t="inlineStr">
        <is>
          <t>材料费</t>
        </is>
      </c>
      <c r="D152" s="151" t="n"/>
      <c r="E152" s="150" t="n"/>
      <c r="F152" s="150" t="n"/>
      <c r="G152" s="150" t="n"/>
      <c r="H152" s="150" t="n"/>
      <c r="I152" s="150" t="n"/>
      <c r="J152" s="150" t="n"/>
      <c r="K152" s="150" t="n"/>
      <c r="L152" s="150" t="n"/>
      <c r="M152" s="150" t="n"/>
      <c r="N152" s="150" t="n"/>
      <c r="O152" s="150" t="n"/>
      <c r="P152" s="152" t="n">
        <v>3926272.64</v>
      </c>
      <c r="Q152" s="150" t="n"/>
      <c r="R152" s="150" t="n"/>
      <c r="S152" s="150" t="n"/>
      <c r="T152" s="150" t="n"/>
    </row>
    <row r="153">
      <c r="A153" s="19" t="n"/>
      <c r="B153" s="19" t="n"/>
      <c r="C153" s="19" t="n"/>
      <c r="D153" s="29" t="n"/>
      <c r="E153" s="25" t="n"/>
      <c r="F153" s="25" t="n"/>
      <c r="G153" s="25" t="n"/>
      <c r="H153" s="140" t="n"/>
      <c r="I153" s="140" t="n"/>
      <c r="J153" s="135">
        <f>H76+I76</f>
        <v/>
      </c>
      <c r="K153" s="140" t="n"/>
      <c r="L153" s="149">
        <f>J76-K76</f>
        <v/>
      </c>
      <c r="M153" s="140" t="n"/>
      <c r="N153" s="140" t="n"/>
      <c r="O153" s="140">
        <f>L76-M76</f>
        <v/>
      </c>
      <c r="P153" s="140">
        <f>K76-N76</f>
        <v/>
      </c>
      <c r="Q153" s="140">
        <f>M76+O76</f>
        <v/>
      </c>
      <c r="R153" s="140">
        <f>M76+N76+O76+P76</f>
        <v/>
      </c>
      <c r="S153" s="147" t="n"/>
      <c r="T153" s="147" t="n"/>
      <c r="U153" s="147" t="n"/>
      <c r="V153" s="147" t="n"/>
      <c r="W153" s="147" t="n"/>
      <c r="X153" s="147" t="n"/>
      <c r="Y153" s="147" t="n"/>
      <c r="Z153" s="147" t="n"/>
      <c r="AA153" s="147" t="n"/>
      <c r="AB153" s="141" t="n"/>
      <c r="AC153" s="141" t="n"/>
      <c r="AD153" s="141" t="n"/>
      <c r="AE153" s="141" t="n"/>
      <c r="AF153" s="141" t="n"/>
      <c r="AG153" s="141" t="n"/>
      <c r="AH153" s="141" t="n"/>
      <c r="AI153" s="141" t="n"/>
      <c r="AJ153" s="141" t="n"/>
      <c r="AK153" s="141" t="n"/>
      <c r="AL153" s="78" t="n"/>
    </row>
    <row r="154">
      <c r="A154" s="19" t="n"/>
      <c r="B154" s="19" t="n"/>
      <c r="C154" s="19" t="n"/>
      <c r="D154" s="29" t="n"/>
      <c r="E154" s="25" t="n"/>
      <c r="F154" s="25" t="n"/>
      <c r="G154" s="25" t="n"/>
      <c r="H154" s="140" t="n"/>
      <c r="I154" s="140" t="n"/>
      <c r="J154" s="135" t="n"/>
      <c r="K154" s="140" t="n"/>
      <c r="L154" s="149" t="n"/>
      <c r="M154" s="140" t="n"/>
      <c r="N154" s="140" t="n"/>
      <c r="O154" s="140">
        <f>L77-M77</f>
        <v/>
      </c>
      <c r="P154" s="140">
        <f>K77-N77</f>
        <v/>
      </c>
      <c r="Q154" s="140">
        <f>M77+O77</f>
        <v/>
      </c>
      <c r="R154" s="140">
        <f>M77+N77+O77+P77</f>
        <v/>
      </c>
      <c r="S154" s="147" t="n"/>
      <c r="T154" s="147" t="n"/>
      <c r="U154" s="147" t="n"/>
      <c r="V154" s="147" t="n"/>
      <c r="W154" s="147" t="n"/>
      <c r="X154" s="147" t="n"/>
      <c r="Y154" s="147" t="n"/>
      <c r="Z154" s="147" t="n"/>
      <c r="AA154" s="147" t="n"/>
      <c r="AB154" s="141" t="n"/>
      <c r="AC154" s="141" t="n"/>
      <c r="AD154" s="141" t="n"/>
      <c r="AE154" s="141" t="n"/>
      <c r="AF154" s="141" t="n"/>
      <c r="AG154" s="141" t="n"/>
      <c r="AH154" s="141" t="n"/>
      <c r="AI154" s="141" t="n"/>
      <c r="AJ154" s="141" t="n"/>
      <c r="AK154" s="141" t="n"/>
      <c r="AL154" s="78" t="n"/>
    </row>
    <row r="155">
      <c r="A155" s="19" t="n"/>
      <c r="B155" s="19" t="n"/>
      <c r="C155" s="19" t="n"/>
      <c r="D155" s="29" t="n"/>
      <c r="E155" s="25" t="n"/>
      <c r="F155" s="25" t="n"/>
      <c r="G155" s="25" t="n"/>
      <c r="H155" s="140" t="n"/>
      <c r="I155" s="140" t="n"/>
      <c r="J155" s="135" t="n"/>
      <c r="K155" s="140" t="n"/>
      <c r="L155" s="149" t="n"/>
      <c r="M155" s="140" t="n"/>
      <c r="N155" s="140" t="n"/>
      <c r="O155" s="140">
        <f>L78-M78</f>
        <v/>
      </c>
      <c r="P155" s="140">
        <f>K78-N78</f>
        <v/>
      </c>
      <c r="Q155" s="140">
        <f>M78+O78</f>
        <v/>
      </c>
      <c r="R155" s="140">
        <f>M78+N78+O78+P78</f>
        <v/>
      </c>
      <c r="S155" s="147" t="n"/>
      <c r="T155" s="147" t="n"/>
      <c r="U155" s="147" t="n"/>
      <c r="V155" s="147" t="n"/>
      <c r="W155" s="147" t="n"/>
      <c r="X155" s="147" t="n"/>
      <c r="Y155" s="147" t="n"/>
      <c r="Z155" s="147" t="n"/>
      <c r="AA155" s="147" t="n"/>
      <c r="AB155" s="141" t="n"/>
      <c r="AC155" s="141" t="n"/>
      <c r="AD155" s="141" t="n"/>
      <c r="AE155" s="141" t="n"/>
      <c r="AF155" s="141" t="n"/>
      <c r="AG155" s="141" t="n"/>
      <c r="AH155" s="141" t="n"/>
      <c r="AI155" s="141" t="n"/>
      <c r="AJ155" s="141" t="n"/>
      <c r="AK155" s="141" t="n"/>
      <c r="AL155" s="78" t="n"/>
    </row>
    <row r="156">
      <c r="A156" s="26" t="n"/>
      <c r="B156" s="26" t="n"/>
      <c r="C156" s="26" t="n"/>
      <c r="D156" s="39" t="inlineStr">
        <is>
          <t>八、成本及费用合计（三+四+五+六+七）</t>
        </is>
      </c>
      <c r="E156" s="18" t="n"/>
      <c r="F156" s="18" t="n"/>
      <c r="G156" s="18" t="n"/>
      <c r="H156" s="154">
        <f>H70+H71+H72+H73+#REF!</f>
        <v/>
      </c>
      <c r="I156" s="154">
        <f>I70+I71+I72+I73+#REF!</f>
        <v/>
      </c>
      <c r="J156" s="94">
        <f>J70+J71+J72+J73+#REF!</f>
        <v/>
      </c>
      <c r="K156" s="154">
        <f>K70+K71+K72+K73+#REF!</f>
        <v/>
      </c>
      <c r="L156" s="95">
        <f>L70+L71+L72+L73+#REF!</f>
        <v/>
      </c>
      <c r="M156" s="95">
        <f>M70+M71+M72+M73</f>
        <v/>
      </c>
      <c r="N156" s="95">
        <f>N70+N71+N72+N73</f>
        <v/>
      </c>
      <c r="O156" s="95">
        <f>O70+O71+O72+O73</f>
        <v/>
      </c>
      <c r="P156" s="95">
        <f>P70+P71+P72+P73</f>
        <v/>
      </c>
      <c r="Q156" s="95">
        <f>Q70+Q71+Q72+Q73</f>
        <v/>
      </c>
      <c r="R156" s="95">
        <f>R70+R71+R72+R73</f>
        <v/>
      </c>
      <c r="S156" s="164">
        <f>S70+S71+S72+S73</f>
        <v/>
      </c>
      <c r="T156" s="164" t="n"/>
      <c r="U156" s="164" t="n"/>
      <c r="V156" s="164" t="n"/>
      <c r="W156" s="164" t="n"/>
      <c r="X156" s="164" t="n"/>
      <c r="Y156" s="164" t="n"/>
      <c r="Z156" s="164">
        <f>Z70+Z71+Z72+Z73</f>
        <v/>
      </c>
      <c r="AA156" s="164">
        <f>AA70+AA71+AA72+AA73</f>
        <v/>
      </c>
      <c r="AB156" s="166" t="n"/>
      <c r="AC156" s="166" t="n"/>
      <c r="AD156" s="166" t="n"/>
      <c r="AE156" s="166" t="n"/>
      <c r="AF156" s="166" t="n"/>
      <c r="AG156" s="166" t="n"/>
      <c r="AH156" s="166" t="n"/>
      <c r="AI156" s="166" t="n"/>
      <c r="AJ156" s="166" t="n"/>
      <c r="AK156" s="167" t="n"/>
      <c r="AL156" s="114" t="n"/>
    </row>
    <row r="157">
      <c r="A157" s="26" t="n"/>
      <c r="B157" s="26" t="n"/>
      <c r="C157" s="26" t="n"/>
      <c r="D157" s="39" t="inlineStr">
        <is>
          <t>九、增值税实际税负（按财务数据）</t>
        </is>
      </c>
      <c r="E157" s="18" t="inlineStr">
        <is>
          <t>根据财务账面实际已缴纳增值税额+尚需缴纳的增值税额</t>
        </is>
      </c>
      <c r="F157" s="18" t="n"/>
      <c r="G157" s="18" t="n"/>
      <c r="H157" s="154" t="n"/>
      <c r="I157" s="154" t="n"/>
      <c r="J157" s="94">
        <f>H80+I80</f>
        <v/>
      </c>
      <c r="K157" s="154" t="inlineStr">
        <is>
          <t>/</t>
        </is>
      </c>
      <c r="L157" s="95" t="inlineStr">
        <is>
          <t>/</t>
        </is>
      </c>
      <c r="M157" s="95" t="n"/>
      <c r="N157" s="95">
        <f>N6-N79</f>
        <v/>
      </c>
      <c r="O157" s="95" t="n"/>
      <c r="P157" s="95" t="n"/>
      <c r="Q157" s="95" t="inlineStr">
        <is>
          <t>/</t>
        </is>
      </c>
      <c r="R157" s="95">
        <f>N80+P80</f>
        <v/>
      </c>
      <c r="S157" s="164" t="n"/>
      <c r="T157" s="164" t="n"/>
      <c r="U157" s="164" t="n"/>
      <c r="V157" s="164" t="n"/>
      <c r="W157" s="164" t="n"/>
      <c r="X157" s="164" t="n"/>
      <c r="Y157" s="164" t="n"/>
      <c r="Z157" s="164" t="n"/>
      <c r="AA157" s="164" t="n"/>
      <c r="AB157" s="166" t="n"/>
      <c r="AC157" s="166" t="n"/>
      <c r="AD157" s="166" t="n"/>
      <c r="AE157" s="166" t="n"/>
      <c r="AF157" s="166" t="n"/>
      <c r="AG157" s="166" t="n"/>
      <c r="AH157" s="166" t="n"/>
      <c r="AI157" s="166" t="n"/>
      <c r="AJ157" s="166" t="n"/>
      <c r="AK157" s="167" t="n"/>
      <c r="AL157" s="114" t="n"/>
    </row>
    <row r="158">
      <c r="A158" s="26" t="n"/>
      <c r="B158" s="26" t="n"/>
      <c r="C158" s="26" t="n"/>
      <c r="D158" s="39" t="inlineStr">
        <is>
          <t>十、税金及附加（按财务数据）</t>
        </is>
      </c>
      <c r="E158" s="18" t="inlineStr">
        <is>
          <t>根据财务账面实际已缴纳税金及附加+尚需缴纳的税金及附加</t>
        </is>
      </c>
      <c r="F158" s="18" t="n"/>
      <c r="G158" s="18" t="n"/>
      <c r="H158" s="154" t="n"/>
      <c r="I158" s="154" t="n"/>
      <c r="J158" s="94">
        <f>H81+I81</f>
        <v/>
      </c>
      <c r="K158" s="154" t="n"/>
      <c r="L158" s="95">
        <f>J81</f>
        <v/>
      </c>
      <c r="M158" s="95" t="n"/>
      <c r="N158" s="95" t="n"/>
      <c r="O158" s="95">
        <f>L81-M81</f>
        <v/>
      </c>
      <c r="P158" s="95" t="n"/>
      <c r="Q158" s="95">
        <f>M81+O81</f>
        <v/>
      </c>
      <c r="R158" s="95">
        <f>Q81</f>
        <v/>
      </c>
      <c r="S158" s="164" t="n"/>
      <c r="T158" s="164" t="n"/>
      <c r="U158" s="164" t="n"/>
      <c r="V158" s="164" t="n"/>
      <c r="W158" s="164" t="n"/>
      <c r="X158" s="164" t="n"/>
      <c r="Y158" s="164" t="n"/>
      <c r="Z158" s="164" t="n"/>
      <c r="AA158" s="164" t="n"/>
      <c r="AB158" s="166" t="n"/>
      <c r="AC158" s="166" t="n"/>
      <c r="AD158" s="166" t="n"/>
      <c r="AE158" s="166" t="n"/>
      <c r="AF158" s="166" t="n"/>
      <c r="AG158" s="166" t="n"/>
      <c r="AH158" s="166" t="n"/>
      <c r="AI158" s="166" t="n"/>
      <c r="AJ158" s="166" t="n"/>
      <c r="AK158" s="167" t="n"/>
      <c r="AL158" s="114" t="n"/>
    </row>
    <row r="159">
      <c r="A159" s="26" t="n"/>
      <c r="B159" s="26" t="n"/>
      <c r="C159" s="26" t="n"/>
      <c r="D159" s="39" t="inlineStr">
        <is>
          <t>十一、利润</t>
        </is>
      </c>
      <c r="E159" s="18" t="n"/>
      <c r="F159" s="18" t="n"/>
      <c r="G159" s="18" t="n"/>
      <c r="H159" s="154" t="n"/>
      <c r="I159" s="154" t="n"/>
      <c r="J159" s="94">
        <f>J6-J79-J80-J81</f>
        <v/>
      </c>
      <c r="K159" s="154" t="n"/>
      <c r="L159" s="95" t="n"/>
      <c r="M159" s="95" t="n"/>
      <c r="N159" s="95" t="n"/>
      <c r="O159" s="95" t="n"/>
      <c r="P159" s="95" t="n"/>
      <c r="Q159" s="95" t="n"/>
      <c r="R159" s="95" t="n"/>
      <c r="S159" s="164" t="n"/>
      <c r="T159" s="164" t="n"/>
      <c r="U159" s="164" t="n"/>
      <c r="V159" s="164" t="n"/>
      <c r="W159" s="164" t="n"/>
      <c r="X159" s="164" t="n"/>
      <c r="Y159" s="164" t="n"/>
      <c r="Z159" s="164" t="n"/>
      <c r="AA159" s="164" t="n"/>
      <c r="AB159" s="166" t="n"/>
      <c r="AC159" s="166" t="n"/>
      <c r="AD159" s="166" t="n"/>
      <c r="AE159" s="166" t="n"/>
      <c r="AF159" s="166" t="n"/>
      <c r="AG159" s="166" t="n"/>
      <c r="AH159" s="166" t="n"/>
      <c r="AI159" s="166" t="n"/>
      <c r="AJ159" s="166" t="n"/>
      <c r="AK159" s="167" t="n"/>
      <c r="AL159" s="114" t="n"/>
    </row>
    <row r="160">
      <c r="A160" s="26" t="n"/>
      <c r="B160" s="26" t="n"/>
      <c r="C160" s="26" t="n"/>
      <c r="D160" s="39" t="inlineStr">
        <is>
          <t>十二、利润率</t>
        </is>
      </c>
      <c r="E160" s="18" t="n"/>
      <c r="F160" s="18" t="n"/>
      <c r="G160" s="18" t="n"/>
      <c r="H160" s="154" t="n"/>
      <c r="I160" s="154" t="n"/>
      <c r="J160" s="94">
        <f>J82/J6</f>
        <v/>
      </c>
      <c r="K160" s="154" t="n"/>
      <c r="L160" s="95">
        <f>L82/L6</f>
        <v/>
      </c>
      <c r="M160" s="95">
        <f>M82/M6</f>
        <v/>
      </c>
      <c r="N160" s="95" t="n"/>
      <c r="O160" s="95" t="n"/>
      <c r="P160" s="95" t="n"/>
      <c r="Q160" s="95">
        <f>Q82/Q6</f>
        <v/>
      </c>
      <c r="R160" s="95">
        <f>R82/R6</f>
        <v/>
      </c>
      <c r="S160" s="164" t="n"/>
      <c r="T160" s="164" t="n"/>
      <c r="U160" s="164" t="n"/>
      <c r="V160" s="164" t="n"/>
      <c r="W160" s="164" t="n"/>
      <c r="X160" s="164" t="n"/>
      <c r="Y160" s="164" t="n"/>
      <c r="Z160" s="164" t="n"/>
      <c r="AA160" s="164" t="n"/>
      <c r="AB160" s="166" t="n"/>
      <c r="AC160" s="166" t="n"/>
      <c r="AD160" s="166" t="n"/>
      <c r="AE160" s="166" t="n"/>
      <c r="AF160" s="166" t="n"/>
      <c r="AG160" s="166" t="n"/>
      <c r="AH160" s="166" t="n"/>
      <c r="AI160" s="166" t="n"/>
      <c r="AJ160" s="166" t="n"/>
      <c r="AK160" s="167" t="n"/>
      <c r="AL160" s="114" t="n"/>
    </row>
    <row r="161">
      <c r="A161" s="82" t="n"/>
      <c r="B161" s="82" t="n"/>
      <c r="C161" s="82" t="n"/>
      <c r="D161" s="83" t="n"/>
      <c r="E161" s="84" t="n"/>
      <c r="F161" s="84" t="n"/>
      <c r="G161" s="84" t="n"/>
      <c r="H161" s="168" t="n"/>
      <c r="I161" s="168" t="n"/>
      <c r="J161" s="169" t="inlineStr">
        <is>
          <t>含税利润率</t>
        </is>
      </c>
      <c r="K161" s="170" t="n"/>
      <c r="L161" s="171" t="inlineStr">
        <is>
          <t>不含税利润率</t>
        </is>
      </c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3" t="n"/>
      <c r="AA161" s="118" t="n"/>
      <c r="AB161" s="110" t="n"/>
      <c r="AC161" s="110" t="n"/>
      <c r="AD161" s="110" t="n"/>
      <c r="AE161" s="110" t="n"/>
      <c r="AF161" s="110" t="n"/>
      <c r="AG161" s="110" t="n"/>
      <c r="AH161" s="110" t="n"/>
      <c r="AI161" s="110" t="n"/>
      <c r="AJ161" s="110" t="n"/>
      <c r="AK161" s="110" t="n"/>
      <c r="AL161" s="110" t="n"/>
    </row>
    <row r="162">
      <c r="A162" s="82" t="n"/>
      <c r="B162" s="82" t="n"/>
      <c r="C162" s="82" t="n"/>
      <c r="D162" s="83" t="n"/>
      <c r="E162" s="84" t="n"/>
      <c r="F162" s="84" t="n"/>
      <c r="G162" s="84" t="n"/>
      <c r="H162" s="168" t="n"/>
      <c r="I162" s="168" t="n"/>
      <c r="J162" s="174" t="n"/>
      <c r="K162" s="168" t="n"/>
      <c r="L162" s="175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3" t="n"/>
      <c r="AA162" s="118" t="n"/>
      <c r="AB162" s="110" t="n"/>
      <c r="AC162" s="110" t="n"/>
      <c r="AD162" s="110" t="n"/>
      <c r="AE162" s="110" t="n"/>
      <c r="AF162" s="110" t="n"/>
      <c r="AG162" s="110" t="n"/>
      <c r="AH162" s="110" t="n"/>
      <c r="AI162" s="110" t="n"/>
      <c r="AJ162" s="110" t="n"/>
      <c r="AK162" s="110" t="n"/>
      <c r="AL162" s="110" t="n"/>
    </row>
    <row r="163">
      <c r="A163" s="86" t="n"/>
      <c r="B163" s="86" t="n"/>
      <c r="C163" s="86" t="n"/>
      <c r="D163" s="87" t="n"/>
      <c r="E163" s="88" t="n"/>
      <c r="F163" s="88" t="n"/>
      <c r="G163" s="88" t="n"/>
      <c r="H163" s="89" t="n"/>
      <c r="I163" s="89" t="n"/>
      <c r="J163" s="102" t="n"/>
      <c r="K163" s="176" t="n"/>
      <c r="L163" s="176" t="n"/>
      <c r="M163" s="177" t="n"/>
      <c r="N163" s="176" t="n"/>
      <c r="O163" s="176" t="n"/>
      <c r="P163" s="178" t="n"/>
      <c r="Q163" s="178" t="n"/>
      <c r="R163" s="176" t="n"/>
      <c r="S163" s="87" t="n"/>
      <c r="T163" s="87" t="n"/>
      <c r="U163" s="87" t="n"/>
      <c r="V163" s="87" t="n"/>
      <c r="W163" s="87" t="n"/>
      <c r="X163" s="87" t="n"/>
      <c r="Y163" s="87" t="n"/>
      <c r="Z163" s="88" t="n"/>
      <c r="AA163" s="179" t="n"/>
      <c r="AB163" s="1" t="n"/>
      <c r="AC163" s="1" t="n"/>
      <c r="AD163" s="90" t="n"/>
      <c r="AE163" s="90" t="n"/>
      <c r="AF163" s="90" t="n"/>
      <c r="AG163" s="90" t="n"/>
      <c r="AH163" s="90" t="n"/>
      <c r="AI163" s="90" t="n"/>
      <c r="AJ163" s="90" t="n"/>
      <c r="AK163" s="90" t="n"/>
      <c r="AL163" s="90" t="n"/>
    </row>
    <row r="164">
      <c r="A164" s="90" t="n"/>
      <c r="B164" s="90" t="n"/>
      <c r="C164" s="90" t="n"/>
      <c r="D164" s="90" t="n"/>
      <c r="E164" s="91" t="n"/>
      <c r="F164" s="91" t="n"/>
      <c r="G164" s="91" t="n"/>
      <c r="H164" s="91" t="n"/>
      <c r="I164" s="91" t="n"/>
      <c r="J164" s="91" t="n"/>
      <c r="K164" s="180" t="n"/>
      <c r="L164" s="91" t="n"/>
      <c r="M164" s="91" t="n"/>
      <c r="N164" s="91" t="n"/>
      <c r="O164" s="91" t="n"/>
      <c r="P164" s="91" t="n"/>
      <c r="Q164" s="91" t="n"/>
      <c r="R164" s="91" t="n"/>
      <c r="S164" s="87" t="n"/>
      <c r="T164" s="87" t="n"/>
      <c r="U164" s="87" t="n"/>
      <c r="V164" s="87" t="n"/>
      <c r="W164" s="87" t="n"/>
      <c r="X164" s="87" t="n"/>
      <c r="Y164" s="87" t="n"/>
      <c r="Z164" s="91" t="n"/>
      <c r="AA164" s="90" t="n"/>
      <c r="AB164" s="90" t="n"/>
      <c r="AC164" s="90" t="n"/>
      <c r="AD164" s="90" t="n"/>
      <c r="AE164" s="90" t="n"/>
      <c r="AF164" s="90" t="n"/>
      <c r="AG164" s="90" t="n"/>
      <c r="AH164" s="90" t="n"/>
      <c r="AI164" s="90" t="n"/>
      <c r="AJ164" s="90" t="n"/>
      <c r="AK164" s="90" t="n"/>
      <c r="AL164" s="90" t="n"/>
    </row>
    <row r="165">
      <c r="A165" s="90" t="n"/>
      <c r="B165" s="90" t="n"/>
      <c r="C165" s="90" t="n"/>
      <c r="D165" s="90" t="n"/>
      <c r="E165" s="91" t="n"/>
      <c r="F165" s="91" t="n"/>
      <c r="G165" s="91" t="n"/>
      <c r="H165" s="91" t="n"/>
      <c r="I165" s="91" t="n"/>
      <c r="J165" s="91" t="n"/>
      <c r="K165" s="180" t="n"/>
      <c r="L165" s="91" t="n"/>
      <c r="M165" s="91" t="n"/>
      <c r="N165" s="91" t="n"/>
      <c r="O165" s="91" t="n"/>
      <c r="P165" s="91" t="n"/>
      <c r="Q165" s="91" t="n"/>
      <c r="R165" s="91" t="n"/>
      <c r="S165" s="87" t="n"/>
      <c r="T165" s="87" t="n"/>
      <c r="U165" s="87" t="n"/>
      <c r="V165" s="87" t="n"/>
      <c r="W165" s="87" t="n"/>
      <c r="X165" s="87" t="n"/>
      <c r="Y165" s="87" t="n"/>
      <c r="Z165" s="91" t="n"/>
      <c r="AA165" s="90" t="n"/>
      <c r="AB165" s="90" t="n"/>
      <c r="AC165" s="90" t="n"/>
      <c r="AD165" s="90" t="n"/>
      <c r="AE165" s="90" t="n"/>
      <c r="AF165" s="90" t="n"/>
      <c r="AG165" s="90" t="n"/>
      <c r="AH165" s="90" t="n"/>
      <c r="AI165" s="90" t="n"/>
      <c r="AJ165" s="90" t="n"/>
      <c r="AK165" s="90" t="n"/>
      <c r="AL165" s="90" t="n"/>
    </row>
    <row r="166">
      <c r="A166" s="90" t="n"/>
      <c r="B166" s="90" t="n"/>
      <c r="C166" s="90" t="n"/>
      <c r="D166" s="90" t="n"/>
      <c r="E166" s="92" t="n"/>
      <c r="F166" s="92" t="n"/>
      <c r="G166" s="92" t="n"/>
      <c r="H166" s="91" t="n"/>
      <c r="I166" s="91" t="n"/>
      <c r="J166" s="91" t="n"/>
      <c r="K166" s="92" t="n"/>
      <c r="L166" s="91" t="n"/>
      <c r="M166" s="91" t="n"/>
      <c r="N166" s="88" t="n"/>
      <c r="O166" s="91" t="n"/>
      <c r="P166" s="91" t="n"/>
      <c r="Q166" s="91" t="n"/>
      <c r="R166" s="176" t="n"/>
      <c r="S166" s="87" t="n"/>
      <c r="T166" s="87" t="n"/>
      <c r="U166" s="87" t="n"/>
      <c r="V166" s="87" t="n"/>
      <c r="W166" s="87" t="n"/>
      <c r="X166" s="87" t="n"/>
      <c r="Y166" s="87" t="n"/>
      <c r="Z166" s="91" t="n"/>
      <c r="AA166" s="90" t="n"/>
      <c r="AB166" s="90" t="n"/>
      <c r="AC166" s="90" t="n"/>
      <c r="AD166" s="90" t="n"/>
      <c r="AE166" s="90" t="n"/>
      <c r="AF166" s="90" t="n"/>
      <c r="AG166" s="90" t="n"/>
      <c r="AH166" s="90" t="n"/>
      <c r="AI166" s="90" t="n"/>
      <c r="AJ166" s="90" t="n"/>
      <c r="AK166" s="90" t="n"/>
      <c r="AL166" s="90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2026-04-17T07:37:23Z</dcterms:created>
  <dcterms:modified xsi:type="dcterms:W3CDTF">2026-04-18T07:00:10Z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