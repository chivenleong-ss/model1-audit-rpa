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33" t="n"/>
      <c r="B20" s="199" t="n"/>
      <c r="C20" s="199" t="n"/>
      <c r="D20" s="211" t="inlineStr">
        <is>
          <t>**财务未列部分需增列***</t>
        </is>
      </c>
      <c r="E20" s="212" t="n"/>
      <c r="F20" s="212" t="n"/>
      <c r="G20" s="212" t="n"/>
      <c r="H20" s="189" t="n"/>
      <c r="I20" s="189" t="n"/>
      <c r="J20" s="189" t="n"/>
      <c r="K20" s="201" t="n"/>
      <c r="L20" s="202" t="n"/>
      <c r="M20" s="189" t="n"/>
      <c r="N20" s="189" t="n"/>
      <c r="O20" s="189">
        <f>L20-M20</f>
        <v/>
      </c>
      <c r="P20" s="189">
        <f>K20-N20</f>
        <v/>
      </c>
      <c r="Q20" s="189">
        <f>M20+O20</f>
        <v/>
      </c>
      <c r="R20" s="189">
        <f>M20+N20+O20+P20</f>
        <v/>
      </c>
      <c r="S20" s="203">
        <f>SUM(T20:V20)</f>
        <v/>
      </c>
      <c r="T20" s="189" t="n"/>
      <c r="U20" s="189" t="n"/>
      <c r="V20" s="189" t="n"/>
      <c r="W20" s="189" t="n"/>
      <c r="X20" s="189" t="n"/>
      <c r="Y20" s="189" t="n"/>
      <c r="Z20" s="189">
        <f>SUM(AA16:AJ16)</f>
        <v/>
      </c>
      <c r="AA20" s="213" t="n"/>
      <c r="AB20" s="188" t="n"/>
      <c r="AC20" s="188" t="n"/>
      <c r="AD20" s="188" t="n"/>
      <c r="AE20" s="188" t="n"/>
      <c r="AF20" s="188" t="n"/>
      <c r="AG20" s="188" t="n"/>
      <c r="AH20" s="188" t="n"/>
      <c r="AI20" s="188" t="n"/>
      <c r="AJ20" s="188" t="n"/>
      <c r="AK20" s="188">
        <f>AB16/1.17*0.17+AC16/1.16*0.16+AD16/1.11*0.11+AE16/1.1*0.1+AF16/1.09*0.09+AI16/1.03*0.03</f>
        <v/>
      </c>
      <c r="AL20" s="214" t="n"/>
    </row>
    <row r="21" ht="14" customFormat="1" customHeight="1" s="180">
      <c r="A21" s="41" t="n"/>
      <c r="B21" s="215" t="n"/>
      <c r="C21" s="215" t="n"/>
      <c r="D21" s="216" t="inlineStr">
        <is>
          <t>人工费小计：</t>
        </is>
      </c>
      <c r="E21" s="217">
        <f>SUM(E12:E20)</f>
        <v/>
      </c>
      <c r="F21" s="217">
        <f>SUM(F12:F20)</f>
        <v/>
      </c>
      <c r="G21" s="217">
        <f>SUM(G12:G20)</f>
        <v/>
      </c>
      <c r="H21" s="217">
        <f>SUM(H12:H20)</f>
        <v/>
      </c>
      <c r="I21" s="217">
        <f>SUM(I12:I20)</f>
        <v/>
      </c>
      <c r="J21" s="217">
        <f>SUM(J12:J20)</f>
        <v/>
      </c>
      <c r="K21" s="217">
        <f>SUM(K12:K20)</f>
        <v/>
      </c>
      <c r="L21" s="217">
        <f>SUM(L12:L20)</f>
        <v/>
      </c>
      <c r="M21" s="217">
        <f>SUM(M12:M20)</f>
        <v/>
      </c>
      <c r="N21" s="217">
        <f>SUM(N12:N20)</f>
        <v/>
      </c>
      <c r="O21" s="217">
        <f>SUM(O12:O20)</f>
        <v/>
      </c>
      <c r="P21" s="217">
        <f>SUM(P12:P20)</f>
        <v/>
      </c>
      <c r="Q21" s="217">
        <f>SUM(Q12:Q20)</f>
        <v/>
      </c>
      <c r="R21" s="217">
        <f>SUM(R12:R20)</f>
        <v/>
      </c>
      <c r="S21" s="217">
        <f>SUM(S12:S20)</f>
        <v/>
      </c>
      <c r="T21" s="217">
        <f>SUM(T12:T20)</f>
        <v/>
      </c>
      <c r="U21" s="217">
        <f>SUM(U12:U20)</f>
        <v/>
      </c>
      <c r="V21" s="217">
        <f>SUM(V12:V20)</f>
        <v/>
      </c>
      <c r="W21" s="217">
        <f>SUM(W12:W20)</f>
        <v/>
      </c>
      <c r="X21" s="217">
        <f>SUM(X12:X20)</f>
        <v/>
      </c>
      <c r="Y21" s="217">
        <f>SUM(Y12:Y20)</f>
        <v/>
      </c>
      <c r="Z21" s="217">
        <f>SUM(Z12:Z20)</f>
        <v/>
      </c>
      <c r="AA21" s="217">
        <f>SUM(AA12:AA20)</f>
        <v/>
      </c>
      <c r="AB21" s="217">
        <f>SUM(AB12:AB20)</f>
        <v/>
      </c>
      <c r="AC21" s="217">
        <f>SUM(AC12:AC20)</f>
        <v/>
      </c>
      <c r="AD21" s="217">
        <f>SUM(AD12:AD20)</f>
        <v/>
      </c>
      <c r="AE21" s="217">
        <f>SUM(AE12:AE20)</f>
        <v/>
      </c>
      <c r="AF21" s="217">
        <f>SUM(AF12:AF20)</f>
        <v/>
      </c>
      <c r="AG21" s="217">
        <f>SUM(AG12:AG20)</f>
        <v/>
      </c>
      <c r="AH21" s="217">
        <f>SUM(AH12:AH20)</f>
        <v/>
      </c>
      <c r="AI21" s="217">
        <f>SUM(AI12:AI20)</f>
        <v/>
      </c>
      <c r="AJ21" s="217">
        <f>SUM(AJ12:AJ20)</f>
        <v/>
      </c>
      <c r="AK21" s="217">
        <f>SUM(AK12:AK20)</f>
        <v/>
      </c>
      <c r="AL21" s="204" t="n"/>
    </row>
    <row r="22" ht="14" customFormat="1" customHeight="1" s="180">
      <c r="A22" s="33" t="n"/>
      <c r="B22" s="199" t="n"/>
      <c r="C22" s="199" t="n"/>
      <c r="D22" s="218" t="inlineStr">
        <is>
          <t>（二）分包工程</t>
        </is>
      </c>
      <c r="E22" s="199" t="n"/>
      <c r="F22" s="199" t="n"/>
      <c r="G22" s="199" t="n"/>
      <c r="H22" s="189" t="n"/>
      <c r="I22" s="189" t="n"/>
      <c r="J22" s="189" t="n"/>
      <c r="K22" s="201" t="n"/>
      <c r="L22" s="202" t="n"/>
      <c r="M22" s="189" t="n"/>
      <c r="N22" s="189" t="n"/>
      <c r="O22" s="189">
        <f>L22-M22</f>
        <v/>
      </c>
      <c r="P22" s="189">
        <f>K22-N22</f>
        <v/>
      </c>
      <c r="Q22" s="189">
        <f>M22+O22</f>
        <v/>
      </c>
      <c r="R22" s="189">
        <f>M22+N22+O22+P22</f>
        <v/>
      </c>
      <c r="S22" s="203">
        <f>SUM(T22:V22)</f>
        <v/>
      </c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3" t="n"/>
      <c r="AK22" s="188">
        <f>AB18/1.17*0.17+AC18/1.16*0.16+AD18/1.11*0.11+AE18/1.1*0.1+AF18/1.09*0.09+AI18/1.03*0.03</f>
        <v/>
      </c>
      <c r="AL22" s="204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33" t="n"/>
      <c r="B32" s="199" t="n"/>
      <c r="C32" s="199" t="n"/>
      <c r="D32" s="211" t="inlineStr">
        <is>
          <t>**财务未列部分需增列***</t>
        </is>
      </c>
      <c r="E32" s="219" t="n"/>
      <c r="F32" s="219" t="n"/>
      <c r="G32" s="21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189" t="n"/>
      <c r="U32" s="189" t="n"/>
      <c r="V32" s="189" t="n"/>
      <c r="W32" s="189" t="n"/>
      <c r="X32" s="189" t="n"/>
      <c r="Y32" s="189" t="n"/>
      <c r="Z32" s="203" t="n"/>
      <c r="AA32" s="203" t="n"/>
      <c r="AB32" s="188" t="n"/>
      <c r="AC32" s="188" t="n"/>
      <c r="AD32" s="188" t="n"/>
      <c r="AE32" s="188" t="n"/>
      <c r="AF32" s="188" t="n"/>
      <c r="AG32" s="188" t="n"/>
      <c r="AH32" s="188" t="n"/>
      <c r="AI32" s="188" t="n"/>
      <c r="AJ32" s="188" t="n"/>
      <c r="AK32" s="188">
        <f>AB22/1.17*0.17+AC22/1.16*0.16+AD22/1.11*0.11+AE22/1.1*0.1+AF22/1.09*0.09+AI22/1.03*0.03</f>
        <v/>
      </c>
      <c r="AL32" s="214" t="n"/>
    </row>
    <row r="33" ht="14" customFormat="1" customHeight="1" s="180">
      <c r="A33" s="41" t="n"/>
      <c r="B33" s="215" t="n"/>
      <c r="C33" s="215" t="n"/>
      <c r="D33" s="216" t="inlineStr">
        <is>
          <t>分包工程小计：</t>
        </is>
      </c>
      <c r="E33" s="217">
        <f>SUM(E22:E32)</f>
        <v/>
      </c>
      <c r="F33" s="217">
        <f>SUM(F22:F32)</f>
        <v/>
      </c>
      <c r="G33" s="217">
        <f>SUM(G22:G32)</f>
        <v/>
      </c>
      <c r="H33" s="217">
        <f>SUM(H22:H32)</f>
        <v/>
      </c>
      <c r="I33" s="217">
        <f>SUM(I22:I32)</f>
        <v/>
      </c>
      <c r="J33" s="217">
        <f>SUM(J22:J32)</f>
        <v/>
      </c>
      <c r="K33" s="217">
        <f>SUM(K22:K32)</f>
        <v/>
      </c>
      <c r="L33" s="217">
        <f>SUM(L22:L32)</f>
        <v/>
      </c>
      <c r="M33" s="217">
        <f>SUM(M22:M32)</f>
        <v/>
      </c>
      <c r="N33" s="217">
        <f>SUM(N22:N32)</f>
        <v/>
      </c>
      <c r="O33" s="217">
        <f>SUM(O22:O32)</f>
        <v/>
      </c>
      <c r="P33" s="217">
        <f>SUM(P22:P32)</f>
        <v/>
      </c>
      <c r="Q33" s="217">
        <f>SUM(Q22:Q32)</f>
        <v/>
      </c>
      <c r="R33" s="217">
        <f>SUM(R22:R32)</f>
        <v/>
      </c>
      <c r="S33" s="217">
        <f>SUM(S22:S32)</f>
        <v/>
      </c>
      <c r="T33" s="217">
        <f>SUM(T22:T32)</f>
        <v/>
      </c>
      <c r="U33" s="217">
        <f>SUM(U22:U32)</f>
        <v/>
      </c>
      <c r="V33" s="217">
        <f>SUM(V22:V32)</f>
        <v/>
      </c>
      <c r="W33" s="217">
        <f>SUM(W22:W32)</f>
        <v/>
      </c>
      <c r="X33" s="217">
        <f>SUM(X22:X32)</f>
        <v/>
      </c>
      <c r="Y33" s="217">
        <f>SUM(Y22:Y32)</f>
        <v/>
      </c>
      <c r="Z33" s="217">
        <f>SUM(Z22:Z32)</f>
        <v/>
      </c>
      <c r="AA33" s="217">
        <f>SUM(AA22:AA32)</f>
        <v/>
      </c>
      <c r="AB33" s="217">
        <f>SUM(AB22:AB32)</f>
        <v/>
      </c>
      <c r="AC33" s="217">
        <f>SUM(AC22:AC32)</f>
        <v/>
      </c>
      <c r="AD33" s="217">
        <f>SUM(AD22:AD32)</f>
        <v/>
      </c>
      <c r="AE33" s="217">
        <f>SUM(AE22:AE32)</f>
        <v/>
      </c>
      <c r="AF33" s="217">
        <f>SUM(AF22:AF32)</f>
        <v/>
      </c>
      <c r="AG33" s="217">
        <f>SUM(AG22:AG32)</f>
        <v/>
      </c>
      <c r="AH33" s="217">
        <f>SUM(AH22:AH32)</f>
        <v/>
      </c>
      <c r="AI33" s="217">
        <f>SUM(AI22:AI32)</f>
        <v/>
      </c>
      <c r="AJ33" s="217">
        <f>SUM(AJ22:AJ32)</f>
        <v/>
      </c>
      <c r="AK33" s="217">
        <f>SUM(AK22:AK32)</f>
        <v/>
      </c>
      <c r="AL33" s="204" t="n"/>
    </row>
    <row r="34" ht="14" customFormat="1" customHeight="1" s="180">
      <c r="A34" s="33" t="n"/>
      <c r="B34" s="199" t="n"/>
      <c r="C34" s="199" t="n"/>
      <c r="D34" s="218" t="inlineStr">
        <is>
          <t>(三)材料费</t>
        </is>
      </c>
      <c r="E34" s="199" t="n"/>
      <c r="F34" s="199" t="n"/>
      <c r="G34" s="19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AB24/1.17*0.17+AC24/1.16*0.16+AD24/1.11*0.11+AE24/1.1*0.1+AF24/1.09*0.09+AI24/1.03*0.03</f>
        <v/>
      </c>
      <c r="AL34" s="221" t="n"/>
    </row>
    <row r="35" ht="14" customFormat="1" customHeight="1" s="180">
      <c r="A35" s="33" t="n"/>
      <c r="B35" s="199" t="n"/>
      <c r="C35" s="199" t="n"/>
      <c r="D35" s="189" t="inlineStr">
        <is>
          <t>（1）集中采购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AB25/1.17*0.17+AC25/1.16*0.16+AD25/1.11*0.11+AE25/1.1*0.1+AF25/1.09*0.09+AI25/1.03*0.03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202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33" t="n"/>
      <c r="B39" s="199" t="n"/>
      <c r="C39" s="199" t="n"/>
      <c r="D39" s="189" t="inlineStr">
        <is>
          <t>（2）自行采购</t>
        </is>
      </c>
      <c r="E39" s="219" t="n"/>
      <c r="F39" s="219" t="n"/>
      <c r="G39" s="219" t="n"/>
      <c r="H39" s="189" t="n"/>
      <c r="I39" s="189" t="n"/>
      <c r="J39" s="189" t="n"/>
      <c r="K39" s="201" t="n"/>
      <c r="L39" s="202" t="n"/>
      <c r="M39" s="189" t="n"/>
      <c r="N39" s="189" t="n"/>
      <c r="O39" s="189">
        <f>L39-M39</f>
        <v/>
      </c>
      <c r="P39" s="189">
        <f>K39-N39</f>
        <v/>
      </c>
      <c r="Q39" s="189">
        <f>M39+O39</f>
        <v/>
      </c>
      <c r="R39" s="189">
        <f>M39+N39+O39+P39</f>
        <v/>
      </c>
      <c r="S39" s="203">
        <f>SUM(T39:V39)</f>
        <v/>
      </c>
      <c r="T39" s="203" t="n"/>
      <c r="U39" s="203" t="n"/>
      <c r="V39" s="203" t="n"/>
      <c r="W39" s="203" t="n"/>
      <c r="X39" s="203" t="n"/>
      <c r="Y39" s="203" t="n"/>
      <c r="Z39" s="189">
        <f>SUM(AA29:AJ29)</f>
        <v/>
      </c>
      <c r="AA39" s="203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188">
        <f>AB29/1.17*0.17+AC29/1.16*0.16+AD29/1.11*0.11+AE29/1.1*0.1+AF29/1.09*0.09+AI29/1.03*0.03</f>
        <v/>
      </c>
      <c r="AL39" s="221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33" t="n">
        <v>18</v>
      </c>
      <c r="B57" s="199" t="n"/>
      <c r="C57" s="199" t="n"/>
      <c r="D57" s="218" t="inlineStr">
        <is>
          <t>材料调入</t>
        </is>
      </c>
      <c r="E57" s="199" t="n"/>
      <c r="F57" s="199" t="n"/>
      <c r="G57" s="199" t="n"/>
      <c r="H57" s="189" t="n"/>
      <c r="I57" s="189" t="n"/>
      <c r="J57" s="189" t="n"/>
      <c r="K57" s="201" t="n"/>
      <c r="L57" s="202" t="n"/>
      <c r="M57" s="223" t="n">
        <v>34020317.08</v>
      </c>
      <c r="N57" s="189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03" t="n"/>
      <c r="U57" s="203" t="n"/>
      <c r="V57" s="203" t="n"/>
      <c r="W57" s="203" t="n"/>
      <c r="X57" s="203" t="n"/>
      <c r="Y57" s="203" t="n"/>
      <c r="Z57" s="189">
        <f>SUM(AA30:AJ30)</f>
        <v/>
      </c>
      <c r="AA57" s="203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188">
        <f>AB30/1.17*0.17+AC30/1.16*0.16+AD30/1.11*0.11+AE30/1.1*0.1+AF30/1.09*0.09+AI30/1.03*0.03</f>
        <v/>
      </c>
      <c r="AL57" s="221" t="n"/>
    </row>
    <row r="58" ht="14" customFormat="1" customHeight="1" s="180">
      <c r="A58" s="33" t="n">
        <v>19</v>
      </c>
      <c r="B58" s="199" t="n"/>
      <c r="C58" s="199" t="n"/>
      <c r="D58" s="218" t="inlineStr">
        <is>
          <t>材料调出（注：负数填报）</t>
        </is>
      </c>
      <c r="E58" s="224" t="n"/>
      <c r="F58" s="224" t="n"/>
      <c r="G58" s="224" t="n"/>
      <c r="H58" s="225" t="n"/>
      <c r="I58" s="225" t="n"/>
      <c r="J58" s="189" t="n"/>
      <c r="K58" s="201" t="n"/>
      <c r="L58" s="202" t="n"/>
      <c r="M58" s="226" t="n">
        <v>-8241729.17</v>
      </c>
      <c r="N58" s="225" t="n"/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25" t="n"/>
      <c r="U58" s="225" t="n"/>
      <c r="V58" s="225" t="n"/>
      <c r="W58" s="225" t="n"/>
      <c r="X58" s="225" t="n"/>
      <c r="Y58" s="225" t="n"/>
      <c r="Z58" s="189">
        <f>SUM(AA31:AJ31)</f>
        <v/>
      </c>
      <c r="AA58" s="225" t="n"/>
      <c r="AB58" s="227" t="n"/>
      <c r="AC58" s="227" t="n"/>
      <c r="AD58" s="227" t="n"/>
      <c r="AE58" s="227" t="n"/>
      <c r="AF58" s="227" t="n"/>
      <c r="AG58" s="227" t="n"/>
      <c r="AH58" s="227" t="n"/>
      <c r="AI58" s="227" t="n"/>
      <c r="AJ58" s="227" t="n"/>
      <c r="AK58" s="188">
        <f>AB31/1.17*0.17+AC31/1.16*0.16+AD31/1.11*0.11+AE31/1.1*0.1+AF31/1.09*0.09+AI31/1.03*0.03</f>
        <v/>
      </c>
      <c r="AL58" s="228" t="n"/>
    </row>
    <row r="59" ht="14" customFormat="1" customHeight="1" s="180">
      <c r="A59" s="33" t="n"/>
      <c r="B59" s="199" t="n"/>
      <c r="C59" s="199" t="n"/>
      <c r="D59" s="218" t="inlineStr">
        <is>
          <t>材料库存（注：项目已结算未使用材料冲减项目成本，负数填报）</t>
        </is>
      </c>
      <c r="E59" s="224" t="n"/>
      <c r="F59" s="224" t="n"/>
      <c r="G59" s="224" t="n"/>
      <c r="H59" s="225" t="n"/>
      <c r="I59" s="225" t="n"/>
      <c r="J59" s="189" t="n"/>
      <c r="K59" s="201" t="n"/>
      <c r="L59" s="202" t="n"/>
      <c r="M59" s="225" t="n"/>
      <c r="N59" s="225" t="n"/>
      <c r="O59" s="189" t="n"/>
      <c r="P59" s="189" t="n"/>
      <c r="Q59" s="189" t="n"/>
      <c r="R59" s="189" t="n"/>
      <c r="S59" s="203" t="n"/>
      <c r="T59" s="225" t="n"/>
      <c r="U59" s="225" t="n"/>
      <c r="V59" s="225" t="n"/>
      <c r="W59" s="225" t="n"/>
      <c r="X59" s="225" t="n"/>
      <c r="Y59" s="225" t="n"/>
      <c r="Z59" s="189" t="n"/>
      <c r="AA59" s="225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188" t="n"/>
      <c r="AL59" s="228" t="n"/>
    </row>
    <row r="60" ht="14" customFormat="1" customHeight="1" s="180">
      <c r="A60" s="33" t="n"/>
      <c r="B60" s="199" t="n"/>
      <c r="C60" s="199" t="n"/>
      <c r="D60" s="211" t="inlineStr">
        <is>
          <t>**财务未列部分需增列***</t>
        </is>
      </c>
      <c r="E60" s="219" t="n"/>
      <c r="F60" s="219" t="n"/>
      <c r="G60" s="219" t="n"/>
      <c r="H60" s="189" t="n"/>
      <c r="I60" s="189" t="n"/>
      <c r="J60" s="189" t="n"/>
      <c r="K60" s="201" t="n"/>
      <c r="L60" s="202" t="n"/>
      <c r="M60" s="189" t="n"/>
      <c r="N60" s="189" t="n"/>
      <c r="O60" s="189">
        <f>L60-M60</f>
        <v/>
      </c>
      <c r="P60" s="189">
        <f>K60-N60</f>
        <v/>
      </c>
      <c r="Q60" s="189">
        <f>M60+O60</f>
        <v/>
      </c>
      <c r="R60" s="189">
        <f>M60+N60+O60+P60</f>
        <v/>
      </c>
      <c r="S60" s="203">
        <f>SUM(T60:V60)</f>
        <v/>
      </c>
      <c r="T60" s="203" t="n"/>
      <c r="U60" s="203" t="n"/>
      <c r="V60" s="203" t="n"/>
      <c r="W60" s="203" t="n"/>
      <c r="X60" s="203" t="n"/>
      <c r="Y60" s="203" t="n"/>
      <c r="Z60" s="203" t="n"/>
      <c r="AA60" s="203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188">
        <f>AB33/1.17*0.17+AC33/1.16*0.16+AD33/1.11*0.11+AE33/1.1*0.1+AF33/1.09*0.09+AI33/1.03*0.03</f>
        <v/>
      </c>
      <c r="AL60" s="221" t="n"/>
    </row>
    <row r="61" ht="14" customFormat="1" customHeight="1" s="180">
      <c r="A61" s="41" t="n"/>
      <c r="B61" s="215" t="n"/>
      <c r="C61" s="215" t="n"/>
      <c r="D61" s="216" t="inlineStr">
        <is>
          <t>材料费小计：</t>
        </is>
      </c>
      <c r="E61" s="217">
        <f>SUM(E34:E60)</f>
        <v/>
      </c>
      <c r="F61" s="217">
        <f>SUM(F34:F60)</f>
        <v/>
      </c>
      <c r="G61" s="217">
        <f>SUM(G34:G60)</f>
        <v/>
      </c>
      <c r="H61" s="217">
        <f>SUM(H34:H60)</f>
        <v/>
      </c>
      <c r="I61" s="217">
        <f>SUM(I34:I60)</f>
        <v/>
      </c>
      <c r="J61" s="217">
        <f>SUM(J34:J60)</f>
        <v/>
      </c>
      <c r="K61" s="217">
        <f>SUM(K34:K60)</f>
        <v/>
      </c>
      <c r="L61" s="217">
        <f>SUM(L34:L60)</f>
        <v/>
      </c>
      <c r="M61" s="217">
        <f>SUM(M34:M60)</f>
        <v/>
      </c>
      <c r="N61" s="217">
        <f>SUM(N34:N60)</f>
        <v/>
      </c>
      <c r="O61" s="217">
        <f>SUM(O34:O60)</f>
        <v/>
      </c>
      <c r="P61" s="217">
        <f>SUM(P34:P60)</f>
        <v/>
      </c>
      <c r="Q61" s="217">
        <f>SUM(Q34:Q60)</f>
        <v/>
      </c>
      <c r="R61" s="217">
        <f>SUM(R34:R60)</f>
        <v/>
      </c>
      <c r="S61" s="217">
        <f>SUM(S34:S60)</f>
        <v/>
      </c>
      <c r="T61" s="217">
        <f>SUM(T34:T60)</f>
        <v/>
      </c>
      <c r="U61" s="217">
        <f>SUM(U34:U60)</f>
        <v/>
      </c>
      <c r="V61" s="217">
        <f>SUM(V34:V60)</f>
        <v/>
      </c>
      <c r="W61" s="217">
        <f>SUM(W34:W60)</f>
        <v/>
      </c>
      <c r="X61" s="217">
        <f>SUM(X34:X60)</f>
        <v/>
      </c>
      <c r="Y61" s="217">
        <f>SUM(Y34:Y60)</f>
        <v/>
      </c>
      <c r="Z61" s="217">
        <f>SUM(Z34:Z60)</f>
        <v/>
      </c>
      <c r="AA61" s="217">
        <f>SUM(AA34:AA60)</f>
        <v/>
      </c>
      <c r="AB61" s="217">
        <f>SUM(AB34:AB60)</f>
        <v/>
      </c>
      <c r="AC61" s="217">
        <f>SUM(AC34:AC60)</f>
        <v/>
      </c>
      <c r="AD61" s="217">
        <f>SUM(AD34:AD60)</f>
        <v/>
      </c>
      <c r="AE61" s="217">
        <f>SUM(AE34:AE60)</f>
        <v/>
      </c>
      <c r="AF61" s="217">
        <f>SUM(AF34:AF60)</f>
        <v/>
      </c>
      <c r="AG61" s="217">
        <f>SUM(AG34:AG60)</f>
        <v/>
      </c>
      <c r="AH61" s="217">
        <f>SUM(AH34:AH60)</f>
        <v/>
      </c>
      <c r="AI61" s="217">
        <f>SUM(AI34:AI60)</f>
        <v/>
      </c>
      <c r="AJ61" s="217">
        <f>SUM(AJ34:AJ60)</f>
        <v/>
      </c>
      <c r="AK61" s="217">
        <f>SUM(AK34:AK60)</f>
        <v/>
      </c>
      <c r="AL61" s="204" t="n"/>
    </row>
    <row r="62" ht="14" customFormat="1" customHeight="1" s="180">
      <c r="A62" s="33" t="n"/>
      <c r="B62" s="199" t="n"/>
      <c r="C62" s="199" t="n"/>
      <c r="D62" s="218" t="inlineStr">
        <is>
          <t>(四）机械租赁费</t>
        </is>
      </c>
      <c r="E62" s="212" t="n"/>
      <c r="F62" s="212" t="n"/>
      <c r="G62" s="212" t="n"/>
      <c r="H62" s="189" t="n"/>
      <c r="I62" s="189" t="n"/>
      <c r="J62" s="189" t="n"/>
      <c r="K62" s="201" t="n">
        <v>0</v>
      </c>
      <c r="L62" s="202">
        <f>J62-K62</f>
        <v/>
      </c>
      <c r="M62" s="184" t="n"/>
      <c r="N62" s="184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203" t="n"/>
      <c r="U62" s="203" t="n"/>
      <c r="V62" s="203" t="n"/>
      <c r="W62" s="203" t="n"/>
      <c r="X62" s="203" t="n"/>
      <c r="Y62" s="203" t="n"/>
      <c r="Z62" s="203" t="n"/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188">
        <f>AB35/1.17*0.17+AC35/1.16*0.16+AD35/1.11*0.11+AE35/1.1*0.1+AF35/1.09*0.09+AI35/1.03*0.03</f>
        <v/>
      </c>
      <c r="AL62" s="204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</row>
    <row r="68" ht="14" customFormat="1" customHeight="1" s="180">
      <c r="A68" s="33" t="n"/>
      <c r="B68" s="199" t="n"/>
      <c r="C68" s="199" t="n"/>
      <c r="D68" s="211" t="inlineStr">
        <is>
          <t>**财务未列部分需增列***</t>
        </is>
      </c>
      <c r="E68" s="229" t="n"/>
      <c r="F68" s="229" t="n"/>
      <c r="G68" s="229" t="n"/>
      <c r="H68" s="189" t="n"/>
      <c r="I68" s="189" t="n"/>
      <c r="J68" s="189" t="n"/>
      <c r="K68" s="201" t="n">
        <v>0</v>
      </c>
      <c r="L68" s="202">
        <f>J68-K68</f>
        <v/>
      </c>
      <c r="M68" s="230" t="n"/>
      <c r="N68" s="230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30" t="n"/>
      <c r="U68" s="230" t="n"/>
      <c r="V68" s="230" t="n"/>
      <c r="W68" s="230" t="n"/>
      <c r="X68" s="230" t="n"/>
      <c r="Y68" s="230" t="n"/>
      <c r="Z68" s="230" t="n"/>
      <c r="AA68" s="203" t="n"/>
      <c r="AB68" s="188" t="n"/>
      <c r="AC68" s="188" t="n"/>
      <c r="AD68" s="188" t="n"/>
      <c r="AE68" s="188" t="n"/>
      <c r="AF68" s="188" t="n"/>
      <c r="AG68" s="188" t="n"/>
      <c r="AH68" s="188" t="n"/>
      <c r="AI68" s="188" t="n"/>
      <c r="AJ68" s="188" t="n"/>
      <c r="AK68" s="188">
        <f>AB37/1.17*0.17+AC37/1.16*0.16+AD37/1.11*0.11+AE37/1.1*0.1+AF37/1.09*0.09+AI37/1.03*0.03</f>
        <v/>
      </c>
      <c r="AL68" s="214" t="n"/>
    </row>
    <row r="69" ht="39" customFormat="1" customHeight="1" s="180">
      <c r="A69" s="41" t="n"/>
      <c r="B69" s="215" t="n"/>
      <c r="C69" s="215" t="n"/>
      <c r="D69" s="231" t="inlineStr">
        <is>
          <t>机械费小计：</t>
        </is>
      </c>
      <c r="E69" s="232" t="n"/>
      <c r="F69" s="232" t="n"/>
      <c r="G69" s="232" t="n"/>
      <c r="H69" s="217">
        <f>SUM(H62:H68)</f>
        <v/>
      </c>
      <c r="I69" s="217">
        <f>SUM(I62:I68)</f>
        <v/>
      </c>
      <c r="J69" s="217">
        <f>SUM(J62:J68)</f>
        <v/>
      </c>
      <c r="K69" s="217">
        <f>SUM(K62:K68)</f>
        <v/>
      </c>
      <c r="L69" s="233">
        <f>SUM(L62:L68)</f>
        <v/>
      </c>
      <c r="M69" s="217">
        <f>SUM(M62:M68)</f>
        <v/>
      </c>
      <c r="N69" s="217">
        <f>SUM(N62:N68)</f>
        <v/>
      </c>
      <c r="O69" s="217">
        <f>SUM(O62:O68)</f>
        <v/>
      </c>
      <c r="P69" s="217">
        <f>SUM(P62:P68)</f>
        <v/>
      </c>
      <c r="Q69" s="217">
        <f>SUM(Q62:Q68)</f>
        <v/>
      </c>
      <c r="R69" s="217">
        <f>SUM(R62:R68)</f>
        <v/>
      </c>
      <c r="S69" s="217">
        <f>SUM(S62:S68)</f>
        <v/>
      </c>
      <c r="T69" s="217" t="n"/>
      <c r="U69" s="217" t="n"/>
      <c r="V69" s="217" t="n"/>
      <c r="W69" s="217" t="n"/>
      <c r="X69" s="217" t="n"/>
      <c r="Y69" s="217" t="n"/>
      <c r="Z69" s="217">
        <f>SUM(Z62:Z68)</f>
        <v/>
      </c>
      <c r="AA69" s="217">
        <f>SUM(AA62:AA68)</f>
        <v/>
      </c>
      <c r="AB69" s="217" t="n"/>
      <c r="AC69" s="217" t="n"/>
      <c r="AD69" s="217" t="n"/>
      <c r="AE69" s="217" t="n"/>
      <c r="AF69" s="217" t="n"/>
      <c r="AG69" s="217" t="n"/>
      <c r="AH69" s="217" t="n"/>
      <c r="AI69" s="217" t="n"/>
      <c r="AJ69" s="217" t="n"/>
      <c r="AK69" s="217" t="n"/>
      <c r="AL69" s="204" t="n"/>
    </row>
    <row r="70" ht="14" customFormat="1" customHeight="1" s="180">
      <c r="A70" s="33" t="n"/>
      <c r="B70" s="199" t="n"/>
      <c r="C70" s="199" t="n"/>
      <c r="D70" s="218" t="inlineStr">
        <is>
          <t>（五）其他直接费</t>
        </is>
      </c>
      <c r="E70" s="212" t="n"/>
      <c r="F70" s="212" t="n"/>
      <c r="G70" s="212" t="n"/>
      <c r="H70" s="189" t="n"/>
      <c r="I70" s="189" t="n"/>
      <c r="J70" s="184" t="n">
        <v>0</v>
      </c>
      <c r="K70" s="201" t="n">
        <v>0</v>
      </c>
      <c r="L70" s="202">
        <f>J70-N70-P70</f>
        <v/>
      </c>
      <c r="M70" s="184" t="n"/>
      <c r="N70" s="18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03" t="n"/>
      <c r="AC70" s="203" t="n"/>
      <c r="AD70" s="203" t="n"/>
      <c r="AE70" s="203" t="n"/>
      <c r="AF70" s="203" t="n"/>
      <c r="AG70" s="203" t="n"/>
      <c r="AH70" s="203" t="n"/>
      <c r="AI70" s="203" t="n"/>
      <c r="AJ70" s="203" t="n"/>
      <c r="AK70" s="188" t="n"/>
      <c r="AL70" s="204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</row>
    <row r="74" ht="14" customFormat="1" customHeight="1" s="180">
      <c r="A74" s="33" t="n"/>
      <c r="B74" s="199" t="n"/>
      <c r="C74" s="199" t="n"/>
      <c r="D74" s="211" t="inlineStr">
        <is>
          <t>**财务未列部分需增列***</t>
        </is>
      </c>
      <c r="E74" s="212" t="n"/>
      <c r="F74" s="212" t="n"/>
      <c r="G74" s="212" t="n"/>
      <c r="H74" s="189" t="n"/>
      <c r="I74" s="189" t="n"/>
      <c r="J74" s="184" t="n"/>
      <c r="K74" s="201" t="n"/>
      <c r="L74" s="202">
        <f>J74-K74</f>
        <v/>
      </c>
      <c r="M74" s="234" t="n"/>
      <c r="N74" s="234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34" t="n"/>
      <c r="U74" s="234" t="n"/>
      <c r="V74" s="234" t="n"/>
      <c r="W74" s="234" t="n"/>
      <c r="X74" s="234" t="n"/>
      <c r="Y74" s="234" t="n"/>
      <c r="Z74" s="189">
        <f>SUM(AA45:AJ45)</f>
        <v/>
      </c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188" t="n"/>
      <c r="AL74" s="204" t="n"/>
    </row>
    <row r="75" ht="14" customFormat="1" customHeight="1" s="180">
      <c r="A75" s="55" t="n"/>
      <c r="B75" s="235" t="n"/>
      <c r="C75" s="235" t="n"/>
      <c r="D75" s="231" t="inlineStr">
        <is>
          <t>其他直接费小计：</t>
        </is>
      </c>
      <c r="E75" s="236" t="n"/>
      <c r="F75" s="236" t="n"/>
      <c r="G75" s="236" t="n"/>
      <c r="H75" s="217">
        <f>SUM(H70:H74)</f>
        <v/>
      </c>
      <c r="I75" s="217">
        <f>SUM(I70:I74)</f>
        <v/>
      </c>
      <c r="J75" s="217">
        <f>SUM(J70:J74)</f>
        <v/>
      </c>
      <c r="K75" s="217">
        <f>SUM(K70:K74)</f>
        <v/>
      </c>
      <c r="L75" s="233">
        <f>SUM(L70:L74)</f>
        <v/>
      </c>
      <c r="M75" s="217">
        <f>SUM(M70:M74)</f>
        <v/>
      </c>
      <c r="N75" s="217">
        <f>SUM(N70:N74)</f>
        <v/>
      </c>
      <c r="O75" s="217">
        <f>L75-M75</f>
        <v/>
      </c>
      <c r="P75" s="217">
        <f>SUM(P70:P74)</f>
        <v/>
      </c>
      <c r="Q75" s="217">
        <f>M75+O75</f>
        <v/>
      </c>
      <c r="R75" s="217">
        <f>SUM(R70:R74)</f>
        <v/>
      </c>
      <c r="S75" s="217">
        <f>SUM(S70:S74)</f>
        <v/>
      </c>
      <c r="T75" s="217" t="n"/>
      <c r="U75" s="217" t="n"/>
      <c r="V75" s="217" t="n"/>
      <c r="W75" s="217" t="n"/>
      <c r="X75" s="217" t="n"/>
      <c r="Y75" s="217" t="n"/>
      <c r="Z75" s="217">
        <f>SUM(Z70:Z74)</f>
        <v/>
      </c>
      <c r="AA75" s="217">
        <f>SUM(AA70:AA74)</f>
        <v/>
      </c>
      <c r="AB75" s="217">
        <f>SUM(AB70:AB74)</f>
        <v/>
      </c>
      <c r="AC75" s="217">
        <f>SUM(AC70:AC74)</f>
        <v/>
      </c>
      <c r="AD75" s="217">
        <f>SUM(AD70:AD74)</f>
        <v/>
      </c>
      <c r="AE75" s="217">
        <f>SUM(AE70:AE74)</f>
        <v/>
      </c>
      <c r="AF75" s="217">
        <f>SUM(AF70:AF74)</f>
        <v/>
      </c>
      <c r="AG75" s="217" t="n"/>
      <c r="AH75" s="217" t="n"/>
      <c r="AI75" s="217">
        <f>SUM(AI70:AI74)</f>
        <v/>
      </c>
      <c r="AJ75" s="217">
        <f>SUM(AJ70:AJ74)</f>
        <v/>
      </c>
      <c r="AK75" s="217">
        <f>SUM(AK70:AK74)</f>
        <v/>
      </c>
      <c r="AL75" s="204" t="n"/>
    </row>
    <row r="76" ht="14" customFormat="1" customHeight="1" s="180">
      <c r="A76" s="33" t="n"/>
      <c r="B76" s="199" t="n"/>
      <c r="C76" s="199" t="n"/>
      <c r="D76" s="218" t="inlineStr">
        <is>
          <t>（六）间接费</t>
        </is>
      </c>
      <c r="E76" s="212" t="n"/>
      <c r="F76" s="212" t="n"/>
      <c r="G76" s="212" t="n"/>
      <c r="H76" s="184" t="n"/>
      <c r="I76" s="189" t="n"/>
      <c r="J76" s="189" t="n">
        <v>0</v>
      </c>
      <c r="K76" s="201" t="n">
        <v>0</v>
      </c>
      <c r="L76" s="202">
        <f>J76-N76-P76</f>
        <v/>
      </c>
      <c r="M76" s="184" t="n"/>
      <c r="N76" s="184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188" t="n"/>
      <c r="AL76" s="204" t="n"/>
    </row>
    <row r="77" ht="14" customFormat="1" customHeight="1" s="180">
      <c r="A77" s="206" t="n"/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</row>
    <row r="78" ht="26" customFormat="1" customHeight="1" s="180">
      <c r="A78" s="206" t="n"/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206" t="n"/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Height="1" s="159">
      <c r="A82" s="206" t="n"/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206" t="n"/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</row>
    <row r="84">
      <c r="A84" s="206" t="n"/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206" t="n"/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</row>
    <row r="86">
      <c r="A86" s="206" t="n"/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33" t="n"/>
      <c r="B109" s="199" t="n"/>
      <c r="C109" s="199" t="n"/>
      <c r="D109" s="211" t="inlineStr">
        <is>
          <t>**财务未列部分需增列***</t>
        </is>
      </c>
      <c r="E109" s="212" t="n"/>
      <c r="F109" s="212" t="n"/>
      <c r="G109" s="212" t="n"/>
      <c r="H109" s="234" t="n"/>
      <c r="I109" s="189" t="n"/>
      <c r="J109" s="234" t="n"/>
      <c r="K109" s="201" t="n"/>
      <c r="L109" s="202" t="n"/>
      <c r="M109" s="234" t="n"/>
      <c r="N109" s="189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34" t="n"/>
      <c r="U109" s="234" t="n"/>
      <c r="V109" s="234" t="n"/>
      <c r="W109" s="234" t="n"/>
      <c r="X109" s="234" t="n"/>
      <c r="Y109" s="234" t="n"/>
      <c r="Z109" s="234" t="n"/>
      <c r="AA109" s="203" t="n"/>
      <c r="AB109" s="188" t="n"/>
      <c r="AC109" s="188" t="n"/>
      <c r="AD109" s="188" t="n"/>
      <c r="AE109" s="188" t="n"/>
      <c r="AF109" s="188" t="n"/>
      <c r="AG109" s="188" t="n"/>
      <c r="AH109" s="188" t="n"/>
      <c r="AI109" s="188" t="n"/>
      <c r="AJ109" s="188" t="n"/>
      <c r="AK109" s="188" t="n"/>
      <c r="AL109" s="214" t="n"/>
    </row>
    <row r="110">
      <c r="A110" s="55" t="n"/>
      <c r="B110" s="235" t="n"/>
      <c r="C110" s="235" t="n"/>
      <c r="D110" s="231" t="inlineStr">
        <is>
          <t>间接费小计：</t>
        </is>
      </c>
      <c r="E110" s="236" t="n"/>
      <c r="F110" s="236" t="n"/>
      <c r="G110" s="236" t="n"/>
      <c r="H110" s="217">
        <f>SUM(H76:H109)</f>
        <v/>
      </c>
      <c r="I110" s="217">
        <f>SUM(I76:I109)</f>
        <v/>
      </c>
      <c r="J110" s="217">
        <f>SUM(J76:J109)</f>
        <v/>
      </c>
      <c r="K110" s="217">
        <f>SUM(K76:K109)</f>
        <v/>
      </c>
      <c r="L110" s="233">
        <f>SUM(L76:L109)</f>
        <v/>
      </c>
      <c r="M110" s="233">
        <f>SUM(M76:M109)</f>
        <v/>
      </c>
      <c r="N110" s="233">
        <f>SUM(N76:N109)</f>
        <v/>
      </c>
      <c r="O110" s="233">
        <f>SUM(O76:O109)</f>
        <v/>
      </c>
      <c r="P110" s="233">
        <f>SUM(P76:P109)</f>
        <v/>
      </c>
      <c r="Q110" s="233">
        <f>SUM(Q76:Q109)</f>
        <v/>
      </c>
      <c r="R110" s="233">
        <f>SUM(R76:R109)</f>
        <v/>
      </c>
      <c r="S110" s="233">
        <f>SUM(S76:S109)</f>
        <v/>
      </c>
      <c r="T110" s="233" t="n"/>
      <c r="U110" s="233" t="n"/>
      <c r="V110" s="233" t="n"/>
      <c r="W110" s="233" t="n"/>
      <c r="X110" s="233" t="n"/>
      <c r="Y110" s="233" t="n"/>
      <c r="Z110" s="233">
        <f>SUM(Z76:Z109)</f>
        <v/>
      </c>
      <c r="AA110" s="233">
        <f>SUM(AA76:AA109)</f>
        <v/>
      </c>
      <c r="AB110" s="233">
        <f>SUM(AB76:AB109)</f>
        <v/>
      </c>
      <c r="AC110" s="233">
        <f>SUM(AC76:AC109)</f>
        <v/>
      </c>
      <c r="AD110" s="233">
        <f>SUM(AD76:AD109)</f>
        <v/>
      </c>
      <c r="AE110" s="233">
        <f>SUM(AE76:AE109)</f>
        <v/>
      </c>
      <c r="AF110" s="233">
        <f>SUM(AF76:AF109)</f>
        <v/>
      </c>
      <c r="AG110" s="233" t="n"/>
      <c r="AH110" s="233" t="n"/>
      <c r="AI110" s="233">
        <f>SUM(AI76:AI109)</f>
        <v/>
      </c>
      <c r="AJ110" s="233">
        <f>SUM(AJ76:AJ109)</f>
        <v/>
      </c>
      <c r="AK110" s="233">
        <f>SUM(AK76:AK109)</f>
        <v/>
      </c>
      <c r="AL110" s="214" t="n"/>
    </row>
    <row r="111">
      <c r="A111" s="33" t="n"/>
      <c r="B111" s="199" t="n"/>
      <c r="C111" s="199" t="n"/>
      <c r="D111" s="218" t="inlineStr">
        <is>
          <t>（七）安全费</t>
        </is>
      </c>
      <c r="E111" s="212" t="n"/>
      <c r="F111" s="212" t="n"/>
      <c r="G111" s="212" t="n"/>
      <c r="H111" s="189" t="n"/>
      <c r="I111" s="189" t="n"/>
      <c r="J111" s="184" t="n">
        <v>0</v>
      </c>
      <c r="K111" s="237" t="n"/>
      <c r="L111" s="202">
        <f>J111-N111-P111</f>
        <v/>
      </c>
      <c r="M111" s="189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34" t="n"/>
      <c r="U111" s="234" t="n"/>
      <c r="V111" s="234" t="n"/>
      <c r="W111" s="234" t="n"/>
      <c r="X111" s="234" t="n"/>
      <c r="Y111" s="234" t="n"/>
      <c r="Z111" s="230" t="n"/>
      <c r="AA111" s="203" t="n"/>
      <c r="AB111" s="188" t="n"/>
      <c r="AC111" s="188" t="n"/>
      <c r="AD111" s="188" t="n"/>
      <c r="AE111" s="188" t="n"/>
      <c r="AF111" s="188" t="n"/>
      <c r="AG111" s="188" t="n"/>
      <c r="AH111" s="188" t="n"/>
      <c r="AI111" s="188" t="n"/>
      <c r="AJ111" s="188" t="n"/>
      <c r="AK111" s="188" t="n"/>
      <c r="AL111" s="214" t="n"/>
    </row>
    <row r="112">
      <c r="A112" s="206" t="n"/>
      <c r="B112" s="206" t="n"/>
      <c r="C112" s="207" t="n"/>
      <c r="D112" s="207" t="inlineStr">
        <is>
          <t>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</row>
    <row r="113">
      <c r="A113" s="206" t="n"/>
      <c r="B113" s="206" t="n"/>
      <c r="C113" s="207" t="n"/>
      <c r="D113" s="207" t="inlineStr">
        <is>
          <t>报销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162980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/>
      <c r="B114" s="206" t="n"/>
      <c r="C114" s="207" t="n"/>
      <c r="D114" s="207" t="inlineStr">
        <is>
          <t>直接人工费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951309.41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55" t="n"/>
      <c r="B115" s="235" t="n"/>
      <c r="C115" s="235" t="n"/>
      <c r="D115" s="231" t="inlineStr">
        <is>
          <t>安全费小计：</t>
        </is>
      </c>
      <c r="E115" s="231" t="n"/>
      <c r="F115" s="231" t="n"/>
      <c r="G115" s="231" t="n"/>
      <c r="H115" s="217">
        <f>SUM(H111:H114)</f>
        <v/>
      </c>
      <c r="I115" s="217">
        <f>SUM(I111:I114)</f>
        <v/>
      </c>
      <c r="J115" s="217" t="n">
        <v>0</v>
      </c>
      <c r="K115" s="217" t="n">
        <v>0</v>
      </c>
      <c r="L115" s="202">
        <f>J115-K115</f>
        <v/>
      </c>
      <c r="M115" s="238" t="n"/>
      <c r="N115" s="238" t="n"/>
      <c r="O115" s="233">
        <f>SUM(O111:O114)</f>
        <v/>
      </c>
      <c r="P115" s="233">
        <f>SUM(P111:P114)</f>
        <v/>
      </c>
      <c r="Q115" s="233">
        <f>SUM(Q111:Q114)</f>
        <v/>
      </c>
      <c r="R115" s="233">
        <f>SUM(R111:R114)</f>
        <v/>
      </c>
      <c r="S115" s="233">
        <f>SUM(S111:S114)</f>
        <v/>
      </c>
      <c r="T115" s="238" t="n"/>
      <c r="U115" s="238" t="n"/>
      <c r="V115" s="238" t="n"/>
      <c r="W115" s="238" t="n"/>
      <c r="X115" s="238" t="n"/>
      <c r="Y115" s="238" t="n"/>
      <c r="Z115" s="238" t="n"/>
      <c r="AA115" s="238">
        <f>SUM(AA111:AA114)</f>
        <v/>
      </c>
      <c r="AB115" s="238">
        <f>SUM(AB111:AB114)</f>
        <v/>
      </c>
      <c r="AC115" s="238">
        <f>SUM(AC111:AC114)</f>
        <v/>
      </c>
      <c r="AD115" s="238">
        <f>SUM(AD111:AD114)</f>
        <v/>
      </c>
      <c r="AE115" s="238">
        <f>SUM(AE111:AE114)</f>
        <v/>
      </c>
      <c r="AF115" s="238">
        <f>SUM(AF111:AF114)</f>
        <v/>
      </c>
      <c r="AG115" s="238" t="n"/>
      <c r="AH115" s="238" t="n"/>
      <c r="AI115" s="238">
        <f>SUM(AI111:AI114)</f>
        <v/>
      </c>
      <c r="AJ115" s="238">
        <f>SUM(AJ111:AJ114)</f>
        <v/>
      </c>
      <c r="AK115" s="238">
        <f>SUM(AK111:AK114)</f>
        <v/>
      </c>
      <c r="AL115" s="239" t="n"/>
    </row>
    <row r="116">
      <c r="A116" s="55" t="n"/>
      <c r="B116" s="235" t="n"/>
      <c r="C116" s="235" t="n"/>
      <c r="D116" s="231" t="inlineStr">
        <is>
          <t>三、成本合计：</t>
        </is>
      </c>
      <c r="E116" s="236" t="n"/>
      <c r="F116" s="236" t="n"/>
      <c r="G116" s="236" t="n"/>
      <c r="H116" s="217">
        <f>H21+H33+H61+H69+H75+H110+H115</f>
        <v/>
      </c>
      <c r="I116" s="217">
        <f>I21+I33+I61+I69+I75+I110+I115</f>
        <v/>
      </c>
      <c r="J116" s="217">
        <f>J21+J33+J61+J69+J75+J110+J115</f>
        <v/>
      </c>
      <c r="K116" s="217">
        <f>K21+K33+K61+K69+K75+K110+K115</f>
        <v/>
      </c>
      <c r="L116" s="233">
        <f>L21+L33+L61+L69+L75+L110+L115</f>
        <v/>
      </c>
      <c r="M116" s="238">
        <f>M21+M33+M61+M69+M75+M110+M115</f>
        <v/>
      </c>
      <c r="N116" s="238">
        <f>N21+N33+N61+N69+N75+N110+N115</f>
        <v/>
      </c>
      <c r="O116" s="238">
        <f>O21+O33+O61+O69+O75+O110+O115</f>
        <v/>
      </c>
      <c r="P116" s="238">
        <f>P21+P33+P61+P69+P75+P110+P115</f>
        <v/>
      </c>
      <c r="Q116" s="238">
        <f>Q21+Q33+Q61+Q69+Q75+Q110+Q115</f>
        <v/>
      </c>
      <c r="R116" s="238">
        <f>R21+R33+R61+R69+R75+R110+R115</f>
        <v/>
      </c>
      <c r="S116" s="238">
        <f>S21+S33+S61+S69+S75+S110+S115</f>
        <v/>
      </c>
      <c r="T116" s="238" t="n"/>
      <c r="U116" s="238" t="n"/>
      <c r="V116" s="238" t="n"/>
      <c r="W116" s="238" t="n"/>
      <c r="X116" s="238" t="n"/>
      <c r="Y116" s="238" t="n"/>
      <c r="Z116" s="238">
        <f>Z21+Z33+Z61+Z69+Z75+Z110+Z115</f>
        <v/>
      </c>
      <c r="AA116" s="238">
        <f>AA21+AA33+AA61+AA69+AA75+AA110+AA115</f>
        <v/>
      </c>
      <c r="AB116" s="238">
        <f>AB21+AB33+AB61+AB69+AB75+AB110+AB115</f>
        <v/>
      </c>
      <c r="AC116" s="238">
        <f>AC21+AC33+AC61+AC69+AC75+AC110+AC115</f>
        <v/>
      </c>
      <c r="AD116" s="238">
        <f>AD21+AD33+AD61+AD69+AD75+AD110+AD115</f>
        <v/>
      </c>
      <c r="AE116" s="238">
        <f>AE21+AE33+AE61+AE69+AE75+AE110+AE115</f>
        <v/>
      </c>
      <c r="AF116" s="238">
        <f>AF21+AF33+AF61+AF69+AF75+AF110+AF115</f>
        <v/>
      </c>
      <c r="AG116" s="238" t="n"/>
      <c r="AH116" s="238" t="n"/>
      <c r="AI116" s="238">
        <f>AI21+AI33+AI61+AI69+AI75+AI110+AI115</f>
        <v/>
      </c>
      <c r="AJ116" s="238">
        <f>AJ21+AJ33+AJ61+AJ69+AJ75+AJ110+AJ115</f>
        <v/>
      </c>
      <c r="AK116" s="238">
        <f>AK21+AK33+AK61+AK69+AK75+AK110+AK115</f>
        <v/>
      </c>
      <c r="AL116" s="239" t="n"/>
    </row>
    <row r="117">
      <c r="A117" s="33" t="n"/>
      <c r="B117" s="199" t="n"/>
      <c r="C117" s="199" t="n"/>
      <c r="D117" s="218" t="inlineStr">
        <is>
          <t>四、计提保修金</t>
        </is>
      </c>
      <c r="E117" s="240" t="inlineStr">
        <is>
          <t>（在建：房建0.6%，其它0.4%；在保修期间的按0.3~0.5%自行确定;保修期结束为0）</t>
        </is>
      </c>
      <c r="F117" s="240" t="n"/>
      <c r="G117" s="240" t="n"/>
      <c r="H117" s="184" t="n"/>
      <c r="I117" s="184" t="n"/>
      <c r="J117" s="184">
        <f>H117+I117</f>
        <v/>
      </c>
      <c r="K117" s="184" t="n"/>
      <c r="L117" s="202">
        <f>J117-K117</f>
        <v/>
      </c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203" t="n"/>
      <c r="AA117" s="203">
        <f>Q69-S69</f>
        <v/>
      </c>
      <c r="AB117" s="241" t="n"/>
      <c r="AC117" s="241" t="n"/>
      <c r="AD117" s="241" t="n"/>
      <c r="AE117" s="241" t="n"/>
      <c r="AF117" s="241" t="n"/>
      <c r="AG117" s="241" t="n"/>
      <c r="AH117" s="241" t="n"/>
      <c r="AI117" s="241" t="n"/>
      <c r="AJ117" s="241" t="n"/>
      <c r="AK117" s="188" t="n"/>
      <c r="AL117" s="239" t="n"/>
    </row>
    <row r="118">
      <c r="A118" s="33" t="n"/>
      <c r="B118" s="199" t="n"/>
      <c r="C118" s="199" t="n"/>
      <c r="D118" s="218" t="inlineStr">
        <is>
          <t>五、过程节点奖金</t>
        </is>
      </c>
      <c r="E118" s="212" t="n"/>
      <c r="F118" s="212" t="n"/>
      <c r="G118" s="212" t="n"/>
      <c r="H118" s="184" t="n"/>
      <c r="I118" s="184" t="n"/>
      <c r="J118" s="184">
        <f>H118+I118</f>
        <v/>
      </c>
      <c r="K118" s="184" t="n"/>
      <c r="L118" s="202">
        <f>J118-K118</f>
        <v/>
      </c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188" t="n"/>
      <c r="AC118" s="188" t="n"/>
      <c r="AD118" s="188" t="n"/>
      <c r="AE118" s="188" t="n"/>
      <c r="AF118" s="188" t="n"/>
      <c r="AG118" s="188" t="n"/>
      <c r="AH118" s="188" t="n"/>
      <c r="AI118" s="188" t="n"/>
      <c r="AJ118" s="188" t="n"/>
      <c r="AK118" s="188" t="n"/>
      <c r="AL118" s="214" t="n"/>
    </row>
    <row r="119">
      <c r="A119" s="33" t="n"/>
      <c r="B119" s="199" t="n"/>
      <c r="C119" s="199" t="n"/>
      <c r="D119" s="218" t="inlineStr">
        <is>
          <t>六、资金占用费用</t>
        </is>
      </c>
      <c r="E119" s="212" t="n"/>
      <c r="F119" s="212" t="n"/>
      <c r="G119" s="212" t="n"/>
      <c r="H119" s="189" t="n"/>
      <c r="I119" s="189" t="n"/>
      <c r="J119" s="184">
        <f>H119+I119</f>
        <v/>
      </c>
      <c r="K119" s="189" t="n"/>
      <c r="L119" s="202">
        <f>J119-K119</f>
        <v/>
      </c>
      <c r="M119" s="223" t="n">
        <v>762837.87</v>
      </c>
      <c r="N119" s="189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03" t="n"/>
      <c r="U119" s="203" t="n"/>
      <c r="V119" s="203" t="n"/>
      <c r="W119" s="203" t="n"/>
      <c r="X119" s="203" t="n"/>
      <c r="Y119" s="203" t="n"/>
      <c r="Z119" s="203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 t="n"/>
      <c r="AL119" s="214" t="n"/>
    </row>
    <row r="120">
      <c r="A120" s="33" t="n"/>
      <c r="B120" s="199" t="n"/>
      <c r="C120" s="199" t="n"/>
      <c r="D120" s="218" t="inlineStr">
        <is>
          <t>七、局投资收益（局投资项目选填）</t>
        </is>
      </c>
      <c r="E120" s="212" t="n"/>
      <c r="F120" s="212" t="n"/>
      <c r="G120" s="212" t="n"/>
      <c r="H120" s="189" t="n"/>
      <c r="I120" s="189" t="n"/>
      <c r="J120" s="184">
        <f>H120+I120</f>
        <v/>
      </c>
      <c r="K120" s="189" t="n"/>
      <c r="L120" s="202">
        <f>J120-K120</f>
        <v/>
      </c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188" t="n"/>
      <c r="AC120" s="188" t="n"/>
      <c r="AD120" s="188" t="n"/>
      <c r="AE120" s="188" t="n"/>
      <c r="AF120" s="188" t="n"/>
      <c r="AG120" s="188" t="n"/>
      <c r="AH120" s="188" t="n"/>
      <c r="AI120" s="188" t="n"/>
      <c r="AJ120" s="188" t="n"/>
      <c r="AK120" s="188" t="n"/>
      <c r="AL120" s="214" t="n"/>
    </row>
    <row r="121">
      <c r="A121" s="55" t="n"/>
      <c r="B121" s="235" t="n"/>
      <c r="C121" s="235" t="n"/>
      <c r="D121" s="231" t="inlineStr">
        <is>
          <t>八、研发费用</t>
        </is>
      </c>
      <c r="E121" s="236" t="n"/>
      <c r="F121" s="236" t="n"/>
      <c r="G121" s="236" t="n"/>
      <c r="H121" s="217" t="n"/>
      <c r="I121" s="217" t="n"/>
      <c r="J121" s="217">
        <f>H121+I121</f>
        <v/>
      </c>
      <c r="K121" s="217" t="n"/>
      <c r="L121" s="233">
        <f>J121-K121</f>
        <v/>
      </c>
      <c r="M121" s="238">
        <f>SUM(M74:M76)</f>
        <v/>
      </c>
      <c r="N121" s="238">
        <f>SUM(N74:N76)</f>
        <v/>
      </c>
      <c r="O121" s="238">
        <f>SUM(O74:O76)</f>
        <v/>
      </c>
      <c r="P121" s="238">
        <f>SUM(P74:P76)</f>
        <v/>
      </c>
      <c r="Q121" s="238">
        <f>SUM(Q74:Q76)</f>
        <v/>
      </c>
      <c r="R121" s="238">
        <f>SUM(R74:R76)</f>
        <v/>
      </c>
      <c r="S121" s="238">
        <f>SUM(S74:S76)</f>
        <v/>
      </c>
      <c r="T121" s="238">
        <f>SUM(T74:T76)</f>
        <v/>
      </c>
      <c r="U121" s="238">
        <f>SUM(U74:U76)</f>
        <v/>
      </c>
      <c r="V121" s="238">
        <f>SUM(V74:V76)</f>
        <v/>
      </c>
      <c r="W121" s="238">
        <f>SUM(W74:W76)</f>
        <v/>
      </c>
      <c r="X121" s="238">
        <f>SUM(X74:X76)</f>
        <v/>
      </c>
      <c r="Y121" s="238">
        <f>SUM(Y74:Y76)</f>
        <v/>
      </c>
      <c r="Z121" s="238">
        <f>SUM(Z74:Z76)</f>
        <v/>
      </c>
      <c r="AA121" s="238">
        <f>SUM(AA74:AA76)</f>
        <v/>
      </c>
      <c r="AB121" s="238">
        <f>SUM(AB74:AB76)</f>
        <v/>
      </c>
      <c r="AC121" s="238">
        <f>SUM(AC74:AC76)</f>
        <v/>
      </c>
      <c r="AD121" s="238">
        <f>SUM(AD74:AD76)</f>
        <v/>
      </c>
      <c r="AE121" s="238">
        <f>SUM(AE74:AE76)</f>
        <v/>
      </c>
      <c r="AF121" s="238">
        <f>SUM(AF74:AF76)</f>
        <v/>
      </c>
      <c r="AG121" s="238">
        <f>SUM(AG74:AG76)</f>
        <v/>
      </c>
      <c r="AH121" s="238">
        <f>SUM(AH74:AH76)</f>
        <v/>
      </c>
      <c r="AI121" s="238">
        <f>SUM(AI74:AI76)</f>
        <v/>
      </c>
      <c r="AJ121" s="238">
        <f>SUM(AJ74:AJ76)</f>
        <v/>
      </c>
      <c r="AK121" s="238">
        <f>SUM(AK74:AK76)</f>
        <v/>
      </c>
      <c r="AL121" s="239" t="n"/>
    </row>
    <row r="122">
      <c r="A122" s="209" t="n"/>
      <c r="B122" s="209" t="n"/>
      <c r="C122" s="242" t="n"/>
      <c r="D122" s="242" t="inlineStr">
        <is>
          <t>材料费</t>
        </is>
      </c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43" t="n">
        <v>3926272.64</v>
      </c>
      <c r="N122" s="244" t="n"/>
      <c r="O122" s="244">
        <f>L122-M122</f>
        <v/>
      </c>
      <c r="P122" s="244">
        <f>K122-N122</f>
        <v/>
      </c>
      <c r="Q122" s="244">
        <f>M122+O122</f>
        <v/>
      </c>
      <c r="R122" s="244">
        <f>M122+N122+O122+P122</f>
        <v/>
      </c>
      <c r="S122" s="244" t="n"/>
      <c r="T122" s="244" t="n"/>
      <c r="U122" s="244" t="n"/>
      <c r="V122" s="244" t="n"/>
    </row>
    <row r="123">
      <c r="A123" s="33" t="n">
        <v>1</v>
      </c>
      <c r="B123" s="199" t="n"/>
      <c r="C123" s="199" t="n"/>
      <c r="D123" s="218" t="n"/>
      <c r="E123" s="212" t="n"/>
      <c r="F123" s="212" t="n"/>
      <c r="G123" s="212" t="n"/>
      <c r="H123" s="189" t="n"/>
      <c r="I123" s="189" t="n"/>
      <c r="J123" s="184">
        <f>H123+I123</f>
        <v/>
      </c>
      <c r="K123" s="189" t="n"/>
      <c r="L123" s="202">
        <f>J123-K123</f>
        <v/>
      </c>
      <c r="M123" s="189" t="n"/>
      <c r="N123" s="189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03" t="n"/>
      <c r="U123" s="203" t="n"/>
      <c r="V123" s="203" t="n"/>
      <c r="W123" s="203" t="n"/>
      <c r="X123" s="203" t="n"/>
      <c r="Y123" s="203" t="n"/>
      <c r="Z123" s="203" t="n"/>
      <c r="AA123" s="203" t="n"/>
      <c r="AB123" s="188" t="n"/>
      <c r="AC123" s="188" t="n"/>
      <c r="AD123" s="188" t="n"/>
      <c r="AE123" s="188" t="n"/>
      <c r="AF123" s="188" t="n"/>
      <c r="AG123" s="188" t="n"/>
      <c r="AH123" s="188" t="n"/>
      <c r="AI123" s="188" t="n"/>
      <c r="AJ123" s="188" t="n"/>
      <c r="AK123" s="188" t="n"/>
      <c r="AL123" s="214" t="n"/>
    </row>
    <row r="124">
      <c r="A124" s="33" t="n">
        <v>2</v>
      </c>
      <c r="B124" s="199" t="n"/>
      <c r="C124" s="199" t="n"/>
      <c r="D124" s="218" t="n"/>
      <c r="E124" s="212" t="n"/>
      <c r="F124" s="212" t="n"/>
      <c r="G124" s="212" t="n"/>
      <c r="H124" s="189" t="n"/>
      <c r="I124" s="189" t="n"/>
      <c r="J124" s="184" t="n"/>
      <c r="K124" s="189" t="n"/>
      <c r="L124" s="202" t="n"/>
      <c r="M124" s="189" t="n"/>
      <c r="N124" s="189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03" t="n"/>
      <c r="U124" s="203" t="n"/>
      <c r="V124" s="203" t="n"/>
      <c r="W124" s="203" t="n"/>
      <c r="X124" s="203" t="n"/>
      <c r="Y124" s="203" t="n"/>
      <c r="Z124" s="203" t="n"/>
      <c r="AA124" s="203" t="n"/>
      <c r="AB124" s="188" t="n"/>
      <c r="AC124" s="188" t="n"/>
      <c r="AD124" s="188" t="n"/>
      <c r="AE124" s="188" t="n"/>
      <c r="AF124" s="188" t="n"/>
      <c r="AG124" s="188" t="n"/>
      <c r="AH124" s="188" t="n"/>
      <c r="AI124" s="188" t="n"/>
      <c r="AJ124" s="188" t="n"/>
      <c r="AK124" s="188" t="n"/>
      <c r="AL124" s="214" t="n"/>
    </row>
    <row r="125">
      <c r="A125" s="33" t="n">
        <v>3</v>
      </c>
      <c r="B125" s="199" t="n"/>
      <c r="C125" s="199" t="n"/>
      <c r="D125" s="218" t="n"/>
      <c r="E125" s="212" t="n"/>
      <c r="F125" s="212" t="n"/>
      <c r="G125" s="212" t="n"/>
      <c r="H125" s="189" t="n"/>
      <c r="I125" s="189" t="n"/>
      <c r="J125" s="184" t="n"/>
      <c r="K125" s="189" t="n"/>
      <c r="L125" s="202" t="n"/>
      <c r="M125" s="189" t="n"/>
      <c r="N125" s="189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188" t="n"/>
      <c r="AC125" s="188" t="n"/>
      <c r="AD125" s="188" t="n"/>
      <c r="AE125" s="188" t="n"/>
      <c r="AF125" s="188" t="n"/>
      <c r="AG125" s="188" t="n"/>
      <c r="AH125" s="188" t="n"/>
      <c r="AI125" s="188" t="n"/>
      <c r="AJ125" s="188" t="n"/>
      <c r="AK125" s="188" t="n"/>
      <c r="AL125" s="214" t="n"/>
    </row>
    <row r="126">
      <c r="A126" s="41" t="n"/>
      <c r="B126" s="215" t="n"/>
      <c r="C126" s="215" t="n"/>
      <c r="D126" s="231" t="inlineStr">
        <is>
          <t>九、成本及费用合计（三+四+五+六+七）</t>
        </is>
      </c>
      <c r="E126" s="232" t="n"/>
      <c r="F126" s="232" t="n"/>
      <c r="G126" s="232" t="n"/>
      <c r="H126" s="217">
        <f>H68+H69+H70+H71+#REF!</f>
        <v/>
      </c>
      <c r="I126" s="217">
        <f>I68+I69+I70+I71+#REF!</f>
        <v/>
      </c>
      <c r="J126" s="245">
        <f>J68+J69+J70+J71+#REF!</f>
        <v/>
      </c>
      <c r="K126" s="217">
        <f>K68+K69+K70+K71+#REF!</f>
        <v/>
      </c>
      <c r="L126" s="246">
        <f>L68+L69+L70+L71+#REF!</f>
        <v/>
      </c>
      <c r="M126" s="246">
        <f>M68+M69+M70+M71</f>
        <v/>
      </c>
      <c r="N126" s="246">
        <f>N68+N69+N70+N71</f>
        <v/>
      </c>
      <c r="O126" s="246">
        <f>O68+O69+O70+O71</f>
        <v/>
      </c>
      <c r="P126" s="246">
        <f>P68+P69+P70+P71</f>
        <v/>
      </c>
      <c r="Q126" s="246">
        <f>Q68+Q69+Q70+Q71</f>
        <v/>
      </c>
      <c r="R126" s="246">
        <f>R68+R69+R70+R71</f>
        <v/>
      </c>
      <c r="S126" s="238">
        <f>S68+S69+S70+S71</f>
        <v/>
      </c>
      <c r="T126" s="238" t="n"/>
      <c r="U126" s="238" t="n"/>
      <c r="V126" s="238" t="n"/>
      <c r="W126" s="238" t="n"/>
      <c r="X126" s="238" t="n"/>
      <c r="Y126" s="238" t="n"/>
      <c r="Z126" s="238">
        <f>Z68+Z69+Z70+Z71</f>
        <v/>
      </c>
      <c r="AA126" s="238">
        <f>AA68+AA69+AA70+AA71</f>
        <v/>
      </c>
      <c r="AB126" s="247" t="n"/>
      <c r="AC126" s="247" t="n"/>
      <c r="AD126" s="247" t="n"/>
      <c r="AE126" s="247" t="n"/>
      <c r="AF126" s="247" t="n"/>
      <c r="AG126" s="247" t="n"/>
      <c r="AH126" s="247" t="n"/>
      <c r="AI126" s="247" t="n"/>
      <c r="AJ126" s="247" t="n"/>
      <c r="AK126" s="248" t="n"/>
      <c r="AL126" s="249" t="n"/>
    </row>
    <row r="127">
      <c r="A127" s="41" t="n"/>
      <c r="B127" s="215" t="n"/>
      <c r="C127" s="215" t="n"/>
      <c r="D127" s="231" t="inlineStr">
        <is>
          <t>十、增值税实际税负（按财务数据）</t>
        </is>
      </c>
      <c r="E127" s="232" t="inlineStr">
        <is>
          <t>根据财务账面实际已缴纳增值税额+尚需缴纳的增值税额</t>
        </is>
      </c>
      <c r="F127" s="232" t="n"/>
      <c r="G127" s="232" t="n"/>
      <c r="H127" s="217" t="n"/>
      <c r="I127" s="217" t="n"/>
      <c r="J127" s="245">
        <f>H78+I78</f>
        <v/>
      </c>
      <c r="K127" s="217" t="inlineStr">
        <is>
          <t>/</t>
        </is>
      </c>
      <c r="L127" s="246" t="inlineStr">
        <is>
          <t>/</t>
        </is>
      </c>
      <c r="M127" s="246" t="n"/>
      <c r="N127" s="246">
        <f>N6-N77</f>
        <v/>
      </c>
      <c r="O127" s="246" t="n"/>
      <c r="P127" s="246" t="n"/>
      <c r="Q127" s="246" t="inlineStr">
        <is>
          <t>/</t>
        </is>
      </c>
      <c r="R127" s="246">
        <f>N78+P78</f>
        <v/>
      </c>
      <c r="S127" s="238" t="n"/>
      <c r="T127" s="238" t="n"/>
      <c r="U127" s="238" t="n"/>
      <c r="V127" s="238" t="n"/>
      <c r="W127" s="238" t="n"/>
      <c r="X127" s="238" t="n"/>
      <c r="Y127" s="238" t="n"/>
      <c r="Z127" s="238" t="n"/>
      <c r="AA127" s="238" t="n"/>
      <c r="AB127" s="247" t="n"/>
      <c r="AC127" s="247" t="n"/>
      <c r="AD127" s="247" t="n"/>
      <c r="AE127" s="247" t="n"/>
      <c r="AF127" s="247" t="n"/>
      <c r="AG127" s="247" t="n"/>
      <c r="AH127" s="247" t="n"/>
      <c r="AI127" s="247" t="n"/>
      <c r="AJ127" s="247" t="n"/>
      <c r="AK127" s="248" t="n"/>
      <c r="AL127" s="249" t="n"/>
    </row>
    <row r="128">
      <c r="A128" s="41" t="n"/>
      <c r="B128" s="215" t="n"/>
      <c r="C128" s="215" t="n"/>
      <c r="D128" s="231" t="inlineStr">
        <is>
          <t>十一、税金及附加（按财务数据）</t>
        </is>
      </c>
      <c r="E128" s="232" t="inlineStr">
        <is>
          <t>根据财务账面实际已缴纳税金及附加+尚需缴纳的税金及附加</t>
        </is>
      </c>
      <c r="F128" s="232" t="n"/>
      <c r="G128" s="232" t="n"/>
      <c r="H128" s="217" t="n"/>
      <c r="I128" s="217" t="n"/>
      <c r="J128" s="245">
        <f>H79+I79</f>
        <v/>
      </c>
      <c r="K128" s="217" t="n"/>
      <c r="L128" s="246">
        <f>J79</f>
        <v/>
      </c>
      <c r="M128" s="250" t="n">
        <v>260389.37</v>
      </c>
      <c r="N128" s="246" t="n"/>
      <c r="O128" s="246">
        <f>L79-M79</f>
        <v/>
      </c>
      <c r="P128" s="246" t="n"/>
      <c r="Q128" s="246">
        <f>M79+O79</f>
        <v/>
      </c>
      <c r="R128" s="246">
        <f>Q79</f>
        <v/>
      </c>
      <c r="S128" s="238" t="n"/>
      <c r="T128" s="238" t="n"/>
      <c r="U128" s="238" t="n"/>
      <c r="V128" s="238" t="n"/>
      <c r="W128" s="238" t="n"/>
      <c r="X128" s="238" t="n"/>
      <c r="Y128" s="238" t="n"/>
      <c r="Z128" s="238" t="n"/>
      <c r="AA128" s="238" t="n"/>
      <c r="AB128" s="247" t="n"/>
      <c r="AC128" s="247" t="n"/>
      <c r="AD128" s="247" t="n"/>
      <c r="AE128" s="247" t="n"/>
      <c r="AF128" s="247" t="n"/>
      <c r="AG128" s="247" t="n"/>
      <c r="AH128" s="247" t="n"/>
      <c r="AI128" s="247" t="n"/>
      <c r="AJ128" s="247" t="n"/>
      <c r="AK128" s="248" t="n"/>
      <c r="AL128" s="249" t="n"/>
    </row>
    <row r="129">
      <c r="A129" s="41" t="n"/>
      <c r="B129" s="215" t="n"/>
      <c r="C129" s="215" t="n"/>
      <c r="D129" s="231" t="inlineStr">
        <is>
          <t>十二、利润</t>
        </is>
      </c>
      <c r="E129" s="232" t="n"/>
      <c r="F129" s="232" t="n"/>
      <c r="G129" s="232" t="n"/>
      <c r="H129" s="217" t="n"/>
      <c r="I129" s="217" t="n"/>
      <c r="J129" s="245">
        <f>J6-J77-J78-J79</f>
        <v/>
      </c>
      <c r="K129" s="217" t="n"/>
      <c r="L129" s="246" t="n"/>
      <c r="M129" s="246" t="n"/>
      <c r="N129" s="246" t="n"/>
      <c r="O129" s="246" t="n"/>
      <c r="P129" s="246" t="n"/>
      <c r="Q129" s="246" t="n"/>
      <c r="R129" s="246" t="n"/>
      <c r="S129" s="238" t="n"/>
      <c r="T129" s="238" t="n"/>
      <c r="U129" s="238" t="n"/>
      <c r="V129" s="238" t="n"/>
      <c r="W129" s="238" t="n"/>
      <c r="X129" s="238" t="n"/>
      <c r="Y129" s="238" t="n"/>
      <c r="Z129" s="238" t="n"/>
      <c r="AA129" s="238" t="n"/>
      <c r="AB129" s="247" t="n"/>
      <c r="AC129" s="247" t="n"/>
      <c r="AD129" s="247" t="n"/>
      <c r="AE129" s="247" t="n"/>
      <c r="AF129" s="247" t="n"/>
      <c r="AG129" s="247" t="n"/>
      <c r="AH129" s="247" t="n"/>
      <c r="AI129" s="247" t="n"/>
      <c r="AJ129" s="247" t="n"/>
      <c r="AK129" s="248" t="n"/>
      <c r="AL129" s="249" t="n"/>
    </row>
    <row r="130">
      <c r="A130" s="105" t="n"/>
      <c r="B130" s="106" t="n"/>
      <c r="C130" s="106" t="n"/>
      <c r="D130" s="107" t="inlineStr">
        <is>
          <t>十三、利润率</t>
        </is>
      </c>
      <c r="E130" s="108" t="n"/>
      <c r="F130" s="108" t="n"/>
      <c r="G130" s="108" t="n"/>
      <c r="H130" s="109" t="n"/>
      <c r="I130" s="109" t="n"/>
      <c r="J130" s="109">
        <f>J80/J6</f>
        <v/>
      </c>
      <c r="K130" s="109" t="n"/>
      <c r="L130" s="127">
        <f>L80/L6</f>
        <v/>
      </c>
      <c r="M130" s="127">
        <f>M80/M6</f>
        <v/>
      </c>
      <c r="N130" s="127" t="n"/>
      <c r="O130" s="127" t="n"/>
      <c r="P130" s="127" t="n"/>
      <c r="Q130" s="127">
        <f>Q80/Q6</f>
        <v/>
      </c>
      <c r="R130" s="127">
        <f>R80/R6</f>
        <v/>
      </c>
      <c r="S130" s="142" t="n"/>
      <c r="T130" s="142" t="n"/>
      <c r="U130" s="142" t="n"/>
      <c r="V130" s="142" t="n"/>
      <c r="W130" s="142" t="n"/>
      <c r="X130" s="142" t="n"/>
      <c r="Y130" s="142" t="n"/>
      <c r="Z130" s="142" t="n"/>
      <c r="AA130" s="142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54" t="n"/>
      <c r="AL130" s="155" t="n"/>
    </row>
    <row r="131">
      <c r="A131" s="111" t="n"/>
      <c r="B131" s="111" t="n"/>
      <c r="C131" s="111" t="n"/>
      <c r="D131" s="112" t="n"/>
      <c r="E131" s="113" t="n"/>
      <c r="F131" s="113" t="n"/>
      <c r="G131" s="113" t="n"/>
      <c r="H131" s="251" t="n"/>
      <c r="I131" s="251" t="n"/>
      <c r="J131" s="252" t="inlineStr">
        <is>
          <t>含税利润率</t>
        </is>
      </c>
      <c r="K131" s="253" t="n"/>
      <c r="L131" s="254" t="inlineStr">
        <is>
          <t>不含税利润率</t>
        </is>
      </c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6" t="n"/>
      <c r="AA131" s="162" t="n"/>
      <c r="AB131" s="257" t="n"/>
      <c r="AC131" s="257" t="n"/>
      <c r="AD131" s="257" t="n"/>
      <c r="AE131" s="257" t="n"/>
      <c r="AF131" s="257" t="n"/>
      <c r="AG131" s="257" t="n"/>
      <c r="AH131" s="257" t="n"/>
      <c r="AI131" s="257" t="n"/>
      <c r="AJ131" s="257" t="n"/>
      <c r="AK131" s="257" t="n"/>
      <c r="AL131" s="156" t="n"/>
    </row>
    <row r="132">
      <c r="A132" s="111" t="n"/>
      <c r="B132" s="111" t="n"/>
      <c r="C132" s="111" t="n"/>
      <c r="D132" s="112" t="n"/>
      <c r="E132" s="113" t="n"/>
      <c r="F132" s="113" t="n"/>
      <c r="G132" s="113" t="n"/>
      <c r="H132" s="251" t="n"/>
      <c r="I132" s="251" t="n"/>
      <c r="J132" s="258" t="n"/>
      <c r="K132" s="251" t="n"/>
      <c r="L132" s="259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6" t="n"/>
      <c r="AA132" s="162" t="n"/>
      <c r="AB132" s="257" t="n"/>
      <c r="AC132" s="257" t="n"/>
      <c r="AD132" s="257" t="n"/>
      <c r="AE132" s="257" t="n"/>
      <c r="AF132" s="257" t="n"/>
      <c r="AG132" s="257" t="n"/>
      <c r="AH132" s="257" t="n"/>
      <c r="AI132" s="257" t="n"/>
      <c r="AJ132" s="257" t="n"/>
      <c r="AK132" s="257" t="n"/>
      <c r="AL132" s="156" t="n"/>
    </row>
    <row r="133">
      <c r="A133" s="116" t="n"/>
      <c r="B133" s="116" t="n"/>
      <c r="C133" s="116" t="n"/>
      <c r="D133" s="117" t="n"/>
      <c r="E133" s="118" t="n"/>
      <c r="F133" s="118" t="n"/>
      <c r="G133" s="118" t="n"/>
      <c r="H133" s="119" t="n"/>
      <c r="I133" s="119" t="n"/>
      <c r="J133" s="134" t="n"/>
      <c r="K133" s="260" t="n"/>
      <c r="L133" s="260" t="n"/>
      <c r="M133" s="261" t="n"/>
      <c r="N133" s="260" t="n"/>
      <c r="O133" s="260" t="n"/>
      <c r="P133" s="262" t="n"/>
      <c r="Q133" s="262" t="n"/>
      <c r="R133" s="260" t="n"/>
      <c r="S133" s="263" t="n"/>
      <c r="T133" s="263" t="n"/>
      <c r="U133" s="263" t="n"/>
      <c r="V133" s="263" t="n"/>
      <c r="W133" s="263" t="n"/>
      <c r="X133" s="263" t="n"/>
      <c r="Y133" s="263" t="n"/>
      <c r="Z133" s="264" t="n"/>
      <c r="AA133" s="265" t="n"/>
      <c r="AD133" s="266" t="n"/>
      <c r="AE133" s="266" t="n"/>
      <c r="AF133" s="266" t="n"/>
      <c r="AG133" s="266" t="n"/>
      <c r="AH133" s="266" t="n"/>
      <c r="AI133" s="266" t="n"/>
      <c r="AJ133" s="266" t="n"/>
      <c r="AK133" s="266" t="n"/>
      <c r="AL133" s="121" t="n"/>
    </row>
    <row r="134">
      <c r="A134" s="121" t="n"/>
      <c r="B134" s="121" t="n"/>
      <c r="C134" s="121" t="n"/>
      <c r="D134" s="121" t="n"/>
      <c r="E134" s="122" t="n"/>
      <c r="F134" s="122" t="n"/>
      <c r="G134" s="122" t="n"/>
      <c r="H134" s="122" t="n"/>
      <c r="I134" s="122" t="n"/>
      <c r="J134" s="122" t="n"/>
      <c r="K134" s="267" t="n"/>
      <c r="L134" s="122" t="n"/>
      <c r="M134" s="268" t="n"/>
      <c r="N134" s="268" t="n"/>
      <c r="O134" s="268" t="n"/>
      <c r="P134" s="268" t="n"/>
      <c r="Q134" s="268" t="n"/>
      <c r="R134" s="268" t="n"/>
      <c r="S134" s="263" t="n"/>
      <c r="T134" s="263" t="n"/>
      <c r="U134" s="263" t="n"/>
      <c r="V134" s="263" t="n"/>
      <c r="W134" s="263" t="n"/>
      <c r="X134" s="263" t="n"/>
      <c r="Y134" s="263" t="n"/>
      <c r="Z134" s="268" t="n"/>
      <c r="AA134" s="266" t="n"/>
      <c r="AB134" s="266" t="n"/>
      <c r="AC134" s="266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121" t="n"/>
    </row>
    <row r="135">
      <c r="A135" s="121" t="n"/>
      <c r="B135" s="121" t="n"/>
      <c r="C135" s="121" t="n"/>
      <c r="D135" s="121" t="n"/>
      <c r="E135" s="122" t="n"/>
      <c r="F135" s="122" t="n"/>
      <c r="G135" s="122" t="n"/>
      <c r="H135" s="122" t="n"/>
      <c r="I135" s="122" t="n"/>
      <c r="J135" s="122" t="n"/>
      <c r="K135" s="267" t="n"/>
      <c r="L135" s="122" t="n"/>
      <c r="M135" s="268" t="n"/>
      <c r="N135" s="268" t="n"/>
      <c r="O135" s="268" t="n"/>
      <c r="P135" s="268" t="n"/>
      <c r="Q135" s="268" t="n"/>
      <c r="R135" s="268" t="n"/>
      <c r="S135" s="263" t="n"/>
      <c r="T135" s="263" t="n"/>
      <c r="U135" s="263" t="n"/>
      <c r="V135" s="263" t="n"/>
      <c r="W135" s="263" t="n"/>
      <c r="X135" s="263" t="n"/>
      <c r="Y135" s="263" t="n"/>
      <c r="Z135" s="268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121" t="n"/>
    </row>
    <row r="136">
      <c r="A136" s="121" t="n"/>
      <c r="B136" s="121" t="n"/>
      <c r="C136" s="121" t="n"/>
      <c r="D136" s="121" t="n"/>
      <c r="E136" s="123" t="n"/>
      <c r="F136" s="123" t="n"/>
      <c r="G136" s="123" t="n"/>
      <c r="H136" s="122" t="n"/>
      <c r="I136" s="122" t="n"/>
      <c r="J136" s="122" t="n"/>
      <c r="K136" s="123" t="n"/>
      <c r="L136" s="122" t="n"/>
      <c r="M136" s="268" t="n"/>
      <c r="N136" s="264" t="n"/>
      <c r="O136" s="268" t="n"/>
      <c r="P136" s="268" t="n"/>
      <c r="Q136" s="268" t="n"/>
      <c r="R136" s="260" t="n"/>
      <c r="S136" s="263" t="n"/>
      <c r="T136" s="263" t="n"/>
      <c r="U136" s="263" t="n"/>
      <c r="V136" s="263" t="n"/>
      <c r="W136" s="263" t="n"/>
      <c r="X136" s="263" t="n"/>
      <c r="Y136" s="263" t="n"/>
      <c r="Z136" s="268" t="n"/>
      <c r="AA136" s="266" t="n"/>
      <c r="AB136" s="266" t="n"/>
      <c r="AC136" s="266" t="n"/>
      <c r="AD136" s="266" t="n"/>
      <c r="AE136" s="266" t="n"/>
      <c r="AF136" s="266" t="n"/>
      <c r="AG136" s="266" t="n"/>
      <c r="AH136" s="266" t="n"/>
      <c r="AI136" s="266" t="n"/>
      <c r="AJ136" s="266" t="n"/>
      <c r="AK136" s="266" t="n"/>
      <c r="AL13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2026-04-20T02:28:12Z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