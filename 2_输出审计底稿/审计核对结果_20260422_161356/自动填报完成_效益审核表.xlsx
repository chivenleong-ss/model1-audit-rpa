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5" authorId="0" shapeId="0">
      <text>
        <t>于:
**同财务账面合同履约成本/工程施工成本/直接人工费数据一致**</t>
      </text>
    </comment>
    <comment ref="F35" authorId="0" shapeId="0">
      <text>
        <t>于:
**同财务账面合同履约成本/工程施工成本/直接人工费数据一致**</t>
      </text>
    </comment>
    <comment ref="G35" authorId="0" shapeId="0">
      <text>
        <t>于:
**同财务账面合同履约成本/工程施工成本/直接人工费数据一致**</t>
      </text>
    </comment>
    <comment ref="H35" authorId="0" shapeId="0">
      <text>
        <t>于:
**同财务账面合同履约成本/工程施工成本/直接人工费数据一致**</t>
      </text>
    </comment>
    <comment ref="I35" authorId="0" shapeId="0">
      <text>
        <t>于:
**同财务账面合同履约成本/工程施工成本/直接人工费数据一致**</t>
      </text>
    </comment>
    <comment ref="J35" authorId="0" shapeId="0">
      <text>
        <t>于:
**同财务账面合同履约成本/工程施工成本/直接人工费数据一致**</t>
      </text>
    </comment>
    <comment ref="K35" authorId="0" shapeId="0">
      <text>
        <t>于:
**同财务账面合同履约成本/工程施工成本/直接人工费数据一致**</t>
      </text>
    </comment>
    <comment ref="L35" authorId="0" shapeId="0">
      <text>
        <t>于:
**同财务账面合同履约成本/工程施工成本/直接人工费数据一致**</t>
      </text>
    </comment>
    <comment ref="M35" authorId="0" shapeId="0">
      <text>
        <t>于:
**同财务账面合同履约成本/工程施工成本/直接人工费数据一致**</t>
      </text>
    </comment>
    <comment ref="N35" authorId="0" shapeId="0">
      <text>
        <t>于:
**同财务账面合同履约成本/工程施工成本/直接人工费数据一致**</t>
      </text>
    </comment>
    <comment ref="O35" authorId="0" shapeId="0">
      <text>
        <t>于:
**同财务账面合同履约成本/工程施工成本/直接人工费数据一致**</t>
      </text>
    </comment>
    <comment ref="P35" authorId="0" shapeId="0">
      <text>
        <t>于:
**同财务账面合同履约成本/工程施工成本/直接人工费数据一致**</t>
      </text>
    </comment>
    <comment ref="Q35" authorId="0" shapeId="0">
      <text>
        <t>于:
**同财务账面合同履约成本/工程施工成本/直接人工费数据一致**</t>
      </text>
    </comment>
    <comment ref="R35" authorId="0" shapeId="0">
      <text>
        <t>于:
**同财务账面合同履约成本/工程施工成本/直接人工费数据一致**</t>
      </text>
    </comment>
    <comment ref="S35" authorId="0" shapeId="0">
      <text>
        <t>于:
**同财务账面合同履约成本/工程施工成本/直接人工费数据一致**</t>
      </text>
    </comment>
    <comment ref="T35" authorId="0" shapeId="0">
      <text>
        <t>于:
**同财务账面合同履约成本/工程施工成本/直接人工费数据一致**</t>
      </text>
    </comment>
    <comment ref="U35" authorId="0" shapeId="0">
      <text>
        <t>于:
**同财务账面合同履约成本/工程施工成本/直接人工费数据一致**</t>
      </text>
    </comment>
    <comment ref="V35" authorId="0" shapeId="0">
      <text>
        <t>于:
**同财务账面合同履约成本/工程施工成本/直接人工费数据一致**</t>
      </text>
    </comment>
    <comment ref="W35" authorId="0" shapeId="0">
      <text>
        <t>于:
**同财务账面合同履约成本/工程施工成本/直接人工费数据一致**</t>
      </text>
    </comment>
    <comment ref="X35" authorId="0" shapeId="0">
      <text>
        <t>于:
**同财务账面合同履约成本/工程施工成本/直接人工费数据一致**</t>
      </text>
    </comment>
    <comment ref="Y35" authorId="0" shapeId="0">
      <text>
        <t>于:
**同财务账面合同履约成本/工程施工成本/直接人工费数据一致**</t>
      </text>
    </comment>
    <comment ref="Z35" authorId="0" shapeId="0">
      <text>
        <t>于:
**同财务账面合同履约成本/工程施工成本/直接人工费数据一致**</t>
      </text>
    </comment>
    <comment ref="AA35" authorId="0" shapeId="0">
      <text>
        <t>于:
**同财务账面合同履约成本/工程施工成本/直接人工费数据一致**</t>
      </text>
    </comment>
    <comment ref="AB35" authorId="0" shapeId="0">
      <text>
        <t>于:
**同财务账面合同履约成本/工程施工成本/直接人工费数据一致**</t>
      </text>
    </comment>
    <comment ref="AC35" authorId="0" shapeId="0">
      <text>
        <t>于:
**同财务账面合同履约成本/工程施工成本/直接人工费数据一致**</t>
      </text>
    </comment>
    <comment ref="AD35" authorId="0" shapeId="0">
      <text>
        <t>于:
**同财务账面合同履约成本/工程施工成本/直接人工费数据一致**</t>
      </text>
    </comment>
    <comment ref="AE35" authorId="0" shapeId="0">
      <text>
        <t>于:
**同财务账面合同履约成本/工程施工成本/直接人工费数据一致**</t>
      </text>
    </comment>
    <comment ref="AF35" authorId="0" shapeId="0">
      <text>
        <t>于:
**同财务账面合同履约成本/工程施工成本/直接人工费数据一致**</t>
      </text>
    </comment>
    <comment ref="AG35" authorId="0" shapeId="0">
      <text>
        <t>于:
**同财务账面合同履约成本/工程施工成本/直接人工费数据一致**</t>
      </text>
    </comment>
    <comment ref="AH35" authorId="0" shapeId="0">
      <text>
        <t>于:
**同财务账面合同履约成本/工程施工成本/直接人工费数据一致**</t>
      </text>
    </comment>
    <comment ref="AI35" authorId="0" shapeId="0">
      <text>
        <t>于:
**同财务账面合同履约成本/工程施工成本/直接人工费数据一致**</t>
      </text>
    </comment>
    <comment ref="AJ35" authorId="0" shapeId="0">
      <text>
        <t>于:
**同财务账面合同履约成本/工程施工成本/直接人工费数据一致**</t>
      </text>
    </comment>
    <comment ref="AK35" authorId="0" shapeId="0">
      <text>
        <t>于:
**同财务账面合同履约成本/工程施工成本/直接人工费数据一致**</t>
      </text>
    </comment>
    <comment ref="M163" authorId="1" shapeId="0">
      <text>
        <t xml:space="preserve">**同财务账面合同履约成本/工程施工成本/机械租赁费数据一致**
</t>
      </text>
    </comment>
    <comment ref="M171" authorId="0" shapeId="0">
      <text>
        <t>于:
**同财务账面合同履约成本/工程施工成本其他直接费数据一致**</t>
      </text>
    </comment>
    <comment ref="M212" authorId="1" shapeId="0">
      <text>
        <t>**同财务账面合同履约成本/工程施工成本/间接费数据一致**</t>
      </text>
    </comment>
    <comment ref="D220" authorId="2" shapeId="0">
      <text>
        <t>（在建：房建0.6%，其它0.4%；在保修期间的按0.3~0.5%自行确定;保修期结束为0）</t>
      </text>
    </comment>
    <comment ref="E23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3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43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67151447.97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无客商-人工费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ZGD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42912.81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</row>
    <row r="34" ht="14" customFormat="1" customHeight="1" s="180">
      <c r="A34" s="33" t="n"/>
      <c r="B34" s="199" t="n"/>
      <c r="C34" s="199" t="n"/>
      <c r="D34" s="211" t="inlineStr">
        <is>
          <t>**财务未列部分需增列***</t>
        </is>
      </c>
      <c r="E34" s="212" t="n"/>
      <c r="F34" s="212" t="n"/>
      <c r="G34" s="212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189" t="n"/>
      <c r="U34" s="189" t="n"/>
      <c r="V34" s="189" t="n"/>
      <c r="W34" s="189" t="n"/>
      <c r="X34" s="189" t="n"/>
      <c r="Y34" s="189" t="n"/>
      <c r="Z34" s="189">
        <f>SUM(AA16:AJ16)</f>
        <v/>
      </c>
      <c r="AA34" s="213" t="n"/>
      <c r="AB34" s="188" t="n"/>
      <c r="AC34" s="188" t="n"/>
      <c r="AD34" s="188" t="n"/>
      <c r="AE34" s="188" t="n"/>
      <c r="AF34" s="188" t="n"/>
      <c r="AG34" s="188" t="n"/>
      <c r="AH34" s="188" t="n"/>
      <c r="AI34" s="188" t="n"/>
      <c r="AJ34" s="188" t="n"/>
      <c r="AK34" s="188">
        <f>AB16/1.17*0.17+AC16/1.16*0.16+AD16/1.11*0.11+AE16/1.1*0.1+AF16/1.09*0.09+AI16/1.03*0.03</f>
        <v/>
      </c>
      <c r="AL34" s="214" t="n"/>
    </row>
    <row r="35" ht="14" customFormat="1" customHeight="1" s="180">
      <c r="A35" s="41" t="n"/>
      <c r="B35" s="215" t="n"/>
      <c r="C35" s="215" t="n"/>
      <c r="D35" s="216" t="inlineStr">
        <is>
          <t>人工费小计：</t>
        </is>
      </c>
      <c r="E35" s="217">
        <f>SUM(E12:E34)</f>
        <v/>
      </c>
      <c r="F35" s="217">
        <f>SUM(F12:F34)</f>
        <v/>
      </c>
      <c r="G35" s="217">
        <f>SUM(G12:G34)</f>
        <v/>
      </c>
      <c r="H35" s="217">
        <f>SUM(H12:H34)</f>
        <v/>
      </c>
      <c r="I35" s="217">
        <f>SUM(I12:I34)</f>
        <v/>
      </c>
      <c r="J35" s="217">
        <f>SUM(J12:J34)</f>
        <v/>
      </c>
      <c r="K35" s="217">
        <f>SUM(K12:K34)</f>
        <v/>
      </c>
      <c r="L35" s="217">
        <f>SUM(L12:L34)</f>
        <v/>
      </c>
      <c r="M35" s="217">
        <f>SUM(M12:M34)</f>
        <v/>
      </c>
      <c r="N35" s="217">
        <f>SUM(N12:N34)</f>
        <v/>
      </c>
      <c r="O35" s="217">
        <f>SUM(O12:O34)</f>
        <v/>
      </c>
      <c r="P35" s="217">
        <f>SUM(P12:P34)</f>
        <v/>
      </c>
      <c r="Q35" s="217">
        <f>SUM(Q12:Q34)</f>
        <v/>
      </c>
      <c r="R35" s="217">
        <f>SUM(R12:R34)</f>
        <v/>
      </c>
      <c r="S35" s="217">
        <f>SUM(S12:S34)</f>
        <v/>
      </c>
      <c r="T35" s="217">
        <f>SUM(T12:T34)</f>
        <v/>
      </c>
      <c r="U35" s="217">
        <f>SUM(U12:U34)</f>
        <v/>
      </c>
      <c r="V35" s="217">
        <f>SUM(V12:V34)</f>
        <v/>
      </c>
      <c r="W35" s="217">
        <f>SUM(W12:W34)</f>
        <v/>
      </c>
      <c r="X35" s="217">
        <f>SUM(X12:X34)</f>
        <v/>
      </c>
      <c r="Y35" s="217">
        <f>SUM(Y12:Y34)</f>
        <v/>
      </c>
      <c r="Z35" s="217">
        <f>SUM(Z12:Z34)</f>
        <v/>
      </c>
      <c r="AA35" s="217">
        <f>SUM(AA12:AA34)</f>
        <v/>
      </c>
      <c r="AB35" s="217">
        <f>SUM(AB12:AB34)</f>
        <v/>
      </c>
      <c r="AC35" s="217">
        <f>SUM(AC12:AC34)</f>
        <v/>
      </c>
      <c r="AD35" s="217">
        <f>SUM(AD12:AD34)</f>
        <v/>
      </c>
      <c r="AE35" s="217">
        <f>SUM(AE12:AE34)</f>
        <v/>
      </c>
      <c r="AF35" s="217">
        <f>SUM(AF12:AF34)</f>
        <v/>
      </c>
      <c r="AG35" s="217">
        <f>SUM(AG12:AG34)</f>
        <v/>
      </c>
      <c r="AH35" s="217">
        <f>SUM(AH12:AH34)</f>
        <v/>
      </c>
      <c r="AI35" s="217">
        <f>SUM(AI12:AI34)</f>
        <v/>
      </c>
      <c r="AJ35" s="217">
        <f>SUM(AJ12:AJ34)</f>
        <v/>
      </c>
      <c r="AK35" s="217">
        <f>SUM(AK12:AK34)</f>
        <v/>
      </c>
      <c r="AL35" s="204" t="n"/>
    </row>
    <row r="36" ht="14" customFormat="1" customHeight="1" s="180">
      <c r="A36" s="33" t="n"/>
      <c r="B36" s="199" t="n"/>
      <c r="C36" s="199" t="n"/>
      <c r="D36" s="218" t="inlineStr">
        <is>
          <t>（二）分包工程</t>
        </is>
      </c>
      <c r="E36" s="199" t="n"/>
      <c r="F36" s="199" t="n"/>
      <c r="G36" s="199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203" t="n"/>
      <c r="AA36" s="203" t="n"/>
      <c r="AB36" s="203" t="n"/>
      <c r="AC36" s="203" t="n"/>
      <c r="AD36" s="203" t="n"/>
      <c r="AE36" s="203" t="n"/>
      <c r="AF36" s="203" t="n"/>
      <c r="AG36" s="203" t="n"/>
      <c r="AH36" s="203" t="n"/>
      <c r="AI36" s="203" t="n"/>
      <c r="AJ36" s="203" t="n"/>
      <c r="AK36" s="188">
        <f>AB18/1.17*0.17+AC18/1.16*0.16+AD18/1.11*0.11+AE18/1.1*0.1+AF18/1.09*0.09+AI18/1.03*0.03</f>
        <v/>
      </c>
      <c r="AL36" s="204" t="n"/>
    </row>
    <row r="37" ht="14" customFormat="1" customHeight="1" s="180">
      <c r="A37" s="206" t="n">
        <v>1</v>
      </c>
      <c r="B37" s="206" t="inlineStr">
        <is>
          <t>100217528</t>
        </is>
      </c>
      <c r="C37" s="207" t="inlineStr">
        <is>
          <t>中建四局0200202101803017</t>
        </is>
      </c>
      <c r="D37" s="207" t="inlineStr">
        <is>
          <t>佛山市耀盈活动房屋有限公司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461205.33</v>
      </c>
      <c r="N37" s="210" t="n">
        <v>61180.3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507773.85</v>
      </c>
      <c r="U37" s="206" t="n"/>
      <c r="V37" s="206" t="n"/>
    </row>
    <row r="38" ht="14" customFormat="1" customHeight="1" s="180">
      <c r="A38" s="206" t="n">
        <v>2</v>
      </c>
      <c r="B38" s="206" t="inlineStr">
        <is>
          <t>200120407</t>
        </is>
      </c>
      <c r="C38" s="207" t="inlineStr">
        <is>
          <t>中建四局0200202101803011</t>
        </is>
      </c>
      <c r="D38" s="207" t="inlineStr">
        <is>
          <t>广东华海建设集团有限公司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17622990.53</v>
      </c>
      <c r="N38" s="210" t="n">
        <v>1620857.48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17382710</v>
      </c>
      <c r="U38" s="206" t="n"/>
      <c r="V38" s="206" t="n"/>
    </row>
    <row r="39" ht="14" customFormat="1" customHeight="1" s="180">
      <c r="A39" s="206" t="n">
        <v>3</v>
      </c>
      <c r="B39" s="206" t="inlineStr">
        <is>
          <t>200393732</t>
        </is>
      </c>
      <c r="C39" s="207" t="inlineStr">
        <is>
          <t>中建四局020020210018030002</t>
        </is>
      </c>
      <c r="D39" s="207" t="inlineStr">
        <is>
          <t>广东城投建设集团有限公司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1164215.34</v>
      </c>
      <c r="N39" s="210" t="n">
        <v>108019.98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1215005</v>
      </c>
      <c r="U39" s="206" t="n"/>
      <c r="V39" s="206" t="n"/>
    </row>
    <row r="40" ht="14" customFormat="1" customHeight="1" s="180">
      <c r="A40" s="206" t="n">
        <v>4</v>
      </c>
      <c r="B40" s="206" t="inlineStr">
        <is>
          <t>200430199</t>
        </is>
      </c>
      <c r="C40" s="207" t="inlineStr">
        <is>
          <t>中建四局0200202101803023</t>
        </is>
      </c>
      <c r="D40" s="207" t="inlineStr">
        <is>
          <t>广东振华建筑有限公司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422454.4</v>
      </c>
      <c r="N40" s="210" t="n">
        <v>13065.6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260000</v>
      </c>
      <c r="U40" s="206" t="n"/>
      <c r="V40" s="206" t="n"/>
    </row>
    <row r="41" ht="14" customFormat="1" customHeight="1" s="180">
      <c r="A41" s="206" t="n">
        <v>5</v>
      </c>
      <c r="B41" s="206" t="inlineStr">
        <is>
          <t>200053581</t>
        </is>
      </c>
      <c r="C41" s="207" t="inlineStr">
        <is>
          <t>中建四局0200202101803003</t>
        </is>
      </c>
      <c r="D41" s="207" t="inlineStr">
        <is>
          <t>广东粤忠晟保安服务有限公司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2383550.91</v>
      </c>
      <c r="N41" s="210" t="n">
        <v>122373.19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2284661</v>
      </c>
      <c r="U41" s="206" t="n"/>
      <c r="V41" s="206" t="n"/>
    </row>
    <row r="42" ht="14" customFormat="1" customHeight="1" s="180">
      <c r="A42" s="206" t="n">
        <v>6</v>
      </c>
      <c r="B42" s="206" t="inlineStr">
        <is>
          <t>100095592</t>
        </is>
      </c>
      <c r="C42" s="207" t="inlineStr">
        <is>
          <t>中建四局0200202101803005</t>
        </is>
      </c>
      <c r="D42" s="207" t="inlineStr">
        <is>
          <t>广东金华城建设集团有限公司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9646066.359999999</v>
      </c>
      <c r="N42" s="210" t="n">
        <v>889462.14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9688900</v>
      </c>
      <c r="U42" s="206" t="n"/>
      <c r="V42" s="206" t="n"/>
    </row>
    <row r="43" ht="14" customFormat="1" customHeight="1" s="180">
      <c r="A43" s="206" t="n">
        <v>7</v>
      </c>
      <c r="B43" s="206" t="inlineStr">
        <is>
          <t>200350492</t>
        </is>
      </c>
      <c r="C43" s="207" t="inlineStr">
        <is>
          <t>中建四局0200202101803010</t>
        </is>
      </c>
      <c r="D43" s="207" t="inlineStr">
        <is>
          <t>广东鑫弘盛建设工程有限公司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31780341.05</v>
      </c>
      <c r="N43" s="210" t="n">
        <v>2928739.94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34881345</v>
      </c>
      <c r="U43" s="206" t="n"/>
      <c r="V43" s="206" t="n"/>
    </row>
    <row r="44" ht="14" customFormat="1" customHeight="1" s="180">
      <c r="A44" s="206" t="n">
        <v>8</v>
      </c>
      <c r="B44" s="206" t="inlineStr">
        <is>
          <t>200167577</t>
        </is>
      </c>
      <c r="C44" s="207" t="inlineStr">
        <is>
          <t>中建四局0200202101803018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678606.99</v>
      </c>
      <c r="N44" s="210" t="n">
        <v>62680.61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756733.7</v>
      </c>
      <c r="U44" s="206" t="n"/>
      <c r="V44" s="206" t="n"/>
    </row>
    <row r="45" ht="14" customFormat="1" customHeight="1" s="180">
      <c r="A45" s="206" t="n">
        <v>9</v>
      </c>
      <c r="B45" s="206" t="inlineStr">
        <is>
          <t>200167577</t>
        </is>
      </c>
      <c r="C45" s="207" t="inlineStr">
        <is>
          <t>中建四局0200202101803019</t>
        </is>
      </c>
      <c r="D45" s="207" t="inlineStr">
        <is>
          <t>广州巧艺佳建筑装饰工程有限公司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1543302.24</v>
      </c>
      <c r="N45" s="210" t="n">
        <v>142971.95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1731549.1</v>
      </c>
      <c r="U45" s="206" t="n"/>
      <c r="V45" s="206" t="n"/>
    </row>
    <row r="46" ht="14" customFormat="1" customHeight="1" s="180">
      <c r="A46" s="206" t="n">
        <v>10</v>
      </c>
      <c r="B46" s="206" t="inlineStr">
        <is>
          <t>100060432</t>
        </is>
      </c>
      <c r="C46" s="207" t="inlineStr">
        <is>
          <t>中建四局0200202101803004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14558358.96</v>
      </c>
      <c r="N46" s="210" t="n">
        <v>448169.28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14546400</v>
      </c>
      <c r="U46" s="206" t="n"/>
      <c r="V46" s="206" t="n"/>
    </row>
    <row r="47" ht="14" customFormat="1" customHeight="1" s="180">
      <c r="A47" s="206" t="n">
        <v>11</v>
      </c>
      <c r="B47" s="206" t="inlineStr">
        <is>
          <t>100060432</t>
        </is>
      </c>
      <c r="C47" s="207" t="inlineStr">
        <is>
          <t>中建四局0200202101803014</t>
        </is>
      </c>
      <c r="D47" s="207" t="inlineStr">
        <is>
          <t>广州市亲力劳务派遣有限公司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40402570.47</v>
      </c>
      <c r="N47" s="210" t="n">
        <v>1242269.38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42593124.4</v>
      </c>
      <c r="U47" s="206" t="n"/>
      <c r="V47" s="206" t="n"/>
    </row>
    <row r="48" ht="14" customFormat="1" customHeight="1" s="180">
      <c r="A48" s="206" t="n">
        <v>12</v>
      </c>
      <c r="B48" s="206" t="inlineStr">
        <is>
          <t>200328198</t>
        </is>
      </c>
      <c r="C48" s="207" t="inlineStr">
        <is>
          <t>中建四局0200202101803022</t>
        </is>
      </c>
      <c r="D48" s="207" t="inlineStr">
        <is>
          <t>广州市华居宝建筑装饰工程实业有限公司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4222327.28</v>
      </c>
      <c r="N48" s="210" t="n">
        <v>389361.13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4669100</v>
      </c>
      <c r="U48" s="206" t="n"/>
      <c r="V48" s="206" t="n"/>
    </row>
    <row r="49" ht="14" customFormat="1" customHeight="1" s="180">
      <c r="A49" s="206" t="n">
        <v>13</v>
      </c>
      <c r="B49" s="206" t="inlineStr">
        <is>
          <t>100006039</t>
        </is>
      </c>
      <c r="C49" s="207" t="inlineStr">
        <is>
          <t>中建四局0200202101803016</t>
        </is>
      </c>
      <c r="D49" s="207" t="inlineStr">
        <is>
          <t>广州市桃园建材有限公司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229902.49</v>
      </c>
      <c r="N49" s="210" t="n">
        <v>7082.56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243167.55</v>
      </c>
      <c r="U49" s="206" t="n"/>
      <c r="V49" s="206" t="n"/>
    </row>
    <row r="50" ht="14" customFormat="1" customHeight="1" s="180">
      <c r="A50" s="206" t="n">
        <v>14</v>
      </c>
      <c r="B50" s="206" t="inlineStr">
        <is>
          <t>200163448</t>
        </is>
      </c>
      <c r="C50" s="207" t="inlineStr">
        <is>
          <t>中建四局020020210018030001</t>
        </is>
      </c>
      <c r="D50" s="207" t="inlineStr">
        <is>
          <t>广州市森平装饰材料有限公司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1025077.57</v>
      </c>
      <c r="N50" s="210" t="n">
        <v>95110.28999999999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953000</v>
      </c>
      <c r="U50" s="206" t="n"/>
      <c r="V50" s="206" t="n"/>
    </row>
    <row r="51" ht="14" customFormat="1" customHeight="1" s="180">
      <c r="A51" s="206" t="n">
        <v>15</v>
      </c>
      <c r="B51" s="206" t="inlineStr">
        <is>
          <t>200524589</t>
        </is>
      </c>
      <c r="C51" s="207" t="inlineStr">
        <is>
          <t>中建四局0200202101803020</t>
        </is>
      </c>
      <c r="D51" s="207" t="inlineStr">
        <is>
          <t>广州新广建设工程有限公司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1270396</v>
      </c>
      <c r="N51" s="210" t="n">
        <v>116872.2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1412300</v>
      </c>
      <c r="U51" s="206" t="n"/>
      <c r="V51" s="206" t="n"/>
    </row>
    <row r="52" ht="14" customFormat="1" customHeight="1" s="180">
      <c r="A52" s="206" t="n">
        <v>16</v>
      </c>
      <c r="B52" s="206" t="inlineStr">
        <is>
          <t>200310203</t>
        </is>
      </c>
      <c r="C52" s="207" t="inlineStr">
        <is>
          <t>中建四局02002021018030025</t>
        </is>
      </c>
      <c r="D52" s="207" t="inlineStr">
        <is>
          <t>广州爱创广告策划有限公司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440556.7</v>
      </c>
      <c r="N52" s="210" t="n">
        <v>27250.93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481000</v>
      </c>
      <c r="U52" s="206" t="n"/>
      <c r="V52" s="206" t="n"/>
    </row>
    <row r="53" ht="14" customFormat="1" customHeight="1" s="180">
      <c r="A53" s="206" t="n">
        <v>17</v>
      </c>
      <c r="B53" s="206" t="inlineStr">
        <is>
          <t>100082913</t>
        </is>
      </c>
      <c r="C53" s="207" t="inlineStr">
        <is>
          <t>中建四局0200202101803024</t>
        </is>
      </c>
      <c r="D53" s="207" t="inlineStr">
        <is>
          <t>广州盛绿建材有限公司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691816.8</v>
      </c>
      <c r="N53" s="210" t="n">
        <v>64189.19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685000</v>
      </c>
      <c r="U53" s="206" t="n"/>
      <c r="V53" s="206" t="n"/>
    </row>
    <row r="54" ht="14" customFormat="1" customHeight="1" s="180">
      <c r="A54" s="206" t="n">
        <v>18</v>
      </c>
      <c r="B54" s="206" t="inlineStr">
        <is>
          <t>100217147</t>
        </is>
      </c>
      <c r="C54" s="207" t="inlineStr">
        <is>
          <t>中建四局0200202101803006</t>
        </is>
      </c>
      <c r="D54" s="207" t="inlineStr">
        <is>
          <t>广州精诚建筑劳务有限公司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5332586.7</v>
      </c>
      <c r="N54" s="210" t="n">
        <v>491883.5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5957255.62</v>
      </c>
      <c r="U54" s="206" t="n"/>
      <c r="V54" s="206" t="n"/>
    </row>
    <row r="55" ht="14" customFormat="1" customHeight="1" s="180">
      <c r="A55" s="206" t="n">
        <v>19</v>
      </c>
      <c r="B55" s="206" t="inlineStr">
        <is>
          <t>200050849</t>
        </is>
      </c>
      <c r="C55" s="207" t="inlineStr">
        <is>
          <t>中建四局0200202101803009</t>
        </is>
      </c>
      <c r="D55" s="207" t="inlineStr">
        <is>
          <t>广州轲达土石方工程有限公司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4591554.32</v>
      </c>
      <c r="N55" s="210" t="n">
        <v>425595.11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4881700</v>
      </c>
      <c r="U55" s="206" t="n"/>
      <c r="V55" s="206" t="n"/>
    </row>
    <row r="56" ht="14" customFormat="1" customHeight="1" s="180">
      <c r="A56" s="206" t="n">
        <v>20</v>
      </c>
      <c r="B56" s="206" t="inlineStr">
        <is>
          <t>200140248</t>
        </is>
      </c>
      <c r="C56" s="207" t="inlineStr">
        <is>
          <t>中建四局0200202101803001</t>
        </is>
      </c>
      <c r="D56" s="207" t="inlineStr">
        <is>
          <t>广州陇飞广告有限公司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1310979.55</v>
      </c>
      <c r="N56" s="210" t="n">
        <v>35791.76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1378952.99</v>
      </c>
      <c r="U56" s="206" t="n"/>
      <c r="V56" s="206" t="n"/>
    </row>
    <row r="57" ht="14" customFormat="1" customHeight="1" s="180">
      <c r="A57" s="206" t="n">
        <v>21</v>
      </c>
      <c r="B57" s="206" t="inlineStr">
        <is>
          <t>200098421</t>
        </is>
      </c>
      <c r="C57" s="207" t="inlineStr">
        <is>
          <t>中建四局0200202101803015</t>
        </is>
      </c>
      <c r="D57" s="207" t="inlineStr">
        <is>
          <t>广州鸿伟广告工程有限公司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275636.96</v>
      </c>
      <c r="N57" s="210" t="n">
        <v>8437.870000000001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282000</v>
      </c>
      <c r="U57" s="206" t="n"/>
      <c r="V57" s="206" t="n"/>
    </row>
    <row r="58" ht="14" customFormat="1" customHeight="1" s="180">
      <c r="A58" s="206" t="n">
        <v>22</v>
      </c>
      <c r="B58" s="206" t="inlineStr">
        <is>
          <t>100089001</t>
        </is>
      </c>
      <c r="C58" s="207" t="inlineStr">
        <is>
          <t>中建四局0200202101803002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1028396.83</v>
      </c>
      <c r="N58" s="210" t="n">
        <v>136848.07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1189525.58</v>
      </c>
      <c r="U58" s="206" t="n"/>
      <c r="V58" s="206" t="n"/>
    </row>
    <row r="59" ht="14" customFormat="1" customHeight="1" s="180">
      <c r="A59" s="206" t="n">
        <v>23</v>
      </c>
      <c r="B59" s="206" t="inlineStr">
        <is>
          <t>100089001</t>
        </is>
      </c>
      <c r="C59" s="207" t="inlineStr">
        <is>
          <t>中建四局0200202101803008</t>
        </is>
      </c>
      <c r="D59" s="207" t="inlineStr">
        <is>
          <t>正工模块化建筑科技（深圳）有限公司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863347.49</v>
      </c>
      <c r="N59" s="210" t="n">
        <v>114830.34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998140.64</v>
      </c>
      <c r="U59" s="206" t="n"/>
      <c r="V59" s="206" t="n"/>
    </row>
    <row r="60" ht="14" customFormat="1" customHeight="1" s="180">
      <c r="A60" s="206" t="n">
        <v>24</v>
      </c>
      <c r="B60" s="206" t="inlineStr">
        <is>
          <t>100089014</t>
        </is>
      </c>
      <c r="C60" s="207" t="inlineStr">
        <is>
          <t>中建四局0200202101803012</t>
        </is>
      </c>
      <c r="D60" s="207" t="inlineStr">
        <is>
          <t>江西志特新材料股份有限公司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8910792.42</v>
      </c>
      <c r="N60" s="210" t="n">
        <v>1184934.15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10299812.4</v>
      </c>
      <c r="U60" s="206" t="n"/>
      <c r="V60" s="206" t="n"/>
    </row>
    <row r="61" ht="14" customFormat="1" customHeight="1" s="180">
      <c r="A61" s="206" t="n">
        <v>25</v>
      </c>
      <c r="B61" s="206" t="inlineStr">
        <is>
          <t>200447949</t>
        </is>
      </c>
      <c r="C61" s="207" t="inlineStr">
        <is>
          <t>中建四局0200202101803007</t>
        </is>
      </c>
      <c r="D61" s="207" t="inlineStr">
        <is>
          <t>深圳市他拍档科技有限公司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1200868.51</v>
      </c>
      <c r="N61" s="210" t="n">
        <v>108396.07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1308300</v>
      </c>
      <c r="U61" s="206" t="n"/>
      <c r="V61" s="206" t="n"/>
    </row>
    <row r="62" ht="14" customFormat="1" customHeight="1" s="180">
      <c r="A62" s="206" t="n">
        <v>26</v>
      </c>
      <c r="B62" s="206" t="inlineStr">
        <is>
          <t>200280905</t>
        </is>
      </c>
      <c r="C62" s="207" t="inlineStr">
        <is>
          <t>中建四局0200202101803013</t>
        </is>
      </c>
      <c r="D62" s="207" t="inlineStr">
        <is>
          <t>深圳市宏富丽晶建筑装饰工程有限公司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360003.32</v>
      </c>
      <c r="N62" s="210" t="n">
        <v>33118.76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401100</v>
      </c>
      <c r="U62" s="206" t="n"/>
      <c r="V62" s="206" t="n"/>
    </row>
    <row r="63" ht="14" customFormat="1" customHeight="1" s="180">
      <c r="A63" s="206" t="n">
        <v>27</v>
      </c>
      <c r="B63" s="206" t="inlineStr">
        <is>
          <t>200165033</t>
        </is>
      </c>
      <c r="C63" s="207" t="inlineStr">
        <is>
          <t>中建四局0200202101803021</t>
        </is>
      </c>
      <c r="D63" s="207" t="inlineStr">
        <is>
          <t>深圳市鹏兴机电工程有限公司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31380176.19</v>
      </c>
      <c r="N63" s="210" t="n">
        <v>2909197.29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33467842.59</v>
      </c>
      <c r="U63" s="206" t="n"/>
      <c r="V63" s="206" t="n"/>
    </row>
    <row r="64" ht="14" customFormat="1" customHeight="1" s="180">
      <c r="A64" s="206" t="n">
        <v>28</v>
      </c>
      <c r="B64" s="206" t="inlineStr">
        <is>
          <t>100197784</t>
        </is>
      </c>
      <c r="C64" s="207" t="n"/>
      <c r="D64" s="207" t="inlineStr">
        <is>
          <t>中铁物资集团华南有限公司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9" t="n"/>
      <c r="M64" s="210" t="n">
        <v>0.01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</row>
    <row r="65" ht="14" customFormat="1" customHeight="1" s="180">
      <c r="A65" s="206" t="n">
        <v>29</v>
      </c>
      <c r="B65" s="206" t="inlineStr">
        <is>
          <t>200524589</t>
        </is>
      </c>
      <c r="C65" s="207" t="n"/>
      <c r="D65" s="207" t="inlineStr">
        <is>
          <t>广州新广建设工程有限公司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9" t="n"/>
      <c r="M65" s="210" t="n">
        <v>0.01</v>
      </c>
      <c r="N65" s="210" t="n">
        <v>-0.01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</row>
    <row r="66" ht="14" customFormat="1" customHeight="1" s="180">
      <c r="A66" s="206" t="n">
        <v>30</v>
      </c>
      <c r="B66" s="206" t="n"/>
      <c r="C66" s="207" t="n"/>
      <c r="D66" s="207" t="inlineStr">
        <is>
          <t>无客商-计提白云区金沙洲AB37050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9" t="n"/>
      <c r="M66" s="210" t="n">
        <v>-4000000</v>
      </c>
      <c r="N66" s="206" t="n"/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06" t="n"/>
      <c r="U66" s="206" t="n"/>
      <c r="V66" s="206" t="n"/>
    </row>
    <row r="67" ht="14" customFormat="1" customHeight="1" s="180">
      <c r="A67" s="206" t="n">
        <v>31</v>
      </c>
      <c r="B67" s="206" t="n"/>
      <c r="C67" s="207" t="n"/>
      <c r="D67" s="207" t="inlineStr">
        <is>
          <t>无客商-调整白云区金沙洲项目安全生产经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9" t="n"/>
      <c r="M67" s="210" t="n">
        <v>-3872000.25</v>
      </c>
      <c r="N67" s="206" t="n"/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06" t="n"/>
      <c r="U67" s="206" t="n"/>
      <c r="V67" s="206" t="n"/>
    </row>
    <row r="68" ht="14" customFormat="1" customHeight="1" s="180">
      <c r="A68" s="33" t="n"/>
      <c r="B68" s="199" t="n"/>
      <c r="C68" s="199" t="n"/>
      <c r="D68" s="211" t="inlineStr">
        <is>
          <t>**财务未列部分需增列***</t>
        </is>
      </c>
      <c r="E68" s="219" t="n"/>
      <c r="F68" s="219" t="n"/>
      <c r="G68" s="219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189" t="n"/>
      <c r="U68" s="189" t="n"/>
      <c r="V68" s="189" t="n"/>
      <c r="W68" s="189" t="n"/>
      <c r="X68" s="189" t="n"/>
      <c r="Y68" s="189" t="n"/>
      <c r="Z68" s="203" t="n"/>
      <c r="AA68" s="203" t="n"/>
      <c r="AB68" s="188" t="n"/>
      <c r="AC68" s="188" t="n"/>
      <c r="AD68" s="188" t="n"/>
      <c r="AE68" s="188" t="n"/>
      <c r="AF68" s="188" t="n"/>
      <c r="AG68" s="188" t="n"/>
      <c r="AH68" s="188" t="n"/>
      <c r="AI68" s="188" t="n"/>
      <c r="AJ68" s="188" t="n"/>
      <c r="AK68" s="188">
        <f>AB22/1.17*0.17+AC22/1.16*0.16+AD22/1.11*0.11+AE22/1.1*0.1+AF22/1.09*0.09+AI22/1.03*0.03</f>
        <v/>
      </c>
      <c r="AL68" s="214" t="n"/>
    </row>
    <row r="69" ht="39" customFormat="1" customHeight="1" s="180">
      <c r="A69" s="41" t="n"/>
      <c r="B69" s="215" t="n"/>
      <c r="C69" s="215" t="n"/>
      <c r="D69" s="216" t="inlineStr">
        <is>
          <t>分包工程小计：</t>
        </is>
      </c>
      <c r="E69" s="217">
        <f>SUM(E36:E68)</f>
        <v/>
      </c>
      <c r="F69" s="217">
        <f>SUM(F36:F68)</f>
        <v/>
      </c>
      <c r="G69" s="217">
        <f>SUM(G36:G68)</f>
        <v/>
      </c>
      <c r="H69" s="217">
        <f>SUM(H36:H68)</f>
        <v/>
      </c>
      <c r="I69" s="217">
        <f>SUM(I36:I68)</f>
        <v/>
      </c>
      <c r="J69" s="217">
        <f>SUM(J36:J68)</f>
        <v/>
      </c>
      <c r="K69" s="217">
        <f>SUM(K36:K68)</f>
        <v/>
      </c>
      <c r="L69" s="217">
        <f>SUM(L36:L68)</f>
        <v/>
      </c>
      <c r="M69" s="217">
        <f>SUM(M36:M68)</f>
        <v/>
      </c>
      <c r="N69" s="217">
        <f>SUM(N36:N68)</f>
        <v/>
      </c>
      <c r="O69" s="217">
        <f>SUM(O36:O68)</f>
        <v/>
      </c>
      <c r="P69" s="217">
        <f>SUM(P36:P68)</f>
        <v/>
      </c>
      <c r="Q69" s="217">
        <f>SUM(Q36:Q68)</f>
        <v/>
      </c>
      <c r="R69" s="217">
        <f>SUM(R36:R68)</f>
        <v/>
      </c>
      <c r="S69" s="217">
        <f>SUM(S36:S68)</f>
        <v/>
      </c>
      <c r="T69" s="217">
        <f>SUM(T36:T68)</f>
        <v/>
      </c>
      <c r="U69" s="217">
        <f>SUM(U36:U68)</f>
        <v/>
      </c>
      <c r="V69" s="217">
        <f>SUM(V36:V68)</f>
        <v/>
      </c>
      <c r="W69" s="217">
        <f>SUM(W36:W68)</f>
        <v/>
      </c>
      <c r="X69" s="217">
        <f>SUM(X36:X68)</f>
        <v/>
      </c>
      <c r="Y69" s="217">
        <f>SUM(Y36:Y68)</f>
        <v/>
      </c>
      <c r="Z69" s="217">
        <f>SUM(Z36:Z68)</f>
        <v/>
      </c>
      <c r="AA69" s="217">
        <f>SUM(AA36:AA68)</f>
        <v/>
      </c>
      <c r="AB69" s="217">
        <f>SUM(AB36:AB68)</f>
        <v/>
      </c>
      <c r="AC69" s="217">
        <f>SUM(AC36:AC68)</f>
        <v/>
      </c>
      <c r="AD69" s="217">
        <f>SUM(AD36:AD68)</f>
        <v/>
      </c>
      <c r="AE69" s="217">
        <f>SUM(AE36:AE68)</f>
        <v/>
      </c>
      <c r="AF69" s="217">
        <f>SUM(AF36:AF68)</f>
        <v/>
      </c>
      <c r="AG69" s="217">
        <f>SUM(AG36:AG68)</f>
        <v/>
      </c>
      <c r="AH69" s="217">
        <f>SUM(AH36:AH68)</f>
        <v/>
      </c>
      <c r="AI69" s="217">
        <f>SUM(AI36:AI68)</f>
        <v/>
      </c>
      <c r="AJ69" s="217">
        <f>SUM(AJ36:AJ68)</f>
        <v/>
      </c>
      <c r="AK69" s="217">
        <f>SUM(AK36:AK68)</f>
        <v/>
      </c>
      <c r="AL69" s="204" t="n"/>
    </row>
    <row r="70" ht="14" customFormat="1" customHeight="1" s="180">
      <c r="A70" s="33" t="n"/>
      <c r="B70" s="199" t="n"/>
      <c r="C70" s="199" t="n"/>
      <c r="D70" s="218" t="inlineStr">
        <is>
          <t>(三)材料费</t>
        </is>
      </c>
      <c r="E70" s="199" t="n"/>
      <c r="F70" s="199" t="n"/>
      <c r="G70" s="199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AB24/1.17*0.17+AC24/1.16*0.16+AD24/1.11*0.11+AE24/1.1*0.1+AF24/1.09*0.09+AI24/1.03*0.03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（1）集中采购</t>
        </is>
      </c>
      <c r="E71" s="199" t="n"/>
      <c r="F71" s="199" t="n"/>
      <c r="G71" s="19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203" t="n"/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AB25/1.17*0.17+AC25/1.16*0.16+AD25/1.11*0.11+AE25/1.1*0.1+AF25/1.09*0.09+AI25/1.03*0.03</f>
        <v/>
      </c>
      <c r="AL71" s="221" t="n"/>
    </row>
    <row r="72" ht="14" customFormat="1" customHeight="1" s="180">
      <c r="A72" s="33" t="n"/>
      <c r="B72" s="199" t="n"/>
      <c r="C72" s="199" t="n"/>
      <c r="D72" s="222" t="n"/>
      <c r="E72" s="213" t="n"/>
      <c r="F72" s="213" t="n"/>
      <c r="G72" s="213" t="n"/>
      <c r="H72" s="189" t="n"/>
      <c r="I72" s="189" t="n"/>
      <c r="J72" s="189" t="n"/>
      <c r="K72" s="201" t="n"/>
      <c r="L72" s="202" t="n"/>
      <c r="M72" s="189" t="n"/>
      <c r="N72" s="189" t="n"/>
      <c r="O72" s="189">
        <f>L72-M72</f>
        <v/>
      </c>
      <c r="P72" s="189">
        <f>K72-N72</f>
        <v/>
      </c>
      <c r="Q72" s="189">
        <f>M72+O72</f>
        <v/>
      </c>
      <c r="R72" s="189">
        <f>M72+N72+O72+P72</f>
        <v/>
      </c>
      <c r="S72" s="203">
        <f>SUM(T72:V72)</f>
        <v/>
      </c>
      <c r="T72" s="203" t="n"/>
      <c r="U72" s="203" t="n"/>
      <c r="V72" s="203" t="n"/>
      <c r="W72" s="203" t="n"/>
      <c r="X72" s="203" t="n"/>
      <c r="Y72" s="203" t="n"/>
      <c r="Z72" s="189">
        <f>SUM(AA26:AJ26)</f>
        <v/>
      </c>
      <c r="AA72" s="203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188">
        <f>AB26/1.17*0.17+AC26/1.16*0.16+AD26/1.11*0.11+AE26/1.1*0.1+AF26/1.09*0.09+AI26/1.03*0.03</f>
        <v/>
      </c>
      <c r="AL72" s="221" t="n"/>
    </row>
    <row r="73" ht="14" customFormat="1" customHeight="1" s="180">
      <c r="A73" s="33" t="n"/>
      <c r="B73" s="199" t="n"/>
      <c r="C73" s="199" t="n"/>
      <c r="D73" s="222" t="n"/>
      <c r="E73" s="213" t="n"/>
      <c r="F73" s="213" t="n"/>
      <c r="G73" s="213" t="n"/>
      <c r="H73" s="189" t="n"/>
      <c r="I73" s="189" t="n"/>
      <c r="J73" s="189" t="n"/>
      <c r="K73" s="201" t="n"/>
      <c r="L73" s="202" t="n"/>
      <c r="M73" s="189" t="n"/>
      <c r="N73" s="189" t="n"/>
      <c r="O73" s="189">
        <f>L73-M73</f>
        <v/>
      </c>
      <c r="P73" s="189">
        <f>K73-N73</f>
        <v/>
      </c>
      <c r="Q73" s="189">
        <f>M73+O73</f>
        <v/>
      </c>
      <c r="R73" s="189">
        <f>M73+N73+O73+P73</f>
        <v/>
      </c>
      <c r="S73" s="203">
        <f>SUM(T73:V73)</f>
        <v/>
      </c>
      <c r="T73" s="203" t="n"/>
      <c r="U73" s="203" t="n"/>
      <c r="V73" s="203" t="n"/>
      <c r="W73" s="203" t="n"/>
      <c r="X73" s="203" t="n"/>
      <c r="Y73" s="203" t="n"/>
      <c r="Z73" s="189">
        <f>SUM(AA27:AJ27)</f>
        <v/>
      </c>
      <c r="AA73" s="203" t="n"/>
      <c r="AB73" s="220" t="n"/>
      <c r="AC73" s="220" t="n"/>
      <c r="AD73" s="220" t="n"/>
      <c r="AE73" s="220" t="n"/>
      <c r="AF73" s="220" t="n"/>
      <c r="AG73" s="220" t="n"/>
      <c r="AH73" s="220" t="n"/>
      <c r="AI73" s="220" t="n"/>
      <c r="AJ73" s="220" t="n"/>
      <c r="AK73" s="188">
        <f>AB27/1.17*0.17+AC27/1.16*0.16+AD27/1.11*0.11+AE27/1.1*0.1+AF27/1.09*0.09+AI27/1.03*0.03</f>
        <v/>
      </c>
      <c r="AL73" s="221" t="n"/>
    </row>
    <row r="74" ht="14" customFormat="1" customHeight="1" s="180">
      <c r="A74" s="33" t="n"/>
      <c r="B74" s="199" t="n"/>
      <c r="C74" s="199" t="n"/>
      <c r="D74" s="222" t="n"/>
      <c r="E74" s="213" t="n"/>
      <c r="F74" s="213" t="n"/>
      <c r="G74" s="213" t="n"/>
      <c r="H74" s="189" t="n"/>
      <c r="I74" s="189" t="n"/>
      <c r="J74" s="189" t="n"/>
      <c r="K74" s="201" t="n"/>
      <c r="L74" s="202" t="n"/>
      <c r="M74" s="189" t="n"/>
      <c r="N74" s="189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03" t="n"/>
      <c r="U74" s="203" t="n"/>
      <c r="V74" s="203" t="n"/>
      <c r="W74" s="203" t="n"/>
      <c r="X74" s="203" t="n"/>
      <c r="Y74" s="203" t="n"/>
      <c r="Z74" s="189">
        <f>SUM(AA28:AJ28)</f>
        <v/>
      </c>
      <c r="AA74" s="203" t="n"/>
      <c r="AB74" s="220" t="n"/>
      <c r="AC74" s="220" t="n"/>
      <c r="AD74" s="220" t="n"/>
      <c r="AE74" s="220" t="n"/>
      <c r="AF74" s="220" t="n"/>
      <c r="AG74" s="220" t="n"/>
      <c r="AH74" s="220" t="n"/>
      <c r="AI74" s="220" t="n"/>
      <c r="AJ74" s="220" t="n"/>
      <c r="AK74" s="188">
        <f>AB28/1.17*0.17+AC28/1.16*0.16+AD28/1.11*0.11+AE28/1.1*0.1+AF28/1.09*0.09+AI28/1.03*0.03</f>
        <v/>
      </c>
      <c r="AL74" s="221" t="n"/>
    </row>
    <row r="75" ht="14" customFormat="1" customHeight="1" s="180">
      <c r="A75" s="33" t="n"/>
      <c r="B75" s="199" t="n"/>
      <c r="C75" s="199" t="n"/>
      <c r="D75" s="189" t="inlineStr">
        <is>
          <t>（2）自行采购</t>
        </is>
      </c>
      <c r="E75" s="219" t="n"/>
      <c r="F75" s="219" t="n"/>
      <c r="G75" s="219" t="n"/>
      <c r="H75" s="189" t="n"/>
      <c r="I75" s="189" t="n"/>
      <c r="J75" s="189" t="n"/>
      <c r="K75" s="201" t="n"/>
      <c r="L75" s="202" t="n"/>
      <c r="M75" s="189" t="n"/>
      <c r="N75" s="189" t="n"/>
      <c r="O75" s="189">
        <f>L75-M75</f>
        <v/>
      </c>
      <c r="P75" s="189">
        <f>K75-N75</f>
        <v/>
      </c>
      <c r="Q75" s="189">
        <f>M75+O75</f>
        <v/>
      </c>
      <c r="R75" s="189">
        <f>M75+N75+O75+P75</f>
        <v/>
      </c>
      <c r="S75" s="203">
        <f>SUM(T75:V75)</f>
        <v/>
      </c>
      <c r="T75" s="203" t="n"/>
      <c r="U75" s="203" t="n"/>
      <c r="V75" s="203" t="n"/>
      <c r="W75" s="203" t="n"/>
      <c r="X75" s="203" t="n"/>
      <c r="Y75" s="203" t="n"/>
      <c r="Z75" s="189">
        <f>SUM(AA29:AJ29)</f>
        <v/>
      </c>
      <c r="AA75" s="203" t="n"/>
      <c r="AB75" s="220" t="n"/>
      <c r="AC75" s="220" t="n"/>
      <c r="AD75" s="220" t="n"/>
      <c r="AE75" s="220" t="n"/>
      <c r="AF75" s="220" t="n"/>
      <c r="AG75" s="220" t="n"/>
      <c r="AH75" s="220" t="n"/>
      <c r="AI75" s="220" t="n"/>
      <c r="AJ75" s="220" t="n"/>
      <c r="AK75" s="188">
        <f>AB29/1.17*0.17+AC29/1.16*0.16+AD29/1.11*0.11+AE29/1.1*0.1+AF29/1.09*0.09+AI29/1.03*0.03</f>
        <v/>
      </c>
      <c r="AL75" s="221" t="n"/>
    </row>
    <row r="76" ht="14" customFormat="1" customHeight="1" s="180">
      <c r="A76" s="206" t="n">
        <v>1</v>
      </c>
      <c r="B76" s="206" t="inlineStr">
        <is>
          <t>200234685</t>
        </is>
      </c>
      <c r="C76" s="207" t="inlineStr">
        <is>
          <t>中建四局0200202101806022</t>
        </is>
      </c>
      <c r="D76" s="207" t="inlineStr">
        <is>
          <t>上海找钢网供应链管理有限公司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2740600.46</v>
      </c>
      <c r="N76" s="210" t="n">
        <v>356278.05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3096878.51</v>
      </c>
      <c r="U76" s="206" t="n"/>
      <c r="V76" s="206" t="n"/>
    </row>
    <row r="77" ht="14" customFormat="1" customHeight="1" s="180">
      <c r="A77" s="206" t="n">
        <v>2</v>
      </c>
      <c r="B77" s="206" t="inlineStr">
        <is>
          <t>2043724</t>
        </is>
      </c>
      <c r="C77" s="207" t="inlineStr">
        <is>
          <t>中建四局020020210018060002</t>
        </is>
      </c>
      <c r="D77" s="207" t="inlineStr">
        <is>
          <t>中建四局绿色建筑科技（广东）有限公司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752363.78</v>
      </c>
      <c r="N77" s="210" t="n">
        <v>97807.23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850171.01</v>
      </c>
      <c r="U77" s="206" t="n"/>
      <c r="V77" s="206" t="n"/>
    </row>
    <row r="78" ht="26" customFormat="1" customHeight="1" s="180">
      <c r="A78" s="206" t="n">
        <v>3</v>
      </c>
      <c r="B78" s="206" t="inlineStr">
        <is>
          <t>100197784</t>
        </is>
      </c>
      <c r="C78" s="207" t="inlineStr">
        <is>
          <t>中建四局0200202101806025</t>
        </is>
      </c>
      <c r="D78" s="207" t="inlineStr">
        <is>
          <t>中铁物资集团华南有限公司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4776307.53</v>
      </c>
      <c r="N78" s="210" t="n">
        <v>620919.97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5397227.5</v>
      </c>
      <c r="U78" s="206" t="n"/>
      <c r="V78" s="206" t="n"/>
    </row>
    <row r="79" ht="26" customFormat="1" customHeight="1" s="180">
      <c r="A79" s="206" t="n">
        <v>4</v>
      </c>
      <c r="B79" s="206" t="inlineStr">
        <is>
          <t>100237790</t>
        </is>
      </c>
      <c r="C79" s="207" t="inlineStr">
        <is>
          <t>中建四局0200202101806004</t>
        </is>
      </c>
      <c r="D79" s="207" t="inlineStr">
        <is>
          <t>佛山唐贵五金电器有限公司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14369</v>
      </c>
      <c r="N79" s="210" t="n">
        <v>1867.97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16236.97</v>
      </c>
      <c r="U79" s="206" t="n"/>
      <c r="V79" s="206" t="n"/>
    </row>
    <row r="80" ht="14" customFormat="1" customHeight="1" s="180">
      <c r="A80" s="206" t="n">
        <v>5</v>
      </c>
      <c r="B80" s="206" t="inlineStr">
        <is>
          <t>100237790</t>
        </is>
      </c>
      <c r="C80" s="207" t="inlineStr">
        <is>
          <t>中建四局0200202101806005</t>
        </is>
      </c>
      <c r="D80" s="207" t="inlineStr">
        <is>
          <t>佛山唐贵五金电器有限公司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130267</v>
      </c>
      <c r="N80" s="210" t="n">
        <v>16934.71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147201.71</v>
      </c>
      <c r="U80" s="206" t="n"/>
      <c r="V80" s="206" t="n"/>
    </row>
    <row r="81" ht="14" customFormat="1" customHeight="1" s="3">
      <c r="A81" s="206" t="n">
        <v>6</v>
      </c>
      <c r="B81" s="206" t="inlineStr">
        <is>
          <t>100237790</t>
        </is>
      </c>
      <c r="C81" s="207" t="inlineStr">
        <is>
          <t>中建四局0200202101806006</t>
        </is>
      </c>
      <c r="D81" s="207" t="inlineStr">
        <is>
          <t>佛山唐贵五金电器有限公司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2550134.38</v>
      </c>
      <c r="N81" s="210" t="n">
        <v>331517.47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2881651.85</v>
      </c>
      <c r="U81" s="206" t="n"/>
      <c r="V81" s="206" t="n"/>
    </row>
    <row r="82" ht="14" customHeight="1" s="159">
      <c r="A82" s="206" t="n">
        <v>7</v>
      </c>
      <c r="B82" s="206" t="inlineStr">
        <is>
          <t>100237790</t>
        </is>
      </c>
      <c r="C82" s="207" t="inlineStr">
        <is>
          <t>中建四局0200202101806016</t>
        </is>
      </c>
      <c r="D82" s="207" t="inlineStr">
        <is>
          <t>佛山唐贵五金电器有限公司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2123772.79</v>
      </c>
      <c r="N82" s="210" t="n">
        <v>276090.52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2399863.31</v>
      </c>
      <c r="U82" s="206" t="n"/>
      <c r="V82" s="206" t="n"/>
    </row>
    <row r="83" ht="14" customHeight="1" s="159">
      <c r="A83" s="206" t="n">
        <v>8</v>
      </c>
      <c r="B83" s="206" t="inlineStr">
        <is>
          <t>100146779</t>
        </is>
      </c>
      <c r="C83" s="207" t="inlineStr">
        <is>
          <t>中建四局0200202101806026</t>
        </is>
      </c>
      <c r="D83" s="207" t="inlineStr">
        <is>
          <t>佛山市南海区洪顺水泥构件厂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1006289.65</v>
      </c>
      <c r="N83" s="210" t="n">
        <v>130817.7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1137107.35</v>
      </c>
      <c r="U83" s="206" t="n"/>
      <c r="V83" s="206" t="n"/>
    </row>
    <row r="84">
      <c r="A84" s="206" t="n">
        <v>9</v>
      </c>
      <c r="B84" s="206" t="inlineStr">
        <is>
          <t>100206907</t>
        </is>
      </c>
      <c r="C84" s="207" t="inlineStr">
        <is>
          <t>中建四局0200202101806014</t>
        </is>
      </c>
      <c r="D84" s="207" t="inlineStr">
        <is>
          <t>佛山市开力电气有限公司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63203</v>
      </c>
      <c r="N84" s="210" t="n">
        <v>8216.389999999999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71419.39</v>
      </c>
      <c r="U84" s="206" t="n"/>
      <c r="V84" s="206" t="n"/>
    </row>
    <row r="85">
      <c r="A85" s="206" t="n">
        <v>10</v>
      </c>
      <c r="B85" s="206" t="inlineStr">
        <is>
          <t>200162951</t>
        </is>
      </c>
      <c r="C85" s="207" t="inlineStr">
        <is>
          <t>中建四局0200202101806036</t>
        </is>
      </c>
      <c r="D85" s="207" t="inlineStr">
        <is>
          <t>佛山市翊德通新型环保科技建材有限公司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4369961.51</v>
      </c>
      <c r="N85" s="210" t="n">
        <v>568095.3199999999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4938056.52</v>
      </c>
      <c r="U85" s="206" t="n"/>
      <c r="V85" s="206" t="n"/>
    </row>
    <row r="86">
      <c r="A86" s="206" t="n">
        <v>11</v>
      </c>
      <c r="B86" s="206" t="inlineStr">
        <is>
          <t>100232795</t>
        </is>
      </c>
      <c r="C86" s="207" t="inlineStr">
        <is>
          <t>中建四局0200202101806001</t>
        </is>
      </c>
      <c r="D86" s="207" t="inlineStr">
        <is>
          <t>佰丽特（厦门）电气科技有限公司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333728</v>
      </c>
      <c r="N86" s="210" t="n">
        <v>43384.64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301690.11</v>
      </c>
      <c r="U86" s="206" t="n"/>
      <c r="V86" s="206" t="n"/>
    </row>
    <row r="87">
      <c r="A87" s="206" t="n">
        <v>12</v>
      </c>
      <c r="B87" s="206" t="inlineStr">
        <is>
          <t>200282611</t>
        </is>
      </c>
      <c r="C87" s="207" t="inlineStr">
        <is>
          <t>中建四局0200202101806009</t>
        </is>
      </c>
      <c r="D87" s="207" t="inlineStr">
        <is>
          <t>平安商贸有限公司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8873935.289999999</v>
      </c>
      <c r="N87" s="210" t="n">
        <v>1153611.59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10027546.88</v>
      </c>
      <c r="U87" s="206" t="n"/>
      <c r="V87" s="206" t="n"/>
    </row>
    <row r="88">
      <c r="A88" s="206" t="n">
        <v>13</v>
      </c>
      <c r="B88" s="206" t="inlineStr">
        <is>
          <t>200609375</t>
        </is>
      </c>
      <c r="C88" s="207" t="inlineStr">
        <is>
          <t>中建四局0200202101806040</t>
        </is>
      </c>
      <c r="D88" s="207" t="inlineStr">
        <is>
          <t>广东富景成环保建材有限公司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385917.65</v>
      </c>
      <c r="N88" s="210" t="n">
        <v>50169.29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436086.94</v>
      </c>
      <c r="U88" s="206" t="n"/>
      <c r="V88" s="206" t="n"/>
    </row>
    <row r="89">
      <c r="A89" s="206" t="n">
        <v>14</v>
      </c>
      <c r="B89" s="206" t="inlineStr">
        <is>
          <t>200589118</t>
        </is>
      </c>
      <c r="C89" s="207" t="inlineStr">
        <is>
          <t>中建四局020020210018060001</t>
        </is>
      </c>
      <c r="D89" s="207" t="inlineStr">
        <is>
          <t>广东广物中南建材集团有限公司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4299184.04</v>
      </c>
      <c r="N89" s="210" t="n">
        <v>558893.95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4858077.99</v>
      </c>
      <c r="U89" s="206" t="n"/>
      <c r="V89" s="206" t="n"/>
    </row>
    <row r="90">
      <c r="A90" s="206" t="n">
        <v>15</v>
      </c>
      <c r="B90" s="206" t="inlineStr">
        <is>
          <t>100218495</t>
        </is>
      </c>
      <c r="C90" s="207" t="inlineStr">
        <is>
          <t>中建四局0200202101806024</t>
        </is>
      </c>
      <c r="D90" s="207" t="inlineStr">
        <is>
          <t>广东广物物资有限公司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52140600.21</v>
      </c>
      <c r="N90" s="210" t="n">
        <v>6778278.02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57634200</v>
      </c>
      <c r="U90" s="206" t="n"/>
      <c r="V90" s="206" t="n"/>
    </row>
    <row r="91">
      <c r="A91" s="206" t="n">
        <v>16</v>
      </c>
      <c r="B91" s="206" t="inlineStr">
        <is>
          <t>100217200</t>
        </is>
      </c>
      <c r="C91" s="207" t="inlineStr">
        <is>
          <t>中建四局0200202101806042</t>
        </is>
      </c>
      <c r="D91" s="207" t="inlineStr">
        <is>
          <t>广东新瑞龙生态建材有限公司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9943627.460000001</v>
      </c>
      <c r="N91" s="210" t="n">
        <v>1292671.55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10199210.04</v>
      </c>
      <c r="U91" s="206" t="n"/>
      <c r="V91" s="206" t="n"/>
    </row>
    <row r="92">
      <c r="A92" s="206" t="n">
        <v>17</v>
      </c>
      <c r="B92" s="206" t="inlineStr">
        <is>
          <t>100217564</t>
        </is>
      </c>
      <c r="C92" s="207" t="inlineStr">
        <is>
          <t>中建四局0200202101806015</t>
        </is>
      </c>
      <c r="D92" s="207" t="inlineStr">
        <is>
          <t>广东顺德雍强贸易有限公司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5074499.2</v>
      </c>
      <c r="N92" s="210" t="n">
        <v>659684.51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5722211.35</v>
      </c>
      <c r="U92" s="206" t="n"/>
      <c r="V92" s="206" t="n"/>
    </row>
    <row r="93">
      <c r="A93" s="206" t="n">
        <v>18</v>
      </c>
      <c r="B93" s="206" t="inlineStr">
        <is>
          <t>200028988</t>
        </is>
      </c>
      <c r="C93" s="207" t="inlineStr">
        <is>
          <t>中建四局0200202101806020</t>
        </is>
      </c>
      <c r="D93" s="207" t="inlineStr">
        <is>
          <t>广州天源混凝土有限公司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82619375.06999999</v>
      </c>
      <c r="N93" s="210" t="n">
        <v>2479172.51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76114127.56</v>
      </c>
      <c r="U93" s="206" t="n"/>
      <c r="V93" s="206" t="n"/>
    </row>
    <row r="94">
      <c r="A94" s="206" t="n">
        <v>19</v>
      </c>
      <c r="B94" s="206" t="inlineStr">
        <is>
          <t>100118018</t>
        </is>
      </c>
      <c r="C94" s="207" t="inlineStr">
        <is>
          <t>中建四局0200202101806023</t>
        </is>
      </c>
      <c r="D94" s="207" t="inlineStr">
        <is>
          <t>广州天达混凝土有限公司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7029897.31</v>
      </c>
      <c r="N94" s="210" t="n">
        <v>210896.97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7240794.28</v>
      </c>
      <c r="U94" s="206" t="n"/>
      <c r="V94" s="206" t="n"/>
    </row>
    <row r="95">
      <c r="A95" s="206" t="n">
        <v>20</v>
      </c>
      <c r="B95" s="206" t="inlineStr">
        <is>
          <t>100217350</t>
        </is>
      </c>
      <c r="C95" s="207" t="inlineStr">
        <is>
          <t>中建四局0200202101806003</t>
        </is>
      </c>
      <c r="D95" s="207" t="inlineStr">
        <is>
          <t>广州市嘉宇金属制品有限公司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416379</v>
      </c>
      <c r="N95" s="210" t="n">
        <v>54129.27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470508.27</v>
      </c>
      <c r="U95" s="206" t="n"/>
      <c r="V95" s="206" t="n"/>
    </row>
    <row r="96">
      <c r="A96" s="206" t="n">
        <v>21</v>
      </c>
      <c r="B96" s="206" t="inlineStr">
        <is>
          <t>100217450</t>
        </is>
      </c>
      <c r="C96" s="207" t="inlineStr">
        <is>
          <t>中建四局0200202101806041</t>
        </is>
      </c>
      <c r="D96" s="207" t="inlineStr">
        <is>
          <t>广州市常宏建材有限公司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32639</v>
      </c>
      <c r="N96" s="210" t="n">
        <v>4243.07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36882.07</v>
      </c>
      <c r="U96" s="206" t="n"/>
      <c r="V96" s="206" t="n"/>
    </row>
    <row r="97">
      <c r="A97" s="206" t="n">
        <v>22</v>
      </c>
      <c r="B97" s="206" t="inlineStr">
        <is>
          <t>100115149</t>
        </is>
      </c>
      <c r="C97" s="207" t="inlineStr">
        <is>
          <t>中建四局0200202101806035</t>
        </is>
      </c>
      <c r="D97" s="207" t="inlineStr">
        <is>
          <t>广州市建邦建材有限公司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7683428.5</v>
      </c>
      <c r="N97" s="210" t="n">
        <v>998845.46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8682273.960000001</v>
      </c>
      <c r="U97" s="206" t="n"/>
      <c r="V97" s="206" t="n"/>
    </row>
    <row r="98">
      <c r="A98" s="206" t="n">
        <v>23</v>
      </c>
      <c r="B98" s="206" t="inlineStr">
        <is>
          <t>100147894</t>
        </is>
      </c>
      <c r="C98" s="207" t="inlineStr">
        <is>
          <t>中建四局0200202101806007</t>
        </is>
      </c>
      <c r="D98" s="207" t="inlineStr">
        <is>
          <t>广州市息县旺建材有限公司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950254.54</v>
      </c>
      <c r="N98" s="210" t="n">
        <v>123533.02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1067146.16</v>
      </c>
      <c r="U98" s="206" t="n"/>
      <c r="V98" s="206" t="n"/>
    </row>
    <row r="99">
      <c r="A99" s="206" t="n">
        <v>24</v>
      </c>
      <c r="B99" s="206" t="inlineStr">
        <is>
          <t>200335317</t>
        </is>
      </c>
      <c r="C99" s="207" t="inlineStr">
        <is>
          <t>中建四局0200202101806029</t>
        </is>
      </c>
      <c r="D99" s="207" t="inlineStr">
        <is>
          <t>广州市汇亿鑫贸易有限公司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274015</v>
      </c>
      <c r="N99" s="210" t="n">
        <v>35621.95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309636.95</v>
      </c>
      <c r="U99" s="206" t="n"/>
      <c r="V99" s="206" t="n"/>
    </row>
    <row r="100">
      <c r="A100" s="206" t="n">
        <v>25</v>
      </c>
      <c r="B100" s="206" t="inlineStr">
        <is>
          <t>100006014</t>
        </is>
      </c>
      <c r="C100" s="207" t="inlineStr">
        <is>
          <t>中建四局0200202101806038</t>
        </is>
      </c>
      <c r="D100" s="207" t="inlineStr">
        <is>
          <t>广州市番禺区石楼镇沙南建材二厂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1561706.28</v>
      </c>
      <c r="N100" s="210" t="n">
        <v>203021.99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1764728.27</v>
      </c>
      <c r="U100" s="206" t="n"/>
      <c r="V100" s="206" t="n"/>
    </row>
    <row r="101">
      <c r="A101" s="206" t="n">
        <v>26</v>
      </c>
      <c r="B101" s="206" t="inlineStr">
        <is>
          <t>100118301</t>
        </is>
      </c>
      <c r="C101" s="207" t="inlineStr">
        <is>
          <t>中建四局0200202101806019</t>
        </is>
      </c>
      <c r="D101" s="207" t="inlineStr">
        <is>
          <t>广州市维意建材有限公司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27146211.76</v>
      </c>
      <c r="N101" s="210" t="n">
        <v>814386.39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27960598.15</v>
      </c>
      <c r="U101" s="206" t="n"/>
      <c r="V101" s="206" t="n"/>
    </row>
    <row r="102">
      <c r="A102" s="206" t="n">
        <v>27</v>
      </c>
      <c r="B102" s="206" t="inlineStr">
        <is>
          <t>100118101</t>
        </is>
      </c>
      <c r="C102" s="207" t="inlineStr">
        <is>
          <t>中建四局0200202101806032</t>
        </is>
      </c>
      <c r="D102" s="207" t="inlineStr">
        <is>
          <t>广州市长兴混凝土有限公司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7126276.05</v>
      </c>
      <c r="N102" s="210" t="n">
        <v>213788.29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7297640.86</v>
      </c>
      <c r="U102" s="206" t="n"/>
      <c r="V102" s="206" t="n"/>
    </row>
    <row r="103">
      <c r="A103" s="206" t="n">
        <v>28</v>
      </c>
      <c r="B103" s="206" t="inlineStr">
        <is>
          <t>100217478</t>
        </is>
      </c>
      <c r="C103" s="207" t="inlineStr">
        <is>
          <t>中建四局0200202101806017</t>
        </is>
      </c>
      <c r="D103" s="207" t="inlineStr">
        <is>
          <t>广州建侯建材有限公司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1538956.12</v>
      </c>
      <c r="N103" s="210" t="n">
        <v>200064.3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1739020.42</v>
      </c>
      <c r="U103" s="206" t="n"/>
      <c r="V103" s="206" t="n"/>
    </row>
    <row r="104">
      <c r="A104" s="206" t="n">
        <v>29</v>
      </c>
      <c r="B104" s="206" t="inlineStr">
        <is>
          <t>100094223</t>
        </is>
      </c>
      <c r="C104" s="207" t="inlineStr">
        <is>
          <t>中建四局0200202101806034</t>
        </is>
      </c>
      <c r="D104" s="207" t="inlineStr">
        <is>
          <t>广州晴泰蓝环保工程有限公司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140000</v>
      </c>
      <c r="N104" s="210" t="n">
        <v>18200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158200</v>
      </c>
      <c r="U104" s="206" t="n"/>
      <c r="V104" s="206" t="n"/>
    </row>
    <row r="105">
      <c r="A105" s="206" t="n">
        <v>30</v>
      </c>
      <c r="B105" s="206" t="inlineStr">
        <is>
          <t>200413088</t>
        </is>
      </c>
      <c r="C105" s="207" t="inlineStr">
        <is>
          <t>中建四局0200202101806021</t>
        </is>
      </c>
      <c r="D105" s="207" t="inlineStr">
        <is>
          <t>广州盒子住宅科技有限公司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13945976.97</v>
      </c>
      <c r="N105" s="210" t="n">
        <v>1793690.33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8652600</v>
      </c>
      <c r="U105" s="206" t="n"/>
      <c r="V105" s="206" t="n"/>
    </row>
    <row r="106">
      <c r="A106" s="206" t="n">
        <v>31</v>
      </c>
      <c r="B106" s="206" t="inlineStr">
        <is>
          <t>200234923</t>
        </is>
      </c>
      <c r="C106" s="207" t="inlineStr">
        <is>
          <t>中建四局0200202101806013</t>
        </is>
      </c>
      <c r="D106" s="207" t="inlineStr">
        <is>
          <t>广州睿越建材有限公司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43710.65</v>
      </c>
      <c r="N106" s="210" t="n">
        <v>5682.39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49393.04</v>
      </c>
      <c r="U106" s="206" t="n"/>
      <c r="V106" s="206" t="n"/>
    </row>
    <row r="107">
      <c r="A107" s="206" t="n">
        <v>32</v>
      </c>
      <c r="B107" s="206" t="inlineStr">
        <is>
          <t>100119801</t>
        </is>
      </c>
      <c r="C107" s="207" t="inlineStr">
        <is>
          <t>中建四局0200202101806037</t>
        </is>
      </c>
      <c r="D107" s="207" t="inlineStr">
        <is>
          <t>广州禄臻贸易有限公司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582161.09</v>
      </c>
      <c r="N107" s="210" t="n">
        <v>75681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657842.08</v>
      </c>
      <c r="U107" s="206" t="n"/>
      <c r="V107" s="206" t="n"/>
    </row>
    <row r="108">
      <c r="A108" s="206" t="n">
        <v>33</v>
      </c>
      <c r="B108" s="206" t="inlineStr">
        <is>
          <t>100217843</t>
        </is>
      </c>
      <c r="C108" s="207" t="inlineStr">
        <is>
          <t>中建四局0200202101806039</t>
        </is>
      </c>
      <c r="D108" s="207" t="inlineStr">
        <is>
          <t>广州绿色金融街投资管理有限公司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30291914.17</v>
      </c>
      <c r="N108" s="210" t="n">
        <v>3937948.82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34229862.99</v>
      </c>
      <c r="U108" s="206" t="n"/>
      <c r="V108" s="206" t="n"/>
    </row>
    <row r="109">
      <c r="A109" s="206" t="n">
        <v>34</v>
      </c>
      <c r="B109" s="206" t="inlineStr">
        <is>
          <t>100217163</t>
        </is>
      </c>
      <c r="C109" s="207" t="inlineStr">
        <is>
          <t>中建四局0200202101806002</t>
        </is>
      </c>
      <c r="D109" s="207" t="inlineStr">
        <is>
          <t>广州辰辰建材租赁有限公司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3566769.49</v>
      </c>
      <c r="N109" s="210" t="n">
        <v>463680.09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4017620.13</v>
      </c>
      <c r="U109" s="206" t="n"/>
      <c r="V109" s="206" t="n"/>
    </row>
    <row r="110">
      <c r="A110" s="206" t="n">
        <v>35</v>
      </c>
      <c r="B110" s="206" t="inlineStr">
        <is>
          <t>200009555</t>
        </is>
      </c>
      <c r="C110" s="207" t="inlineStr">
        <is>
          <t>中建四局0200202101806030</t>
        </is>
      </c>
      <c r="D110" s="207" t="inlineStr">
        <is>
          <t>广联达科技股份有限公司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44247.79</v>
      </c>
      <c r="N110" s="210" t="n">
        <v>5752.21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50000</v>
      </c>
      <c r="U110" s="206" t="n"/>
      <c r="V110" s="206" t="n"/>
    </row>
    <row r="111">
      <c r="A111" s="206" t="n">
        <v>36</v>
      </c>
      <c r="B111" s="206" t="inlineStr">
        <is>
          <t>100170699</t>
        </is>
      </c>
      <c r="C111" s="207" t="inlineStr">
        <is>
          <t>中建四局0200202101806027</t>
        </is>
      </c>
      <c r="D111" s="207" t="inlineStr">
        <is>
          <t>浙商中拓集团（广东）有限公司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697130.35</v>
      </c>
      <c r="N111" s="210" t="n">
        <v>90626.95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787757.3</v>
      </c>
      <c r="U111" s="206" t="n"/>
      <c r="V111" s="206" t="n"/>
    </row>
    <row r="112">
      <c r="A112" s="206" t="n">
        <v>37</v>
      </c>
      <c r="B112" s="206" t="inlineStr">
        <is>
          <t>100198899</t>
        </is>
      </c>
      <c r="C112" s="207" t="inlineStr">
        <is>
          <t>中建四局0200202101806008</t>
        </is>
      </c>
      <c r="D112" s="207" t="inlineStr">
        <is>
          <t>深圳市金仪时代环保产业有限公司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46390</v>
      </c>
      <c r="N112" s="210" t="n">
        <v>6030.7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52420.7</v>
      </c>
      <c r="U112" s="206" t="n"/>
      <c r="V112" s="206" t="n"/>
    </row>
    <row r="113">
      <c r="A113" s="206" t="n">
        <v>38</v>
      </c>
      <c r="B113" s="206" t="inlineStr">
        <is>
          <t>100218623</t>
        </is>
      </c>
      <c r="C113" s="207" t="inlineStr">
        <is>
          <t>中建四局0200202101806043</t>
        </is>
      </c>
      <c r="D113" s="207" t="inlineStr">
        <is>
          <t>深圳市鑫源发陶瓷有限公司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220443.53</v>
      </c>
      <c r="N113" s="210" t="n">
        <v>28657.66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249101.19</v>
      </c>
      <c r="U113" s="206" t="n"/>
      <c r="V113" s="206" t="n"/>
    </row>
    <row r="114">
      <c r="A114" s="206" t="n">
        <v>39</v>
      </c>
      <c r="B114" s="206" t="inlineStr">
        <is>
          <t>100074117</t>
        </is>
      </c>
      <c r="C114" s="207" t="inlineStr">
        <is>
          <t>中建四局0200202101806011</t>
        </is>
      </c>
      <c r="D114" s="207" t="inlineStr">
        <is>
          <t>清远市榕兴新型环保建材有限责任公司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1271717.14</v>
      </c>
      <c r="N114" s="210" t="n">
        <v>165323.22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1437040.36</v>
      </c>
      <c r="U114" s="206" t="n"/>
      <c r="V114" s="206" t="n"/>
    </row>
    <row r="115">
      <c r="A115" s="206" t="n">
        <v>40</v>
      </c>
      <c r="B115" s="206" t="inlineStr">
        <is>
          <t>100114405</t>
        </is>
      </c>
      <c r="C115" s="207" t="inlineStr">
        <is>
          <t>中建四局0200202101806018</t>
        </is>
      </c>
      <c r="D115" s="207" t="inlineStr">
        <is>
          <t>祁东县明达轻质陶粒厂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534785.89</v>
      </c>
      <c r="N115" s="210" t="n">
        <v>16863.59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549855.73</v>
      </c>
      <c r="U115" s="206" t="n"/>
      <c r="V115" s="206" t="n"/>
    </row>
    <row r="116">
      <c r="A116" s="206" t="n">
        <v>41</v>
      </c>
      <c r="B116" s="206" t="inlineStr">
        <is>
          <t>100199057</t>
        </is>
      </c>
      <c r="C116" s="207" t="inlineStr">
        <is>
          <t>中建四局0200202101806010</t>
        </is>
      </c>
      <c r="D116" s="207" t="inlineStr">
        <is>
          <t>福建省莆田市龙兴劳保用品有限公司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509280.38</v>
      </c>
      <c r="N116" s="210" t="n">
        <v>66206.64999999999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575487.03</v>
      </c>
      <c r="U116" s="206" t="n"/>
      <c r="V116" s="206" t="n"/>
    </row>
    <row r="117">
      <c r="A117" s="206" t="n">
        <v>42</v>
      </c>
      <c r="B117" s="206" t="inlineStr">
        <is>
          <t>100199057</t>
        </is>
      </c>
      <c r="C117" s="207" t="inlineStr">
        <is>
          <t>中建四局0200202101806031</t>
        </is>
      </c>
      <c r="D117" s="207" t="inlineStr">
        <is>
          <t>福建省莆田市龙兴劳保用品有限公司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9" t="n"/>
      <c r="M117" s="210" t="n">
        <v>48485.21</v>
      </c>
      <c r="N117" s="210" t="n">
        <v>6303.07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54788.28</v>
      </c>
      <c r="U117" s="206" t="n"/>
      <c r="V117" s="206" t="n"/>
    </row>
    <row r="118">
      <c r="A118" s="206" t="n">
        <v>43</v>
      </c>
      <c r="B118" s="206" t="n"/>
      <c r="C118" s="207" t="n"/>
      <c r="D118" s="207" t="inlineStr">
        <is>
          <t>其他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9" t="n"/>
      <c r="M118" s="210" t="n">
        <v>211578.27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</row>
    <row r="119">
      <c r="A119" s="206" t="n">
        <v>44</v>
      </c>
      <c r="B119" s="206" t="n"/>
      <c r="C119" s="207" t="n"/>
      <c r="D119" s="207" t="inlineStr">
        <is>
          <t>废旧物资处置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9" t="n"/>
      <c r="M119" s="210" t="n">
        <v>-1401180.1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</row>
    <row r="120">
      <c r="A120" s="206" t="n">
        <v>45</v>
      </c>
      <c r="B120" s="206" t="n"/>
      <c r="C120" s="207" t="n"/>
      <c r="D120" s="207" t="inlineStr">
        <is>
          <t>研发支出-材料费</t>
        </is>
      </c>
      <c r="E120" s="206" t="n"/>
      <c r="F120" s="206" t="n"/>
      <c r="G120" s="206" t="n"/>
      <c r="H120" s="206" t="n"/>
      <c r="I120" s="206" t="n"/>
      <c r="J120" s="206" t="n"/>
      <c r="K120" s="208" t="n"/>
      <c r="L120" s="209" t="n"/>
      <c r="M120" s="210" t="n">
        <v>-25030932</v>
      </c>
      <c r="N120" s="206" t="n"/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06" t="n"/>
      <c r="U120" s="206" t="n"/>
      <c r="V120" s="206" t="n"/>
    </row>
    <row r="121">
      <c r="A121" s="33" t="n">
        <v>46</v>
      </c>
      <c r="B121" s="199" t="n"/>
      <c r="C121" s="199" t="n"/>
      <c r="D121" s="218" t="inlineStr">
        <is>
          <t>材料调入</t>
        </is>
      </c>
      <c r="E121" s="199" t="n"/>
      <c r="F121" s="199" t="n"/>
      <c r="G121" s="199" t="n"/>
      <c r="H121" s="189" t="n"/>
      <c r="I121" s="189" t="n"/>
      <c r="J121" s="189" t="n"/>
      <c r="K121" s="201" t="n"/>
      <c r="L121" s="202" t="n"/>
      <c r="M121" s="223" t="n">
        <v>17996069.15</v>
      </c>
      <c r="N121" s="189" t="n"/>
      <c r="O121" s="189">
        <f>L121-M121</f>
        <v/>
      </c>
      <c r="P121" s="189">
        <f>K121-N121</f>
        <v/>
      </c>
      <c r="Q121" s="189">
        <f>M121+O121</f>
        <v/>
      </c>
      <c r="R121" s="189">
        <f>M121+N121+O121+P121</f>
        <v/>
      </c>
      <c r="S121" s="203">
        <f>SUM(T121:V121)</f>
        <v/>
      </c>
      <c r="T121" s="203" t="n"/>
      <c r="U121" s="203" t="n"/>
      <c r="V121" s="203" t="n"/>
      <c r="W121" s="203" t="n"/>
      <c r="X121" s="203" t="n"/>
      <c r="Y121" s="203" t="n"/>
      <c r="Z121" s="189">
        <f>SUM(AA30:AJ30)</f>
        <v/>
      </c>
      <c r="AA121" s="203" t="n"/>
      <c r="AB121" s="220" t="n"/>
      <c r="AC121" s="220" t="n"/>
      <c r="AD121" s="220" t="n"/>
      <c r="AE121" s="220" t="n"/>
      <c r="AF121" s="220" t="n"/>
      <c r="AG121" s="220" t="n"/>
      <c r="AH121" s="220" t="n"/>
      <c r="AI121" s="220" t="n"/>
      <c r="AJ121" s="220" t="n"/>
      <c r="AK121" s="188">
        <f>AB30/1.17*0.17+AC30/1.16*0.16+AD30/1.11*0.11+AE30/1.1*0.1+AF30/1.09*0.09+AI30/1.03*0.03</f>
        <v/>
      </c>
      <c r="AL121" s="221" t="n"/>
    </row>
    <row r="122">
      <c r="A122" s="33" t="n">
        <v>47</v>
      </c>
      <c r="B122" s="199" t="n"/>
      <c r="C122" s="199" t="n"/>
      <c r="D122" s="218" t="inlineStr">
        <is>
          <t>材料调出（注：负数填报）</t>
        </is>
      </c>
      <c r="E122" s="224" t="n"/>
      <c r="F122" s="224" t="n"/>
      <c r="G122" s="224" t="n"/>
      <c r="H122" s="225" t="n"/>
      <c r="I122" s="225" t="n"/>
      <c r="J122" s="189" t="n"/>
      <c r="K122" s="201" t="n"/>
      <c r="L122" s="202" t="n"/>
      <c r="M122" s="226" t="n">
        <v>-8003517.42</v>
      </c>
      <c r="N122" s="225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25" t="n"/>
      <c r="U122" s="225" t="n"/>
      <c r="V122" s="225" t="n"/>
      <c r="W122" s="225" t="n"/>
      <c r="X122" s="225" t="n"/>
      <c r="Y122" s="225" t="n"/>
      <c r="Z122" s="189">
        <f>SUM(AA31:AJ31)</f>
        <v/>
      </c>
      <c r="AA122" s="225" t="n"/>
      <c r="AB122" s="227" t="n"/>
      <c r="AC122" s="227" t="n"/>
      <c r="AD122" s="227" t="n"/>
      <c r="AE122" s="227" t="n"/>
      <c r="AF122" s="227" t="n"/>
      <c r="AG122" s="227" t="n"/>
      <c r="AH122" s="227" t="n"/>
      <c r="AI122" s="227" t="n"/>
      <c r="AJ122" s="227" t="n"/>
      <c r="AK122" s="188">
        <f>AB31/1.17*0.17+AC31/1.16*0.16+AD31/1.11*0.11+AE31/1.1*0.1+AF31/1.09*0.09+AI31/1.03*0.03</f>
        <v/>
      </c>
      <c r="AL122" s="228" t="n"/>
    </row>
    <row r="123">
      <c r="A123" s="33" t="n"/>
      <c r="B123" s="199" t="n"/>
      <c r="C123" s="199" t="n"/>
      <c r="D123" s="218" t="inlineStr">
        <is>
          <t>材料库存（注：项目已结算未使用材料冲减项目成本，负数填报）</t>
        </is>
      </c>
      <c r="E123" s="224" t="n"/>
      <c r="F123" s="224" t="n"/>
      <c r="G123" s="224" t="n"/>
      <c r="H123" s="225" t="n"/>
      <c r="I123" s="225" t="n"/>
      <c r="J123" s="189" t="n"/>
      <c r="K123" s="201" t="n"/>
      <c r="L123" s="202" t="n"/>
      <c r="M123" s="225" t="n"/>
      <c r="N123" s="225" t="n"/>
      <c r="O123" s="189" t="n"/>
      <c r="P123" s="189" t="n"/>
      <c r="Q123" s="189" t="n"/>
      <c r="R123" s="189" t="n"/>
      <c r="S123" s="203" t="n"/>
      <c r="T123" s="225" t="n"/>
      <c r="U123" s="225" t="n"/>
      <c r="V123" s="225" t="n"/>
      <c r="W123" s="225" t="n"/>
      <c r="X123" s="225" t="n"/>
      <c r="Y123" s="225" t="n"/>
      <c r="Z123" s="189" t="n"/>
      <c r="AA123" s="225" t="n"/>
      <c r="AB123" s="227" t="n"/>
      <c r="AC123" s="227" t="n"/>
      <c r="AD123" s="227" t="n"/>
      <c r="AE123" s="227" t="n"/>
      <c r="AF123" s="227" t="n"/>
      <c r="AG123" s="227" t="n"/>
      <c r="AH123" s="227" t="n"/>
      <c r="AI123" s="227" t="n"/>
      <c r="AJ123" s="227" t="n"/>
      <c r="AK123" s="188" t="n"/>
      <c r="AL123" s="228" t="n"/>
    </row>
    <row r="124">
      <c r="A124" s="33" t="n"/>
      <c r="B124" s="199" t="n"/>
      <c r="C124" s="199" t="n"/>
      <c r="D124" s="211" t="inlineStr">
        <is>
          <t>**财务未列部分需增列***</t>
        </is>
      </c>
      <c r="E124" s="219" t="n"/>
      <c r="F124" s="219" t="n"/>
      <c r="G124" s="219" t="n"/>
      <c r="H124" s="189" t="n"/>
      <c r="I124" s="189" t="n"/>
      <c r="J124" s="189" t="n"/>
      <c r="K124" s="201" t="n"/>
      <c r="L124" s="202" t="n"/>
      <c r="M124" s="189" t="n"/>
      <c r="N124" s="189" t="n"/>
      <c r="O124" s="189">
        <f>L124-M124</f>
        <v/>
      </c>
      <c r="P124" s="189">
        <f>K124-N124</f>
        <v/>
      </c>
      <c r="Q124" s="189">
        <f>M124+O124</f>
        <v/>
      </c>
      <c r="R124" s="189">
        <f>M124+N124+O124+P124</f>
        <v/>
      </c>
      <c r="S124" s="203">
        <f>SUM(T124:V124)</f>
        <v/>
      </c>
      <c r="T124" s="203" t="n"/>
      <c r="U124" s="203" t="n"/>
      <c r="V124" s="203" t="n"/>
      <c r="W124" s="203" t="n"/>
      <c r="X124" s="203" t="n"/>
      <c r="Y124" s="203" t="n"/>
      <c r="Z124" s="203" t="n"/>
      <c r="AA124" s="203" t="n"/>
      <c r="AB124" s="220" t="n"/>
      <c r="AC124" s="220" t="n"/>
      <c r="AD124" s="220" t="n"/>
      <c r="AE124" s="220" t="n"/>
      <c r="AF124" s="220" t="n"/>
      <c r="AG124" s="220" t="n"/>
      <c r="AH124" s="220" t="n"/>
      <c r="AI124" s="220" t="n"/>
      <c r="AJ124" s="220" t="n"/>
      <c r="AK124" s="188">
        <f>AB33/1.17*0.17+AC33/1.16*0.16+AD33/1.11*0.11+AE33/1.1*0.1+AF33/1.09*0.09+AI33/1.03*0.03</f>
        <v/>
      </c>
      <c r="AL124" s="221" t="n"/>
    </row>
    <row r="125">
      <c r="A125" s="41" t="n"/>
      <c r="B125" s="215" t="n"/>
      <c r="C125" s="215" t="n"/>
      <c r="D125" s="216" t="inlineStr">
        <is>
          <t>材料费小计：</t>
        </is>
      </c>
      <c r="E125" s="217">
        <f>SUM(E70:E124)</f>
        <v/>
      </c>
      <c r="F125" s="217">
        <f>SUM(F70:F124)</f>
        <v/>
      </c>
      <c r="G125" s="217">
        <f>SUM(G70:G124)</f>
        <v/>
      </c>
      <c r="H125" s="217">
        <f>SUM(H70:H124)</f>
        <v/>
      </c>
      <c r="I125" s="217">
        <f>SUM(I70:I124)</f>
        <v/>
      </c>
      <c r="J125" s="217">
        <f>SUM(J70:J124)</f>
        <v/>
      </c>
      <c r="K125" s="217">
        <f>SUM(K70:K124)</f>
        <v/>
      </c>
      <c r="L125" s="217">
        <f>SUM(L70:L124)</f>
        <v/>
      </c>
      <c r="M125" s="217">
        <f>SUM(M70:M124)</f>
        <v/>
      </c>
      <c r="N125" s="217">
        <f>SUM(N70:N124)</f>
        <v/>
      </c>
      <c r="O125" s="217">
        <f>SUM(O70:O124)</f>
        <v/>
      </c>
      <c r="P125" s="217">
        <f>SUM(P70:P124)</f>
        <v/>
      </c>
      <c r="Q125" s="217">
        <f>SUM(Q70:Q124)</f>
        <v/>
      </c>
      <c r="R125" s="217">
        <f>SUM(R70:R124)</f>
        <v/>
      </c>
      <c r="S125" s="217">
        <f>SUM(S70:S124)</f>
        <v/>
      </c>
      <c r="T125" s="217">
        <f>SUM(T70:T124)</f>
        <v/>
      </c>
      <c r="U125" s="217">
        <f>SUM(U70:U124)</f>
        <v/>
      </c>
      <c r="V125" s="217">
        <f>SUM(V70:V124)</f>
        <v/>
      </c>
      <c r="W125" s="217">
        <f>SUM(W70:W124)</f>
        <v/>
      </c>
      <c r="X125" s="217">
        <f>SUM(X70:X124)</f>
        <v/>
      </c>
      <c r="Y125" s="217">
        <f>SUM(Y70:Y124)</f>
        <v/>
      </c>
      <c r="Z125" s="217">
        <f>SUM(Z70:Z124)</f>
        <v/>
      </c>
      <c r="AA125" s="217">
        <f>SUM(AA70:AA124)</f>
        <v/>
      </c>
      <c r="AB125" s="217">
        <f>SUM(AB70:AB124)</f>
        <v/>
      </c>
      <c r="AC125" s="217">
        <f>SUM(AC70:AC124)</f>
        <v/>
      </c>
      <c r="AD125" s="217">
        <f>SUM(AD70:AD124)</f>
        <v/>
      </c>
      <c r="AE125" s="217">
        <f>SUM(AE70:AE124)</f>
        <v/>
      </c>
      <c r="AF125" s="217">
        <f>SUM(AF70:AF124)</f>
        <v/>
      </c>
      <c r="AG125" s="217">
        <f>SUM(AG70:AG124)</f>
        <v/>
      </c>
      <c r="AH125" s="217">
        <f>SUM(AH70:AH124)</f>
        <v/>
      </c>
      <c r="AI125" s="217">
        <f>SUM(AI70:AI124)</f>
        <v/>
      </c>
      <c r="AJ125" s="217">
        <f>SUM(AJ70:AJ124)</f>
        <v/>
      </c>
      <c r="AK125" s="217">
        <f>SUM(AK70:AK124)</f>
        <v/>
      </c>
      <c r="AL125" s="204" t="n"/>
    </row>
    <row r="126">
      <c r="A126" s="33" t="n"/>
      <c r="B126" s="199" t="n"/>
      <c r="C126" s="199" t="n"/>
      <c r="D126" s="218" t="inlineStr">
        <is>
          <t>(四）机械租赁费</t>
        </is>
      </c>
      <c r="E126" s="212" t="n"/>
      <c r="F126" s="212" t="n"/>
      <c r="G126" s="212" t="n"/>
      <c r="H126" s="189" t="n"/>
      <c r="I126" s="189" t="n"/>
      <c r="J126" s="189" t="n"/>
      <c r="K126" s="201" t="n">
        <v>0</v>
      </c>
      <c r="L126" s="202">
        <f>J126-K126</f>
        <v/>
      </c>
      <c r="M126" s="184" t="n"/>
      <c r="N126" s="184" t="n"/>
      <c r="O126" s="189">
        <f>L126-M126</f>
        <v/>
      </c>
      <c r="P126" s="189">
        <f>K126-N126</f>
        <v/>
      </c>
      <c r="Q126" s="189">
        <f>M126+O126</f>
        <v/>
      </c>
      <c r="R126" s="189">
        <f>M126+N126+O126+P126</f>
        <v/>
      </c>
      <c r="S126" s="203">
        <f>SUM(T126:V126)</f>
        <v/>
      </c>
      <c r="T126" s="203" t="n"/>
      <c r="U126" s="203" t="n"/>
      <c r="V126" s="203" t="n"/>
      <c r="W126" s="203" t="n"/>
      <c r="X126" s="203" t="n"/>
      <c r="Y126" s="203" t="n"/>
      <c r="Z126" s="203" t="n"/>
      <c r="AA126" s="203" t="n"/>
      <c r="AB126" s="203" t="n"/>
      <c r="AC126" s="203" t="n"/>
      <c r="AD126" s="203" t="n"/>
      <c r="AE126" s="203" t="n"/>
      <c r="AF126" s="203" t="n"/>
      <c r="AG126" s="203" t="n"/>
      <c r="AH126" s="203" t="n"/>
      <c r="AI126" s="203" t="n"/>
      <c r="AJ126" s="203" t="n"/>
      <c r="AK126" s="188">
        <f>AB35/1.17*0.17+AC35/1.16*0.16+AD35/1.11*0.11+AE35/1.1*0.1+AF35/1.09*0.09+AI35/1.03*0.03</f>
        <v/>
      </c>
      <c r="AL126" s="204" t="n"/>
    </row>
    <row r="127">
      <c r="A127" s="206" t="n">
        <v>1</v>
      </c>
      <c r="B127" s="206" t="inlineStr">
        <is>
          <t>100051486</t>
        </is>
      </c>
      <c r="C127" s="207" t="inlineStr">
        <is>
          <t>中建四局0200202101805009</t>
        </is>
      </c>
      <c r="D127" s="207" t="inlineStr">
        <is>
          <t>佛山市赢鑫建筑机械租赁有限公司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5455288.19</v>
      </c>
      <c r="N127" s="210" t="n">
        <v>738597.9399999999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6405720.63</v>
      </c>
      <c r="U127" s="206" t="n"/>
      <c r="V127" s="206" t="n"/>
    </row>
    <row r="128">
      <c r="A128" s="206" t="n">
        <v>2</v>
      </c>
      <c r="B128" s="206" t="inlineStr">
        <is>
          <t>100217442</t>
        </is>
      </c>
      <c r="C128" s="207" t="inlineStr">
        <is>
          <t>中建四局0200202101805001</t>
        </is>
      </c>
      <c r="D128" s="207" t="inlineStr">
        <is>
          <t>任丘市嘉宇运输有限公司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39943.9</v>
      </c>
      <c r="N128" s="210" t="n">
        <v>3594.95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43538.85</v>
      </c>
      <c r="U128" s="206" t="n"/>
      <c r="V128" s="206" t="n"/>
    </row>
    <row r="129">
      <c r="A129" s="206" t="n">
        <v>3</v>
      </c>
      <c r="B129" s="206" t="inlineStr">
        <is>
          <t>200363935</t>
        </is>
      </c>
      <c r="C129" s="207" t="inlineStr">
        <is>
          <t>中建四局0200202101805006</t>
        </is>
      </c>
      <c r="D129" s="207" t="inlineStr">
        <is>
          <t>佛山市雄壮建筑工程有限公司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1197689.75</v>
      </c>
      <c r="N129" s="210" t="n">
        <v>36663.97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1258000</v>
      </c>
      <c r="U129" s="206" t="n"/>
      <c r="V129" s="206" t="n"/>
    </row>
    <row r="130">
      <c r="A130" s="206" t="n">
        <v>4</v>
      </c>
      <c r="B130" s="206" t="inlineStr">
        <is>
          <t>200477323</t>
        </is>
      </c>
      <c r="C130" s="207" t="inlineStr">
        <is>
          <t>中建四局0200202101805011</t>
        </is>
      </c>
      <c r="D130" s="207" t="inlineStr">
        <is>
          <t>佛山市霸伟建筑工程有限公司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947713.86</v>
      </c>
      <c r="N130" s="210" t="n">
        <v>29244.62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999000</v>
      </c>
      <c r="U130" s="206" t="n"/>
      <c r="V130" s="206" t="n"/>
    </row>
    <row r="131">
      <c r="A131" s="206" t="n">
        <v>5</v>
      </c>
      <c r="B131" s="206" t="inlineStr">
        <is>
          <t>100093859</t>
        </is>
      </c>
      <c r="C131" s="207" t="inlineStr">
        <is>
          <t>中建四局0200202101805010</t>
        </is>
      </c>
      <c r="D131" s="207" t="inlineStr">
        <is>
          <t>嘉兴浩锐机械设备有限公司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1387247.1</v>
      </c>
      <c r="N131" s="210" t="n">
        <v>180342.12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1567589.22</v>
      </c>
      <c r="U131" s="206" t="n"/>
      <c r="V131" s="206" t="n"/>
    </row>
    <row r="132">
      <c r="A132" s="206" t="n">
        <v>6</v>
      </c>
      <c r="B132" s="206" t="inlineStr">
        <is>
          <t>100117504</t>
        </is>
      </c>
      <c r="C132" s="207" t="inlineStr">
        <is>
          <t>中建四局0200202101805005</t>
        </is>
      </c>
      <c r="D132" s="207" t="inlineStr">
        <is>
          <t>广州大丰工程机械设备有限公司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1065730.14</v>
      </c>
      <c r="N132" s="210" t="n">
        <v>138544.93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1204275.07</v>
      </c>
      <c r="U132" s="206" t="n"/>
      <c r="V132" s="206" t="n"/>
    </row>
    <row r="133">
      <c r="A133" s="206" t="n">
        <v>7</v>
      </c>
      <c r="B133" s="206" t="inlineStr">
        <is>
          <t>200353812</t>
        </is>
      </c>
      <c r="C133" s="207" t="inlineStr">
        <is>
          <t>中建四局0200202101805007</t>
        </is>
      </c>
      <c r="D133" s="207" t="inlineStr">
        <is>
          <t>广州小老虎建筑机械租赁有限公司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11189319.59</v>
      </c>
      <c r="N133" s="210" t="n">
        <v>1022884.43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12388266.76</v>
      </c>
      <c r="U133" s="206" t="n"/>
      <c r="V133" s="206" t="n"/>
    </row>
    <row r="134">
      <c r="A134" s="206" t="n">
        <v>8</v>
      </c>
      <c r="B134" s="206" t="inlineStr">
        <is>
          <t>200162948</t>
        </is>
      </c>
      <c r="C134" s="207" t="inlineStr">
        <is>
          <t>中建四局0200202101805004</t>
        </is>
      </c>
      <c r="D134" s="207" t="inlineStr">
        <is>
          <t>广州市仁发运输有限公司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183165.02</v>
      </c>
      <c r="N134" s="210" t="n">
        <v>5494.92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188659.94</v>
      </c>
      <c r="U134" s="206" t="n"/>
      <c r="V134" s="206" t="n"/>
    </row>
    <row r="135">
      <c r="A135" s="206" t="n">
        <v>9</v>
      </c>
      <c r="B135" s="206" t="inlineStr">
        <is>
          <t>100217539</t>
        </is>
      </c>
      <c r="C135" s="207" t="inlineStr">
        <is>
          <t>中建四局0200202101805003</t>
        </is>
      </c>
      <c r="D135" s="207" t="inlineStr">
        <is>
          <t>广州易达运输有限公司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213962.98</v>
      </c>
      <c r="N135" s="210" t="n">
        <v>4631.78</v>
      </c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10" t="n">
        <v>218594.76</v>
      </c>
      <c r="U135" s="206" t="n"/>
      <c r="V135" s="206" t="n"/>
    </row>
    <row r="136">
      <c r="A136" s="206" t="n">
        <v>10</v>
      </c>
      <c r="B136" s="206" t="inlineStr">
        <is>
          <t>100217502</t>
        </is>
      </c>
      <c r="C136" s="207" t="inlineStr">
        <is>
          <t>中建四局0200202101805002</t>
        </is>
      </c>
      <c r="D136" s="207" t="inlineStr">
        <is>
          <t>广州湘亿货运代理有限公司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68419.10000000001</v>
      </c>
      <c r="N136" s="210" t="n">
        <v>6157.73</v>
      </c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10" t="n">
        <v>74576.83</v>
      </c>
      <c r="U136" s="206" t="n"/>
      <c r="V136" s="206" t="n"/>
    </row>
    <row r="137">
      <c r="A137" s="206" t="n">
        <v>11</v>
      </c>
      <c r="B137" s="206" t="inlineStr">
        <is>
          <t>100197784</t>
        </is>
      </c>
      <c r="C137" s="207" t="n"/>
      <c r="D137" s="207" t="inlineStr">
        <is>
          <t>中铁物资集团华南有限公司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0.08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>
        <v>12</v>
      </c>
      <c r="B138" s="206" t="n"/>
      <c r="C138" s="207" t="n"/>
      <c r="D138" s="207" t="inlineStr">
        <is>
          <t>无客商-AFB/01/2021/012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236.45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>
        <v>13</v>
      </c>
      <c r="B139" s="206" t="n"/>
      <c r="C139" s="207" t="n"/>
      <c r="D139" s="207" t="inlineStr">
        <is>
          <t>无客商-AFB/01/2022/001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236.45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>
        <v>14</v>
      </c>
      <c r="B140" s="206" t="n"/>
      <c r="C140" s="207" t="n"/>
      <c r="D140" s="207" t="inlineStr">
        <is>
          <t>无客商-AFB/01/2022/002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236.45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>
        <v>15</v>
      </c>
      <c r="B141" s="206" t="n"/>
      <c r="C141" s="207" t="n"/>
      <c r="D141" s="207" t="inlineStr">
        <is>
          <t>无客商-AFB/01/2022/003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236.45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>
        <v>16</v>
      </c>
      <c r="B142" s="206" t="n"/>
      <c r="C142" s="207" t="n"/>
      <c r="D142" s="207" t="inlineStr">
        <is>
          <t>无客商-AFB/01/2024/002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472.9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>
        <v>17</v>
      </c>
      <c r="B143" s="206" t="n"/>
      <c r="C143" s="207" t="n"/>
      <c r="D143" s="207" t="inlineStr">
        <is>
          <t>无客商-AFB/01/2024/003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236.45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>
        <v>18</v>
      </c>
      <c r="B144" s="206" t="n"/>
      <c r="C144" s="207" t="n"/>
      <c r="D144" s="207" t="inlineStr">
        <is>
          <t>无客商-AFB/01/2024/004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236.45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>
        <v>19</v>
      </c>
      <c r="B145" s="206" t="n"/>
      <c r="C145" s="207" t="n"/>
      <c r="D145" s="207" t="inlineStr">
        <is>
          <t>无客商-AFB/01/2025/001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236.45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>
        <v>20</v>
      </c>
      <c r="B146" s="206" t="n"/>
      <c r="C146" s="207" t="n"/>
      <c r="D146" s="207" t="inlineStr">
        <is>
          <t>无客商-AFB/01/2025/002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236.45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>
        <v>21</v>
      </c>
      <c r="B147" s="206" t="n"/>
      <c r="C147" s="207" t="n"/>
      <c r="D147" s="207" t="inlineStr">
        <is>
          <t>无客商-AFB/01/2025/003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236.45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>
        <v>22</v>
      </c>
      <c r="B148" s="206" t="n"/>
      <c r="C148" s="207" t="n"/>
      <c r="D148" s="207" t="inlineStr">
        <is>
          <t>无客商-AFB/01/2025/004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236.45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>
        <v>23</v>
      </c>
      <c r="B149" s="206" t="n"/>
      <c r="C149" s="207" t="n"/>
      <c r="D149" s="207" t="inlineStr">
        <is>
          <t>无客商-AFB/01/2025/005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236.45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>
        <v>24</v>
      </c>
      <c r="B150" s="206" t="n"/>
      <c r="C150" s="207" t="n"/>
      <c r="D150" s="207" t="inlineStr">
        <is>
          <t>无客商-AFB/01/2025/006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236.44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>
        <v>25</v>
      </c>
      <c r="B151" s="206" t="n"/>
      <c r="C151" s="207" t="n"/>
      <c r="D151" s="207" t="inlineStr">
        <is>
          <t>无客商-AFB/01/2025/007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236.45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>
        <v>26</v>
      </c>
      <c r="B152" s="206" t="n"/>
      <c r="C152" s="207" t="n"/>
      <c r="D152" s="207" t="inlineStr">
        <is>
          <t>无客商-AFB/01/2025/008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236.45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>
        <v>27</v>
      </c>
      <c r="B153" s="206" t="n"/>
      <c r="C153" s="207" t="n"/>
      <c r="D153" s="207" t="inlineStr">
        <is>
          <t>无客商-AFB/01/2025/009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236.45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>
        <v>28</v>
      </c>
      <c r="B154" s="206" t="n"/>
      <c r="C154" s="207" t="n"/>
      <c r="D154" s="207" t="inlineStr">
        <is>
          <t>无客商-AFB/01/2025/010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236.45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>
        <v>29</v>
      </c>
      <c r="B155" s="206" t="n"/>
      <c r="C155" s="207" t="n"/>
      <c r="D155" s="207" t="inlineStr">
        <is>
          <t>无客商-AFB/01/2025/011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236.45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>
        <v>30</v>
      </c>
      <c r="B156" s="206" t="n"/>
      <c r="C156" s="207" t="n"/>
      <c r="D156" s="207" t="inlineStr">
        <is>
          <t>无客商-AFB/01/2025/012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236.45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>
        <v>31</v>
      </c>
      <c r="B157" s="206" t="n"/>
      <c r="C157" s="207" t="n"/>
      <c r="D157" s="207" t="inlineStr">
        <is>
          <t>无客商-AFB/01/2026/001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236.45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>
        <v>32</v>
      </c>
      <c r="B158" s="206" t="n"/>
      <c r="C158" s="207" t="n"/>
      <c r="D158" s="207" t="inlineStr">
        <is>
          <t>无客商-AFB/01/2026/002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236.45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>
        <v>33</v>
      </c>
      <c r="B159" s="206" t="n"/>
      <c r="C159" s="207" t="n"/>
      <c r="D159" s="207" t="inlineStr">
        <is>
          <t>无客商-AFB/01/2026/003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236.45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>
        <v>34</v>
      </c>
      <c r="B160" s="206" t="n"/>
      <c r="C160" s="207" t="n"/>
      <c r="D160" s="207" t="inlineStr">
        <is>
          <t>无客商-白云区金沙洲项目2022年1月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-709.35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>
        <v>35</v>
      </c>
      <c r="B161" s="206" t="n"/>
      <c r="C161" s="207" t="n"/>
      <c r="D161" s="207" t="inlineStr">
        <is>
          <t>无客商-金沙洲项目申请转出嘉兴浩锐机械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30661.52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33" t="n"/>
      <c r="B162" s="199" t="n"/>
      <c r="C162" s="199" t="n"/>
      <c r="D162" s="211" t="inlineStr">
        <is>
          <t>**财务未列部分需增列***</t>
        </is>
      </c>
      <c r="E162" s="229" t="n"/>
      <c r="F162" s="229" t="n"/>
      <c r="G162" s="229" t="n"/>
      <c r="H162" s="189" t="n"/>
      <c r="I162" s="189" t="n"/>
      <c r="J162" s="189" t="n"/>
      <c r="K162" s="201" t="n">
        <v>0</v>
      </c>
      <c r="L162" s="202">
        <f>J162-K162</f>
        <v/>
      </c>
      <c r="M162" s="230" t="n"/>
      <c r="N162" s="230" t="n"/>
      <c r="O162" s="189">
        <f>L162-M162</f>
        <v/>
      </c>
      <c r="P162" s="189">
        <f>K162-N162</f>
        <v/>
      </c>
      <c r="Q162" s="189">
        <f>M162+O162</f>
        <v/>
      </c>
      <c r="R162" s="189">
        <f>M162+N162+O162+P162</f>
        <v/>
      </c>
      <c r="S162" s="203">
        <f>SUM(T162:V162)</f>
        <v/>
      </c>
      <c r="T162" s="230" t="n"/>
      <c r="U162" s="230" t="n"/>
      <c r="V162" s="230" t="n"/>
      <c r="W162" s="230" t="n"/>
      <c r="X162" s="230" t="n"/>
      <c r="Y162" s="230" t="n"/>
      <c r="Z162" s="230" t="n"/>
      <c r="AA162" s="203" t="n"/>
      <c r="AB162" s="188" t="n"/>
      <c r="AC162" s="188" t="n"/>
      <c r="AD162" s="188" t="n"/>
      <c r="AE162" s="188" t="n"/>
      <c r="AF162" s="188" t="n"/>
      <c r="AG162" s="188" t="n"/>
      <c r="AH162" s="188" t="n"/>
      <c r="AI162" s="188" t="n"/>
      <c r="AJ162" s="188" t="n"/>
      <c r="AK162" s="188">
        <f>AB37/1.17*0.17+AC37/1.16*0.16+AD37/1.11*0.11+AE37/1.1*0.1+AF37/1.09*0.09+AI37/1.03*0.03</f>
        <v/>
      </c>
      <c r="AL162" s="214" t="n"/>
    </row>
    <row r="163">
      <c r="A163" s="41" t="n"/>
      <c r="B163" s="215" t="n"/>
      <c r="C163" s="215" t="n"/>
      <c r="D163" s="231" t="inlineStr">
        <is>
          <t>机械费小计：</t>
        </is>
      </c>
      <c r="E163" s="232" t="n"/>
      <c r="F163" s="232" t="n"/>
      <c r="G163" s="232" t="n"/>
      <c r="H163" s="217">
        <f>SUM(H126:H162)</f>
        <v/>
      </c>
      <c r="I163" s="217">
        <f>SUM(I126:I162)</f>
        <v/>
      </c>
      <c r="J163" s="217">
        <f>SUM(J126:J162)</f>
        <v/>
      </c>
      <c r="K163" s="217">
        <f>SUM(K126:K162)</f>
        <v/>
      </c>
      <c r="L163" s="233">
        <f>SUM(L126:L162)</f>
        <v/>
      </c>
      <c r="M163" s="217">
        <f>SUM(M126:M162)</f>
        <v/>
      </c>
      <c r="N163" s="217">
        <f>SUM(N126:N162)</f>
        <v/>
      </c>
      <c r="O163" s="217">
        <f>SUM(O126:O162)</f>
        <v/>
      </c>
      <c r="P163" s="217">
        <f>SUM(P126:P162)</f>
        <v/>
      </c>
      <c r="Q163" s="217">
        <f>SUM(Q126:Q162)</f>
        <v/>
      </c>
      <c r="R163" s="217">
        <f>SUM(R126:R162)</f>
        <v/>
      </c>
      <c r="S163" s="217">
        <f>SUM(S126:S162)</f>
        <v/>
      </c>
      <c r="T163" s="217" t="n"/>
      <c r="U163" s="217" t="n"/>
      <c r="V163" s="217" t="n"/>
      <c r="W163" s="217" t="n"/>
      <c r="X163" s="217" t="n"/>
      <c r="Y163" s="217" t="n"/>
      <c r="Z163" s="217">
        <f>SUM(Z126:Z162)</f>
        <v/>
      </c>
      <c r="AA163" s="217">
        <f>SUM(AA126:AA162)</f>
        <v/>
      </c>
      <c r="AB163" s="217" t="n"/>
      <c r="AC163" s="217" t="n"/>
      <c r="AD163" s="217" t="n"/>
      <c r="AE163" s="217" t="n"/>
      <c r="AF163" s="217" t="n"/>
      <c r="AG163" s="217" t="n"/>
      <c r="AH163" s="217" t="n"/>
      <c r="AI163" s="217" t="n"/>
      <c r="AJ163" s="217" t="n"/>
      <c r="AK163" s="217" t="n"/>
      <c r="AL163" s="204" t="n"/>
    </row>
    <row r="164">
      <c r="A164" s="33" t="n"/>
      <c r="B164" s="199" t="n"/>
      <c r="C164" s="199" t="n"/>
      <c r="D164" s="218" t="inlineStr">
        <is>
          <t>（五）其他直接费</t>
        </is>
      </c>
      <c r="E164" s="212" t="n"/>
      <c r="F164" s="212" t="n"/>
      <c r="G164" s="212" t="n"/>
      <c r="H164" s="189" t="n"/>
      <c r="I164" s="189" t="n"/>
      <c r="J164" s="184" t="n">
        <v>0</v>
      </c>
      <c r="K164" s="201" t="n">
        <v>0</v>
      </c>
      <c r="L164" s="202">
        <f>J164-N164-P164</f>
        <v/>
      </c>
      <c r="M164" s="184" t="n"/>
      <c r="N164" s="184" t="n"/>
      <c r="O164" s="189">
        <f>L164-M164</f>
        <v/>
      </c>
      <c r="P164" s="189">
        <f>K164-N164</f>
        <v/>
      </c>
      <c r="Q164" s="189">
        <f>M164+O164</f>
        <v/>
      </c>
      <c r="R164" s="189">
        <f>M164+N164+O164+P164</f>
        <v/>
      </c>
      <c r="S164" s="203">
        <f>SUM(T164:V164)</f>
        <v/>
      </c>
      <c r="T164" s="203" t="n"/>
      <c r="U164" s="203" t="n"/>
      <c r="V164" s="203" t="n"/>
      <c r="W164" s="203" t="n"/>
      <c r="X164" s="203" t="n"/>
      <c r="Y164" s="203" t="n"/>
      <c r="Z164" s="203" t="n"/>
      <c r="AA164" s="203" t="n"/>
      <c r="AB164" s="203" t="n"/>
      <c r="AC164" s="203" t="n"/>
      <c r="AD164" s="203" t="n"/>
      <c r="AE164" s="203" t="n"/>
      <c r="AF164" s="203" t="n"/>
      <c r="AG164" s="203" t="n"/>
      <c r="AH164" s="203" t="n"/>
      <c r="AI164" s="203" t="n"/>
      <c r="AJ164" s="203" t="n"/>
      <c r="AK164" s="188" t="n"/>
      <c r="AL164" s="204" t="n"/>
    </row>
    <row r="165">
      <c r="A165" s="206" t="n"/>
      <c r="B165" s="206" t="n"/>
      <c r="C165" s="207" t="n"/>
      <c r="D165" s="207" t="inlineStr">
        <is>
          <t>保险费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2060794.4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其他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4351039.99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咨询费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1165.05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检验试验费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2298882.29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8300988.65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33" t="n"/>
      <c r="B170" s="199" t="n"/>
      <c r="C170" s="199" t="n"/>
      <c r="D170" s="211" t="inlineStr">
        <is>
          <t>**财务未列部分需增列***</t>
        </is>
      </c>
      <c r="E170" s="212" t="n"/>
      <c r="F170" s="212" t="n"/>
      <c r="G170" s="212" t="n"/>
      <c r="H170" s="189" t="n"/>
      <c r="I170" s="189" t="n"/>
      <c r="J170" s="184" t="n"/>
      <c r="K170" s="201" t="n"/>
      <c r="L170" s="202">
        <f>J170-K170</f>
        <v/>
      </c>
      <c r="M170" s="234" t="n"/>
      <c r="N170" s="234" t="n"/>
      <c r="O170" s="189">
        <f>L170-M170</f>
        <v/>
      </c>
      <c r="P170" s="189">
        <f>K170-N170</f>
        <v/>
      </c>
      <c r="Q170" s="189">
        <f>M170+O170</f>
        <v/>
      </c>
      <c r="R170" s="189">
        <f>M170+N170+O170+P170</f>
        <v/>
      </c>
      <c r="S170" s="203">
        <f>SUM(T170:V170)</f>
        <v/>
      </c>
      <c r="T170" s="234" t="n"/>
      <c r="U170" s="234" t="n"/>
      <c r="V170" s="234" t="n"/>
      <c r="W170" s="234" t="n"/>
      <c r="X170" s="234" t="n"/>
      <c r="Y170" s="234" t="n"/>
      <c r="Z170" s="189">
        <f>SUM(AA45:AJ45)</f>
        <v/>
      </c>
      <c r="AA170" s="203" t="n"/>
      <c r="AB170" s="203" t="n"/>
      <c r="AC170" s="203" t="n"/>
      <c r="AD170" s="203" t="n"/>
      <c r="AE170" s="203" t="n"/>
      <c r="AF170" s="203" t="n"/>
      <c r="AG170" s="203" t="n"/>
      <c r="AH170" s="203" t="n"/>
      <c r="AI170" s="203" t="n"/>
      <c r="AJ170" s="203" t="n"/>
      <c r="AK170" s="188" t="n"/>
      <c r="AL170" s="204" t="n"/>
    </row>
    <row r="171">
      <c r="A171" s="55" t="n"/>
      <c r="B171" s="235" t="n"/>
      <c r="C171" s="235" t="n"/>
      <c r="D171" s="231" t="inlineStr">
        <is>
          <t>其他直接费小计：</t>
        </is>
      </c>
      <c r="E171" s="236" t="n"/>
      <c r="F171" s="236" t="n"/>
      <c r="G171" s="236" t="n"/>
      <c r="H171" s="217">
        <f>SUM(H164:H170)</f>
        <v/>
      </c>
      <c r="I171" s="217">
        <f>SUM(I164:I170)</f>
        <v/>
      </c>
      <c r="J171" s="217">
        <f>SUM(J164:J170)</f>
        <v/>
      </c>
      <c r="K171" s="217">
        <f>SUM(K164:K170)</f>
        <v/>
      </c>
      <c r="L171" s="233">
        <f>SUM(L164:L170)</f>
        <v/>
      </c>
      <c r="M171" s="217">
        <f>SUM(M164:M170)</f>
        <v/>
      </c>
      <c r="N171" s="217">
        <f>SUM(N164:N170)</f>
        <v/>
      </c>
      <c r="O171" s="217">
        <f>L171-M171</f>
        <v/>
      </c>
      <c r="P171" s="217">
        <f>SUM(P164:P170)</f>
        <v/>
      </c>
      <c r="Q171" s="217">
        <f>M171+O171</f>
        <v/>
      </c>
      <c r="R171" s="217">
        <f>SUM(R164:R170)</f>
        <v/>
      </c>
      <c r="S171" s="217">
        <f>SUM(S164:S170)</f>
        <v/>
      </c>
      <c r="T171" s="217" t="n"/>
      <c r="U171" s="217" t="n"/>
      <c r="V171" s="217" t="n"/>
      <c r="W171" s="217" t="n"/>
      <c r="X171" s="217" t="n"/>
      <c r="Y171" s="217" t="n"/>
      <c r="Z171" s="217">
        <f>SUM(Z164:Z170)</f>
        <v/>
      </c>
      <c r="AA171" s="217">
        <f>SUM(AA164:AA170)</f>
        <v/>
      </c>
      <c r="AB171" s="217">
        <f>SUM(AB164:AB170)</f>
        <v/>
      </c>
      <c r="AC171" s="217">
        <f>SUM(AC164:AC170)</f>
        <v/>
      </c>
      <c r="AD171" s="217">
        <f>SUM(AD164:AD170)</f>
        <v/>
      </c>
      <c r="AE171" s="217">
        <f>SUM(AE164:AE170)</f>
        <v/>
      </c>
      <c r="AF171" s="217">
        <f>SUM(AF164:AF170)</f>
        <v/>
      </c>
      <c r="AG171" s="217" t="n"/>
      <c r="AH171" s="217" t="n"/>
      <c r="AI171" s="217">
        <f>SUM(AI164:AI170)</f>
        <v/>
      </c>
      <c r="AJ171" s="217">
        <f>SUM(AJ164:AJ170)</f>
        <v/>
      </c>
      <c r="AK171" s="217">
        <f>SUM(AK164:AK170)</f>
        <v/>
      </c>
      <c r="AL171" s="204" t="n"/>
    </row>
    <row r="172">
      <c r="A172" s="33" t="n"/>
      <c r="B172" s="199" t="n"/>
      <c r="C172" s="199" t="n"/>
      <c r="D172" s="218" t="inlineStr">
        <is>
          <t>（六）间接费</t>
        </is>
      </c>
      <c r="E172" s="212" t="n"/>
      <c r="F172" s="212" t="n"/>
      <c r="G172" s="212" t="n"/>
      <c r="H172" s="184" t="n"/>
      <c r="I172" s="189" t="n"/>
      <c r="J172" s="189" t="n">
        <v>0</v>
      </c>
      <c r="K172" s="201" t="n">
        <v>0</v>
      </c>
      <c r="L172" s="202">
        <f>J172-N172-P172</f>
        <v/>
      </c>
      <c r="M172" s="184" t="n"/>
      <c r="N172" s="184" t="n"/>
      <c r="O172" s="189">
        <f>L172-M172</f>
        <v/>
      </c>
      <c r="P172" s="189">
        <f>K172-N172</f>
        <v/>
      </c>
      <c r="Q172" s="189">
        <f>M172+O172</f>
        <v/>
      </c>
      <c r="R172" s="189">
        <f>M172+N172+O172+P172</f>
        <v/>
      </c>
      <c r="S172" s="203">
        <f>SUM(T172:V172)</f>
        <v/>
      </c>
      <c r="T172" s="203" t="n"/>
      <c r="U172" s="203" t="n"/>
      <c r="V172" s="203" t="n"/>
      <c r="W172" s="203" t="n"/>
      <c r="X172" s="203" t="n"/>
      <c r="Y172" s="203" t="n"/>
      <c r="Z172" s="203" t="n"/>
      <c r="AA172" s="203" t="n"/>
      <c r="AB172" s="203" t="n"/>
      <c r="AC172" s="203" t="n"/>
      <c r="AD172" s="203" t="n"/>
      <c r="AE172" s="203" t="n"/>
      <c r="AF172" s="203" t="n"/>
      <c r="AG172" s="203" t="n"/>
      <c r="AH172" s="203" t="n"/>
      <c r="AI172" s="203" t="n"/>
      <c r="AJ172" s="203" t="n"/>
      <c r="AK172" s="188" t="n"/>
      <c r="AL172" s="204" t="n"/>
    </row>
    <row r="173">
      <c r="A173" s="206" t="n"/>
      <c r="B173" s="206" t="n"/>
      <c r="C173" s="207" t="n"/>
      <c r="D173" s="207" t="inlineStr">
        <is>
          <t>书报资料费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220.88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企业年金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186548.56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会议费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5867.37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住房公积金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921583.74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保险费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4245.28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修理费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27769.38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其他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445466.64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其他补充保险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87.84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冲晒印刷费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112428.15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办公用品费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607692.39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453554.98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基本养老保险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1111816.95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境内差旅费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29087.86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失业保险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45975.32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206" t="n"/>
      <c r="B187" s="206" t="n"/>
      <c r="C187" s="207" t="n"/>
      <c r="D187" s="207" t="inlineStr">
        <is>
          <t>工会经费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266903.49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工伤保险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43560.14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206" t="n"/>
      <c r="B189" s="206" t="n"/>
      <c r="C189" s="207" t="n"/>
      <c r="D189" s="207" t="inlineStr">
        <is>
          <t>工资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9">
        <f>J189-K189</f>
        <v/>
      </c>
      <c r="M189" s="210" t="n">
        <v>21036724.24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</row>
    <row r="190">
      <c r="A190" s="206" t="n"/>
      <c r="B190" s="206" t="n"/>
      <c r="C190" s="207" t="n"/>
      <c r="D190" s="207" t="inlineStr">
        <is>
          <t>市内交通费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5663.74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律师费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14327.83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折旧费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66169.48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水电费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1915223.39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燃油费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210747.51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206" t="n"/>
      <c r="B195" s="206" t="n"/>
      <c r="C195" s="207" t="n"/>
      <c r="D195" s="207" t="inlineStr">
        <is>
          <t>物业租赁费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9">
        <f>J195-K195</f>
        <v/>
      </c>
      <c r="M195" s="210" t="n">
        <v>223298.47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</row>
    <row r="196">
      <c r="A196" s="206" t="n"/>
      <c r="B196" s="206" t="n"/>
      <c r="C196" s="207" t="n"/>
      <c r="D196" s="207" t="inlineStr">
        <is>
          <t>物业管理费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9">
        <f>J196-K196</f>
        <v/>
      </c>
      <c r="M196" s="210" t="n">
        <v>463287.94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</row>
    <row r="197">
      <c r="A197" s="206" t="n"/>
      <c r="B197" s="206" t="n"/>
      <c r="C197" s="207" t="n"/>
      <c r="D197" s="207" t="inlineStr">
        <is>
          <t>物料消耗</t>
        </is>
      </c>
      <c r="E197" s="206" t="n"/>
      <c r="F197" s="206" t="n"/>
      <c r="G197" s="206" t="n"/>
      <c r="H197" s="206" t="n"/>
      <c r="I197" s="206" t="n"/>
      <c r="J197" s="206">
        <f>H197+I197</f>
        <v/>
      </c>
      <c r="K197" s="208" t="n"/>
      <c r="L197" s="209">
        <f>J197-K197</f>
        <v/>
      </c>
      <c r="M197" s="210" t="n">
        <v>4059.41</v>
      </c>
      <c r="N197" s="206" t="n"/>
      <c r="O197" s="206">
        <f>L197-M197</f>
        <v/>
      </c>
      <c r="P197" s="206">
        <f>K197-N197</f>
        <v/>
      </c>
      <c r="Q197" s="206">
        <f>M197+O197</f>
        <v/>
      </c>
      <c r="R197" s="206">
        <f>M197+N197+O197+P197</f>
        <v/>
      </c>
      <c r="S197" s="206" t="n"/>
      <c r="T197" s="206" t="n"/>
      <c r="U197" s="206" t="n"/>
      <c r="V197" s="206" t="n"/>
    </row>
    <row r="198">
      <c r="A198" s="206" t="n"/>
      <c r="B198" s="206" t="n"/>
      <c r="C198" s="207" t="n"/>
      <c r="D198" s="207" t="inlineStr">
        <is>
          <t>生育保险</t>
        </is>
      </c>
      <c r="E198" s="206" t="n"/>
      <c r="F198" s="206" t="n"/>
      <c r="G198" s="206" t="n"/>
      <c r="H198" s="206" t="n"/>
      <c r="I198" s="206" t="n"/>
      <c r="J198" s="206">
        <f>H198+I198</f>
        <v/>
      </c>
      <c r="K198" s="208" t="n"/>
      <c r="L198" s="209">
        <f>J198-K198</f>
        <v/>
      </c>
      <c r="M198" s="210" t="n">
        <v>4798.28</v>
      </c>
      <c r="N198" s="206" t="n"/>
      <c r="O198" s="206">
        <f>L198-M198</f>
        <v/>
      </c>
      <c r="P198" s="206">
        <f>K198-N198</f>
        <v/>
      </c>
      <c r="Q198" s="206">
        <f>M198+O198</f>
        <v/>
      </c>
      <c r="R198" s="206">
        <f>M198+N198+O198+P198</f>
        <v/>
      </c>
      <c r="S198" s="206" t="n"/>
      <c r="T198" s="206" t="n"/>
      <c r="U198" s="206" t="n"/>
      <c r="V198" s="206" t="n"/>
    </row>
    <row r="199">
      <c r="A199" s="206" t="n"/>
      <c r="B199" s="206" t="n"/>
      <c r="C199" s="207" t="n"/>
      <c r="D199" s="207" t="inlineStr">
        <is>
          <t>社保及公积金</t>
        </is>
      </c>
      <c r="E199" s="206" t="n"/>
      <c r="F199" s="206" t="n"/>
      <c r="G199" s="206" t="n"/>
      <c r="H199" s="206" t="n"/>
      <c r="I199" s="206" t="n"/>
      <c r="J199" s="206">
        <f>H199+I199</f>
        <v/>
      </c>
      <c r="K199" s="208" t="n"/>
      <c r="L199" s="209">
        <f>J199-K199</f>
        <v/>
      </c>
      <c r="M199" s="210" t="n">
        <v>1410339.33</v>
      </c>
      <c r="N199" s="206" t="n"/>
      <c r="O199" s="206">
        <f>L199-M199</f>
        <v/>
      </c>
      <c r="P199" s="206">
        <f>K199-N199</f>
        <v/>
      </c>
      <c r="Q199" s="206">
        <f>M199+O199</f>
        <v/>
      </c>
      <c r="R199" s="206">
        <f>M199+N199+O199+P199</f>
        <v/>
      </c>
      <c r="S199" s="206" t="n"/>
      <c r="T199" s="206" t="n"/>
      <c r="U199" s="206" t="n"/>
      <c r="V199" s="206" t="n"/>
    </row>
    <row r="200">
      <c r="A200" s="206" t="n"/>
      <c r="B200" s="206" t="n"/>
      <c r="C200" s="207" t="n"/>
      <c r="D200" s="207" t="inlineStr">
        <is>
          <t>租车费</t>
        </is>
      </c>
      <c r="E200" s="206" t="n"/>
      <c r="F200" s="206" t="n"/>
      <c r="G200" s="206" t="n"/>
      <c r="H200" s="206" t="n"/>
      <c r="I200" s="206" t="n"/>
      <c r="J200" s="206">
        <f>H200+I200</f>
        <v/>
      </c>
      <c r="K200" s="208" t="n"/>
      <c r="L200" s="209">
        <f>J200-K200</f>
        <v/>
      </c>
      <c r="M200" s="210" t="n">
        <v>429894.83</v>
      </c>
      <c r="N200" s="206" t="n"/>
      <c r="O200" s="206">
        <f>L200-M200</f>
        <v/>
      </c>
      <c r="P200" s="206">
        <f>K200-N200</f>
        <v/>
      </c>
      <c r="Q200" s="206">
        <f>M200+O200</f>
        <v/>
      </c>
      <c r="R200" s="206">
        <f>M200+N200+O200+P200</f>
        <v/>
      </c>
      <c r="S200" s="206" t="n"/>
      <c r="T200" s="206" t="n"/>
      <c r="U200" s="206" t="n"/>
      <c r="V200" s="206" t="n"/>
    </row>
    <row r="201">
      <c r="A201" s="206" t="n"/>
      <c r="B201" s="206" t="n"/>
      <c r="C201" s="207" t="n"/>
      <c r="D201" s="207" t="inlineStr">
        <is>
          <t>维修保养费</t>
        </is>
      </c>
      <c r="E201" s="206" t="n"/>
      <c r="F201" s="206" t="n"/>
      <c r="G201" s="206" t="n"/>
      <c r="H201" s="206" t="n"/>
      <c r="I201" s="206" t="n"/>
      <c r="J201" s="206">
        <f>H201+I201</f>
        <v/>
      </c>
      <c r="K201" s="208" t="n"/>
      <c r="L201" s="209">
        <f>J201-K201</f>
        <v/>
      </c>
      <c r="M201" s="210" t="n">
        <v>34521.89</v>
      </c>
      <c r="N201" s="206" t="n"/>
      <c r="O201" s="206">
        <f>L201-M201</f>
        <v/>
      </c>
      <c r="P201" s="206">
        <f>K201-N201</f>
        <v/>
      </c>
      <c r="Q201" s="206">
        <f>M201+O201</f>
        <v/>
      </c>
      <c r="R201" s="206">
        <f>M201+N201+O201+P201</f>
        <v/>
      </c>
      <c r="S201" s="206" t="n"/>
      <c r="T201" s="206" t="n"/>
      <c r="U201" s="206" t="n"/>
      <c r="V201" s="206" t="n"/>
    </row>
    <row r="202">
      <c r="A202" s="206" t="n"/>
      <c r="B202" s="206" t="n"/>
      <c r="C202" s="207" t="n"/>
      <c r="D202" s="207" t="inlineStr">
        <is>
          <t>网络使用费</t>
        </is>
      </c>
      <c r="E202" s="206" t="n"/>
      <c r="F202" s="206" t="n"/>
      <c r="G202" s="206" t="n"/>
      <c r="H202" s="206" t="n"/>
      <c r="I202" s="206" t="n"/>
      <c r="J202" s="206">
        <f>H202+I202</f>
        <v/>
      </c>
      <c r="K202" s="208" t="n"/>
      <c r="L202" s="209">
        <f>J202-K202</f>
        <v/>
      </c>
      <c r="M202" s="210" t="n">
        <v>114830.51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职工教育经费</t>
        </is>
      </c>
      <c r="E203" s="206" t="n"/>
      <c r="F203" s="206" t="n"/>
      <c r="G203" s="206" t="n"/>
      <c r="H203" s="206" t="n"/>
      <c r="I203" s="206" t="n"/>
      <c r="J203" s="206">
        <f>H203+I203</f>
        <v/>
      </c>
      <c r="K203" s="208" t="n"/>
      <c r="L203" s="209">
        <f>J203-K203</f>
        <v/>
      </c>
      <c r="M203" s="210" t="n">
        <v>135820.32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206" t="n"/>
      <c r="B204" s="206" t="n"/>
      <c r="C204" s="207" t="n"/>
      <c r="D204" s="207" t="inlineStr">
        <is>
          <t>职工福利费</t>
        </is>
      </c>
      <c r="E204" s="206" t="n"/>
      <c r="F204" s="206" t="n"/>
      <c r="G204" s="206" t="n"/>
      <c r="H204" s="206" t="n"/>
      <c r="I204" s="206" t="n"/>
      <c r="J204" s="206">
        <f>H204+I204</f>
        <v/>
      </c>
      <c r="K204" s="208" t="n"/>
      <c r="L204" s="209">
        <f>J204-K204</f>
        <v/>
      </c>
      <c r="M204" s="210" t="n">
        <v>824342.88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补充医疗保险</t>
        </is>
      </c>
      <c r="E205" s="206" t="n"/>
      <c r="F205" s="206" t="n"/>
      <c r="G205" s="206" t="n"/>
      <c r="H205" s="206" t="n"/>
      <c r="I205" s="206" t="n"/>
      <c r="J205" s="206">
        <f>H205+I205</f>
        <v/>
      </c>
      <c r="K205" s="208" t="n"/>
      <c r="L205" s="209">
        <f>J205-K205</f>
        <v/>
      </c>
      <c r="M205" s="210" t="n">
        <v>7322.89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诉讼费</t>
        </is>
      </c>
      <c r="E206" s="206" t="n"/>
      <c r="F206" s="206" t="n"/>
      <c r="G206" s="206" t="n"/>
      <c r="H206" s="206" t="n"/>
      <c r="I206" s="206" t="n"/>
      <c r="J206" s="206">
        <f>H206+I206</f>
        <v/>
      </c>
      <c r="K206" s="208" t="n"/>
      <c r="L206" s="209">
        <f>J206-K206</f>
        <v/>
      </c>
      <c r="M206" s="210" t="n">
        <v>36638.87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206" t="n"/>
      <c r="B207" s="206" t="n"/>
      <c r="C207" s="207" t="n"/>
      <c r="D207" s="207" t="inlineStr">
        <is>
          <t>路桥及停车费</t>
        </is>
      </c>
      <c r="E207" s="206" t="n"/>
      <c r="F207" s="206" t="n"/>
      <c r="G207" s="206" t="n"/>
      <c r="H207" s="206" t="n"/>
      <c r="I207" s="206" t="n"/>
      <c r="J207" s="206">
        <f>H207+I207</f>
        <v/>
      </c>
      <c r="K207" s="208" t="n"/>
      <c r="L207" s="209">
        <f>J207-K207</f>
        <v/>
      </c>
      <c r="M207" s="210" t="n">
        <v>78817.39999999999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</row>
    <row r="208">
      <c r="A208" s="206" t="n"/>
      <c r="B208" s="206" t="n"/>
      <c r="C208" s="207" t="n"/>
      <c r="D208" s="207" t="inlineStr">
        <is>
          <t>软件费</t>
        </is>
      </c>
      <c r="E208" s="206" t="n"/>
      <c r="F208" s="206" t="n"/>
      <c r="G208" s="206" t="n"/>
      <c r="H208" s="206" t="n"/>
      <c r="I208" s="206" t="n"/>
      <c r="J208" s="206">
        <f>H208+I208</f>
        <v/>
      </c>
      <c r="K208" s="208" t="n"/>
      <c r="L208" s="209">
        <f>J208-K208</f>
        <v/>
      </c>
      <c r="M208" s="210" t="n">
        <v>209326.47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</row>
    <row r="209">
      <c r="A209" s="206" t="n"/>
      <c r="B209" s="206" t="n"/>
      <c r="C209" s="207" t="n"/>
      <c r="D209" s="207" t="inlineStr">
        <is>
          <t>通信费</t>
        </is>
      </c>
      <c r="E209" s="206" t="n"/>
      <c r="F209" s="206" t="n"/>
      <c r="G209" s="206" t="n"/>
      <c r="H209" s="206" t="n"/>
      <c r="I209" s="206" t="n"/>
      <c r="J209" s="206">
        <f>H209+I209</f>
        <v/>
      </c>
      <c r="K209" s="208" t="n"/>
      <c r="L209" s="209">
        <f>J209-K209</f>
        <v/>
      </c>
      <c r="M209" s="210" t="n">
        <v>192969.09</v>
      </c>
      <c r="N209" s="206" t="n"/>
      <c r="O209" s="206">
        <f>L209-M209</f>
        <v/>
      </c>
      <c r="P209" s="206">
        <f>K209-N209</f>
        <v/>
      </c>
      <c r="Q209" s="206">
        <f>M209+O209</f>
        <v/>
      </c>
      <c r="R209" s="206">
        <f>M209+N209+O209+P209</f>
        <v/>
      </c>
      <c r="S209" s="206" t="n"/>
      <c r="T209" s="206" t="n"/>
      <c r="U209" s="206" t="n"/>
      <c r="V209" s="206" t="n"/>
    </row>
    <row r="210">
      <c r="A210" s="206" t="n"/>
      <c r="B210" s="206" t="n"/>
      <c r="C210" s="207" t="n"/>
      <c r="D210" s="207" t="inlineStr">
        <is>
          <t>邮寄费</t>
        </is>
      </c>
      <c r="E210" s="206" t="n"/>
      <c r="F210" s="206" t="n"/>
      <c r="G210" s="206" t="n"/>
      <c r="H210" s="206" t="n"/>
      <c r="I210" s="206" t="n"/>
      <c r="J210" s="206">
        <f>H210+I210</f>
        <v/>
      </c>
      <c r="K210" s="208" t="n"/>
      <c r="L210" s="209">
        <f>J210-K210</f>
        <v/>
      </c>
      <c r="M210" s="210" t="n">
        <v>1030.72</v>
      </c>
      <c r="N210" s="206" t="n"/>
      <c r="O210" s="206">
        <f>L210-M210</f>
        <v/>
      </c>
      <c r="P210" s="206">
        <f>K210-N210</f>
        <v/>
      </c>
      <c r="Q210" s="206">
        <f>M210+O210</f>
        <v/>
      </c>
      <c r="R210" s="206">
        <f>M210+N210+O210+P210</f>
        <v/>
      </c>
      <c r="S210" s="206" t="n"/>
      <c r="T210" s="206" t="n"/>
      <c r="U210" s="206" t="n"/>
      <c r="V210" s="206" t="n"/>
    </row>
    <row r="211">
      <c r="A211" s="33" t="n"/>
      <c r="B211" s="199" t="n"/>
      <c r="C211" s="199" t="n"/>
      <c r="D211" s="211" t="inlineStr">
        <is>
          <t>**财务未列部分需增列***</t>
        </is>
      </c>
      <c r="E211" s="212" t="n"/>
      <c r="F211" s="212" t="n"/>
      <c r="G211" s="212" t="n"/>
      <c r="H211" s="234" t="n"/>
      <c r="I211" s="189" t="n"/>
      <c r="J211" s="234" t="n"/>
      <c r="K211" s="201" t="n"/>
      <c r="L211" s="202" t="n"/>
      <c r="M211" s="234" t="n"/>
      <c r="N211" s="189" t="n"/>
      <c r="O211" s="189">
        <f>L211-M211</f>
        <v/>
      </c>
      <c r="P211" s="189">
        <f>K211-N211</f>
        <v/>
      </c>
      <c r="Q211" s="189">
        <f>M211+O211</f>
        <v/>
      </c>
      <c r="R211" s="189">
        <f>M211+N211+O211+P211</f>
        <v/>
      </c>
      <c r="S211" s="203">
        <f>SUM(T211:V211)</f>
        <v/>
      </c>
      <c r="T211" s="234" t="n"/>
      <c r="U211" s="234" t="n"/>
      <c r="V211" s="234" t="n"/>
      <c r="W211" s="234" t="n"/>
      <c r="X211" s="234" t="n"/>
      <c r="Y211" s="234" t="n"/>
      <c r="Z211" s="234" t="n"/>
      <c r="AA211" s="203" t="n"/>
      <c r="AB211" s="188" t="n"/>
      <c r="AC211" s="188" t="n"/>
      <c r="AD211" s="188" t="n"/>
      <c r="AE211" s="188" t="n"/>
      <c r="AF211" s="188" t="n"/>
      <c r="AG211" s="188" t="n"/>
      <c r="AH211" s="188" t="n"/>
      <c r="AI211" s="188" t="n"/>
      <c r="AJ211" s="188" t="n"/>
      <c r="AK211" s="188" t="n"/>
      <c r="AL211" s="214" t="n"/>
    </row>
    <row r="212">
      <c r="A212" s="55" t="n"/>
      <c r="B212" s="235" t="n"/>
      <c r="C212" s="235" t="n"/>
      <c r="D212" s="231" t="inlineStr">
        <is>
          <t>间接费小计：</t>
        </is>
      </c>
      <c r="E212" s="236" t="n"/>
      <c r="F212" s="236" t="n"/>
      <c r="G212" s="236" t="n"/>
      <c r="H212" s="217">
        <f>SUM(H172:H211)</f>
        <v/>
      </c>
      <c r="I212" s="217">
        <f>SUM(I172:I211)</f>
        <v/>
      </c>
      <c r="J212" s="217">
        <f>SUM(J172:J211)</f>
        <v/>
      </c>
      <c r="K212" s="217">
        <f>SUM(K172:K211)</f>
        <v/>
      </c>
      <c r="L212" s="233">
        <f>SUM(L172:L211)</f>
        <v/>
      </c>
      <c r="M212" s="233">
        <f>SUM(M172:M211)</f>
        <v/>
      </c>
      <c r="N212" s="233">
        <f>SUM(N172:N211)</f>
        <v/>
      </c>
      <c r="O212" s="233">
        <f>SUM(O172:O211)</f>
        <v/>
      </c>
      <c r="P212" s="233">
        <f>SUM(P172:P211)</f>
        <v/>
      </c>
      <c r="Q212" s="233">
        <f>SUM(Q172:Q211)</f>
        <v/>
      </c>
      <c r="R212" s="233">
        <f>SUM(R172:R211)</f>
        <v/>
      </c>
      <c r="S212" s="233">
        <f>SUM(S172:S211)</f>
        <v/>
      </c>
      <c r="T212" s="233" t="n"/>
      <c r="U212" s="233" t="n"/>
      <c r="V212" s="233" t="n"/>
      <c r="W212" s="233" t="n"/>
      <c r="X212" s="233" t="n"/>
      <c r="Y212" s="233" t="n"/>
      <c r="Z212" s="233">
        <f>SUM(Z172:Z211)</f>
        <v/>
      </c>
      <c r="AA212" s="233">
        <f>SUM(AA172:AA211)</f>
        <v/>
      </c>
      <c r="AB212" s="233">
        <f>SUM(AB172:AB211)</f>
        <v/>
      </c>
      <c r="AC212" s="233">
        <f>SUM(AC172:AC211)</f>
        <v/>
      </c>
      <c r="AD212" s="233">
        <f>SUM(AD172:AD211)</f>
        <v/>
      </c>
      <c r="AE212" s="233">
        <f>SUM(AE172:AE211)</f>
        <v/>
      </c>
      <c r="AF212" s="233">
        <f>SUM(AF172:AF211)</f>
        <v/>
      </c>
      <c r="AG212" s="233" t="n"/>
      <c r="AH212" s="233" t="n"/>
      <c r="AI212" s="233">
        <f>SUM(AI172:AI211)</f>
        <v/>
      </c>
      <c r="AJ212" s="233">
        <f>SUM(AJ172:AJ211)</f>
        <v/>
      </c>
      <c r="AK212" s="233">
        <f>SUM(AK172:AK211)</f>
        <v/>
      </c>
      <c r="AL212" s="214" t="n"/>
    </row>
    <row r="213">
      <c r="A213" s="33" t="n"/>
      <c r="B213" s="199" t="n"/>
      <c r="C213" s="199" t="n"/>
      <c r="D213" s="218" t="inlineStr">
        <is>
          <t>（七）安全费</t>
        </is>
      </c>
      <c r="E213" s="212" t="n"/>
      <c r="F213" s="212" t="n"/>
      <c r="G213" s="212" t="n"/>
      <c r="H213" s="189" t="n"/>
      <c r="I213" s="189" t="n"/>
      <c r="J213" s="184" t="n">
        <v>0</v>
      </c>
      <c r="K213" s="237" t="n"/>
      <c r="L213" s="202">
        <f>J213-N213-P213</f>
        <v/>
      </c>
      <c r="M213" s="189" t="n"/>
      <c r="N213" s="189" t="n"/>
      <c r="O213" s="189">
        <f>L213-M213</f>
        <v/>
      </c>
      <c r="P213" s="189">
        <f>K213-N213</f>
        <v/>
      </c>
      <c r="Q213" s="189">
        <f>M213+O213</f>
        <v/>
      </c>
      <c r="R213" s="189">
        <f>M213+N213+O213+P213</f>
        <v/>
      </c>
      <c r="S213" s="203">
        <f>SUM(T213:V213)</f>
        <v/>
      </c>
      <c r="T213" s="234" t="n"/>
      <c r="U213" s="234" t="n"/>
      <c r="V213" s="234" t="n"/>
      <c r="W213" s="234" t="n"/>
      <c r="X213" s="234" t="n"/>
      <c r="Y213" s="234" t="n"/>
      <c r="Z213" s="230" t="n"/>
      <c r="AA213" s="203" t="n"/>
      <c r="AB213" s="188" t="n"/>
      <c r="AC213" s="188" t="n"/>
      <c r="AD213" s="188" t="n"/>
      <c r="AE213" s="188" t="n"/>
      <c r="AF213" s="188" t="n"/>
      <c r="AG213" s="188" t="n"/>
      <c r="AH213" s="188" t="n"/>
      <c r="AI213" s="188" t="n"/>
      <c r="AJ213" s="188" t="n"/>
      <c r="AK213" s="188" t="n"/>
      <c r="AL213" s="214" t="n"/>
    </row>
    <row r="214">
      <c r="A214" s="206" t="n"/>
      <c r="B214" s="206" t="n"/>
      <c r="C214" s="207" t="n"/>
      <c r="D214" s="207" t="inlineStr">
        <is>
          <t>安全生产-人工费</t>
        </is>
      </c>
      <c r="E214" s="206" t="n"/>
      <c r="F214" s="206" t="n"/>
      <c r="G214" s="206" t="n"/>
      <c r="H214" s="206" t="n"/>
      <c r="I214" s="206" t="n"/>
      <c r="J214" s="206">
        <f>H214+I214</f>
        <v/>
      </c>
      <c r="K214" s="208" t="n"/>
      <c r="L214" s="209">
        <f>J214-K214</f>
        <v/>
      </c>
      <c r="M214" s="210" t="n">
        <v>2852405.63</v>
      </c>
      <c r="N214" s="206" t="n"/>
      <c r="O214" s="206">
        <f>L214-M214</f>
        <v/>
      </c>
      <c r="P214" s="206">
        <f>K214-N214</f>
        <v/>
      </c>
      <c r="Q214" s="206">
        <f>M214+O214</f>
        <v/>
      </c>
      <c r="R214" s="206">
        <f>M214+N214+O214+P214</f>
        <v/>
      </c>
      <c r="S214" s="206" t="n"/>
      <c r="T214" s="206" t="n"/>
      <c r="U214" s="206" t="n"/>
      <c r="V214" s="206" t="n"/>
    </row>
    <row r="215">
      <c r="A215" s="206" t="n"/>
      <c r="B215" s="206" t="n"/>
      <c r="C215" s="207" t="n"/>
      <c r="D215" s="207" t="inlineStr">
        <is>
          <t>安全生产-分包工程</t>
        </is>
      </c>
      <c r="E215" s="206" t="n"/>
      <c r="F215" s="206" t="n"/>
      <c r="G215" s="206" t="n"/>
      <c r="H215" s="206" t="n"/>
      <c r="I215" s="206" t="n"/>
      <c r="J215" s="206">
        <f>H215+I215</f>
        <v/>
      </c>
      <c r="K215" s="208" t="n"/>
      <c r="L215" s="209">
        <f>J215-K215</f>
        <v/>
      </c>
      <c r="M215" s="210" t="n">
        <v>12546095.85</v>
      </c>
      <c r="N215" s="206" t="n"/>
      <c r="O215" s="206">
        <f>L215-M215</f>
        <v/>
      </c>
      <c r="P215" s="206">
        <f>K215-N215</f>
        <v/>
      </c>
      <c r="Q215" s="206">
        <f>M215+O215</f>
        <v/>
      </c>
      <c r="R215" s="206">
        <f>M215+N215+O215+P215</f>
        <v/>
      </c>
      <c r="S215" s="206" t="n"/>
      <c r="T215" s="206" t="n"/>
      <c r="U215" s="206" t="n"/>
      <c r="V215" s="206" t="n"/>
    </row>
    <row r="216">
      <c r="A216" s="206" t="n"/>
      <c r="B216" s="206" t="n"/>
      <c r="C216" s="207" t="n"/>
      <c r="D216" s="207" t="inlineStr">
        <is>
          <t>安全生产-机械使用</t>
        </is>
      </c>
      <c r="E216" s="206" t="n"/>
      <c r="F216" s="206" t="n"/>
      <c r="G216" s="206" t="n"/>
      <c r="H216" s="206" t="n"/>
      <c r="I216" s="206" t="n"/>
      <c r="J216" s="206">
        <f>H216+I216</f>
        <v/>
      </c>
      <c r="K216" s="208" t="n"/>
      <c r="L216" s="209">
        <f>J216-K216</f>
        <v/>
      </c>
      <c r="M216" s="210" t="n">
        <v>326856.87</v>
      </c>
      <c r="N216" s="206" t="n"/>
      <c r="O216" s="206">
        <f>L216-M216</f>
        <v/>
      </c>
      <c r="P216" s="206">
        <f>K216-N216</f>
        <v/>
      </c>
      <c r="Q216" s="206">
        <f>M216+O216</f>
        <v/>
      </c>
      <c r="R216" s="206">
        <f>M216+N216+O216+P216</f>
        <v/>
      </c>
      <c r="S216" s="206" t="n"/>
      <c r="T216" s="206" t="n"/>
      <c r="U216" s="206" t="n"/>
      <c r="V216" s="206" t="n"/>
    </row>
    <row r="217">
      <c r="A217" s="206" t="n"/>
      <c r="B217" s="206" t="n"/>
      <c r="C217" s="207" t="n"/>
      <c r="D217" s="207" t="inlineStr">
        <is>
          <t>安全生产费-报销</t>
        </is>
      </c>
      <c r="E217" s="206" t="n"/>
      <c r="F217" s="206" t="n"/>
      <c r="G217" s="206" t="n"/>
      <c r="H217" s="206" t="n"/>
      <c r="I217" s="206" t="n"/>
      <c r="J217" s="206">
        <f>H217+I217</f>
        <v/>
      </c>
      <c r="K217" s="208" t="n"/>
      <c r="L217" s="209">
        <f>J217-K217</f>
        <v/>
      </c>
      <c r="M217" s="210" t="n">
        <v>2066826.1</v>
      </c>
      <c r="N217" s="206" t="n"/>
      <c r="O217" s="206">
        <f>L217-M217</f>
        <v/>
      </c>
      <c r="P217" s="206">
        <f>K217-N217</f>
        <v/>
      </c>
      <c r="Q217" s="206">
        <f>M217+O217</f>
        <v/>
      </c>
      <c r="R217" s="206">
        <f>M217+N217+O217+P217</f>
        <v/>
      </c>
      <c r="S217" s="206" t="n"/>
      <c r="T217" s="206" t="n"/>
      <c r="U217" s="206" t="n"/>
      <c r="V217" s="206" t="n"/>
    </row>
    <row r="218">
      <c r="A218" s="55" t="n"/>
      <c r="B218" s="235" t="n"/>
      <c r="C218" s="235" t="n"/>
      <c r="D218" s="231" t="inlineStr">
        <is>
          <t>安全费小计：</t>
        </is>
      </c>
      <c r="E218" s="231" t="n"/>
      <c r="F218" s="231" t="n"/>
      <c r="G218" s="231" t="n"/>
      <c r="H218" s="217">
        <f>SUM(H213:H217)</f>
        <v/>
      </c>
      <c r="I218" s="217">
        <f>SUM(I213:I217)</f>
        <v/>
      </c>
      <c r="J218" s="217" t="n">
        <v>0</v>
      </c>
      <c r="K218" s="217" t="n">
        <v>0</v>
      </c>
      <c r="L218" s="202">
        <f>J218-K218</f>
        <v/>
      </c>
      <c r="M218" s="233">
        <f>SUM(M213:M217)</f>
        <v/>
      </c>
      <c r="N218" s="233">
        <f>SUM(N213:N217)</f>
        <v/>
      </c>
      <c r="O218" s="233">
        <f>SUM(O213:O217)</f>
        <v/>
      </c>
      <c r="P218" s="233">
        <f>SUM(P213:P217)</f>
        <v/>
      </c>
      <c r="Q218" s="233">
        <f>SUM(Q213:Q217)</f>
        <v/>
      </c>
      <c r="R218" s="233">
        <f>SUM(R213:R217)</f>
        <v/>
      </c>
      <c r="S218" s="233">
        <f>SUM(S213:S217)</f>
        <v/>
      </c>
      <c r="T218" s="238" t="n"/>
      <c r="U218" s="238" t="n"/>
      <c r="V218" s="238" t="n"/>
      <c r="W218" s="238" t="n"/>
      <c r="X218" s="238" t="n"/>
      <c r="Y218" s="238" t="n"/>
      <c r="Z218" s="238" t="n"/>
      <c r="AA218" s="238">
        <f>SUM(AA213:AA217)</f>
        <v/>
      </c>
      <c r="AB218" s="238">
        <f>SUM(AB213:AB217)</f>
        <v/>
      </c>
      <c r="AC218" s="238">
        <f>SUM(AC213:AC217)</f>
        <v/>
      </c>
      <c r="AD218" s="238">
        <f>SUM(AD213:AD217)</f>
        <v/>
      </c>
      <c r="AE218" s="238">
        <f>SUM(AE213:AE217)</f>
        <v/>
      </c>
      <c r="AF218" s="238">
        <f>SUM(AF213:AF217)</f>
        <v/>
      </c>
      <c r="AG218" s="238" t="n"/>
      <c r="AH218" s="238" t="n"/>
      <c r="AI218" s="238">
        <f>SUM(AI213:AI217)</f>
        <v/>
      </c>
      <c r="AJ218" s="238">
        <f>SUM(AJ213:AJ217)</f>
        <v/>
      </c>
      <c r="AK218" s="238">
        <f>SUM(AK213:AK217)</f>
        <v/>
      </c>
      <c r="AL218" s="239" t="n"/>
    </row>
    <row r="219">
      <c r="A219" s="55" t="n"/>
      <c r="B219" s="235" t="n"/>
      <c r="C219" s="235" t="n"/>
      <c r="D219" s="231" t="inlineStr">
        <is>
          <t>三、成本合计：</t>
        </is>
      </c>
      <c r="E219" s="236" t="n"/>
      <c r="F219" s="236" t="n"/>
      <c r="G219" s="236" t="n"/>
      <c r="H219" s="217">
        <f>H35+H69+H125+H163+H171+H212+H218</f>
        <v/>
      </c>
      <c r="I219" s="217">
        <f>I35+I69+I125+I163+I171+I212+I218</f>
        <v/>
      </c>
      <c r="J219" s="217">
        <f>J35+J69+J125+J163+J171+J212+J218</f>
        <v/>
      </c>
      <c r="K219" s="217">
        <f>K35+K69+K125+K163+K171+K212+K218</f>
        <v/>
      </c>
      <c r="L219" s="233">
        <f>L35+L69+L125+L163+L171+L212+L218</f>
        <v/>
      </c>
      <c r="M219" s="238">
        <f>M35+M69+M125+M163+M171+M212+M218</f>
        <v/>
      </c>
      <c r="N219" s="238">
        <f>N35+N69+N125+N163+N171+N212+N218</f>
        <v/>
      </c>
      <c r="O219" s="238">
        <f>O35+O69+O125+O163+O171+O212+O218</f>
        <v/>
      </c>
      <c r="P219" s="238">
        <f>P35+P69+P125+P163+P171+P212+P218</f>
        <v/>
      </c>
      <c r="Q219" s="238">
        <f>Q35+Q69+Q125+Q163+Q171+Q212+Q218</f>
        <v/>
      </c>
      <c r="R219" s="238">
        <f>R35+R69+R125+R163+R171+R212+R218</f>
        <v/>
      </c>
      <c r="S219" s="238">
        <f>S35+S69+S125+S163+S171+S212+S218</f>
        <v/>
      </c>
      <c r="T219" s="238" t="n"/>
      <c r="U219" s="238" t="n"/>
      <c r="V219" s="238" t="n"/>
      <c r="W219" s="238" t="n"/>
      <c r="X219" s="238" t="n"/>
      <c r="Y219" s="238" t="n"/>
      <c r="Z219" s="238">
        <f>Z35+Z69+Z125+Z163+Z171+Z212+Z218</f>
        <v/>
      </c>
      <c r="AA219" s="238">
        <f>AA35+AA69+AA125+AA163+AA171+AA212+AA218</f>
        <v/>
      </c>
      <c r="AB219" s="238">
        <f>AB35+AB69+AB125+AB163+AB171+AB212+AB218</f>
        <v/>
      </c>
      <c r="AC219" s="238">
        <f>AC35+AC69+AC125+AC163+AC171+AC212+AC218</f>
        <v/>
      </c>
      <c r="AD219" s="238">
        <f>AD35+AD69+AD125+AD163+AD171+AD212+AD218</f>
        <v/>
      </c>
      <c r="AE219" s="238">
        <f>AE35+AE69+AE125+AE163+AE171+AE212+AE218</f>
        <v/>
      </c>
      <c r="AF219" s="238">
        <f>AF35+AF69+AF125+AF163+AF171+AF212+AF218</f>
        <v/>
      </c>
      <c r="AG219" s="238" t="n"/>
      <c r="AH219" s="238" t="n"/>
      <c r="AI219" s="238">
        <f>AI35+AI69+AI125+AI163+AI171+AI212+AI218</f>
        <v/>
      </c>
      <c r="AJ219" s="238">
        <f>AJ35+AJ69+AJ125+AJ163+AJ171+AJ212+AJ218</f>
        <v/>
      </c>
      <c r="AK219" s="238">
        <f>AK35+AK69+AK125+AK163+AK171+AK212+AK218</f>
        <v/>
      </c>
      <c r="AL219" s="239" t="n"/>
    </row>
    <row r="220">
      <c r="A220" s="33" t="n"/>
      <c r="B220" s="199" t="n"/>
      <c r="C220" s="199" t="n"/>
      <c r="D220" s="218" t="inlineStr">
        <is>
          <t>四、计提保修金</t>
        </is>
      </c>
      <c r="E220" s="240" t="inlineStr">
        <is>
          <t>（在建：房建0.6%，其它0.4%；在保修期间的按0.3~0.5%自行确定;保修期结束为0）</t>
        </is>
      </c>
      <c r="F220" s="240" t="n"/>
      <c r="G220" s="240" t="n"/>
      <c r="H220" s="184" t="n"/>
      <c r="I220" s="184" t="n"/>
      <c r="J220" s="184">
        <f>H220+I220</f>
        <v/>
      </c>
      <c r="K220" s="184" t="n"/>
      <c r="L220" s="202">
        <f>J220-K220</f>
        <v/>
      </c>
      <c r="M220" s="189" t="n"/>
      <c r="N220" s="189" t="n"/>
      <c r="O220" s="189">
        <f>L220-M220</f>
        <v/>
      </c>
      <c r="P220" s="189">
        <f>K220-N220</f>
        <v/>
      </c>
      <c r="Q220" s="189">
        <f>M220+O220</f>
        <v/>
      </c>
      <c r="R220" s="189">
        <f>M220+N220+O220+P220</f>
        <v/>
      </c>
      <c r="S220" s="203">
        <f>SUM(T220:V220)</f>
        <v/>
      </c>
      <c r="T220" s="203" t="n"/>
      <c r="U220" s="203" t="n"/>
      <c r="V220" s="203" t="n"/>
      <c r="W220" s="203" t="n"/>
      <c r="X220" s="203" t="n"/>
      <c r="Y220" s="203" t="n"/>
      <c r="Z220" s="203" t="n"/>
      <c r="AA220" s="203">
        <f>Q69-S69</f>
        <v/>
      </c>
      <c r="AB220" s="241" t="n"/>
      <c r="AC220" s="241" t="n"/>
      <c r="AD220" s="241" t="n"/>
      <c r="AE220" s="241" t="n"/>
      <c r="AF220" s="241" t="n"/>
      <c r="AG220" s="241" t="n"/>
      <c r="AH220" s="241" t="n"/>
      <c r="AI220" s="241" t="n"/>
      <c r="AJ220" s="241" t="n"/>
      <c r="AK220" s="188" t="n"/>
      <c r="AL220" s="239" t="n"/>
    </row>
    <row r="221">
      <c r="A221" s="33" t="n"/>
      <c r="B221" s="199" t="n"/>
      <c r="C221" s="199" t="n"/>
      <c r="D221" s="218" t="inlineStr">
        <is>
          <t>五、过程节点奖金</t>
        </is>
      </c>
      <c r="E221" s="212" t="n"/>
      <c r="F221" s="212" t="n"/>
      <c r="G221" s="212" t="n"/>
      <c r="H221" s="184" t="n"/>
      <c r="I221" s="184" t="n"/>
      <c r="J221" s="184">
        <f>H221+I221</f>
        <v/>
      </c>
      <c r="K221" s="184" t="n"/>
      <c r="L221" s="202">
        <f>J221-K221</f>
        <v/>
      </c>
      <c r="M221" s="189" t="n"/>
      <c r="N221" s="189" t="n"/>
      <c r="O221" s="189">
        <f>L221-M221</f>
        <v/>
      </c>
      <c r="P221" s="189">
        <f>K221-N221</f>
        <v/>
      </c>
      <c r="Q221" s="189">
        <f>M221+O221</f>
        <v/>
      </c>
      <c r="R221" s="189">
        <f>M221+N221+O221+P221</f>
        <v/>
      </c>
      <c r="S221" s="203">
        <f>SUM(T221:V221)</f>
        <v/>
      </c>
      <c r="T221" s="203" t="n"/>
      <c r="U221" s="203" t="n"/>
      <c r="V221" s="203" t="n"/>
      <c r="W221" s="203" t="n"/>
      <c r="X221" s="203" t="n"/>
      <c r="Y221" s="203" t="n"/>
      <c r="Z221" s="203" t="n"/>
      <c r="AA221" s="203" t="n"/>
      <c r="AB221" s="188" t="n"/>
      <c r="AC221" s="188" t="n"/>
      <c r="AD221" s="188" t="n"/>
      <c r="AE221" s="188" t="n"/>
      <c r="AF221" s="188" t="n"/>
      <c r="AG221" s="188" t="n"/>
      <c r="AH221" s="188" t="n"/>
      <c r="AI221" s="188" t="n"/>
      <c r="AJ221" s="188" t="n"/>
      <c r="AK221" s="188" t="n"/>
      <c r="AL221" s="214" t="n"/>
    </row>
    <row r="222">
      <c r="A222" s="33" t="n"/>
      <c r="B222" s="199" t="n"/>
      <c r="C222" s="199" t="n"/>
      <c r="D222" s="218" t="inlineStr">
        <is>
          <t>六、资金占用费用</t>
        </is>
      </c>
      <c r="E222" s="212" t="n"/>
      <c r="F222" s="212" t="n"/>
      <c r="G222" s="212" t="n"/>
      <c r="H222" s="189" t="n"/>
      <c r="I222" s="189" t="n"/>
      <c r="J222" s="184">
        <f>H222+I222</f>
        <v/>
      </c>
      <c r="K222" s="189" t="n"/>
      <c r="L222" s="202">
        <f>J222-K222</f>
        <v/>
      </c>
      <c r="M222" s="223" t="n">
        <v>6780777.21</v>
      </c>
      <c r="N222" s="189" t="n"/>
      <c r="O222" s="189">
        <f>L222-M222</f>
        <v/>
      </c>
      <c r="P222" s="189">
        <f>K222-N222</f>
        <v/>
      </c>
      <c r="Q222" s="189">
        <f>M222+O222</f>
        <v/>
      </c>
      <c r="R222" s="189">
        <f>M222+N222+O222+P222</f>
        <v/>
      </c>
      <c r="S222" s="203">
        <f>SUM(T222:V222)</f>
        <v/>
      </c>
      <c r="T222" s="203" t="n"/>
      <c r="U222" s="203" t="n"/>
      <c r="V222" s="203" t="n"/>
      <c r="W222" s="203" t="n"/>
      <c r="X222" s="203" t="n"/>
      <c r="Y222" s="203" t="n"/>
      <c r="Z222" s="203" t="n"/>
      <c r="AA222" s="203" t="n"/>
      <c r="AB222" s="188" t="n"/>
      <c r="AC222" s="188" t="n"/>
      <c r="AD222" s="188" t="n"/>
      <c r="AE222" s="188" t="n"/>
      <c r="AF222" s="188" t="n"/>
      <c r="AG222" s="188" t="n"/>
      <c r="AH222" s="188" t="n"/>
      <c r="AI222" s="188" t="n"/>
      <c r="AJ222" s="188" t="n"/>
      <c r="AK222" s="188" t="n"/>
      <c r="AL222" s="214" t="n"/>
    </row>
    <row r="223">
      <c r="A223" s="33" t="n"/>
      <c r="B223" s="199" t="n"/>
      <c r="C223" s="199" t="n"/>
      <c r="D223" s="218" t="inlineStr">
        <is>
          <t>七、局投资收益（局投资项目选填）</t>
        </is>
      </c>
      <c r="E223" s="212" t="n"/>
      <c r="F223" s="212" t="n"/>
      <c r="G223" s="212" t="n"/>
      <c r="H223" s="189" t="n"/>
      <c r="I223" s="189" t="n"/>
      <c r="J223" s="184">
        <f>H223+I223</f>
        <v/>
      </c>
      <c r="K223" s="189" t="n"/>
      <c r="L223" s="202">
        <f>J223-K223</f>
        <v/>
      </c>
      <c r="M223" s="189" t="n"/>
      <c r="N223" s="189" t="n"/>
      <c r="O223" s="189">
        <f>L223-M223</f>
        <v/>
      </c>
      <c r="P223" s="189">
        <f>K223-N223</f>
        <v/>
      </c>
      <c r="Q223" s="189">
        <f>M223+O223</f>
        <v/>
      </c>
      <c r="R223" s="189">
        <f>M223+N223+O223+P223</f>
        <v/>
      </c>
      <c r="S223" s="203">
        <f>SUM(T223:V223)</f>
        <v/>
      </c>
      <c r="T223" s="203" t="n"/>
      <c r="U223" s="203" t="n"/>
      <c r="V223" s="203" t="n"/>
      <c r="W223" s="203" t="n"/>
      <c r="X223" s="203" t="n"/>
      <c r="Y223" s="203" t="n"/>
      <c r="Z223" s="203" t="n"/>
      <c r="AA223" s="203" t="n"/>
      <c r="AB223" s="188" t="n"/>
      <c r="AC223" s="188" t="n"/>
      <c r="AD223" s="188" t="n"/>
      <c r="AE223" s="188" t="n"/>
      <c r="AF223" s="188" t="n"/>
      <c r="AG223" s="188" t="n"/>
      <c r="AH223" s="188" t="n"/>
      <c r="AI223" s="188" t="n"/>
      <c r="AJ223" s="188" t="n"/>
      <c r="AK223" s="188" t="n"/>
      <c r="AL223" s="214" t="n"/>
    </row>
    <row r="224">
      <c r="A224" s="55" t="n"/>
      <c r="B224" s="235" t="n"/>
      <c r="C224" s="235" t="n"/>
      <c r="D224" s="231" t="inlineStr">
        <is>
          <t>八、研发费用</t>
        </is>
      </c>
      <c r="E224" s="236" t="n"/>
      <c r="F224" s="236" t="n"/>
      <c r="G224" s="236" t="n"/>
      <c r="H224" s="217" t="n"/>
      <c r="I224" s="217" t="n"/>
      <c r="J224" s="217">
        <f>H224+I224</f>
        <v/>
      </c>
      <c r="K224" s="217" t="n"/>
      <c r="L224" s="233">
        <f>J224-K224</f>
        <v/>
      </c>
      <c r="M224" s="238">
        <f>SUM(M74:M76)</f>
        <v/>
      </c>
      <c r="N224" s="238">
        <f>SUM(N74:N76)</f>
        <v/>
      </c>
      <c r="O224" s="238">
        <f>SUM(O74:O76)</f>
        <v/>
      </c>
      <c r="P224" s="238">
        <f>SUM(P74:P76)</f>
        <v/>
      </c>
      <c r="Q224" s="238">
        <f>SUM(Q74:Q76)</f>
        <v/>
      </c>
      <c r="R224" s="238">
        <f>SUM(R74:R76)</f>
        <v/>
      </c>
      <c r="S224" s="238">
        <f>SUM(S74:S76)</f>
        <v/>
      </c>
      <c r="T224" s="238">
        <f>SUM(T74:T76)</f>
        <v/>
      </c>
      <c r="U224" s="238">
        <f>SUM(U74:U76)</f>
        <v/>
      </c>
      <c r="V224" s="238">
        <f>SUM(V74:V76)</f>
        <v/>
      </c>
      <c r="W224" s="238">
        <f>SUM(W74:W76)</f>
        <v/>
      </c>
      <c r="X224" s="238">
        <f>SUM(X74:X76)</f>
        <v/>
      </c>
      <c r="Y224" s="238">
        <f>SUM(Y74:Y76)</f>
        <v/>
      </c>
      <c r="Z224" s="238">
        <f>SUM(Z74:Z76)</f>
        <v/>
      </c>
      <c r="AA224" s="238">
        <f>SUM(AA74:AA76)</f>
        <v/>
      </c>
      <c r="AB224" s="238">
        <f>SUM(AB74:AB76)</f>
        <v/>
      </c>
      <c r="AC224" s="238">
        <f>SUM(AC74:AC76)</f>
        <v/>
      </c>
      <c r="AD224" s="238">
        <f>SUM(AD74:AD76)</f>
        <v/>
      </c>
      <c r="AE224" s="238">
        <f>SUM(AE74:AE76)</f>
        <v/>
      </c>
      <c r="AF224" s="238">
        <f>SUM(AF74:AF76)</f>
        <v/>
      </c>
      <c r="AG224" s="238">
        <f>SUM(AG74:AG76)</f>
        <v/>
      </c>
      <c r="AH224" s="238">
        <f>SUM(AH74:AH76)</f>
        <v/>
      </c>
      <c r="AI224" s="238">
        <f>SUM(AI74:AI76)</f>
        <v/>
      </c>
      <c r="AJ224" s="238">
        <f>SUM(AJ74:AJ76)</f>
        <v/>
      </c>
      <c r="AK224" s="238">
        <f>SUM(AK74:AK76)</f>
        <v/>
      </c>
      <c r="AL224" s="239" t="n"/>
    </row>
    <row r="225">
      <c r="A225" s="209" t="n"/>
      <c r="B225" s="209" t="n"/>
      <c r="C225" s="242" t="n"/>
      <c r="D225" s="242" t="inlineStr">
        <is>
          <t>人工成本</t>
        </is>
      </c>
      <c r="E225" s="209" t="n"/>
      <c r="F225" s="209" t="n"/>
      <c r="G225" s="209" t="n"/>
      <c r="H225" s="209" t="n"/>
      <c r="I225" s="209" t="n"/>
      <c r="J225" s="209" t="n"/>
      <c r="K225" s="209" t="n"/>
      <c r="L225" s="209" t="n"/>
      <c r="M225" s="243" t="n">
        <v>2069939.18</v>
      </c>
      <c r="N225" s="244" t="n"/>
      <c r="O225" s="244">
        <f>L225-M225</f>
        <v/>
      </c>
      <c r="P225" s="244">
        <f>K225-N225</f>
        <v/>
      </c>
      <c r="Q225" s="244">
        <f>M225+O225</f>
        <v/>
      </c>
      <c r="R225" s="244">
        <f>M225+N225+O225+P225</f>
        <v/>
      </c>
      <c r="S225" s="244" t="n"/>
      <c r="T225" s="244" t="n"/>
      <c r="U225" s="244" t="n"/>
      <c r="V225" s="244" t="n"/>
    </row>
    <row r="226">
      <c r="A226" s="209" t="n"/>
      <c r="B226" s="209" t="n"/>
      <c r="C226" s="242" t="n"/>
      <c r="D226" s="242" t="inlineStr">
        <is>
          <t>可用存款</t>
        </is>
      </c>
      <c r="E226" s="209" t="n"/>
      <c r="F226" s="209" t="n"/>
      <c r="G226" s="209" t="n"/>
      <c r="H226" s="209" t="n"/>
      <c r="I226" s="209" t="n"/>
      <c r="J226" s="209" t="n"/>
      <c r="K226" s="209" t="n"/>
      <c r="L226" s="209" t="n"/>
      <c r="M226" s="243" t="n">
        <v>2358.5</v>
      </c>
      <c r="N226" s="244" t="n"/>
      <c r="O226" s="244">
        <f>L226-M226</f>
        <v/>
      </c>
      <c r="P226" s="244">
        <f>K226-N226</f>
        <v/>
      </c>
      <c r="Q226" s="244">
        <f>M226+O226</f>
        <v/>
      </c>
      <c r="R226" s="244">
        <f>M226+N226+O226+P226</f>
        <v/>
      </c>
      <c r="S226" s="244" t="n"/>
      <c r="T226" s="244" t="n"/>
      <c r="U226" s="244" t="n"/>
      <c r="V226" s="244" t="n"/>
    </row>
    <row r="227">
      <c r="A227" s="209" t="n"/>
      <c r="B227" s="209" t="n"/>
      <c r="C227" s="242" t="n"/>
      <c r="D227" s="242" t="inlineStr">
        <is>
          <t>折旧</t>
        </is>
      </c>
      <c r="E227" s="209" t="n"/>
      <c r="F227" s="209" t="n"/>
      <c r="G227" s="209" t="n"/>
      <c r="H227" s="209" t="n"/>
      <c r="I227" s="209" t="n"/>
      <c r="J227" s="209" t="n"/>
      <c r="K227" s="209" t="n"/>
      <c r="L227" s="209" t="n"/>
      <c r="M227" s="243" t="n">
        <v>6857.02</v>
      </c>
      <c r="N227" s="244" t="n"/>
      <c r="O227" s="244">
        <f>L227-M227</f>
        <v/>
      </c>
      <c r="P227" s="244">
        <f>K227-N227</f>
        <v/>
      </c>
      <c r="Q227" s="244">
        <f>M227+O227</f>
        <v/>
      </c>
      <c r="R227" s="244">
        <f>M227+N227+O227+P227</f>
        <v/>
      </c>
      <c r="S227" s="244" t="n"/>
      <c r="T227" s="244" t="n"/>
      <c r="U227" s="244" t="n"/>
      <c r="V227" s="244" t="n"/>
    </row>
    <row r="228">
      <c r="A228" s="209" t="n"/>
      <c r="B228" s="209" t="n"/>
      <c r="C228" s="242" t="n"/>
      <c r="D228" s="242" t="inlineStr">
        <is>
          <t>机械租赁</t>
        </is>
      </c>
      <c r="E228" s="209" t="n"/>
      <c r="F228" s="209" t="n"/>
      <c r="G228" s="209" t="n"/>
      <c r="H228" s="209" t="n"/>
      <c r="I228" s="209" t="n"/>
      <c r="J228" s="209" t="n"/>
      <c r="K228" s="209" t="n"/>
      <c r="L228" s="209" t="n"/>
      <c r="M228" s="243" t="n">
        <v>63495</v>
      </c>
      <c r="N228" s="244" t="n"/>
      <c r="O228" s="244">
        <f>L228-M228</f>
        <v/>
      </c>
      <c r="P228" s="244">
        <f>K228-N228</f>
        <v/>
      </c>
      <c r="Q228" s="244">
        <f>M228+O228</f>
        <v/>
      </c>
      <c r="R228" s="244">
        <f>M228+N228+O228+P228</f>
        <v/>
      </c>
      <c r="S228" s="244" t="n"/>
      <c r="T228" s="244" t="n"/>
      <c r="U228" s="244" t="n"/>
      <c r="V228" s="244" t="n"/>
    </row>
    <row r="229">
      <c r="A229" s="209" t="n"/>
      <c r="B229" s="209" t="n"/>
      <c r="C229" s="242" t="n"/>
      <c r="D229" s="242" t="inlineStr">
        <is>
          <t>材料费</t>
        </is>
      </c>
      <c r="E229" s="209" t="n"/>
      <c r="F229" s="209" t="n"/>
      <c r="G229" s="209" t="n"/>
      <c r="H229" s="209" t="n"/>
      <c r="I229" s="209" t="n"/>
      <c r="J229" s="209" t="n"/>
      <c r="K229" s="209" t="n"/>
      <c r="L229" s="209" t="n"/>
      <c r="M229" s="243" t="n">
        <v>25030932</v>
      </c>
      <c r="N229" s="244" t="n"/>
      <c r="O229" s="244">
        <f>L229-M229</f>
        <v/>
      </c>
      <c r="P229" s="244">
        <f>K229-N229</f>
        <v/>
      </c>
      <c r="Q229" s="244">
        <f>M229+O229</f>
        <v/>
      </c>
      <c r="R229" s="244">
        <f>M229+N229+O229+P229</f>
        <v/>
      </c>
      <c r="S229" s="244" t="n"/>
      <c r="T229" s="244" t="n"/>
      <c r="U229" s="244" t="n"/>
      <c r="V229" s="244" t="n"/>
    </row>
    <row r="230">
      <c r="A230" s="33" t="n">
        <v>1</v>
      </c>
      <c r="B230" s="199" t="n"/>
      <c r="C230" s="199" t="n"/>
      <c r="D230" s="218" t="n"/>
      <c r="E230" s="212" t="n"/>
      <c r="F230" s="212" t="n"/>
      <c r="G230" s="212" t="n"/>
      <c r="H230" s="189" t="n"/>
      <c r="I230" s="189" t="n"/>
      <c r="J230" s="184">
        <f>H230+I230</f>
        <v/>
      </c>
      <c r="K230" s="189" t="n"/>
      <c r="L230" s="202">
        <f>J230-K230</f>
        <v/>
      </c>
      <c r="M230" s="189" t="n"/>
      <c r="N230" s="189" t="n"/>
      <c r="O230" s="189">
        <f>L230-M230</f>
        <v/>
      </c>
      <c r="P230" s="189">
        <f>K230-N230</f>
        <v/>
      </c>
      <c r="Q230" s="189">
        <f>M230+O230</f>
        <v/>
      </c>
      <c r="R230" s="189">
        <f>M230+N230+O230+P230</f>
        <v/>
      </c>
      <c r="S230" s="203">
        <f>SUM(T230:V230)</f>
        <v/>
      </c>
      <c r="T230" s="203" t="n"/>
      <c r="U230" s="203" t="n"/>
      <c r="V230" s="203" t="n"/>
      <c r="W230" s="203" t="n"/>
      <c r="X230" s="203" t="n"/>
      <c r="Y230" s="203" t="n"/>
      <c r="Z230" s="203" t="n"/>
      <c r="AA230" s="203" t="n"/>
      <c r="AB230" s="188" t="n"/>
      <c r="AC230" s="188" t="n"/>
      <c r="AD230" s="188" t="n"/>
      <c r="AE230" s="188" t="n"/>
      <c r="AF230" s="188" t="n"/>
      <c r="AG230" s="188" t="n"/>
      <c r="AH230" s="188" t="n"/>
      <c r="AI230" s="188" t="n"/>
      <c r="AJ230" s="188" t="n"/>
      <c r="AK230" s="188" t="n"/>
      <c r="AL230" s="214" t="n"/>
    </row>
    <row r="231">
      <c r="A231" s="33" t="n">
        <v>2</v>
      </c>
      <c r="B231" s="199" t="n"/>
      <c r="C231" s="199" t="n"/>
      <c r="D231" s="218" t="n"/>
      <c r="E231" s="212" t="n"/>
      <c r="F231" s="212" t="n"/>
      <c r="G231" s="212" t="n"/>
      <c r="H231" s="189" t="n"/>
      <c r="I231" s="189" t="n"/>
      <c r="J231" s="184" t="n"/>
      <c r="K231" s="189" t="n"/>
      <c r="L231" s="202" t="n"/>
      <c r="M231" s="189" t="n"/>
      <c r="N231" s="189" t="n"/>
      <c r="O231" s="189">
        <f>L231-M231</f>
        <v/>
      </c>
      <c r="P231" s="189">
        <f>K231-N231</f>
        <v/>
      </c>
      <c r="Q231" s="189">
        <f>M231+O231</f>
        <v/>
      </c>
      <c r="R231" s="189">
        <f>M231+N231+O231+P231</f>
        <v/>
      </c>
      <c r="S231" s="203">
        <f>SUM(T231:V231)</f>
        <v/>
      </c>
      <c r="T231" s="203" t="n"/>
      <c r="U231" s="203" t="n"/>
      <c r="V231" s="203" t="n"/>
      <c r="W231" s="203" t="n"/>
      <c r="X231" s="203" t="n"/>
      <c r="Y231" s="203" t="n"/>
      <c r="Z231" s="203" t="n"/>
      <c r="AA231" s="203" t="n"/>
      <c r="AB231" s="188" t="n"/>
      <c r="AC231" s="188" t="n"/>
      <c r="AD231" s="188" t="n"/>
      <c r="AE231" s="188" t="n"/>
      <c r="AF231" s="188" t="n"/>
      <c r="AG231" s="188" t="n"/>
      <c r="AH231" s="188" t="n"/>
      <c r="AI231" s="188" t="n"/>
      <c r="AJ231" s="188" t="n"/>
      <c r="AK231" s="188" t="n"/>
      <c r="AL231" s="214" t="n"/>
    </row>
    <row r="232">
      <c r="A232" s="33" t="n">
        <v>3</v>
      </c>
      <c r="B232" s="199" t="n"/>
      <c r="C232" s="199" t="n"/>
      <c r="D232" s="218" t="n"/>
      <c r="E232" s="212" t="n"/>
      <c r="F232" s="212" t="n"/>
      <c r="G232" s="212" t="n"/>
      <c r="H232" s="189" t="n"/>
      <c r="I232" s="189" t="n"/>
      <c r="J232" s="184" t="n"/>
      <c r="K232" s="189" t="n"/>
      <c r="L232" s="202" t="n"/>
      <c r="M232" s="189" t="n"/>
      <c r="N232" s="189" t="n"/>
      <c r="O232" s="189">
        <f>L232-M232</f>
        <v/>
      </c>
      <c r="P232" s="189">
        <f>K232-N232</f>
        <v/>
      </c>
      <c r="Q232" s="189">
        <f>M232+O232</f>
        <v/>
      </c>
      <c r="R232" s="189">
        <f>M232+N232+O232+P232</f>
        <v/>
      </c>
      <c r="S232" s="203">
        <f>SUM(T232:V232)</f>
        <v/>
      </c>
      <c r="T232" s="203" t="n"/>
      <c r="U232" s="203" t="n"/>
      <c r="V232" s="203" t="n"/>
      <c r="W232" s="203" t="n"/>
      <c r="X232" s="203" t="n"/>
      <c r="Y232" s="203" t="n"/>
      <c r="Z232" s="203" t="n"/>
      <c r="AA232" s="203" t="n"/>
      <c r="AB232" s="188" t="n"/>
      <c r="AC232" s="188" t="n"/>
      <c r="AD232" s="188" t="n"/>
      <c r="AE232" s="188" t="n"/>
      <c r="AF232" s="188" t="n"/>
      <c r="AG232" s="188" t="n"/>
      <c r="AH232" s="188" t="n"/>
      <c r="AI232" s="188" t="n"/>
      <c r="AJ232" s="188" t="n"/>
      <c r="AK232" s="188" t="n"/>
      <c r="AL232" s="214" t="n"/>
    </row>
    <row r="233">
      <c r="A233" s="41" t="n"/>
      <c r="B233" s="215" t="n"/>
      <c r="C233" s="215" t="n"/>
      <c r="D233" s="231" t="inlineStr">
        <is>
          <t>九、成本及费用合计（三+四+五+六+七）</t>
        </is>
      </c>
      <c r="E233" s="232" t="n"/>
      <c r="F233" s="232" t="n"/>
      <c r="G233" s="232" t="n"/>
      <c r="H233" s="217">
        <f>H68+H69+H70+H71+#REF!</f>
        <v/>
      </c>
      <c r="I233" s="217">
        <f>I68+I69+I70+I71+#REF!</f>
        <v/>
      </c>
      <c r="J233" s="245">
        <f>J68+J69+J70+J71+#REF!</f>
        <v/>
      </c>
      <c r="K233" s="217">
        <f>K68+K69+K70+K71+#REF!</f>
        <v/>
      </c>
      <c r="L233" s="246">
        <f>L68+L69+L70+L71+#REF!</f>
        <v/>
      </c>
      <c r="M233" s="246">
        <f>M68+M69+M70+M71</f>
        <v/>
      </c>
      <c r="N233" s="246">
        <f>N68+N69+N70+N71</f>
        <v/>
      </c>
      <c r="O233" s="246">
        <f>O68+O69+O70+O71</f>
        <v/>
      </c>
      <c r="P233" s="246">
        <f>P68+P69+P70+P71</f>
        <v/>
      </c>
      <c r="Q233" s="246">
        <f>Q68+Q69+Q70+Q71</f>
        <v/>
      </c>
      <c r="R233" s="246">
        <f>R68+R69+R70+R71</f>
        <v/>
      </c>
      <c r="S233" s="238">
        <f>S68+S69+S70+S71</f>
        <v/>
      </c>
      <c r="T233" s="238" t="n"/>
      <c r="U233" s="238" t="n"/>
      <c r="V233" s="238" t="n"/>
      <c r="W233" s="238" t="n"/>
      <c r="X233" s="238" t="n"/>
      <c r="Y233" s="238" t="n"/>
      <c r="Z233" s="238">
        <f>Z68+Z69+Z70+Z71</f>
        <v/>
      </c>
      <c r="AA233" s="238">
        <f>AA68+AA69+AA70+AA71</f>
        <v/>
      </c>
      <c r="AB233" s="247" t="n"/>
      <c r="AC233" s="247" t="n"/>
      <c r="AD233" s="247" t="n"/>
      <c r="AE233" s="247" t="n"/>
      <c r="AF233" s="247" t="n"/>
      <c r="AG233" s="247" t="n"/>
      <c r="AH233" s="247" t="n"/>
      <c r="AI233" s="247" t="n"/>
      <c r="AJ233" s="247" t="n"/>
      <c r="AK233" s="248" t="n"/>
      <c r="AL233" s="249" t="n"/>
    </row>
    <row r="234">
      <c r="A234" s="41" t="n"/>
      <c r="B234" s="215" t="n"/>
      <c r="C234" s="215" t="n"/>
      <c r="D234" s="231" t="inlineStr">
        <is>
          <t>十、增值税实际税负（按财务数据）</t>
        </is>
      </c>
      <c r="E234" s="232" t="inlineStr">
        <is>
          <t>根据财务账面实际已缴纳增值税额+尚需缴纳的增值税额</t>
        </is>
      </c>
      <c r="F234" s="232" t="n"/>
      <c r="G234" s="232" t="n"/>
      <c r="H234" s="217" t="n"/>
      <c r="I234" s="217" t="n"/>
      <c r="J234" s="245">
        <f>H78+I78</f>
        <v/>
      </c>
      <c r="K234" s="217" t="inlineStr">
        <is>
          <t>/</t>
        </is>
      </c>
      <c r="L234" s="246" t="inlineStr">
        <is>
          <t>/</t>
        </is>
      </c>
      <c r="M234" s="246" t="n"/>
      <c r="N234" s="246">
        <f>N6-N77</f>
        <v/>
      </c>
      <c r="O234" s="246" t="n"/>
      <c r="P234" s="246" t="n"/>
      <c r="Q234" s="246" t="inlineStr">
        <is>
          <t>/</t>
        </is>
      </c>
      <c r="R234" s="246">
        <f>N78+P78</f>
        <v/>
      </c>
      <c r="S234" s="238" t="n"/>
      <c r="T234" s="238" t="n"/>
      <c r="U234" s="238" t="n"/>
      <c r="V234" s="238" t="n"/>
      <c r="W234" s="238" t="n"/>
      <c r="X234" s="238" t="n"/>
      <c r="Y234" s="238" t="n"/>
      <c r="Z234" s="238" t="n"/>
      <c r="AA234" s="238" t="n"/>
      <c r="AB234" s="247" t="n"/>
      <c r="AC234" s="247" t="n"/>
      <c r="AD234" s="247" t="n"/>
      <c r="AE234" s="247" t="n"/>
      <c r="AF234" s="247" t="n"/>
      <c r="AG234" s="247" t="n"/>
      <c r="AH234" s="247" t="n"/>
      <c r="AI234" s="247" t="n"/>
      <c r="AJ234" s="247" t="n"/>
      <c r="AK234" s="248" t="n"/>
      <c r="AL234" s="249" t="n"/>
    </row>
    <row r="235">
      <c r="A235" s="41" t="n"/>
      <c r="B235" s="215" t="n"/>
      <c r="C235" s="215" t="n"/>
      <c r="D235" s="231" t="inlineStr">
        <is>
          <t>十一、税金及附加（按财务数据）</t>
        </is>
      </c>
      <c r="E235" s="232" t="inlineStr">
        <is>
          <t>根据财务账面实际已缴纳税金及附加+尚需缴纳的税金及附加</t>
        </is>
      </c>
      <c r="F235" s="232" t="n"/>
      <c r="G235" s="232" t="n"/>
      <c r="H235" s="217" t="n"/>
      <c r="I235" s="217" t="n"/>
      <c r="J235" s="245">
        <f>H79+I79</f>
        <v/>
      </c>
      <c r="K235" s="217" t="n"/>
      <c r="L235" s="246">
        <f>J79</f>
        <v/>
      </c>
      <c r="M235" s="250" t="n">
        <v>349670.26</v>
      </c>
      <c r="N235" s="246" t="n"/>
      <c r="O235" s="246">
        <f>L79-M79</f>
        <v/>
      </c>
      <c r="P235" s="246" t="n"/>
      <c r="Q235" s="246">
        <f>M79+O79</f>
        <v/>
      </c>
      <c r="R235" s="246">
        <f>Q79</f>
        <v/>
      </c>
      <c r="S235" s="238" t="n"/>
      <c r="T235" s="238" t="n"/>
      <c r="U235" s="238" t="n"/>
      <c r="V235" s="238" t="n"/>
      <c r="W235" s="238" t="n"/>
      <c r="X235" s="238" t="n"/>
      <c r="Y235" s="238" t="n"/>
      <c r="Z235" s="238" t="n"/>
      <c r="AA235" s="238" t="n"/>
      <c r="AB235" s="247" t="n"/>
      <c r="AC235" s="247" t="n"/>
      <c r="AD235" s="247" t="n"/>
      <c r="AE235" s="247" t="n"/>
      <c r="AF235" s="247" t="n"/>
      <c r="AG235" s="247" t="n"/>
      <c r="AH235" s="247" t="n"/>
      <c r="AI235" s="247" t="n"/>
      <c r="AJ235" s="247" t="n"/>
      <c r="AK235" s="248" t="n"/>
      <c r="AL235" s="249" t="n"/>
    </row>
    <row r="236">
      <c r="A236" s="41" t="n"/>
      <c r="B236" s="215" t="n"/>
      <c r="C236" s="215" t="n"/>
      <c r="D236" s="231" t="inlineStr">
        <is>
          <t>十二、利润</t>
        </is>
      </c>
      <c r="E236" s="232" t="n"/>
      <c r="F236" s="232" t="n"/>
      <c r="G236" s="232" t="n"/>
      <c r="H236" s="217" t="n"/>
      <c r="I236" s="217" t="n"/>
      <c r="J236" s="245">
        <f>J6-J77-J78-J79</f>
        <v/>
      </c>
      <c r="K236" s="217" t="n"/>
      <c r="L236" s="246" t="n"/>
      <c r="M236" s="246" t="n"/>
      <c r="N236" s="246" t="n"/>
      <c r="O236" s="246" t="n"/>
      <c r="P236" s="246" t="n"/>
      <c r="Q236" s="246" t="n"/>
      <c r="R236" s="246" t="n"/>
      <c r="S236" s="238" t="n"/>
      <c r="T236" s="238" t="n"/>
      <c r="U236" s="238" t="n"/>
      <c r="V236" s="238" t="n"/>
      <c r="W236" s="238" t="n"/>
      <c r="X236" s="238" t="n"/>
      <c r="Y236" s="238" t="n"/>
      <c r="Z236" s="238" t="n"/>
      <c r="AA236" s="238" t="n"/>
      <c r="AB236" s="247" t="n"/>
      <c r="AC236" s="247" t="n"/>
      <c r="AD236" s="247" t="n"/>
      <c r="AE236" s="247" t="n"/>
      <c r="AF236" s="247" t="n"/>
      <c r="AG236" s="247" t="n"/>
      <c r="AH236" s="247" t="n"/>
      <c r="AI236" s="247" t="n"/>
      <c r="AJ236" s="247" t="n"/>
      <c r="AK236" s="248" t="n"/>
      <c r="AL236" s="249" t="n"/>
    </row>
    <row r="237">
      <c r="A237" s="105" t="n"/>
      <c r="B237" s="106" t="n"/>
      <c r="C237" s="106" t="n"/>
      <c r="D237" s="107" t="inlineStr">
        <is>
          <t>十三、利润率</t>
        </is>
      </c>
      <c r="E237" s="108" t="n"/>
      <c r="F237" s="108" t="n"/>
      <c r="G237" s="108" t="n"/>
      <c r="H237" s="109" t="n"/>
      <c r="I237" s="109" t="n"/>
      <c r="J237" s="109">
        <f>J80/J6</f>
        <v/>
      </c>
      <c r="K237" s="109" t="n"/>
      <c r="L237" s="127">
        <f>L80/L6</f>
        <v/>
      </c>
      <c r="M237" s="127">
        <f>M80/M6</f>
        <v/>
      </c>
      <c r="N237" s="127" t="n"/>
      <c r="O237" s="127" t="n"/>
      <c r="P237" s="127" t="n"/>
      <c r="Q237" s="127">
        <f>Q80/Q6</f>
        <v/>
      </c>
      <c r="R237" s="127">
        <f>R80/R6</f>
        <v/>
      </c>
      <c r="S237" s="142" t="n"/>
      <c r="T237" s="142" t="n"/>
      <c r="U237" s="142" t="n"/>
      <c r="V237" s="142" t="n"/>
      <c r="W237" s="142" t="n"/>
      <c r="X237" s="142" t="n"/>
      <c r="Y237" s="142" t="n"/>
      <c r="Z237" s="142" t="n"/>
      <c r="AA237" s="142" t="n"/>
      <c r="AB237" s="146" t="n"/>
      <c r="AC237" s="146" t="n"/>
      <c r="AD237" s="146" t="n"/>
      <c r="AE237" s="146" t="n"/>
      <c r="AF237" s="146" t="n"/>
      <c r="AG237" s="146" t="n"/>
      <c r="AH237" s="146" t="n"/>
      <c r="AI237" s="146" t="n"/>
      <c r="AJ237" s="146" t="n"/>
      <c r="AK237" s="154" t="n"/>
      <c r="AL237" s="155" t="n"/>
    </row>
    <row r="238">
      <c r="A238" s="111" t="n"/>
      <c r="B238" s="111" t="n"/>
      <c r="C238" s="111" t="n"/>
      <c r="D238" s="112" t="n"/>
      <c r="E238" s="113" t="n"/>
      <c r="F238" s="113" t="n"/>
      <c r="G238" s="113" t="n"/>
      <c r="H238" s="251" t="n"/>
      <c r="I238" s="251" t="n"/>
      <c r="J238" s="252" t="inlineStr">
        <is>
          <t>含税利润率</t>
        </is>
      </c>
      <c r="K238" s="253" t="n"/>
      <c r="L238" s="254" t="inlineStr">
        <is>
          <t>不含税利润率</t>
        </is>
      </c>
      <c r="M238" s="255" t="n"/>
      <c r="N238" s="255" t="n"/>
      <c r="O238" s="255" t="n"/>
      <c r="P238" s="255" t="n"/>
      <c r="Q238" s="255" t="n"/>
      <c r="R238" s="255" t="n"/>
      <c r="S238" s="255" t="n"/>
      <c r="T238" s="255" t="n"/>
      <c r="U238" s="255" t="n"/>
      <c r="V238" s="255" t="n"/>
      <c r="W238" s="255" t="n"/>
      <c r="X238" s="255" t="n"/>
      <c r="Y238" s="255" t="n"/>
      <c r="Z238" s="256" t="n"/>
      <c r="AA238" s="162" t="n"/>
      <c r="AB238" s="257" t="n"/>
      <c r="AC238" s="257" t="n"/>
      <c r="AD238" s="257" t="n"/>
      <c r="AE238" s="257" t="n"/>
      <c r="AF238" s="257" t="n"/>
      <c r="AG238" s="257" t="n"/>
      <c r="AH238" s="257" t="n"/>
      <c r="AI238" s="257" t="n"/>
      <c r="AJ238" s="257" t="n"/>
      <c r="AK238" s="257" t="n"/>
      <c r="AL238" s="156" t="n"/>
    </row>
    <row r="239">
      <c r="A239" s="111" t="n"/>
      <c r="B239" s="111" t="n"/>
      <c r="C239" s="111" t="n"/>
      <c r="D239" s="112" t="n"/>
      <c r="E239" s="113" t="n"/>
      <c r="F239" s="113" t="n"/>
      <c r="G239" s="113" t="n"/>
      <c r="H239" s="251" t="n"/>
      <c r="I239" s="251" t="n"/>
      <c r="J239" s="258" t="n"/>
      <c r="K239" s="251" t="n"/>
      <c r="L239" s="259" t="n"/>
      <c r="M239" s="255" t="n"/>
      <c r="N239" s="255" t="n"/>
      <c r="O239" s="255" t="n"/>
      <c r="P239" s="255" t="n"/>
      <c r="Q239" s="255" t="n"/>
      <c r="R239" s="255" t="n"/>
      <c r="S239" s="255" t="n"/>
      <c r="T239" s="255" t="n"/>
      <c r="U239" s="255" t="n"/>
      <c r="V239" s="255" t="n"/>
      <c r="W239" s="255" t="n"/>
      <c r="X239" s="255" t="n"/>
      <c r="Y239" s="255" t="n"/>
      <c r="Z239" s="256" t="n"/>
      <c r="AA239" s="162" t="n"/>
      <c r="AB239" s="257" t="n"/>
      <c r="AC239" s="257" t="n"/>
      <c r="AD239" s="257" t="n"/>
      <c r="AE239" s="257" t="n"/>
      <c r="AF239" s="257" t="n"/>
      <c r="AG239" s="257" t="n"/>
      <c r="AH239" s="257" t="n"/>
      <c r="AI239" s="257" t="n"/>
      <c r="AJ239" s="257" t="n"/>
      <c r="AK239" s="257" t="n"/>
      <c r="AL239" s="156" t="n"/>
    </row>
    <row r="240">
      <c r="A240" s="116" t="n"/>
      <c r="B240" s="116" t="n"/>
      <c r="C240" s="116" t="n"/>
      <c r="D240" s="117" t="n"/>
      <c r="E240" s="118" t="n"/>
      <c r="F240" s="118" t="n"/>
      <c r="G240" s="118" t="n"/>
      <c r="H240" s="119" t="n"/>
      <c r="I240" s="119" t="n"/>
      <c r="J240" s="134" t="n"/>
      <c r="K240" s="260" t="n"/>
      <c r="L240" s="260" t="n"/>
      <c r="M240" s="261" t="n"/>
      <c r="N240" s="260" t="n"/>
      <c r="O240" s="260" t="n"/>
      <c r="P240" s="262" t="n"/>
      <c r="Q240" s="262" t="n"/>
      <c r="R240" s="260" t="n"/>
      <c r="S240" s="263" t="n"/>
      <c r="T240" s="263" t="n"/>
      <c r="U240" s="263" t="n"/>
      <c r="V240" s="263" t="n"/>
      <c r="W240" s="263" t="n"/>
      <c r="X240" s="263" t="n"/>
      <c r="Y240" s="263" t="n"/>
      <c r="Z240" s="264" t="n"/>
      <c r="AA240" s="265" t="n"/>
      <c r="AD240" s="266" t="n"/>
      <c r="AE240" s="266" t="n"/>
      <c r="AF240" s="266" t="n"/>
      <c r="AG240" s="266" t="n"/>
      <c r="AH240" s="266" t="n"/>
      <c r="AI240" s="266" t="n"/>
      <c r="AJ240" s="266" t="n"/>
      <c r="AK240" s="266" t="n"/>
      <c r="AL240" s="121" t="n"/>
    </row>
    <row r="241">
      <c r="A241" s="121" t="n"/>
      <c r="B241" s="121" t="n"/>
      <c r="C241" s="121" t="n"/>
      <c r="D241" s="121" t="n"/>
      <c r="E241" s="122" t="n"/>
      <c r="F241" s="122" t="n"/>
      <c r="G241" s="122" t="n"/>
      <c r="H241" s="122" t="n"/>
      <c r="I241" s="122" t="n"/>
      <c r="J241" s="122" t="n"/>
      <c r="K241" s="267" t="n"/>
      <c r="L241" s="122" t="n"/>
      <c r="M241" s="268" t="n"/>
      <c r="N241" s="268" t="n"/>
      <c r="O241" s="268" t="n"/>
      <c r="P241" s="268" t="n"/>
      <c r="Q241" s="268" t="n"/>
      <c r="R241" s="268" t="n"/>
      <c r="S241" s="263" t="n"/>
      <c r="T241" s="263" t="n"/>
      <c r="U241" s="263" t="n"/>
      <c r="V241" s="263" t="n"/>
      <c r="W241" s="263" t="n"/>
      <c r="X241" s="263" t="n"/>
      <c r="Y241" s="263" t="n"/>
      <c r="Z241" s="268" t="n"/>
      <c r="AA241" s="266" t="n"/>
      <c r="AB241" s="266" t="n"/>
      <c r="AC241" s="266" t="n"/>
      <c r="AD241" s="266" t="n"/>
      <c r="AE241" s="266" t="n"/>
      <c r="AF241" s="266" t="n"/>
      <c r="AG241" s="266" t="n"/>
      <c r="AH241" s="266" t="n"/>
      <c r="AI241" s="266" t="n"/>
      <c r="AJ241" s="266" t="n"/>
      <c r="AK241" s="266" t="n"/>
      <c r="AL241" s="121" t="n"/>
    </row>
    <row r="242">
      <c r="A242" s="121" t="n"/>
      <c r="B242" s="121" t="n"/>
      <c r="C242" s="121" t="n"/>
      <c r="D242" s="121" t="n"/>
      <c r="E242" s="122" t="n"/>
      <c r="F242" s="122" t="n"/>
      <c r="G242" s="122" t="n"/>
      <c r="H242" s="122" t="n"/>
      <c r="I242" s="122" t="n"/>
      <c r="J242" s="122" t="n"/>
      <c r="K242" s="267" t="n"/>
      <c r="L242" s="122" t="n"/>
      <c r="M242" s="268" t="n"/>
      <c r="N242" s="268" t="n"/>
      <c r="O242" s="268" t="n"/>
      <c r="P242" s="268" t="n"/>
      <c r="Q242" s="268" t="n"/>
      <c r="R242" s="268" t="n"/>
      <c r="S242" s="263" t="n"/>
      <c r="T242" s="263" t="n"/>
      <c r="U242" s="263" t="n"/>
      <c r="V242" s="263" t="n"/>
      <c r="W242" s="263" t="n"/>
      <c r="X242" s="263" t="n"/>
      <c r="Y242" s="263" t="n"/>
      <c r="Z242" s="268" t="n"/>
      <c r="AA242" s="266" t="n"/>
      <c r="AB242" s="266" t="n"/>
      <c r="AC242" s="266" t="n"/>
      <c r="AD242" s="266" t="n"/>
      <c r="AE242" s="266" t="n"/>
      <c r="AF242" s="266" t="n"/>
      <c r="AG242" s="266" t="n"/>
      <c r="AH242" s="266" t="n"/>
      <c r="AI242" s="266" t="n"/>
      <c r="AJ242" s="266" t="n"/>
      <c r="AK242" s="266" t="n"/>
      <c r="AL242" s="121" t="n"/>
    </row>
    <row r="243">
      <c r="A243" s="121" t="n"/>
      <c r="B243" s="121" t="n"/>
      <c r="C243" s="121" t="n"/>
      <c r="D243" s="121" t="n"/>
      <c r="E243" s="123" t="n"/>
      <c r="F243" s="123" t="n"/>
      <c r="G243" s="123" t="n"/>
      <c r="H243" s="122" t="n"/>
      <c r="I243" s="122" t="n"/>
      <c r="J243" s="122" t="n"/>
      <c r="K243" s="123" t="n"/>
      <c r="L243" s="122" t="n"/>
      <c r="M243" s="268" t="n"/>
      <c r="N243" s="264" t="n"/>
      <c r="O243" s="268" t="n"/>
      <c r="P243" s="268" t="n"/>
      <c r="Q243" s="268" t="n"/>
      <c r="R243" s="260" t="n"/>
      <c r="S243" s="263" t="n"/>
      <c r="T243" s="263" t="n"/>
      <c r="U243" s="263" t="n"/>
      <c r="V243" s="263" t="n"/>
      <c r="W243" s="263" t="n"/>
      <c r="X243" s="263" t="n"/>
      <c r="Y243" s="263" t="n"/>
      <c r="Z243" s="268" t="n"/>
      <c r="AA243" s="266" t="n"/>
      <c r="AB243" s="266" t="n"/>
      <c r="AC243" s="266" t="n"/>
      <c r="AD243" s="266" t="n"/>
      <c r="AE243" s="266" t="n"/>
      <c r="AF243" s="266" t="n"/>
      <c r="AG243" s="266" t="n"/>
      <c r="AH243" s="266" t="n"/>
      <c r="AI243" s="266" t="n"/>
      <c r="AJ243" s="266" t="n"/>
      <c r="AK243" s="266" t="n"/>
      <c r="AL243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2026-04-22T08:16:28Z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