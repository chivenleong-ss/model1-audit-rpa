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343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166" fontId="4" fillId="3" borderId="17" applyAlignment="1" applyProtection="1" pivotButton="0" quotePrefix="0" xfId="0">
      <alignment horizontal="center" vertical="center" wrapText="1"/>
      <protection locked="0" hidden="0"/>
    </xf>
    <xf numFmtId="166" fontId="4" fillId="4" borderId="17" applyAlignment="1" applyProtection="1" pivotButton="0" quotePrefix="0" xfId="0">
      <alignment horizontal="center" vertical="center" wrapText="1"/>
      <protection locked="0" hidden="0"/>
    </xf>
    <xf numFmtId="166" fontId="4" fillId="3" borderId="17" applyAlignment="1" applyProtection="1" pivotButton="0" quotePrefix="0" xfId="1">
      <alignment horizontal="center" vertical="center" wrapText="1"/>
      <protection locked="0" hidden="0"/>
    </xf>
    <xf numFmtId="166" fontId="6" fillId="6" borderId="17" applyAlignment="1" applyProtection="1" pivotButton="0" quotePrefix="0" xfId="1">
      <alignment horizontal="center" vertical="center" wrapText="1" shrinkToFit="1"/>
      <protection locked="0" hidden="0"/>
    </xf>
    <xf numFmtId="166" fontId="6" fillId="8" borderId="17" applyAlignment="1" applyProtection="1" pivotButton="0" quotePrefix="0" xfId="1">
      <alignment horizontal="center" vertical="center" wrapText="1" shrinkToFit="1"/>
      <protection locked="0" hidden="0"/>
    </xf>
    <xf numFmtId="166" fontId="4" fillId="4" borderId="17" applyAlignment="1" applyProtection="1" pivotButton="0" quotePrefix="0" xfId="1">
      <alignment horizontal="center" vertical="center"/>
      <protection locked="0" hidden="0"/>
    </xf>
    <xf numFmtId="166" fontId="6" fillId="6" borderId="17" applyAlignment="1" applyProtection="1" pivotButton="0" quotePrefix="0" xfId="1">
      <alignment horizontal="center" vertical="center" wrapText="1"/>
      <protection locked="0" hidden="0"/>
    </xf>
    <xf numFmtId="166" fontId="4" fillId="8" borderId="17" applyAlignment="1" applyProtection="1" pivotButton="0" quotePrefix="0" xfId="1">
      <alignment horizontal="center" vertical="center" wrapText="1"/>
      <protection locked="0" hidden="0"/>
    </xf>
    <xf numFmtId="166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164" fontId="7" fillId="0" borderId="17" applyAlignment="1" applyProtection="1" pivotButton="0" quotePrefix="0" xfId="0">
      <alignment horizontal="center" vertical="center"/>
      <protection locked="0" hidden="0"/>
    </xf>
    <xf numFmtId="164" fontId="6" fillId="0" borderId="17" applyAlignment="1" applyProtection="1" pivotButton="0" quotePrefix="0" xfId="0">
      <alignment horizontal="left" vertical="center"/>
      <protection locked="0" hidden="0"/>
    </xf>
    <xf numFmtId="164" fontId="8" fillId="0" borderId="17" applyAlignment="1" applyProtection="1" pivotButton="0" quotePrefix="0" xfId="1">
      <alignment vertical="center"/>
      <protection locked="0" hidden="0"/>
    </xf>
    <xf numFmtId="164" fontId="8" fillId="7" borderId="17" applyAlignment="1" applyProtection="1" pivotButton="0" quotePrefix="0" xfId="1">
      <alignment vertical="center"/>
      <protection locked="0" hidden="0"/>
    </xf>
    <xf numFmtId="164" fontId="6" fillId="0" borderId="17" applyAlignment="1" pivotButton="0" quotePrefix="0" xfId="1">
      <alignment horizontal="center" vertical="center" wrapText="1"/>
    </xf>
    <xf numFmtId="164" fontId="6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1">
      <alignment vertical="center"/>
      <protection locked="0" hidden="0"/>
    </xf>
    <xf numFmtId="164" fontId="4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0">
      <alignment vertical="center"/>
      <protection locked="0" hidden="0"/>
    </xf>
    <xf numFmtId="164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164" fontId="7" fillId="4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0">
      <alignment horizontal="center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/>
      <protection locked="0" hidden="0"/>
    </xf>
    <xf numFmtId="164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left" vertical="center" wrapText="1"/>
      <protection locked="0" hidden="0"/>
    </xf>
    <xf numFmtId="164" fontId="6" fillId="5" borderId="17" applyAlignment="1" applyProtection="1" pivotButton="0" quotePrefix="0" xfId="1">
      <alignment vertical="center"/>
      <protection locked="0" hidden="0"/>
    </xf>
    <xf numFmtId="164" fontId="6" fillId="0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 wrapText="1"/>
      <protection locked="0" hidden="0"/>
    </xf>
    <xf numFmtId="164" fontId="7" fillId="0" borderId="17" applyProtection="1" pivotButton="0" quotePrefix="0" xfId="1">
      <protection locked="0" hidden="0"/>
    </xf>
    <xf numFmtId="164" fontId="7" fillId="0" borderId="17" applyProtection="1" pivotButton="0" quotePrefix="0" xfId="0">
      <protection locked="0" hidden="0"/>
    </xf>
    <xf numFmtId="164" fontId="6" fillId="0" borderId="1" applyAlignment="1" pivotButton="0" quotePrefix="0" xfId="1">
      <alignment horizontal="center" vertical="center" wrapText="1"/>
    </xf>
    <xf numFmtId="4" fontId="8" fillId="0" borderId="17" applyAlignment="1" applyProtection="1" pivotButton="0" quotePrefix="0" xfId="1">
      <alignment vertical="center"/>
      <protection locked="0" hidden="0"/>
    </xf>
    <xf numFmtId="164" fontId="9" fillId="0" borderId="17" applyAlignment="1" applyProtection="1" pivotButton="0" quotePrefix="0" xfId="0">
      <alignment horizontal="center" vertical="center"/>
      <protection locked="0" hidden="0"/>
    </xf>
    <xf numFmtId="164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4" fontId="9" fillId="0" borderId="17" applyProtection="1" pivotButton="0" quotePrefix="0" xfId="1">
      <protection locked="0" hidden="0"/>
    </xf>
    <xf numFmtId="164" fontId="9" fillId="0" borderId="17" applyProtection="1" pivotButton="0" quotePrefix="0" xfId="0">
      <protection locked="0" hidden="0"/>
    </xf>
    <xf numFmtId="164" fontId="8" fillId="0" borderId="17" applyAlignment="1" applyProtection="1" pivotButton="0" quotePrefix="0" xfId="0">
      <alignment horizontal="center" vertical="center"/>
      <protection locked="0" hidden="0"/>
    </xf>
    <xf numFmtId="164" fontId="8" fillId="0" borderId="17" applyAlignment="1" applyProtection="1" pivotButton="0" quotePrefix="0" xfId="1">
      <alignment horizontal="center" vertical="center"/>
      <protection locked="0" hidden="0"/>
    </xf>
    <xf numFmtId="164" fontId="6" fillId="5" borderId="17" applyAlignment="1" applyProtection="1" pivotButton="0" quotePrefix="0" xfId="0">
      <alignment horizontal="left" vertical="center" wrapText="1"/>
      <protection locked="0" hidden="0"/>
    </xf>
    <xf numFmtId="164" fontId="4" fillId="5" borderId="17" applyAlignment="1" applyProtection="1" pivotButton="0" quotePrefix="0" xfId="0">
      <alignment horizontal="center" vertical="center" wrapText="1"/>
      <protection locked="0" hidden="0"/>
    </xf>
    <xf numFmtId="164" fontId="6" fillId="5" borderId="17" applyAlignment="1" pivotButton="0" quotePrefix="0" xfId="1">
      <alignment vertical="center"/>
    </xf>
    <xf numFmtId="164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 wrapText="1"/>
      <protection locked="0" hidden="0"/>
    </xf>
    <xf numFmtId="164" fontId="6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4" fontId="6" fillId="9" borderId="17" applyAlignment="1" applyProtection="1" pivotButton="0" quotePrefix="0" xfId="1">
      <alignment vertical="center"/>
      <protection locked="0" hidden="0"/>
    </xf>
    <xf numFmtId="164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164" fontId="6" fillId="5" borderId="17" applyAlignment="1" applyProtection="1" pivotButton="0" quotePrefix="0" xfId="3">
      <alignment vertical="center"/>
      <protection locked="0" hidden="0"/>
    </xf>
    <xf numFmtId="164" fontId="6" fillId="5" borderId="17" applyAlignment="1" pivotButton="0" quotePrefix="0" xfId="3">
      <alignment vertical="center"/>
    </xf>
    <xf numFmtId="164" fontId="10" fillId="5" borderId="17" applyAlignment="1" applyProtection="1" pivotButton="0" quotePrefix="0" xfId="1">
      <alignment vertical="center"/>
      <protection locked="0" hidden="0"/>
    </xf>
    <xf numFmtId="164" fontId="4" fillId="5" borderId="17" applyAlignment="1" applyProtection="1" pivotButton="0" quotePrefix="0" xfId="1">
      <alignment vertical="center"/>
      <protection locked="0" hidden="0"/>
    </xf>
    <xf numFmtId="164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  <xf numFmtId="0" fontId="4" fillId="5" borderId="17" applyAlignment="1" applyProtection="1" pivotButton="0" quotePrefix="0" xfId="3">
      <alignment horizontal="center" vertical="center"/>
      <protection locked="0" hidden="0"/>
    </xf>
    <xf numFmtId="9" fontId="4" fillId="5" borderId="17" applyAlignment="1" applyProtection="1" pivotButton="0" quotePrefix="0" xfId="3">
      <alignment horizontal="center" vertical="center"/>
      <protection locked="0" hidden="0"/>
    </xf>
    <xf numFmtId="9" fontId="6" fillId="5" borderId="17" applyAlignment="1" applyProtection="1" pivotButton="0" quotePrefix="0" xfId="3">
      <alignment horizontal="left" vertical="center" wrapText="1"/>
      <protection locked="0" hidden="0"/>
    </xf>
    <xf numFmtId="9" fontId="4" fillId="5" borderId="17" applyAlignment="1" applyProtection="1" pivotButton="0" quotePrefix="0" xfId="3">
      <alignment horizontal="center" vertical="center" wrapText="1"/>
      <protection locked="0" hidden="0"/>
    </xf>
    <xf numFmtId="9" fontId="6" fillId="5" borderId="17" applyAlignment="1" applyProtection="1" pivotButton="0" quotePrefix="0" xfId="3">
      <alignment vertical="center"/>
      <protection locked="0" hidden="0"/>
    </xf>
    <xf numFmtId="9" fontId="6" fillId="5" borderId="17" applyAlignment="1" pivotButton="0" quotePrefix="0" xfId="3">
      <alignment vertical="center"/>
    </xf>
    <xf numFmtId="9" fontId="6" fillId="9" borderId="17" applyAlignment="1" applyProtection="1" pivotButton="0" quotePrefix="0" xfId="3">
      <alignment vertical="center"/>
      <protection locked="0" hidden="0"/>
    </xf>
    <xf numFmtId="9" fontId="10" fillId="5" borderId="17" applyAlignment="1" applyProtection="1" pivotButton="0" quotePrefix="0" xfId="3">
      <alignment vertical="center"/>
      <protection locked="0" hidden="0"/>
    </xf>
    <xf numFmtId="9" fontId="4" fillId="5" borderId="17" applyAlignment="1" applyProtection="1" pivotButton="0" quotePrefix="0" xfId="3">
      <alignment vertical="center"/>
      <protection locked="0" hidden="0"/>
    </xf>
    <xf numFmtId="9" fontId="10" fillId="0" borderId="17" applyAlignment="1" applyProtection="1" pivotButton="0" quotePrefix="0" xfId="3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35" authorId="0" shapeId="0">
      <text>
        <t>于:
**同财务账面合同履约成本/工程施工成本/直接人工费数据一致**</t>
      </text>
    </comment>
    <comment ref="F35" authorId="0" shapeId="0">
      <text>
        <t>于:
**同财务账面合同履约成本/工程施工成本/直接人工费数据一致**</t>
      </text>
    </comment>
    <comment ref="G35" authorId="0" shapeId="0">
      <text>
        <t>于:
**同财务账面合同履约成本/工程施工成本/直接人工费数据一致**</t>
      </text>
    </comment>
    <comment ref="H35" authorId="0" shapeId="0">
      <text>
        <t>于:
**同财务账面合同履约成本/工程施工成本/直接人工费数据一致**</t>
      </text>
    </comment>
    <comment ref="I35" authorId="0" shapeId="0">
      <text>
        <t>于:
**同财务账面合同履约成本/工程施工成本/直接人工费数据一致**</t>
      </text>
    </comment>
    <comment ref="J35" authorId="0" shapeId="0">
      <text>
        <t>于:
**同财务账面合同履约成本/工程施工成本/直接人工费数据一致**</t>
      </text>
    </comment>
    <comment ref="K35" authorId="0" shapeId="0">
      <text>
        <t>于:
**同财务账面合同履约成本/工程施工成本/直接人工费数据一致**</t>
      </text>
    </comment>
    <comment ref="L35" authorId="0" shapeId="0">
      <text>
        <t>于:
**同财务账面合同履约成本/工程施工成本/直接人工费数据一致**</t>
      </text>
    </comment>
    <comment ref="M35" authorId="0" shapeId="0">
      <text>
        <t>于:
**同财务账面合同履约成本/工程施工成本/直接人工费数据一致**</t>
      </text>
    </comment>
    <comment ref="N35" authorId="0" shapeId="0">
      <text>
        <t>于:
**同财务账面合同履约成本/工程施工成本/直接人工费数据一致**</t>
      </text>
    </comment>
    <comment ref="O35" authorId="0" shapeId="0">
      <text>
        <t>于:
**同财务账面合同履约成本/工程施工成本/直接人工费数据一致**</t>
      </text>
    </comment>
    <comment ref="P35" authorId="0" shapeId="0">
      <text>
        <t>于:
**同财务账面合同履约成本/工程施工成本/直接人工费数据一致**</t>
      </text>
    </comment>
    <comment ref="Q35" authorId="0" shapeId="0">
      <text>
        <t>于:
**同财务账面合同履约成本/工程施工成本/直接人工费数据一致**</t>
      </text>
    </comment>
    <comment ref="R35" authorId="0" shapeId="0">
      <text>
        <t>于:
**同财务账面合同履约成本/工程施工成本/直接人工费数据一致**</t>
      </text>
    </comment>
    <comment ref="S35" authorId="0" shapeId="0">
      <text>
        <t>于:
**同财务账面合同履约成本/工程施工成本/直接人工费数据一致**</t>
      </text>
    </comment>
    <comment ref="T35" authorId="0" shapeId="0">
      <text>
        <t>于:
**同财务账面合同履约成本/工程施工成本/直接人工费数据一致**</t>
      </text>
    </comment>
    <comment ref="U35" authorId="0" shapeId="0">
      <text>
        <t>于:
**同财务账面合同履约成本/工程施工成本/直接人工费数据一致**</t>
      </text>
    </comment>
    <comment ref="V35" authorId="0" shapeId="0">
      <text>
        <t>于:
**同财务账面合同履约成本/工程施工成本/直接人工费数据一致**</t>
      </text>
    </comment>
    <comment ref="W35" authorId="0" shapeId="0">
      <text>
        <t>于:
**同财务账面合同履约成本/工程施工成本/直接人工费数据一致**</t>
      </text>
    </comment>
    <comment ref="X35" authorId="0" shapeId="0">
      <text>
        <t>于:
**同财务账面合同履约成本/工程施工成本/直接人工费数据一致**</t>
      </text>
    </comment>
    <comment ref="Y35" authorId="0" shapeId="0">
      <text>
        <t>于:
**同财务账面合同履约成本/工程施工成本/直接人工费数据一致**</t>
      </text>
    </comment>
    <comment ref="Z35" authorId="0" shapeId="0">
      <text>
        <t>于:
**同财务账面合同履约成本/工程施工成本/直接人工费数据一致**</t>
      </text>
    </comment>
    <comment ref="AA35" authorId="0" shapeId="0">
      <text>
        <t>于:
**同财务账面合同履约成本/工程施工成本/直接人工费数据一致**</t>
      </text>
    </comment>
    <comment ref="AB35" authorId="0" shapeId="0">
      <text>
        <t>于:
**同财务账面合同履约成本/工程施工成本/直接人工费数据一致**</t>
      </text>
    </comment>
    <comment ref="AC35" authorId="0" shapeId="0">
      <text>
        <t>于:
**同财务账面合同履约成本/工程施工成本/直接人工费数据一致**</t>
      </text>
    </comment>
    <comment ref="AD35" authorId="0" shapeId="0">
      <text>
        <t>于:
**同财务账面合同履约成本/工程施工成本/直接人工费数据一致**</t>
      </text>
    </comment>
    <comment ref="AE35" authorId="0" shapeId="0">
      <text>
        <t>于:
**同财务账面合同履约成本/工程施工成本/直接人工费数据一致**</t>
      </text>
    </comment>
    <comment ref="AF35" authorId="0" shapeId="0">
      <text>
        <t>于:
**同财务账面合同履约成本/工程施工成本/直接人工费数据一致**</t>
      </text>
    </comment>
    <comment ref="AG35" authorId="0" shapeId="0">
      <text>
        <t>于:
**同财务账面合同履约成本/工程施工成本/直接人工费数据一致**</t>
      </text>
    </comment>
    <comment ref="AH35" authorId="0" shapeId="0">
      <text>
        <t>于:
**同财务账面合同履约成本/工程施工成本/直接人工费数据一致**</t>
      </text>
    </comment>
    <comment ref="AI35" authorId="0" shapeId="0">
      <text>
        <t>于:
**同财务账面合同履约成本/工程施工成本/直接人工费数据一致**</t>
      </text>
    </comment>
    <comment ref="AJ35" authorId="0" shapeId="0">
      <text>
        <t>于:
**同财务账面合同履约成本/工程施工成本/直接人工费数据一致**</t>
      </text>
    </comment>
    <comment ref="AK35" authorId="0" shapeId="0">
      <text>
        <t>于:
**同财务账面合同履约成本/工程施工成本/直接人工费数据一致**</t>
      </text>
    </comment>
    <comment ref="M141" authorId="1" shapeId="0">
      <text>
        <t xml:space="preserve">**同财务账面合同履约成本/工程施工成本/机械租赁费数据一致**
</t>
      </text>
    </comment>
    <comment ref="M149" authorId="0" shapeId="0">
      <text>
        <t>于:
**同财务账面合同履约成本/工程施工成本其他直接费数据一致**</t>
      </text>
    </comment>
    <comment ref="M190" authorId="1" shapeId="0">
      <text>
        <t>**同财务账面合同履约成本/工程施工成本/间接费数据一致**</t>
      </text>
    </comment>
    <comment ref="D198" authorId="2" shapeId="0">
      <text>
        <t>（在建：房建0.6%，其它0.4%；在保修期间的按0.3~0.5%自行确定;保修期结束为0）</t>
      </text>
    </comment>
    <comment ref="E209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210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3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L400001780</t>
        </is>
      </c>
      <c r="C6" s="11" t="n">
        <v>1220135821</v>
      </c>
      <c r="D6" s="181" t="inlineStr">
        <is>
          <t>白云区金沙洲AB3705032地块项目施工总承包及总承包管理配合服务工程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743122562.72</v>
      </c>
      <c r="N6" s="186" t="n">
        <v>67151447.97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269" t="n"/>
      <c r="B7" s="270" t="inlineStr">
        <is>
          <t>客商编码</t>
        </is>
      </c>
      <c r="C7" s="270" t="inlineStr">
        <is>
          <t>合同编码</t>
        </is>
      </c>
      <c r="D7" s="271" t="inlineStr">
        <is>
          <t>客商名称</t>
        </is>
      </c>
      <c r="E7" s="272" t="inlineStr">
        <is>
          <t>主要工作内容</t>
        </is>
      </c>
      <c r="F7" s="272" t="inlineStr">
        <is>
          <t>是否办理最终结算</t>
        </is>
      </c>
      <c r="G7" s="273" t="inlineStr">
        <is>
          <t>最终结算时间</t>
        </is>
      </c>
      <c r="H7" s="274" t="inlineStr">
        <is>
          <t>商务、物资确认</t>
        </is>
      </c>
      <c r="I7" s="269" t="n"/>
      <c r="J7" s="269" t="n"/>
      <c r="K7" s="269" t="n"/>
      <c r="L7" s="269" t="n"/>
      <c r="M7" s="275" t="inlineStr">
        <is>
          <t>财务确认</t>
        </is>
      </c>
      <c r="N7" s="269" t="n"/>
      <c r="O7" s="269" t="n"/>
      <c r="P7" s="269" t="n"/>
      <c r="Q7" s="269" t="n"/>
      <c r="R7" s="269" t="n"/>
      <c r="S7" s="276" t="inlineStr">
        <is>
          <t>债务情况</t>
        </is>
      </c>
      <c r="T7" s="269" t="n"/>
      <c r="U7" s="269" t="n"/>
      <c r="V7" s="269" t="n"/>
      <c r="W7" s="269" t="n"/>
      <c r="X7" s="269" t="n"/>
      <c r="Y7" s="269" t="n"/>
      <c r="Z7" s="277" t="inlineStr">
        <is>
          <t>税务情况</t>
        </is>
      </c>
      <c r="AA7" s="269" t="n"/>
      <c r="AB7" s="269" t="n"/>
      <c r="AC7" s="269" t="n"/>
      <c r="AD7" s="269" t="n"/>
      <c r="AE7" s="269" t="n"/>
      <c r="AF7" s="269" t="n"/>
      <c r="AG7" s="269" t="n"/>
      <c r="AH7" s="269" t="n"/>
      <c r="AI7" s="269" t="n"/>
      <c r="AJ7" s="269" t="n"/>
      <c r="AK7" s="269" t="n"/>
      <c r="AL7" s="269" t="n"/>
    </row>
    <row r="8" ht="14" customHeight="1" s="159">
      <c r="A8" s="269" t="n"/>
      <c r="B8" s="269" t="n"/>
      <c r="C8" s="269" t="n"/>
      <c r="D8" s="269" t="n"/>
      <c r="E8" s="269" t="n"/>
      <c r="F8" s="269" t="n"/>
      <c r="G8" s="269" t="n"/>
      <c r="H8" s="274" t="inlineStr">
        <is>
          <t>商务已结(含税)</t>
        </is>
      </c>
      <c r="I8" s="274" t="inlineStr">
        <is>
          <t>截止目前应结未结(含税)</t>
        </is>
      </c>
      <c r="J8" s="274" t="inlineStr">
        <is>
          <t>实际诶计成本(含税)</t>
        </is>
      </c>
      <c r="K8" s="272" t="inlineStr">
        <is>
          <t>累计成本可抵扣增值税税金</t>
        </is>
      </c>
      <c r="L8" s="272" t="inlineStr">
        <is>
          <t>实际累计成本
（不含可抵扣税金）</t>
        </is>
      </c>
      <c r="M8" s="278" t="inlineStr">
        <is>
          <t>截止目前财务已入账成本（不含增值税）
**同财务账面合同履约成本/工程施工成本一致**</t>
        </is>
      </c>
      <c r="N8" s="278" t="inlineStr">
        <is>
          <t>已价税分离的增值税金
（财务账面数据）</t>
        </is>
      </c>
      <c r="O8" s="278" t="inlineStr">
        <is>
          <t>应入未入账成本（不含增值税）</t>
        </is>
      </c>
      <c r="P8" s="278" t="inlineStr">
        <is>
          <t>尚未价税分离的增值税金</t>
        </is>
      </c>
      <c r="Q8" s="278" t="inlineStr">
        <is>
          <t>实际成本
（不含增值税）</t>
        </is>
      </c>
      <c r="R8" s="278" t="inlineStr">
        <is>
          <t>实际成本
（含增值税）</t>
        </is>
      </c>
      <c r="S8" s="279" t="inlineStr">
        <is>
          <t>累计付款</t>
        </is>
      </c>
      <c r="T8" s="279" t="inlineStr">
        <is>
          <t>其中：财务账面已列报付款</t>
        </is>
      </c>
      <c r="U8" s="279" t="inlineStr">
        <is>
          <t>其中：已办理供应链或票据背书未入账付款</t>
        </is>
      </c>
      <c r="V8" s="279" t="inlineStr">
        <is>
          <t>其中：其他未入账付款</t>
        </is>
      </c>
      <c r="W8" s="279" t="inlineStr">
        <is>
          <t>债务总额</t>
        </is>
      </c>
      <c r="X8" s="279" t="inlineStr">
        <is>
          <t>其中：应付总额</t>
        </is>
      </c>
      <c r="Y8" s="279" t="inlineStr">
        <is>
          <t>是否已取得对账单
（以取得双方用印对账单为准）</t>
        </is>
      </c>
      <c r="Z8" s="280" t="inlineStr">
        <is>
          <t>累计已收取发票（含税）</t>
        </is>
      </c>
      <c r="AA8" s="280" t="inlineStr">
        <is>
          <t>其中：累计已收取营业税发票额</t>
        </is>
      </c>
      <c r="AB8" s="280" t="inlineStr">
        <is>
          <t>其中：累计已收取增值税发票额</t>
        </is>
      </c>
      <c r="AC8" s="280" t="inlineStr">
        <is>
          <t>其中：营业税及增值税预缴时已抵扣发票额</t>
        </is>
      </c>
      <c r="AD8" s="280" t="inlineStr">
        <is>
          <t>已收取增值税发票对应税额</t>
        </is>
      </c>
      <c r="AE8" s="280" t="inlineStr">
        <is>
          <t>其中：已认证税额</t>
        </is>
      </c>
      <c r="AF8" s="280" t="inlineStr">
        <is>
          <t>已收取待认证税额</t>
        </is>
      </c>
      <c r="AG8" s="280" t="n"/>
      <c r="AH8" s="280" t="inlineStr">
        <is>
          <t>按结算未收取发票额</t>
        </is>
      </c>
      <c r="AI8" s="280" t="inlineStr">
        <is>
          <t>按付款未收取发票额</t>
        </is>
      </c>
      <c r="AJ8" s="280" t="inlineStr">
        <is>
          <t>当前适用税率</t>
        </is>
      </c>
      <c r="AK8" s="280" t="inlineStr">
        <is>
          <t>其他应收-待扣减税额</t>
        </is>
      </c>
      <c r="AL8" s="269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281" t="n"/>
      <c r="B10" s="281" t="n">
        <v>1</v>
      </c>
      <c r="C10" s="281" t="n">
        <v>2</v>
      </c>
      <c r="D10" s="281" t="n">
        <v>3</v>
      </c>
      <c r="E10" s="281" t="n">
        <v>4</v>
      </c>
      <c r="F10" s="281" t="n">
        <v>5</v>
      </c>
      <c r="G10" s="281" t="n">
        <v>6</v>
      </c>
      <c r="H10" s="281" t="n">
        <v>7</v>
      </c>
      <c r="I10" s="281" t="n">
        <v>8</v>
      </c>
      <c r="J10" s="281" t="inlineStr">
        <is>
          <t>9=7+8</t>
        </is>
      </c>
      <c r="K10" s="281" t="n">
        <v>10</v>
      </c>
      <c r="L10" s="281" t="inlineStr">
        <is>
          <t>11=9-10</t>
        </is>
      </c>
      <c r="M10" s="281" t="n">
        <v>12</v>
      </c>
      <c r="N10" s="281" t="n">
        <v>13</v>
      </c>
      <c r="O10" s="281" t="inlineStr">
        <is>
          <t>14=11-12</t>
        </is>
      </c>
      <c r="P10" s="281" t="inlineStr">
        <is>
          <t>15=10-13</t>
        </is>
      </c>
      <c r="Q10" s="281" t="inlineStr">
        <is>
          <t>16=12+14</t>
        </is>
      </c>
      <c r="R10" s="281" t="inlineStr">
        <is>
          <t>17=12+13+14+15</t>
        </is>
      </c>
      <c r="S10" s="281" t="n">
        <v>18</v>
      </c>
      <c r="T10" s="281" t="n">
        <v>19</v>
      </c>
      <c r="U10" s="281" t="n">
        <v>20</v>
      </c>
      <c r="V10" s="281" t="n">
        <v>21</v>
      </c>
      <c r="W10" s="281" t="n">
        <v>22</v>
      </c>
      <c r="X10" s="281" t="n">
        <v>23</v>
      </c>
      <c r="Y10" s="281" t="n">
        <v>24</v>
      </c>
      <c r="Z10" s="281" t="n">
        <v>25</v>
      </c>
      <c r="AA10" s="281" t="n">
        <v>26</v>
      </c>
      <c r="AB10" s="281" t="n">
        <v>27</v>
      </c>
      <c r="AC10" s="281" t="n">
        <v>28</v>
      </c>
      <c r="AD10" s="281" t="n">
        <v>29</v>
      </c>
      <c r="AE10" s="281" t="n">
        <v>30</v>
      </c>
      <c r="AF10" s="281" t="n">
        <v>31</v>
      </c>
      <c r="AG10" s="281" t="n">
        <v>32</v>
      </c>
      <c r="AH10" s="281" t="n">
        <v>33</v>
      </c>
      <c r="AI10" s="281" t="n">
        <v>34</v>
      </c>
      <c r="AJ10" s="281" t="n">
        <v>35</v>
      </c>
      <c r="AK10" s="281" t="n">
        <v>36</v>
      </c>
      <c r="AL10" s="269" t="n"/>
    </row>
    <row r="11" ht="14" customFormat="1" customHeight="1" s="180">
      <c r="A11" s="282" t="n"/>
      <c r="B11" s="283" t="n"/>
      <c r="C11" s="283" t="n"/>
      <c r="D11" s="284" t="inlineStr">
        <is>
          <t>二、成本</t>
        </is>
      </c>
      <c r="E11" s="283" t="n"/>
      <c r="F11" s="283" t="n"/>
      <c r="G11" s="283" t="n"/>
      <c r="H11" s="285" t="n"/>
      <c r="I11" s="285" t="n"/>
      <c r="J11" s="285" t="n"/>
      <c r="K11" s="286" t="n"/>
      <c r="L11" s="287" t="n"/>
      <c r="M11" s="288" t="n"/>
      <c r="N11" s="288" t="n"/>
      <c r="O11" s="285">
        <f>L11-M11</f>
        <v/>
      </c>
      <c r="P11" s="285">
        <f>K11-N11</f>
        <v/>
      </c>
      <c r="Q11" s="285">
        <f>M11+O11</f>
        <v/>
      </c>
      <c r="R11" s="285">
        <f>M11+N11+O11+P11</f>
        <v/>
      </c>
      <c r="S11" s="289">
        <f>SUM(T11:V11)</f>
        <v/>
      </c>
      <c r="T11" s="289" t="n"/>
      <c r="U11" s="289" t="n"/>
      <c r="V11" s="289" t="n"/>
      <c r="W11" s="289" t="n"/>
      <c r="X11" s="289" t="n"/>
      <c r="Y11" s="289" t="n"/>
      <c r="Z11" s="289" t="n"/>
      <c r="AA11" s="289" t="n"/>
      <c r="AB11" s="289" t="n"/>
      <c r="AC11" s="289" t="n"/>
      <c r="AD11" s="289" t="n"/>
      <c r="AE11" s="289" t="n"/>
      <c r="AF11" s="289" t="n"/>
      <c r="AG11" s="289" t="n"/>
      <c r="AH11" s="289" t="n"/>
      <c r="AI11" s="289" t="n"/>
      <c r="AJ11" s="289" t="n"/>
      <c r="AK11" s="290">
        <f>AB11/1.17*0.17+AC11/1.16*0.16+AD11/1.11*0.11+AE11/1.1*0.1+AF11/1.09*0.09+AI11/1.03*0.03</f>
        <v/>
      </c>
      <c r="AL11" s="291" t="n"/>
    </row>
    <row r="12" ht="14" customFormat="1" customHeight="1" s="180">
      <c r="A12" s="282" t="n"/>
      <c r="B12" s="283" t="n"/>
      <c r="C12" s="283" t="n"/>
      <c r="D12" s="292" t="inlineStr">
        <is>
          <t>（一）人工费</t>
        </is>
      </c>
      <c r="E12" s="283" t="n"/>
      <c r="F12" s="283" t="n"/>
      <c r="G12" s="283" t="n"/>
      <c r="H12" s="285" t="n"/>
      <c r="I12" s="285" t="n"/>
      <c r="J12" s="285" t="n"/>
      <c r="K12" s="286" t="n"/>
      <c r="L12" s="287" t="n"/>
      <c r="M12" s="288" t="n"/>
      <c r="N12" s="288" t="n"/>
      <c r="O12" s="285">
        <f>L12-M12</f>
        <v/>
      </c>
      <c r="P12" s="285">
        <f>K12-N12</f>
        <v/>
      </c>
      <c r="Q12" s="285">
        <f>M12+O12</f>
        <v/>
      </c>
      <c r="R12" s="285">
        <f>M12+N12+O12+P12</f>
        <v/>
      </c>
      <c r="S12" s="289">
        <f>SUM(T12:V12)</f>
        <v/>
      </c>
      <c r="T12" s="290" t="n"/>
      <c r="U12" s="290" t="n"/>
      <c r="V12" s="290" t="n"/>
      <c r="W12" s="290" t="n"/>
      <c r="X12" s="290" t="n"/>
      <c r="Y12" s="290" t="n"/>
      <c r="Z12" s="290" t="n"/>
      <c r="AA12" s="289" t="n"/>
      <c r="AB12" s="289" t="n"/>
      <c r="AC12" s="289" t="n"/>
      <c r="AD12" s="289" t="n"/>
      <c r="AE12" s="289" t="n"/>
      <c r="AF12" s="289" t="n"/>
      <c r="AG12" s="289" t="n"/>
      <c r="AH12" s="289" t="n"/>
      <c r="AI12" s="289" t="n"/>
      <c r="AJ12" s="289" t="n"/>
      <c r="AK12" s="290">
        <f>AB12/1.17*0.17+AC12/1.16*0.16+AD12/1.11*0.11+AE12/1.1*0.1+AF12/1.09*0.09+AI12/1.03*0.03</f>
        <v/>
      </c>
      <c r="AL12" s="291" t="n"/>
    </row>
    <row r="13" ht="14" customFormat="1" customHeight="1" s="180">
      <c r="A13" s="206" t="n">
        <v>1</v>
      </c>
      <c r="B13" s="206" t="inlineStr">
        <is>
          <t>200678254</t>
        </is>
      </c>
      <c r="C13" s="207" t="inlineStr">
        <is>
          <t>中建四局020020210018040001</t>
        </is>
      </c>
      <c r="D13" s="207" t="inlineStr">
        <is>
          <t>四川川泸远豪建筑劳务有限公司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6" t="n"/>
      <c r="M13" s="210" t="n">
        <v>13062239.41</v>
      </c>
      <c r="N13" s="210" t="n">
        <v>403986.79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13454100</v>
      </c>
      <c r="U13" s="206" t="n"/>
      <c r="V13" s="206" t="n"/>
      <c r="W13" s="293" t="n"/>
      <c r="X13" s="293" t="n"/>
      <c r="Y13" s="293" t="n"/>
      <c r="Z13" s="293" t="n"/>
      <c r="AA13" s="293" t="n"/>
      <c r="AB13" s="293" t="n"/>
      <c r="AC13" s="293" t="n"/>
      <c r="AD13" s="293" t="n"/>
      <c r="AE13" s="293" t="n"/>
      <c r="AF13" s="293" t="n"/>
      <c r="AG13" s="293" t="n"/>
      <c r="AH13" s="293" t="n"/>
      <c r="AI13" s="293" t="n"/>
      <c r="AJ13" s="293" t="n"/>
      <c r="AK13" s="293" t="n"/>
      <c r="AL13" s="293" t="n"/>
    </row>
    <row r="14" ht="14" customFormat="1" customHeight="1" s="180">
      <c r="A14" s="206" t="n">
        <v>2</v>
      </c>
      <c r="B14" s="206" t="inlineStr">
        <is>
          <t>200678254</t>
        </is>
      </c>
      <c r="C14" s="207" t="inlineStr">
        <is>
          <t>中建四局020020210018040002</t>
        </is>
      </c>
      <c r="D14" s="207" t="inlineStr">
        <is>
          <t>四川川泸远豪建筑劳务有限公司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6" t="n"/>
      <c r="M14" s="210" t="n">
        <v>703031.74</v>
      </c>
      <c r="N14" s="210" t="n">
        <v>21743.25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704906.36</v>
      </c>
      <c r="U14" s="206" t="n"/>
      <c r="V14" s="206" t="n"/>
      <c r="W14" s="293" t="n"/>
      <c r="X14" s="293" t="n"/>
      <c r="Y14" s="293" t="n"/>
      <c r="Z14" s="293" t="n"/>
      <c r="AA14" s="293" t="n"/>
      <c r="AB14" s="293" t="n"/>
      <c r="AC14" s="293" t="n"/>
      <c r="AD14" s="293" t="n"/>
      <c r="AE14" s="293" t="n"/>
      <c r="AF14" s="293" t="n"/>
      <c r="AG14" s="293" t="n"/>
      <c r="AH14" s="293" t="n"/>
      <c r="AI14" s="293" t="n"/>
      <c r="AJ14" s="293" t="n"/>
      <c r="AK14" s="293" t="n"/>
      <c r="AL14" s="293" t="n"/>
    </row>
    <row r="15" ht="14" customFormat="1" customHeight="1" s="180">
      <c r="A15" s="206" t="n">
        <v>3</v>
      </c>
      <c r="B15" s="206" t="inlineStr">
        <is>
          <t>200678254</t>
        </is>
      </c>
      <c r="C15" s="207" t="inlineStr">
        <is>
          <t>中建四局020020210018040004</t>
        </is>
      </c>
      <c r="D15" s="207" t="inlineStr">
        <is>
          <t>四川川泸远豪建筑劳务有限公司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6" t="n"/>
      <c r="M15" s="210" t="n">
        <v>868092.23</v>
      </c>
      <c r="N15" s="210" t="n">
        <v>26042.77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894135</v>
      </c>
      <c r="U15" s="206" t="n"/>
      <c r="V15" s="206" t="n"/>
      <c r="W15" s="293" t="n"/>
      <c r="X15" s="293" t="n"/>
      <c r="Y15" s="293" t="n"/>
      <c r="Z15" s="293" t="n"/>
      <c r="AA15" s="293" t="n"/>
      <c r="AB15" s="293" t="n"/>
      <c r="AC15" s="293" t="n"/>
      <c r="AD15" s="293" t="n"/>
      <c r="AE15" s="293" t="n"/>
      <c r="AF15" s="293" t="n"/>
      <c r="AG15" s="293" t="n"/>
      <c r="AH15" s="293" t="n"/>
      <c r="AI15" s="293" t="n"/>
      <c r="AJ15" s="293" t="n"/>
      <c r="AK15" s="293" t="n"/>
      <c r="AL15" s="293" t="n"/>
    </row>
    <row r="16" ht="14" customFormat="1" customHeight="1" s="180">
      <c r="A16" s="206" t="n">
        <v>4</v>
      </c>
      <c r="B16" s="206" t="inlineStr">
        <is>
          <t>100060432</t>
        </is>
      </c>
      <c r="C16" s="207" t="inlineStr">
        <is>
          <t>中建四局0200202101804001</t>
        </is>
      </c>
      <c r="D16" s="207" t="inlineStr">
        <is>
          <t>广州市亲力劳务派遣有限公司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6" t="n"/>
      <c r="M16" s="210" t="n">
        <v>14453921.47</v>
      </c>
      <c r="N16" s="210" t="n">
        <v>444003.04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15241016.3</v>
      </c>
      <c r="U16" s="206" t="n"/>
      <c r="V16" s="206" t="n"/>
      <c r="W16" s="293" t="n"/>
      <c r="X16" s="293" t="n"/>
      <c r="Y16" s="293" t="n"/>
      <c r="Z16" s="293" t="n"/>
      <c r="AA16" s="293" t="n"/>
      <c r="AB16" s="293" t="n"/>
      <c r="AC16" s="293" t="n"/>
      <c r="AD16" s="293" t="n"/>
      <c r="AE16" s="293" t="n"/>
      <c r="AF16" s="293" t="n"/>
      <c r="AG16" s="293" t="n"/>
      <c r="AH16" s="293" t="n"/>
      <c r="AI16" s="293" t="n"/>
      <c r="AJ16" s="293" t="n"/>
      <c r="AK16" s="293" t="n"/>
      <c r="AL16" s="293" t="n"/>
    </row>
    <row r="17" ht="14" customFormat="1" customHeight="1" s="180">
      <c r="A17" s="206" t="n">
        <v>5</v>
      </c>
      <c r="B17" s="206" t="inlineStr">
        <is>
          <t>100060432</t>
        </is>
      </c>
      <c r="C17" s="207" t="inlineStr">
        <is>
          <t>中建四局0200202101804002</t>
        </is>
      </c>
      <c r="D17" s="207" t="inlineStr">
        <is>
          <t>广州市亲力劳务派遣有限公司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6" t="n"/>
      <c r="M17" s="210" t="n">
        <v>2507691.65</v>
      </c>
      <c r="N17" s="210" t="n">
        <v>77169.42999999999</v>
      </c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10" t="n">
        <v>2453800</v>
      </c>
      <c r="U17" s="206" t="n"/>
      <c r="V17" s="206" t="n"/>
      <c r="W17" s="293" t="n"/>
      <c r="X17" s="293" t="n"/>
      <c r="Y17" s="293" t="n"/>
      <c r="Z17" s="293" t="n"/>
      <c r="AA17" s="293" t="n"/>
      <c r="AB17" s="293" t="n"/>
      <c r="AC17" s="293" t="n"/>
      <c r="AD17" s="293" t="n"/>
      <c r="AE17" s="293" t="n"/>
      <c r="AF17" s="293" t="n"/>
      <c r="AG17" s="293" t="n"/>
      <c r="AH17" s="293" t="n"/>
      <c r="AI17" s="293" t="n"/>
      <c r="AJ17" s="293" t="n"/>
      <c r="AK17" s="293" t="n"/>
      <c r="AL17" s="293" t="n"/>
    </row>
    <row r="18" ht="14" customFormat="1" customHeight="1" s="180">
      <c r="A18" s="206" t="n">
        <v>6</v>
      </c>
      <c r="B18" s="206" t="inlineStr">
        <is>
          <t>100060432</t>
        </is>
      </c>
      <c r="C18" s="207" t="inlineStr">
        <is>
          <t>中建四局0200202101804003</t>
        </is>
      </c>
      <c r="D18" s="207" t="inlineStr">
        <is>
          <t>广州市亲力劳务派遣有限公司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6" t="n"/>
      <c r="M18" s="210" t="n">
        <v>1001673.79</v>
      </c>
      <c r="N18" s="210" t="n">
        <v>30742.83</v>
      </c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10" t="n">
        <v>923900</v>
      </c>
      <c r="U18" s="206" t="n"/>
      <c r="V18" s="206" t="n"/>
      <c r="W18" s="293" t="n"/>
      <c r="X18" s="293" t="n"/>
      <c r="Y18" s="293" t="n"/>
      <c r="Z18" s="293" t="n"/>
      <c r="AA18" s="293" t="n"/>
      <c r="AB18" s="293" t="n"/>
      <c r="AC18" s="293" t="n"/>
      <c r="AD18" s="293" t="n"/>
      <c r="AE18" s="293" t="n"/>
      <c r="AF18" s="293" t="n"/>
      <c r="AG18" s="293" t="n"/>
      <c r="AH18" s="293" t="n"/>
      <c r="AI18" s="293" t="n"/>
      <c r="AJ18" s="293" t="n"/>
      <c r="AK18" s="293" t="n"/>
      <c r="AL18" s="293" t="n"/>
    </row>
    <row r="19" ht="14" customFormat="1" customHeight="1" s="180">
      <c r="A19" s="206" t="n">
        <v>7</v>
      </c>
      <c r="B19" s="206" t="inlineStr">
        <is>
          <t>100060432</t>
        </is>
      </c>
      <c r="C19" s="207" t="inlineStr">
        <is>
          <t>中建四局0200202101804004</t>
        </is>
      </c>
      <c r="D19" s="207" t="inlineStr">
        <is>
          <t>广州市亲力劳务派遣有限公司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6" t="n"/>
      <c r="M19" s="210" t="n">
        <v>4987679.71</v>
      </c>
      <c r="N19" s="210" t="n">
        <v>153682.39</v>
      </c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10" t="n">
        <v>5226426.6</v>
      </c>
      <c r="U19" s="206" t="n"/>
      <c r="V19" s="206" t="n"/>
      <c r="W19" s="293" t="n"/>
      <c r="X19" s="293" t="n"/>
      <c r="Y19" s="293" t="n"/>
      <c r="Z19" s="293" t="n"/>
      <c r="AA19" s="293" t="n"/>
      <c r="AB19" s="293" t="n"/>
      <c r="AC19" s="293" t="n"/>
      <c r="AD19" s="293" t="n"/>
      <c r="AE19" s="293" t="n"/>
      <c r="AF19" s="293" t="n"/>
      <c r="AG19" s="293" t="n"/>
      <c r="AH19" s="293" t="n"/>
      <c r="AI19" s="293" t="n"/>
      <c r="AJ19" s="293" t="n"/>
      <c r="AK19" s="293" t="n"/>
      <c r="AL19" s="293" t="n"/>
    </row>
    <row r="20" ht="14" customFormat="1" customHeight="1" s="180">
      <c r="A20" s="206" t="n">
        <v>8</v>
      </c>
      <c r="B20" s="206" t="inlineStr">
        <is>
          <t>100060432</t>
        </is>
      </c>
      <c r="C20" s="207" t="inlineStr">
        <is>
          <t>中建四局0200202101804005</t>
        </is>
      </c>
      <c r="D20" s="207" t="inlineStr">
        <is>
          <t>广州市亲力劳务派遣有限公司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6" t="n"/>
      <c r="M20" s="210" t="n">
        <v>1119462.7</v>
      </c>
      <c r="N20" s="210" t="n">
        <v>34528.25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1014500</v>
      </c>
      <c r="U20" s="206" t="n"/>
      <c r="V20" s="206" t="n"/>
      <c r="W20" s="293" t="n"/>
      <c r="X20" s="293" t="n"/>
      <c r="Y20" s="293" t="n"/>
      <c r="Z20" s="293" t="n"/>
      <c r="AA20" s="293" t="n"/>
      <c r="AB20" s="293" t="n"/>
      <c r="AC20" s="293" t="n"/>
      <c r="AD20" s="293" t="n"/>
      <c r="AE20" s="293" t="n"/>
      <c r="AF20" s="293" t="n"/>
      <c r="AG20" s="293" t="n"/>
      <c r="AH20" s="293" t="n"/>
      <c r="AI20" s="293" t="n"/>
      <c r="AJ20" s="293" t="n"/>
      <c r="AK20" s="293" t="n"/>
      <c r="AL20" s="293" t="n"/>
    </row>
    <row r="21" ht="14" customFormat="1" customHeight="1" s="180">
      <c r="A21" s="206" t="n">
        <v>9</v>
      </c>
      <c r="B21" s="206" t="inlineStr">
        <is>
          <t>100060432</t>
        </is>
      </c>
      <c r="C21" s="207" t="inlineStr">
        <is>
          <t>中建四局0200202101804006</t>
        </is>
      </c>
      <c r="D21" s="207" t="inlineStr">
        <is>
          <t>广州市亲力劳务派遣有限公司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6" t="n"/>
      <c r="M21" s="210" t="n">
        <v>27951795.29</v>
      </c>
      <c r="N21" s="210" t="n">
        <v>859623.09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29431074</v>
      </c>
      <c r="U21" s="206" t="n"/>
      <c r="V21" s="206" t="n"/>
      <c r="W21" s="293" t="n"/>
      <c r="X21" s="293" t="n"/>
      <c r="Y21" s="293" t="n"/>
      <c r="Z21" s="293" t="n"/>
      <c r="AA21" s="293" t="n"/>
      <c r="AB21" s="293" t="n"/>
      <c r="AC21" s="293" t="n"/>
      <c r="AD21" s="293" t="n"/>
      <c r="AE21" s="293" t="n"/>
      <c r="AF21" s="293" t="n"/>
      <c r="AG21" s="293" t="n"/>
      <c r="AH21" s="293" t="n"/>
      <c r="AI21" s="293" t="n"/>
      <c r="AJ21" s="293" t="n"/>
      <c r="AK21" s="293" t="n"/>
      <c r="AL21" s="293" t="n"/>
    </row>
    <row r="22" ht="14" customFormat="1" customHeight="1" s="180">
      <c r="A22" s="206" t="n">
        <v>10</v>
      </c>
      <c r="B22" s="206" t="inlineStr">
        <is>
          <t>100060432</t>
        </is>
      </c>
      <c r="C22" s="207" t="inlineStr">
        <is>
          <t>中建四局0200202101804007</t>
        </is>
      </c>
      <c r="D22" s="207" t="inlineStr">
        <is>
          <t>广州市亲力劳务派遣有限公司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6" t="n"/>
      <c r="M22" s="210" t="n">
        <v>26334807.36</v>
      </c>
      <c r="N22" s="210" t="n">
        <v>810062.35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27075493.73</v>
      </c>
      <c r="U22" s="206" t="n"/>
      <c r="V22" s="206" t="n"/>
      <c r="W22" s="293" t="n"/>
      <c r="X22" s="293" t="n"/>
      <c r="Y22" s="293" t="n"/>
      <c r="Z22" s="293" t="n"/>
      <c r="AA22" s="293" t="n"/>
      <c r="AB22" s="293" t="n"/>
      <c r="AC22" s="293" t="n"/>
      <c r="AD22" s="293" t="n"/>
      <c r="AE22" s="293" t="n"/>
      <c r="AF22" s="293" t="n"/>
      <c r="AG22" s="293" t="n"/>
      <c r="AH22" s="293" t="n"/>
      <c r="AI22" s="293" t="n"/>
      <c r="AJ22" s="293" t="n"/>
      <c r="AK22" s="293" t="n"/>
      <c r="AL22" s="293" t="n"/>
    </row>
    <row r="23" ht="14" customFormat="1" customHeight="1" s="180">
      <c r="A23" s="206" t="n">
        <v>11</v>
      </c>
      <c r="B23" s="206" t="inlineStr">
        <is>
          <t>100060432</t>
        </is>
      </c>
      <c r="C23" s="207" t="inlineStr">
        <is>
          <t>中建四局0200202101804008</t>
        </is>
      </c>
      <c r="D23" s="207" t="inlineStr">
        <is>
          <t>广州市亲力劳务派遣有限公司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6" t="n"/>
      <c r="M23" s="210" t="n">
        <v>1197273.55</v>
      </c>
      <c r="N23" s="210" t="n">
        <v>36853.78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1137500</v>
      </c>
      <c r="U23" s="206" t="n"/>
      <c r="V23" s="206" t="n"/>
      <c r="W23" s="293" t="n"/>
      <c r="X23" s="293" t="n"/>
      <c r="Y23" s="293" t="n"/>
      <c r="Z23" s="293" t="n"/>
      <c r="AA23" s="293" t="n"/>
      <c r="AB23" s="293" t="n"/>
      <c r="AC23" s="293" t="n"/>
      <c r="AD23" s="293" t="n"/>
      <c r="AE23" s="293" t="n"/>
      <c r="AF23" s="293" t="n"/>
      <c r="AG23" s="293" t="n"/>
      <c r="AH23" s="293" t="n"/>
      <c r="AI23" s="293" t="n"/>
      <c r="AJ23" s="293" t="n"/>
      <c r="AK23" s="293" t="n"/>
      <c r="AL23" s="293" t="n"/>
    </row>
    <row r="24" ht="14" customFormat="1" customHeight="1" s="180">
      <c r="A24" s="206" t="n">
        <v>12</v>
      </c>
      <c r="B24" s="206" t="inlineStr">
        <is>
          <t>100060432</t>
        </is>
      </c>
      <c r="C24" s="207" t="inlineStr">
        <is>
          <t>中建四局0200202101804010</t>
        </is>
      </c>
      <c r="D24" s="207" t="inlineStr">
        <is>
          <t>广州市亲力劳务派遣有限公司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6" t="n"/>
      <c r="M24" s="210" t="n">
        <v>7351812.22</v>
      </c>
      <c r="N24" s="210" t="n">
        <v>226612.33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7600600</v>
      </c>
      <c r="U24" s="206" t="n"/>
      <c r="V24" s="206" t="n"/>
      <c r="W24" s="293" t="n"/>
      <c r="X24" s="293" t="n"/>
      <c r="Y24" s="293" t="n"/>
      <c r="Z24" s="293" t="n"/>
      <c r="AA24" s="293" t="n"/>
      <c r="AB24" s="293" t="n"/>
      <c r="AC24" s="293" t="n"/>
      <c r="AD24" s="293" t="n"/>
      <c r="AE24" s="293" t="n"/>
      <c r="AF24" s="293" t="n"/>
      <c r="AG24" s="293" t="n"/>
      <c r="AH24" s="293" t="n"/>
      <c r="AI24" s="293" t="n"/>
      <c r="AJ24" s="293" t="n"/>
      <c r="AK24" s="293" t="n"/>
      <c r="AL24" s="293" t="n"/>
    </row>
    <row r="25" ht="14" customFormat="1" customHeight="1" s="180">
      <c r="A25" s="206" t="n">
        <v>13</v>
      </c>
      <c r="B25" s="206" t="inlineStr">
        <is>
          <t>100217147</t>
        </is>
      </c>
      <c r="C25" s="207" t="inlineStr">
        <is>
          <t>中建四局020020210018040003</t>
        </is>
      </c>
      <c r="D25" s="207" t="inlineStr">
        <is>
          <t>广州精诚建筑劳务有限公司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6" t="n"/>
      <c r="M25" s="210" t="n">
        <v>6098312.75</v>
      </c>
      <c r="N25" s="210" t="n">
        <v>185985.2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5184957.19</v>
      </c>
      <c r="U25" s="206" t="n"/>
      <c r="V25" s="206" t="n"/>
      <c r="W25" s="293" t="n"/>
      <c r="X25" s="293" t="n"/>
      <c r="Y25" s="293" t="n"/>
      <c r="Z25" s="293" t="n"/>
      <c r="AA25" s="293" t="n"/>
      <c r="AB25" s="293" t="n"/>
      <c r="AC25" s="293" t="n"/>
      <c r="AD25" s="293" t="n"/>
      <c r="AE25" s="293" t="n"/>
      <c r="AF25" s="293" t="n"/>
      <c r="AG25" s="293" t="n"/>
      <c r="AH25" s="293" t="n"/>
      <c r="AI25" s="293" t="n"/>
      <c r="AJ25" s="293" t="n"/>
      <c r="AK25" s="293" t="n"/>
      <c r="AL25" s="293" t="n"/>
    </row>
    <row r="26" ht="14" customFormat="1" customHeight="1" s="180">
      <c r="A26" s="206" t="n">
        <v>14</v>
      </c>
      <c r="B26" s="206" t="inlineStr">
        <is>
          <t>200421551</t>
        </is>
      </c>
      <c r="C26" s="207" t="inlineStr">
        <is>
          <t>中建四局0200202101804009</t>
        </is>
      </c>
      <c r="D26" s="207" t="inlineStr">
        <is>
          <t>湖南阳旭建筑劳务服务有限公司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6" t="n"/>
      <c r="M26" s="210" t="n">
        <v>4823113.72</v>
      </c>
      <c r="N26" s="210" t="n">
        <v>148363.9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4971100</v>
      </c>
      <c r="U26" s="206" t="n"/>
      <c r="V26" s="206" t="n"/>
      <c r="W26" s="293" t="n"/>
      <c r="X26" s="293" t="n"/>
      <c r="Y26" s="293" t="n"/>
      <c r="Z26" s="293" t="n"/>
      <c r="AA26" s="293" t="n"/>
      <c r="AB26" s="293" t="n"/>
      <c r="AC26" s="293" t="n"/>
      <c r="AD26" s="293" t="n"/>
      <c r="AE26" s="293" t="n"/>
      <c r="AF26" s="293" t="n"/>
      <c r="AG26" s="293" t="n"/>
      <c r="AH26" s="293" t="n"/>
      <c r="AI26" s="293" t="n"/>
      <c r="AJ26" s="293" t="n"/>
      <c r="AK26" s="293" t="n"/>
      <c r="AL26" s="293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FGD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6" t="n"/>
      <c r="M27" s="210" t="n">
        <v>7622756.31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  <c r="W27" s="293" t="n"/>
      <c r="X27" s="293" t="n"/>
      <c r="Y27" s="293" t="n"/>
      <c r="Z27" s="293" t="n"/>
      <c r="AA27" s="293" t="n"/>
      <c r="AB27" s="293" t="n"/>
      <c r="AC27" s="293" t="n"/>
      <c r="AD27" s="293" t="n"/>
      <c r="AE27" s="293" t="n"/>
      <c r="AF27" s="293" t="n"/>
      <c r="AG27" s="293" t="n"/>
      <c r="AH27" s="293" t="n"/>
      <c r="AI27" s="293" t="n"/>
      <c r="AJ27" s="293" t="n"/>
      <c r="AK27" s="293" t="n"/>
      <c r="AL27" s="293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CFK+佛山市赢鑫建筑机械租赁有限公司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6" t="n"/>
      <c r="M28" s="210" t="n">
        <v>14400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  <c r="W28" s="293" t="n"/>
      <c r="X28" s="293" t="n"/>
      <c r="Y28" s="293" t="n"/>
      <c r="Z28" s="293" t="n"/>
      <c r="AA28" s="293" t="n"/>
      <c r="AB28" s="293" t="n"/>
      <c r="AC28" s="293" t="n"/>
      <c r="AD28" s="293" t="n"/>
      <c r="AE28" s="293" t="n"/>
      <c r="AF28" s="293" t="n"/>
      <c r="AG28" s="293" t="n"/>
      <c r="AH28" s="293" t="n"/>
      <c r="AI28" s="293" t="n"/>
      <c r="AJ28" s="293" t="n"/>
      <c r="AK28" s="293" t="n"/>
      <c r="AL28" s="293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CFK+广州小老虎建筑机械租赁有限公司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6" t="n"/>
      <c r="M29" s="210" t="n">
        <v>156312.9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  <c r="W29" s="293" t="n"/>
      <c r="X29" s="293" t="n"/>
      <c r="Y29" s="293" t="n"/>
      <c r="Z29" s="293" t="n"/>
      <c r="AA29" s="293" t="n"/>
      <c r="AB29" s="293" t="n"/>
      <c r="AC29" s="293" t="n"/>
      <c r="AD29" s="293" t="n"/>
      <c r="AE29" s="293" t="n"/>
      <c r="AF29" s="293" t="n"/>
      <c r="AG29" s="293" t="n"/>
      <c r="AH29" s="293" t="n"/>
      <c r="AI29" s="293" t="n"/>
      <c r="AJ29" s="293" t="n"/>
      <c r="AK29" s="293" t="n"/>
      <c r="AL29" s="293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CFK+郑跃鹏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6" t="n"/>
      <c r="M30" s="210" t="n">
        <v>3277486.71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  <c r="W30" s="293" t="n"/>
      <c r="X30" s="293" t="n"/>
      <c r="Y30" s="293" t="n"/>
      <c r="Z30" s="293" t="n"/>
      <c r="AA30" s="293" t="n"/>
      <c r="AB30" s="293" t="n"/>
      <c r="AC30" s="293" t="n"/>
      <c r="AD30" s="293" t="n"/>
      <c r="AE30" s="293" t="n"/>
      <c r="AF30" s="293" t="n"/>
      <c r="AG30" s="293" t="n"/>
      <c r="AH30" s="293" t="n"/>
      <c r="AI30" s="293" t="n"/>
      <c r="AJ30" s="293" t="n"/>
      <c r="AK30" s="293" t="n"/>
      <c r="AL30" s="293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CFK+黄云茂-封存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6" t="n"/>
      <c r="M31" s="210" t="n">
        <v>64600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  <c r="W31" s="293" t="n"/>
      <c r="X31" s="293" t="n"/>
      <c r="Y31" s="293" t="n"/>
      <c r="Z31" s="293" t="n"/>
      <c r="AA31" s="293" t="n"/>
      <c r="AB31" s="293" t="n"/>
      <c r="AC31" s="293" t="n"/>
      <c r="AD31" s="293" t="n"/>
      <c r="AE31" s="293" t="n"/>
      <c r="AF31" s="293" t="n"/>
      <c r="AG31" s="293" t="n"/>
      <c r="AH31" s="293" t="n"/>
      <c r="AI31" s="293" t="n"/>
      <c r="AJ31" s="293" t="n"/>
      <c r="AK31" s="293" t="n"/>
      <c r="AL31" s="293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ZGD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6" t="n"/>
      <c r="M32" s="210" t="n">
        <v>42912.81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  <c r="W32" s="293" t="n"/>
      <c r="X32" s="293" t="n"/>
      <c r="Y32" s="293" t="n"/>
      <c r="Z32" s="293" t="n"/>
      <c r="AA32" s="293" t="n"/>
      <c r="AB32" s="293" t="n"/>
      <c r="AC32" s="293" t="n"/>
      <c r="AD32" s="293" t="n"/>
      <c r="AE32" s="293" t="n"/>
      <c r="AF32" s="293" t="n"/>
      <c r="AG32" s="293" t="n"/>
      <c r="AH32" s="293" t="n"/>
      <c r="AI32" s="293" t="n"/>
      <c r="AJ32" s="293" t="n"/>
      <c r="AK32" s="293" t="n"/>
      <c r="AL32" s="293" t="n"/>
    </row>
    <row r="33" ht="14" customFormat="1" customHeight="1" s="180">
      <c r="A33" s="206" t="n">
        <v>21</v>
      </c>
      <c r="B33" s="206" t="n"/>
      <c r="C33" s="207" t="n"/>
      <c r="D33" s="207" t="inlineStr">
        <is>
          <t>ZGD</t>
        </is>
      </c>
      <c r="E33" s="206" t="n"/>
      <c r="F33" s="206" t="n"/>
      <c r="G33" s="206" t="n"/>
      <c r="H33" s="206" t="n"/>
      <c r="I33" s="206" t="n"/>
      <c r="J33" s="206" t="n"/>
      <c r="K33" s="208" t="n"/>
      <c r="L33" s="206" t="n"/>
      <c r="M33" s="210" t="n">
        <v>42912.81</v>
      </c>
      <c r="N33" s="206" t="n"/>
      <c r="O33" s="206">
        <f>L33-M33</f>
        <v/>
      </c>
      <c r="P33" s="206">
        <f>K33-N33</f>
        <v/>
      </c>
      <c r="Q33" s="206">
        <f>M33+O33</f>
        <v/>
      </c>
      <c r="R33" s="206">
        <f>M33+N33+O33+P33</f>
        <v/>
      </c>
      <c r="S33" s="206" t="n"/>
      <c r="T33" s="206" t="n"/>
      <c r="U33" s="206" t="n"/>
      <c r="V33" s="206" t="n"/>
      <c r="W33" s="293" t="n"/>
      <c r="X33" s="293" t="n"/>
      <c r="Y33" s="293" t="n"/>
      <c r="Z33" s="293" t="n"/>
      <c r="AA33" s="293" t="n"/>
      <c r="AB33" s="293" t="n"/>
      <c r="AC33" s="293" t="n"/>
      <c r="AD33" s="293" t="n"/>
      <c r="AE33" s="293" t="n"/>
      <c r="AF33" s="293" t="n"/>
      <c r="AG33" s="293" t="n"/>
      <c r="AH33" s="293" t="n"/>
      <c r="AI33" s="293" t="n"/>
      <c r="AJ33" s="293" t="n"/>
      <c r="AK33" s="293" t="n"/>
      <c r="AL33" s="293" t="n"/>
    </row>
    <row r="34" ht="14" customFormat="1" customHeight="1" s="180">
      <c r="A34" s="282" t="n"/>
      <c r="B34" s="283" t="n"/>
      <c r="C34" s="283" t="n"/>
      <c r="D34" s="294" t="inlineStr">
        <is>
          <t>**财务未列部分需增列***</t>
        </is>
      </c>
      <c r="E34" s="295" t="n"/>
      <c r="F34" s="295" t="n"/>
      <c r="G34" s="295" t="n"/>
      <c r="H34" s="285" t="n"/>
      <c r="I34" s="285" t="n"/>
      <c r="J34" s="285" t="n"/>
      <c r="K34" s="286" t="n"/>
      <c r="L34" s="287" t="n"/>
      <c r="M34" s="285" t="n"/>
      <c r="N34" s="285" t="n"/>
      <c r="O34" s="285">
        <f>L34-M34</f>
        <v/>
      </c>
      <c r="P34" s="285">
        <f>K34-N34</f>
        <v/>
      </c>
      <c r="Q34" s="285">
        <f>M34+O34</f>
        <v/>
      </c>
      <c r="R34" s="285">
        <f>M34+N34+O34+P34</f>
        <v/>
      </c>
      <c r="S34" s="289">
        <f>SUM(T34:V34)</f>
        <v/>
      </c>
      <c r="T34" s="285" t="n"/>
      <c r="U34" s="285" t="n"/>
      <c r="V34" s="285" t="n"/>
      <c r="W34" s="285" t="n"/>
      <c r="X34" s="285" t="n"/>
      <c r="Y34" s="285" t="n"/>
      <c r="Z34" s="285">
        <f>SUM(AA16:AJ16)</f>
        <v/>
      </c>
      <c r="AA34" s="296" t="n"/>
      <c r="AB34" s="290" t="n"/>
      <c r="AC34" s="290" t="n"/>
      <c r="AD34" s="290" t="n"/>
      <c r="AE34" s="290" t="n"/>
      <c r="AF34" s="290" t="n"/>
      <c r="AG34" s="290" t="n"/>
      <c r="AH34" s="290" t="n"/>
      <c r="AI34" s="290" t="n"/>
      <c r="AJ34" s="290" t="n"/>
      <c r="AK34" s="290">
        <f>AB16/1.17*0.17+AC16/1.16*0.16+AD16/1.11*0.11+AE16/1.1*0.1+AF16/1.09*0.09+AI16/1.03*0.03</f>
        <v/>
      </c>
      <c r="AL34" s="297" t="n"/>
    </row>
    <row r="35" ht="14" customFormat="1" customHeight="1" s="180">
      <c r="A35" s="298" t="n"/>
      <c r="B35" s="299" t="n"/>
      <c r="C35" s="299" t="n"/>
      <c r="D35" s="300" t="inlineStr">
        <is>
          <t>人工费小计：</t>
        </is>
      </c>
      <c r="E35" s="301">
        <f>SUM(E12:E34)</f>
        <v/>
      </c>
      <c r="F35" s="301">
        <f>SUM(F12:F34)</f>
        <v/>
      </c>
      <c r="G35" s="301">
        <f>SUM(G12:G34)</f>
        <v/>
      </c>
      <c r="H35" s="301">
        <f>SUM(H12:H34)</f>
        <v/>
      </c>
      <c r="I35" s="301">
        <f>SUM(I12:I34)</f>
        <v/>
      </c>
      <c r="J35" s="301">
        <f>SUM(J12:J34)</f>
        <v/>
      </c>
      <c r="K35" s="301">
        <f>SUM(K12:K34)</f>
        <v/>
      </c>
      <c r="L35" s="301">
        <f>SUM(L12:L34)</f>
        <v/>
      </c>
      <c r="M35" s="301">
        <f>SUM(M12:M34)</f>
        <v/>
      </c>
      <c r="N35" s="301">
        <f>SUM(N12:N34)</f>
        <v/>
      </c>
      <c r="O35" s="301">
        <f>SUM(O12:O34)</f>
        <v/>
      </c>
      <c r="P35" s="301">
        <f>SUM(P12:P34)</f>
        <v/>
      </c>
      <c r="Q35" s="301">
        <f>SUM(Q12:Q34)</f>
        <v/>
      </c>
      <c r="R35" s="301">
        <f>SUM(R12:R34)</f>
        <v/>
      </c>
      <c r="S35" s="301">
        <f>SUM(S12:S34)</f>
        <v/>
      </c>
      <c r="T35" s="301">
        <f>SUM(T12:T34)</f>
        <v/>
      </c>
      <c r="U35" s="301">
        <f>SUM(U12:U34)</f>
        <v/>
      </c>
      <c r="V35" s="301">
        <f>SUM(V12:V34)</f>
        <v/>
      </c>
      <c r="W35" s="301">
        <f>SUM(W12:W34)</f>
        <v/>
      </c>
      <c r="X35" s="301">
        <f>SUM(X12:X34)</f>
        <v/>
      </c>
      <c r="Y35" s="301">
        <f>SUM(Y12:Y34)</f>
        <v/>
      </c>
      <c r="Z35" s="301">
        <f>SUM(Z12:Z34)</f>
        <v/>
      </c>
      <c r="AA35" s="301">
        <f>SUM(AA12:AA34)</f>
        <v/>
      </c>
      <c r="AB35" s="301">
        <f>SUM(AB12:AB34)</f>
        <v/>
      </c>
      <c r="AC35" s="301">
        <f>SUM(AC12:AC34)</f>
        <v/>
      </c>
      <c r="AD35" s="301">
        <f>SUM(AD12:AD34)</f>
        <v/>
      </c>
      <c r="AE35" s="301">
        <f>SUM(AE12:AE34)</f>
        <v/>
      </c>
      <c r="AF35" s="301">
        <f>SUM(AF12:AF34)</f>
        <v/>
      </c>
      <c r="AG35" s="301">
        <f>SUM(AG12:AG34)</f>
        <v/>
      </c>
      <c r="AH35" s="301">
        <f>SUM(AH12:AH34)</f>
        <v/>
      </c>
      <c r="AI35" s="301">
        <f>SUM(AI12:AI34)</f>
        <v/>
      </c>
      <c r="AJ35" s="301">
        <f>SUM(AJ12:AJ34)</f>
        <v/>
      </c>
      <c r="AK35" s="301">
        <f>SUM(AK12:AK34)</f>
        <v/>
      </c>
      <c r="AL35" s="291" t="n"/>
    </row>
    <row r="36" ht="14" customFormat="1" customHeight="1" s="180">
      <c r="A36" s="282" t="n"/>
      <c r="B36" s="283" t="n"/>
      <c r="C36" s="283" t="n"/>
      <c r="D36" s="302" t="inlineStr">
        <is>
          <t>（二）分包工程</t>
        </is>
      </c>
      <c r="E36" s="283" t="n"/>
      <c r="F36" s="283" t="n"/>
      <c r="G36" s="283" t="n"/>
      <c r="H36" s="285" t="n"/>
      <c r="I36" s="285" t="n"/>
      <c r="J36" s="285" t="n"/>
      <c r="K36" s="286" t="n"/>
      <c r="L36" s="287" t="n"/>
      <c r="M36" s="285" t="n"/>
      <c r="N36" s="285" t="n"/>
      <c r="O36" s="285">
        <f>L36-M36</f>
        <v/>
      </c>
      <c r="P36" s="285">
        <f>K36-N36</f>
        <v/>
      </c>
      <c r="Q36" s="285">
        <f>M36+O36</f>
        <v/>
      </c>
      <c r="R36" s="285">
        <f>M36+N36+O36+P36</f>
        <v/>
      </c>
      <c r="S36" s="289">
        <f>SUM(T36:V36)</f>
        <v/>
      </c>
      <c r="T36" s="289" t="n"/>
      <c r="U36" s="289" t="n"/>
      <c r="V36" s="289" t="n"/>
      <c r="W36" s="289" t="n"/>
      <c r="X36" s="289" t="n"/>
      <c r="Y36" s="289" t="n"/>
      <c r="Z36" s="289" t="n"/>
      <c r="AA36" s="289" t="n"/>
      <c r="AB36" s="289" t="n"/>
      <c r="AC36" s="289" t="n"/>
      <c r="AD36" s="289" t="n"/>
      <c r="AE36" s="289" t="n"/>
      <c r="AF36" s="289" t="n"/>
      <c r="AG36" s="289" t="n"/>
      <c r="AH36" s="289" t="n"/>
      <c r="AI36" s="289" t="n"/>
      <c r="AJ36" s="289" t="n"/>
      <c r="AK36" s="290">
        <f>AB18/1.17*0.17+AC18/1.16*0.16+AD18/1.11*0.11+AE18/1.1*0.1+AF18/1.09*0.09+AI18/1.03*0.03</f>
        <v/>
      </c>
      <c r="AL36" s="291" t="n"/>
    </row>
    <row r="37" ht="14" customFormat="1" customHeight="1" s="180">
      <c r="A37" s="206" t="n">
        <v>1</v>
      </c>
      <c r="B37" s="206" t="inlineStr">
        <is>
          <t>100217528</t>
        </is>
      </c>
      <c r="C37" s="207" t="inlineStr">
        <is>
          <t>中建四局0200202101803017</t>
        </is>
      </c>
      <c r="D37" s="207" t="inlineStr">
        <is>
          <t>佛山市耀盈活动房屋有限公司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6" t="n"/>
      <c r="M37" s="210" t="n">
        <v>461205.33</v>
      </c>
      <c r="N37" s="210" t="n">
        <v>61180.3</v>
      </c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10" t="n">
        <v>507773.85</v>
      </c>
      <c r="U37" s="206" t="n"/>
      <c r="V37" s="206" t="n"/>
      <c r="W37" s="293" t="n"/>
      <c r="X37" s="293" t="n"/>
      <c r="Y37" s="293" t="n"/>
      <c r="Z37" s="293" t="n"/>
      <c r="AA37" s="293" t="n"/>
      <c r="AB37" s="293" t="n"/>
      <c r="AC37" s="293" t="n"/>
      <c r="AD37" s="293" t="n"/>
      <c r="AE37" s="293" t="n"/>
      <c r="AF37" s="293" t="n"/>
      <c r="AG37" s="293" t="n"/>
      <c r="AH37" s="293" t="n"/>
      <c r="AI37" s="293" t="n"/>
      <c r="AJ37" s="293" t="n"/>
      <c r="AK37" s="293" t="n"/>
      <c r="AL37" s="293" t="n"/>
    </row>
    <row r="38" ht="14" customFormat="1" customHeight="1" s="180">
      <c r="A38" s="206" t="n">
        <v>2</v>
      </c>
      <c r="B38" s="206" t="inlineStr">
        <is>
          <t>200120407</t>
        </is>
      </c>
      <c r="C38" s="207" t="inlineStr">
        <is>
          <t>中建四局0200202101803011</t>
        </is>
      </c>
      <c r="D38" s="207" t="inlineStr">
        <is>
          <t>广东华海建设集团有限公司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6" t="n"/>
      <c r="M38" s="210" t="n">
        <v>17622990.53</v>
      </c>
      <c r="N38" s="210" t="n">
        <v>1620857.48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17382710</v>
      </c>
      <c r="U38" s="206" t="n"/>
      <c r="V38" s="206" t="n"/>
      <c r="W38" s="293" t="n"/>
      <c r="X38" s="293" t="n"/>
      <c r="Y38" s="293" t="n"/>
      <c r="Z38" s="293" t="n"/>
      <c r="AA38" s="293" t="n"/>
      <c r="AB38" s="293" t="n"/>
      <c r="AC38" s="293" t="n"/>
      <c r="AD38" s="293" t="n"/>
      <c r="AE38" s="293" t="n"/>
      <c r="AF38" s="293" t="n"/>
      <c r="AG38" s="293" t="n"/>
      <c r="AH38" s="293" t="n"/>
      <c r="AI38" s="293" t="n"/>
      <c r="AJ38" s="293" t="n"/>
      <c r="AK38" s="293" t="n"/>
      <c r="AL38" s="293" t="n"/>
    </row>
    <row r="39" ht="14" customFormat="1" customHeight="1" s="180">
      <c r="A39" s="206" t="n">
        <v>3</v>
      </c>
      <c r="B39" s="206" t="inlineStr">
        <is>
          <t>200393732</t>
        </is>
      </c>
      <c r="C39" s="207" t="inlineStr">
        <is>
          <t>中建四局020020210018030002</t>
        </is>
      </c>
      <c r="D39" s="207" t="inlineStr">
        <is>
          <t>广东城投建设集团有限公司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6" t="n"/>
      <c r="M39" s="210" t="n">
        <v>1164215.34</v>
      </c>
      <c r="N39" s="210" t="n">
        <v>108019.98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1215005</v>
      </c>
      <c r="U39" s="206" t="n"/>
      <c r="V39" s="206" t="n"/>
      <c r="W39" s="293" t="n"/>
      <c r="X39" s="293" t="n"/>
      <c r="Y39" s="293" t="n"/>
      <c r="Z39" s="293" t="n"/>
      <c r="AA39" s="293" t="n"/>
      <c r="AB39" s="293" t="n"/>
      <c r="AC39" s="293" t="n"/>
      <c r="AD39" s="293" t="n"/>
      <c r="AE39" s="293" t="n"/>
      <c r="AF39" s="293" t="n"/>
      <c r="AG39" s="293" t="n"/>
      <c r="AH39" s="293" t="n"/>
      <c r="AI39" s="293" t="n"/>
      <c r="AJ39" s="293" t="n"/>
      <c r="AK39" s="293" t="n"/>
      <c r="AL39" s="293" t="n"/>
    </row>
    <row r="40" ht="14" customFormat="1" customHeight="1" s="180">
      <c r="A40" s="206" t="n">
        <v>4</v>
      </c>
      <c r="B40" s="206" t="inlineStr">
        <is>
          <t>200430199</t>
        </is>
      </c>
      <c r="C40" s="207" t="inlineStr">
        <is>
          <t>中建四局0200202101803023</t>
        </is>
      </c>
      <c r="D40" s="207" t="inlineStr">
        <is>
          <t>广东振华建筑有限公司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6" t="n"/>
      <c r="M40" s="210" t="n">
        <v>422454.4</v>
      </c>
      <c r="N40" s="210" t="n">
        <v>13065.6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260000</v>
      </c>
      <c r="U40" s="206" t="n"/>
      <c r="V40" s="206" t="n"/>
      <c r="W40" s="293" t="n"/>
      <c r="X40" s="293" t="n"/>
      <c r="Y40" s="293" t="n"/>
      <c r="Z40" s="293" t="n"/>
      <c r="AA40" s="293" t="n"/>
      <c r="AB40" s="293" t="n"/>
      <c r="AC40" s="293" t="n"/>
      <c r="AD40" s="293" t="n"/>
      <c r="AE40" s="293" t="n"/>
      <c r="AF40" s="293" t="n"/>
      <c r="AG40" s="293" t="n"/>
      <c r="AH40" s="293" t="n"/>
      <c r="AI40" s="293" t="n"/>
      <c r="AJ40" s="293" t="n"/>
      <c r="AK40" s="293" t="n"/>
      <c r="AL40" s="293" t="n"/>
    </row>
    <row r="41" ht="14" customFormat="1" customHeight="1" s="180">
      <c r="A41" s="206" t="n">
        <v>5</v>
      </c>
      <c r="B41" s="206" t="inlineStr">
        <is>
          <t>200053581</t>
        </is>
      </c>
      <c r="C41" s="207" t="inlineStr">
        <is>
          <t>中建四局0200202101803003</t>
        </is>
      </c>
      <c r="D41" s="207" t="inlineStr">
        <is>
          <t>广东粤忠晟保安服务有限公司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6" t="n"/>
      <c r="M41" s="210" t="n">
        <v>2383550.91</v>
      </c>
      <c r="N41" s="210" t="n">
        <v>122373.19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2284661</v>
      </c>
      <c r="U41" s="206" t="n"/>
      <c r="V41" s="206" t="n"/>
      <c r="W41" s="293" t="n"/>
      <c r="X41" s="293" t="n"/>
      <c r="Y41" s="293" t="n"/>
      <c r="Z41" s="293" t="n"/>
      <c r="AA41" s="293" t="n"/>
      <c r="AB41" s="293" t="n"/>
      <c r="AC41" s="293" t="n"/>
      <c r="AD41" s="293" t="n"/>
      <c r="AE41" s="293" t="n"/>
      <c r="AF41" s="293" t="n"/>
      <c r="AG41" s="293" t="n"/>
      <c r="AH41" s="293" t="n"/>
      <c r="AI41" s="293" t="n"/>
      <c r="AJ41" s="293" t="n"/>
      <c r="AK41" s="293" t="n"/>
      <c r="AL41" s="293" t="n"/>
    </row>
    <row r="42" ht="14" customFormat="1" customHeight="1" s="180">
      <c r="A42" s="206" t="n">
        <v>6</v>
      </c>
      <c r="B42" s="206" t="inlineStr">
        <is>
          <t>100095592</t>
        </is>
      </c>
      <c r="C42" s="207" t="inlineStr">
        <is>
          <t>中建四局0200202101803005</t>
        </is>
      </c>
      <c r="D42" s="207" t="inlineStr">
        <is>
          <t>广东金华城建设集团有限公司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6" t="n"/>
      <c r="M42" s="210" t="n">
        <v>9646066.359999999</v>
      </c>
      <c r="N42" s="210" t="n">
        <v>889462.14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9688900</v>
      </c>
      <c r="U42" s="206" t="n"/>
      <c r="V42" s="206" t="n"/>
      <c r="W42" s="293" t="n"/>
      <c r="X42" s="293" t="n"/>
      <c r="Y42" s="293" t="n"/>
      <c r="Z42" s="293" t="n"/>
      <c r="AA42" s="293" t="n"/>
      <c r="AB42" s="293" t="n"/>
      <c r="AC42" s="293" t="n"/>
      <c r="AD42" s="293" t="n"/>
      <c r="AE42" s="293" t="n"/>
      <c r="AF42" s="293" t="n"/>
      <c r="AG42" s="293" t="n"/>
      <c r="AH42" s="293" t="n"/>
      <c r="AI42" s="293" t="n"/>
      <c r="AJ42" s="293" t="n"/>
      <c r="AK42" s="293" t="n"/>
      <c r="AL42" s="293" t="n"/>
    </row>
    <row r="43" ht="14" customFormat="1" customHeight="1" s="180">
      <c r="A43" s="206" t="n">
        <v>7</v>
      </c>
      <c r="B43" s="206" t="inlineStr">
        <is>
          <t>200350492</t>
        </is>
      </c>
      <c r="C43" s="207" t="inlineStr">
        <is>
          <t>中建四局0200202101803010</t>
        </is>
      </c>
      <c r="D43" s="207" t="inlineStr">
        <is>
          <t>广东鑫弘盛建设工程有限公司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6" t="n"/>
      <c r="M43" s="210" t="n">
        <v>31780341.05</v>
      </c>
      <c r="N43" s="210" t="n">
        <v>2928739.94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10" t="n">
        <v>34881345</v>
      </c>
      <c r="U43" s="206" t="n"/>
      <c r="V43" s="206" t="n"/>
      <c r="W43" s="293" t="n"/>
      <c r="X43" s="293" t="n"/>
      <c r="Y43" s="293" t="n"/>
      <c r="Z43" s="293" t="n"/>
      <c r="AA43" s="293" t="n"/>
      <c r="AB43" s="293" t="n"/>
      <c r="AC43" s="293" t="n"/>
      <c r="AD43" s="293" t="n"/>
      <c r="AE43" s="293" t="n"/>
      <c r="AF43" s="293" t="n"/>
      <c r="AG43" s="293" t="n"/>
      <c r="AH43" s="293" t="n"/>
      <c r="AI43" s="293" t="n"/>
      <c r="AJ43" s="293" t="n"/>
      <c r="AK43" s="293" t="n"/>
      <c r="AL43" s="293" t="n"/>
    </row>
    <row r="44" ht="14" customFormat="1" customHeight="1" s="180">
      <c r="A44" s="206" t="n">
        <v>8</v>
      </c>
      <c r="B44" s="206" t="inlineStr">
        <is>
          <t>200167577</t>
        </is>
      </c>
      <c r="C44" s="207" t="inlineStr">
        <is>
          <t>中建四局0200202101803018</t>
        </is>
      </c>
      <c r="D44" s="207" t="inlineStr">
        <is>
          <t>广州巧艺佳建筑装饰工程有限公司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6" t="n"/>
      <c r="M44" s="210" t="n">
        <v>678606.99</v>
      </c>
      <c r="N44" s="210" t="n">
        <v>62680.61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756733.7</v>
      </c>
      <c r="U44" s="206" t="n"/>
      <c r="V44" s="206" t="n"/>
      <c r="W44" s="293" t="n"/>
      <c r="X44" s="293" t="n"/>
      <c r="Y44" s="293" t="n"/>
      <c r="Z44" s="293" t="n"/>
      <c r="AA44" s="293" t="n"/>
      <c r="AB44" s="293" t="n"/>
      <c r="AC44" s="293" t="n"/>
      <c r="AD44" s="293" t="n"/>
      <c r="AE44" s="293" t="n"/>
      <c r="AF44" s="293" t="n"/>
      <c r="AG44" s="293" t="n"/>
      <c r="AH44" s="293" t="n"/>
      <c r="AI44" s="293" t="n"/>
      <c r="AJ44" s="293" t="n"/>
      <c r="AK44" s="293" t="n"/>
      <c r="AL44" s="293" t="n"/>
    </row>
    <row r="45" ht="14" customFormat="1" customHeight="1" s="180">
      <c r="A45" s="206" t="n">
        <v>9</v>
      </c>
      <c r="B45" s="206" t="inlineStr">
        <is>
          <t>200167577</t>
        </is>
      </c>
      <c r="C45" s="207" t="inlineStr">
        <is>
          <t>中建四局0200202101803019</t>
        </is>
      </c>
      <c r="D45" s="207" t="inlineStr">
        <is>
          <t>广州巧艺佳建筑装饰工程有限公司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6" t="n"/>
      <c r="M45" s="210" t="n">
        <v>1543302.24</v>
      </c>
      <c r="N45" s="210" t="n">
        <v>142971.95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1731549.1</v>
      </c>
      <c r="U45" s="206" t="n"/>
      <c r="V45" s="206" t="n"/>
      <c r="W45" s="293" t="n"/>
      <c r="X45" s="293" t="n"/>
      <c r="Y45" s="293" t="n"/>
      <c r="Z45" s="293" t="n"/>
      <c r="AA45" s="293" t="n"/>
      <c r="AB45" s="293" t="n"/>
      <c r="AC45" s="293" t="n"/>
      <c r="AD45" s="293" t="n"/>
      <c r="AE45" s="293" t="n"/>
      <c r="AF45" s="293" t="n"/>
      <c r="AG45" s="293" t="n"/>
      <c r="AH45" s="293" t="n"/>
      <c r="AI45" s="293" t="n"/>
      <c r="AJ45" s="293" t="n"/>
      <c r="AK45" s="293" t="n"/>
      <c r="AL45" s="293" t="n"/>
    </row>
    <row r="46" ht="14" customFormat="1" customHeight="1" s="180">
      <c r="A46" s="206" t="n">
        <v>10</v>
      </c>
      <c r="B46" s="206" t="inlineStr">
        <is>
          <t>100060432</t>
        </is>
      </c>
      <c r="C46" s="207" t="inlineStr">
        <is>
          <t>中建四局0200202101803004</t>
        </is>
      </c>
      <c r="D46" s="207" t="inlineStr">
        <is>
          <t>广州市亲力劳务派遣有限公司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6" t="n"/>
      <c r="M46" s="210" t="n">
        <v>14558358.96</v>
      </c>
      <c r="N46" s="210" t="n">
        <v>448169.28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14546400</v>
      </c>
      <c r="U46" s="206" t="n"/>
      <c r="V46" s="206" t="n"/>
      <c r="W46" s="293" t="n"/>
      <c r="X46" s="293" t="n"/>
      <c r="Y46" s="293" t="n"/>
      <c r="Z46" s="293" t="n"/>
      <c r="AA46" s="293" t="n"/>
      <c r="AB46" s="293" t="n"/>
      <c r="AC46" s="293" t="n"/>
      <c r="AD46" s="293" t="n"/>
      <c r="AE46" s="293" t="n"/>
      <c r="AF46" s="293" t="n"/>
      <c r="AG46" s="293" t="n"/>
      <c r="AH46" s="293" t="n"/>
      <c r="AI46" s="293" t="n"/>
      <c r="AJ46" s="293" t="n"/>
      <c r="AK46" s="293" t="n"/>
      <c r="AL46" s="293" t="n"/>
    </row>
    <row r="47" ht="14" customFormat="1" customHeight="1" s="180">
      <c r="A47" s="206" t="n">
        <v>11</v>
      </c>
      <c r="B47" s="206" t="inlineStr">
        <is>
          <t>100060432</t>
        </is>
      </c>
      <c r="C47" s="207" t="inlineStr">
        <is>
          <t>中建四局0200202101803014</t>
        </is>
      </c>
      <c r="D47" s="207" t="inlineStr">
        <is>
          <t>广州市亲力劳务派遣有限公司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6" t="n"/>
      <c r="M47" s="210" t="n">
        <v>40402570.47</v>
      </c>
      <c r="N47" s="210" t="n">
        <v>1242269.38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42593124.4</v>
      </c>
      <c r="U47" s="206" t="n"/>
      <c r="V47" s="206" t="n"/>
      <c r="W47" s="293" t="n"/>
      <c r="X47" s="293" t="n"/>
      <c r="Y47" s="293" t="n"/>
      <c r="Z47" s="293" t="n"/>
      <c r="AA47" s="293" t="n"/>
      <c r="AB47" s="293" t="n"/>
      <c r="AC47" s="293" t="n"/>
      <c r="AD47" s="293" t="n"/>
      <c r="AE47" s="293" t="n"/>
      <c r="AF47" s="293" t="n"/>
      <c r="AG47" s="293" t="n"/>
      <c r="AH47" s="293" t="n"/>
      <c r="AI47" s="293" t="n"/>
      <c r="AJ47" s="293" t="n"/>
      <c r="AK47" s="293" t="n"/>
      <c r="AL47" s="293" t="n"/>
    </row>
    <row r="48" ht="14" customFormat="1" customHeight="1" s="180">
      <c r="A48" s="206" t="n">
        <v>12</v>
      </c>
      <c r="B48" s="206" t="inlineStr">
        <is>
          <t>200328198</t>
        </is>
      </c>
      <c r="C48" s="207" t="inlineStr">
        <is>
          <t>中建四局0200202101803022</t>
        </is>
      </c>
      <c r="D48" s="207" t="inlineStr">
        <is>
          <t>广州市华居宝建筑装饰工程实业有限公司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6" t="n"/>
      <c r="M48" s="210" t="n">
        <v>4222327.28</v>
      </c>
      <c r="N48" s="210" t="n">
        <v>389361.13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4669100</v>
      </c>
      <c r="U48" s="206" t="n"/>
      <c r="V48" s="206" t="n"/>
      <c r="W48" s="293" t="n"/>
      <c r="X48" s="293" t="n"/>
      <c r="Y48" s="293" t="n"/>
      <c r="Z48" s="293" t="n"/>
      <c r="AA48" s="293" t="n"/>
      <c r="AB48" s="293" t="n"/>
      <c r="AC48" s="293" t="n"/>
      <c r="AD48" s="293" t="n"/>
      <c r="AE48" s="293" t="n"/>
      <c r="AF48" s="293" t="n"/>
      <c r="AG48" s="293" t="n"/>
      <c r="AH48" s="293" t="n"/>
      <c r="AI48" s="293" t="n"/>
      <c r="AJ48" s="293" t="n"/>
      <c r="AK48" s="293" t="n"/>
      <c r="AL48" s="293" t="n"/>
    </row>
    <row r="49" ht="14" customFormat="1" customHeight="1" s="180">
      <c r="A49" s="206" t="n">
        <v>13</v>
      </c>
      <c r="B49" s="206" t="inlineStr">
        <is>
          <t>100006039</t>
        </is>
      </c>
      <c r="C49" s="207" t="inlineStr">
        <is>
          <t>中建四局0200202101803016</t>
        </is>
      </c>
      <c r="D49" s="207" t="inlineStr">
        <is>
          <t>广州市桃园建材有限公司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6" t="n"/>
      <c r="M49" s="210" t="n">
        <v>229902.49</v>
      </c>
      <c r="N49" s="210" t="n">
        <v>7082.56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243167.55</v>
      </c>
      <c r="U49" s="206" t="n"/>
      <c r="V49" s="206" t="n"/>
      <c r="W49" s="293" t="n"/>
      <c r="X49" s="293" t="n"/>
      <c r="Y49" s="293" t="n"/>
      <c r="Z49" s="293" t="n"/>
      <c r="AA49" s="293" t="n"/>
      <c r="AB49" s="293" t="n"/>
      <c r="AC49" s="293" t="n"/>
      <c r="AD49" s="293" t="n"/>
      <c r="AE49" s="293" t="n"/>
      <c r="AF49" s="293" t="n"/>
      <c r="AG49" s="293" t="n"/>
      <c r="AH49" s="293" t="n"/>
      <c r="AI49" s="293" t="n"/>
      <c r="AJ49" s="293" t="n"/>
      <c r="AK49" s="293" t="n"/>
      <c r="AL49" s="293" t="n"/>
    </row>
    <row r="50" ht="14" customFormat="1" customHeight="1" s="180">
      <c r="A50" s="206" t="n">
        <v>14</v>
      </c>
      <c r="B50" s="206" t="inlineStr">
        <is>
          <t>200163448</t>
        </is>
      </c>
      <c r="C50" s="207" t="inlineStr">
        <is>
          <t>中建四局020020210018030001</t>
        </is>
      </c>
      <c r="D50" s="207" t="inlineStr">
        <is>
          <t>广州市森平装饰材料有限公司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6" t="n"/>
      <c r="M50" s="210" t="n">
        <v>1025077.57</v>
      </c>
      <c r="N50" s="210" t="n">
        <v>95110.28999999999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953000</v>
      </c>
      <c r="U50" s="206" t="n"/>
      <c r="V50" s="206" t="n"/>
      <c r="W50" s="293" t="n"/>
      <c r="X50" s="293" t="n"/>
      <c r="Y50" s="293" t="n"/>
      <c r="Z50" s="293" t="n"/>
      <c r="AA50" s="293" t="n"/>
      <c r="AB50" s="293" t="n"/>
      <c r="AC50" s="293" t="n"/>
      <c r="AD50" s="293" t="n"/>
      <c r="AE50" s="293" t="n"/>
      <c r="AF50" s="293" t="n"/>
      <c r="AG50" s="293" t="n"/>
      <c r="AH50" s="293" t="n"/>
      <c r="AI50" s="293" t="n"/>
      <c r="AJ50" s="293" t="n"/>
      <c r="AK50" s="293" t="n"/>
      <c r="AL50" s="293" t="n"/>
    </row>
    <row r="51" ht="14" customFormat="1" customHeight="1" s="180">
      <c r="A51" s="206" t="n">
        <v>15</v>
      </c>
      <c r="B51" s="206" t="inlineStr">
        <is>
          <t>200524589</t>
        </is>
      </c>
      <c r="C51" s="207" t="inlineStr">
        <is>
          <t>中建四局0200202101803020</t>
        </is>
      </c>
      <c r="D51" s="207" t="inlineStr">
        <is>
          <t>广州新广建设工程有限公司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6" t="n"/>
      <c r="M51" s="210" t="n">
        <v>1270396</v>
      </c>
      <c r="N51" s="210" t="n">
        <v>116872.2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1412300</v>
      </c>
      <c r="U51" s="206" t="n"/>
      <c r="V51" s="206" t="n"/>
      <c r="W51" s="293" t="n"/>
      <c r="X51" s="293" t="n"/>
      <c r="Y51" s="293" t="n"/>
      <c r="Z51" s="293" t="n"/>
      <c r="AA51" s="293" t="n"/>
      <c r="AB51" s="293" t="n"/>
      <c r="AC51" s="293" t="n"/>
      <c r="AD51" s="293" t="n"/>
      <c r="AE51" s="293" t="n"/>
      <c r="AF51" s="293" t="n"/>
      <c r="AG51" s="293" t="n"/>
      <c r="AH51" s="293" t="n"/>
      <c r="AI51" s="293" t="n"/>
      <c r="AJ51" s="293" t="n"/>
      <c r="AK51" s="293" t="n"/>
      <c r="AL51" s="293" t="n"/>
    </row>
    <row r="52" ht="14" customFormat="1" customHeight="1" s="180">
      <c r="A52" s="206" t="n">
        <v>16</v>
      </c>
      <c r="B52" s="206" t="inlineStr">
        <is>
          <t>200310203</t>
        </is>
      </c>
      <c r="C52" s="207" t="inlineStr">
        <is>
          <t>中建四局02002021018030025</t>
        </is>
      </c>
      <c r="D52" s="207" t="inlineStr">
        <is>
          <t>广州爱创广告策划有限公司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6" t="n"/>
      <c r="M52" s="210" t="n">
        <v>440556.7</v>
      </c>
      <c r="N52" s="210" t="n">
        <v>27250.93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481000</v>
      </c>
      <c r="U52" s="206" t="n"/>
      <c r="V52" s="206" t="n"/>
      <c r="W52" s="293" t="n"/>
      <c r="X52" s="293" t="n"/>
      <c r="Y52" s="293" t="n"/>
      <c r="Z52" s="293" t="n"/>
      <c r="AA52" s="293" t="n"/>
      <c r="AB52" s="293" t="n"/>
      <c r="AC52" s="293" t="n"/>
      <c r="AD52" s="293" t="n"/>
      <c r="AE52" s="293" t="n"/>
      <c r="AF52" s="293" t="n"/>
      <c r="AG52" s="293" t="n"/>
      <c r="AH52" s="293" t="n"/>
      <c r="AI52" s="293" t="n"/>
      <c r="AJ52" s="293" t="n"/>
      <c r="AK52" s="293" t="n"/>
      <c r="AL52" s="293" t="n"/>
    </row>
    <row r="53" ht="14" customFormat="1" customHeight="1" s="180">
      <c r="A53" s="206" t="n">
        <v>17</v>
      </c>
      <c r="B53" s="206" t="inlineStr">
        <is>
          <t>100082913</t>
        </is>
      </c>
      <c r="C53" s="207" t="inlineStr">
        <is>
          <t>中建四局0200202101803024</t>
        </is>
      </c>
      <c r="D53" s="207" t="inlineStr">
        <is>
          <t>广州盛绿建材有限公司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6" t="n"/>
      <c r="M53" s="210" t="n">
        <v>691816.8</v>
      </c>
      <c r="N53" s="210" t="n">
        <v>64189.19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685000</v>
      </c>
      <c r="U53" s="206" t="n"/>
      <c r="V53" s="206" t="n"/>
      <c r="W53" s="293" t="n"/>
      <c r="X53" s="293" t="n"/>
      <c r="Y53" s="293" t="n"/>
      <c r="Z53" s="293" t="n"/>
      <c r="AA53" s="293" t="n"/>
      <c r="AB53" s="293" t="n"/>
      <c r="AC53" s="293" t="n"/>
      <c r="AD53" s="293" t="n"/>
      <c r="AE53" s="293" t="n"/>
      <c r="AF53" s="293" t="n"/>
      <c r="AG53" s="293" t="n"/>
      <c r="AH53" s="293" t="n"/>
      <c r="AI53" s="293" t="n"/>
      <c r="AJ53" s="293" t="n"/>
      <c r="AK53" s="293" t="n"/>
      <c r="AL53" s="293" t="n"/>
    </row>
    <row r="54" ht="14" customFormat="1" customHeight="1" s="180">
      <c r="A54" s="206" t="n">
        <v>18</v>
      </c>
      <c r="B54" s="206" t="inlineStr">
        <is>
          <t>100217147</t>
        </is>
      </c>
      <c r="C54" s="207" t="inlineStr">
        <is>
          <t>中建四局0200202101803006</t>
        </is>
      </c>
      <c r="D54" s="207" t="inlineStr">
        <is>
          <t>广州精诚建筑劳务有限公司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6" t="n"/>
      <c r="M54" s="210" t="n">
        <v>5332586.7</v>
      </c>
      <c r="N54" s="210" t="n">
        <v>491883.5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5957255.62</v>
      </c>
      <c r="U54" s="206" t="n"/>
      <c r="V54" s="206" t="n"/>
      <c r="W54" s="293" t="n"/>
      <c r="X54" s="293" t="n"/>
      <c r="Y54" s="293" t="n"/>
      <c r="Z54" s="293" t="n"/>
      <c r="AA54" s="293" t="n"/>
      <c r="AB54" s="293" t="n"/>
      <c r="AC54" s="293" t="n"/>
      <c r="AD54" s="293" t="n"/>
      <c r="AE54" s="293" t="n"/>
      <c r="AF54" s="293" t="n"/>
      <c r="AG54" s="293" t="n"/>
      <c r="AH54" s="293" t="n"/>
      <c r="AI54" s="293" t="n"/>
      <c r="AJ54" s="293" t="n"/>
      <c r="AK54" s="293" t="n"/>
      <c r="AL54" s="293" t="n"/>
    </row>
    <row r="55" ht="14" customFormat="1" customHeight="1" s="180">
      <c r="A55" s="206" t="n">
        <v>19</v>
      </c>
      <c r="B55" s="206" t="inlineStr">
        <is>
          <t>200050849</t>
        </is>
      </c>
      <c r="C55" s="207" t="inlineStr">
        <is>
          <t>中建四局0200202101803009</t>
        </is>
      </c>
      <c r="D55" s="207" t="inlineStr">
        <is>
          <t>广州轲达土石方工程有限公司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6" t="n"/>
      <c r="M55" s="210" t="n">
        <v>4591554.32</v>
      </c>
      <c r="N55" s="210" t="n">
        <v>425595.11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4881700</v>
      </c>
      <c r="U55" s="206" t="n"/>
      <c r="V55" s="206" t="n"/>
      <c r="W55" s="293" t="n"/>
      <c r="X55" s="293" t="n"/>
      <c r="Y55" s="293" t="n"/>
      <c r="Z55" s="293" t="n"/>
      <c r="AA55" s="293" t="n"/>
      <c r="AB55" s="293" t="n"/>
      <c r="AC55" s="293" t="n"/>
      <c r="AD55" s="293" t="n"/>
      <c r="AE55" s="293" t="n"/>
      <c r="AF55" s="293" t="n"/>
      <c r="AG55" s="293" t="n"/>
      <c r="AH55" s="293" t="n"/>
      <c r="AI55" s="293" t="n"/>
      <c r="AJ55" s="293" t="n"/>
      <c r="AK55" s="293" t="n"/>
      <c r="AL55" s="293" t="n"/>
    </row>
    <row r="56" ht="14" customFormat="1" customHeight="1" s="180">
      <c r="A56" s="206" t="n">
        <v>20</v>
      </c>
      <c r="B56" s="206" t="inlineStr">
        <is>
          <t>200140248</t>
        </is>
      </c>
      <c r="C56" s="207" t="inlineStr">
        <is>
          <t>中建四局0200202101803001</t>
        </is>
      </c>
      <c r="D56" s="207" t="inlineStr">
        <is>
          <t>广州陇飞广告有限公司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6" t="n"/>
      <c r="M56" s="210" t="n">
        <v>1310979.55</v>
      </c>
      <c r="N56" s="210" t="n">
        <v>35791.76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1378952.99</v>
      </c>
      <c r="U56" s="206" t="n"/>
      <c r="V56" s="206" t="n"/>
      <c r="W56" s="293" t="n"/>
      <c r="X56" s="293" t="n"/>
      <c r="Y56" s="293" t="n"/>
      <c r="Z56" s="293" t="n"/>
      <c r="AA56" s="293" t="n"/>
      <c r="AB56" s="293" t="n"/>
      <c r="AC56" s="293" t="n"/>
      <c r="AD56" s="293" t="n"/>
      <c r="AE56" s="293" t="n"/>
      <c r="AF56" s="293" t="n"/>
      <c r="AG56" s="293" t="n"/>
      <c r="AH56" s="293" t="n"/>
      <c r="AI56" s="293" t="n"/>
      <c r="AJ56" s="293" t="n"/>
      <c r="AK56" s="293" t="n"/>
      <c r="AL56" s="293" t="n"/>
    </row>
    <row r="57" ht="14" customFormat="1" customHeight="1" s="180">
      <c r="A57" s="206" t="n">
        <v>21</v>
      </c>
      <c r="B57" s="206" t="inlineStr">
        <is>
          <t>200098421</t>
        </is>
      </c>
      <c r="C57" s="207" t="inlineStr">
        <is>
          <t>中建四局0200202101803015</t>
        </is>
      </c>
      <c r="D57" s="207" t="inlineStr">
        <is>
          <t>广州鸿伟广告工程有限公司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6" t="n"/>
      <c r="M57" s="210" t="n">
        <v>275636.96</v>
      </c>
      <c r="N57" s="210" t="n">
        <v>8437.870000000001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282000</v>
      </c>
      <c r="U57" s="206" t="n"/>
      <c r="V57" s="206" t="n"/>
      <c r="W57" s="293" t="n"/>
      <c r="X57" s="293" t="n"/>
      <c r="Y57" s="293" t="n"/>
      <c r="Z57" s="293" t="n"/>
      <c r="AA57" s="293" t="n"/>
      <c r="AB57" s="293" t="n"/>
      <c r="AC57" s="293" t="n"/>
      <c r="AD57" s="293" t="n"/>
      <c r="AE57" s="293" t="n"/>
      <c r="AF57" s="293" t="n"/>
      <c r="AG57" s="293" t="n"/>
      <c r="AH57" s="293" t="n"/>
      <c r="AI57" s="293" t="n"/>
      <c r="AJ57" s="293" t="n"/>
      <c r="AK57" s="293" t="n"/>
      <c r="AL57" s="293" t="n"/>
    </row>
    <row r="58" ht="14" customFormat="1" customHeight="1" s="180">
      <c r="A58" s="206" t="n">
        <v>22</v>
      </c>
      <c r="B58" s="206" t="inlineStr">
        <is>
          <t>100089001</t>
        </is>
      </c>
      <c r="C58" s="207" t="inlineStr">
        <is>
          <t>中建四局0200202101803002</t>
        </is>
      </c>
      <c r="D58" s="207" t="inlineStr">
        <is>
          <t>正工模块化建筑科技（深圳）有限公司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6" t="n"/>
      <c r="M58" s="210" t="n">
        <v>1028396.83</v>
      </c>
      <c r="N58" s="210" t="n">
        <v>136848.07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10" t="n">
        <v>1189525.58</v>
      </c>
      <c r="U58" s="206" t="n"/>
      <c r="V58" s="206" t="n"/>
      <c r="W58" s="293" t="n"/>
      <c r="X58" s="293" t="n"/>
      <c r="Y58" s="293" t="n"/>
      <c r="Z58" s="293" t="n"/>
      <c r="AA58" s="293" t="n"/>
      <c r="AB58" s="293" t="n"/>
      <c r="AC58" s="293" t="n"/>
      <c r="AD58" s="293" t="n"/>
      <c r="AE58" s="293" t="n"/>
      <c r="AF58" s="293" t="n"/>
      <c r="AG58" s="293" t="n"/>
      <c r="AH58" s="293" t="n"/>
      <c r="AI58" s="293" t="n"/>
      <c r="AJ58" s="293" t="n"/>
      <c r="AK58" s="293" t="n"/>
      <c r="AL58" s="293" t="n"/>
    </row>
    <row r="59" ht="14" customFormat="1" customHeight="1" s="180">
      <c r="A59" s="206" t="n">
        <v>23</v>
      </c>
      <c r="B59" s="206" t="inlineStr">
        <is>
          <t>100089001</t>
        </is>
      </c>
      <c r="C59" s="207" t="inlineStr">
        <is>
          <t>中建四局0200202101803008</t>
        </is>
      </c>
      <c r="D59" s="207" t="inlineStr">
        <is>
          <t>正工模块化建筑科技（深圳）有限公司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6" t="n"/>
      <c r="M59" s="210" t="n">
        <v>863347.49</v>
      </c>
      <c r="N59" s="210" t="n">
        <v>114830.34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10" t="n">
        <v>998140.64</v>
      </c>
      <c r="U59" s="206" t="n"/>
      <c r="V59" s="206" t="n"/>
      <c r="W59" s="293" t="n"/>
      <c r="X59" s="293" t="n"/>
      <c r="Y59" s="293" t="n"/>
      <c r="Z59" s="293" t="n"/>
      <c r="AA59" s="293" t="n"/>
      <c r="AB59" s="293" t="n"/>
      <c r="AC59" s="293" t="n"/>
      <c r="AD59" s="293" t="n"/>
      <c r="AE59" s="293" t="n"/>
      <c r="AF59" s="293" t="n"/>
      <c r="AG59" s="293" t="n"/>
      <c r="AH59" s="293" t="n"/>
      <c r="AI59" s="293" t="n"/>
      <c r="AJ59" s="293" t="n"/>
      <c r="AK59" s="293" t="n"/>
      <c r="AL59" s="293" t="n"/>
    </row>
    <row r="60" ht="14" customFormat="1" customHeight="1" s="180">
      <c r="A60" s="206" t="n">
        <v>24</v>
      </c>
      <c r="B60" s="206" t="inlineStr">
        <is>
          <t>100089014</t>
        </is>
      </c>
      <c r="C60" s="207" t="inlineStr">
        <is>
          <t>中建四局0200202101803012</t>
        </is>
      </c>
      <c r="D60" s="207" t="inlineStr">
        <is>
          <t>江西志特新材料股份有限公司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6" t="n"/>
      <c r="M60" s="210" t="n">
        <v>8910792.42</v>
      </c>
      <c r="N60" s="210" t="n">
        <v>1184934.15</v>
      </c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10" t="n">
        <v>10299812.4</v>
      </c>
      <c r="U60" s="206" t="n"/>
      <c r="V60" s="206" t="n"/>
      <c r="W60" s="293" t="n"/>
      <c r="X60" s="293" t="n"/>
      <c r="Y60" s="293" t="n"/>
      <c r="Z60" s="293" t="n"/>
      <c r="AA60" s="293" t="n"/>
      <c r="AB60" s="293" t="n"/>
      <c r="AC60" s="293" t="n"/>
      <c r="AD60" s="293" t="n"/>
      <c r="AE60" s="293" t="n"/>
      <c r="AF60" s="293" t="n"/>
      <c r="AG60" s="293" t="n"/>
      <c r="AH60" s="293" t="n"/>
      <c r="AI60" s="293" t="n"/>
      <c r="AJ60" s="293" t="n"/>
      <c r="AK60" s="293" t="n"/>
      <c r="AL60" s="293" t="n"/>
    </row>
    <row r="61" ht="14" customFormat="1" customHeight="1" s="180">
      <c r="A61" s="206" t="n">
        <v>25</v>
      </c>
      <c r="B61" s="206" t="inlineStr">
        <is>
          <t>200447949</t>
        </is>
      </c>
      <c r="C61" s="207" t="inlineStr">
        <is>
          <t>中建四局0200202101803007</t>
        </is>
      </c>
      <c r="D61" s="207" t="inlineStr">
        <is>
          <t>深圳市他拍档科技有限公司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6" t="n"/>
      <c r="M61" s="210" t="n">
        <v>1200868.51</v>
      </c>
      <c r="N61" s="210" t="n">
        <v>108396.07</v>
      </c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10" t="n">
        <v>1308300</v>
      </c>
      <c r="U61" s="206" t="n"/>
      <c r="V61" s="206" t="n"/>
      <c r="W61" s="293" t="n"/>
      <c r="X61" s="293" t="n"/>
      <c r="Y61" s="293" t="n"/>
      <c r="Z61" s="293" t="n"/>
      <c r="AA61" s="293" t="n"/>
      <c r="AB61" s="293" t="n"/>
      <c r="AC61" s="293" t="n"/>
      <c r="AD61" s="293" t="n"/>
      <c r="AE61" s="293" t="n"/>
      <c r="AF61" s="293" t="n"/>
      <c r="AG61" s="293" t="n"/>
      <c r="AH61" s="293" t="n"/>
      <c r="AI61" s="293" t="n"/>
      <c r="AJ61" s="293" t="n"/>
      <c r="AK61" s="293" t="n"/>
      <c r="AL61" s="293" t="n"/>
    </row>
    <row r="62" ht="14" customFormat="1" customHeight="1" s="180">
      <c r="A62" s="206" t="n">
        <v>26</v>
      </c>
      <c r="B62" s="206" t="inlineStr">
        <is>
          <t>200280905</t>
        </is>
      </c>
      <c r="C62" s="207" t="inlineStr">
        <is>
          <t>中建四局0200202101803013</t>
        </is>
      </c>
      <c r="D62" s="207" t="inlineStr">
        <is>
          <t>深圳市宏富丽晶建筑装饰工程有限公司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6" t="n"/>
      <c r="M62" s="210" t="n">
        <v>360003.32</v>
      </c>
      <c r="N62" s="210" t="n">
        <v>33118.76</v>
      </c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10" t="n">
        <v>401100</v>
      </c>
      <c r="U62" s="206" t="n"/>
      <c r="V62" s="206" t="n"/>
      <c r="W62" s="293" t="n"/>
      <c r="X62" s="293" t="n"/>
      <c r="Y62" s="293" t="n"/>
      <c r="Z62" s="293" t="n"/>
      <c r="AA62" s="293" t="n"/>
      <c r="AB62" s="293" t="n"/>
      <c r="AC62" s="293" t="n"/>
      <c r="AD62" s="293" t="n"/>
      <c r="AE62" s="293" t="n"/>
      <c r="AF62" s="293" t="n"/>
      <c r="AG62" s="293" t="n"/>
      <c r="AH62" s="293" t="n"/>
      <c r="AI62" s="293" t="n"/>
      <c r="AJ62" s="293" t="n"/>
      <c r="AK62" s="293" t="n"/>
      <c r="AL62" s="293" t="n"/>
    </row>
    <row r="63" ht="14" customFormat="1" customHeight="1" s="180">
      <c r="A63" s="206" t="n">
        <v>27</v>
      </c>
      <c r="B63" s="206" t="inlineStr">
        <is>
          <t>200165033</t>
        </is>
      </c>
      <c r="C63" s="207" t="inlineStr">
        <is>
          <t>中建四局0200202101803021</t>
        </is>
      </c>
      <c r="D63" s="207" t="inlineStr">
        <is>
          <t>深圳市鹏兴机电工程有限公司</t>
        </is>
      </c>
      <c r="E63" s="206" t="n"/>
      <c r="F63" s="206" t="n"/>
      <c r="G63" s="206" t="n"/>
      <c r="H63" s="206" t="n"/>
      <c r="I63" s="206" t="n"/>
      <c r="J63" s="206" t="n"/>
      <c r="K63" s="208" t="n"/>
      <c r="L63" s="206" t="n"/>
      <c r="M63" s="210" t="n">
        <v>31380176.19</v>
      </c>
      <c r="N63" s="210" t="n">
        <v>2909197.29</v>
      </c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10" t="n">
        <v>33467842.59</v>
      </c>
      <c r="U63" s="206" t="n"/>
      <c r="V63" s="206" t="n"/>
      <c r="W63" s="293" t="n"/>
      <c r="X63" s="293" t="n"/>
      <c r="Y63" s="293" t="n"/>
      <c r="Z63" s="293" t="n"/>
      <c r="AA63" s="293" t="n"/>
      <c r="AB63" s="293" t="n"/>
      <c r="AC63" s="293" t="n"/>
      <c r="AD63" s="293" t="n"/>
      <c r="AE63" s="293" t="n"/>
      <c r="AF63" s="293" t="n"/>
      <c r="AG63" s="293" t="n"/>
      <c r="AH63" s="293" t="n"/>
      <c r="AI63" s="293" t="n"/>
      <c r="AJ63" s="293" t="n"/>
      <c r="AK63" s="293" t="n"/>
      <c r="AL63" s="293" t="n"/>
    </row>
    <row r="64" ht="14" customFormat="1" customHeight="1" s="180">
      <c r="A64" s="206" t="n">
        <v>28</v>
      </c>
      <c r="B64" s="206" t="n"/>
      <c r="C64" s="207" t="n"/>
      <c r="D64" s="207" t="inlineStr">
        <is>
          <t>ZGD</t>
        </is>
      </c>
      <c r="E64" s="206" t="n"/>
      <c r="F64" s="206" t="n"/>
      <c r="G64" s="206" t="n"/>
      <c r="H64" s="206" t="n"/>
      <c r="I64" s="206" t="n"/>
      <c r="J64" s="206" t="n"/>
      <c r="K64" s="208" t="n"/>
      <c r="L64" s="206" t="n"/>
      <c r="M64" s="210" t="n">
        <v>-7872000.25</v>
      </c>
      <c r="N64" s="206" t="n"/>
      <c r="O64" s="206">
        <f>L64-M64</f>
        <v/>
      </c>
      <c r="P64" s="206">
        <f>K64-N64</f>
        <v/>
      </c>
      <c r="Q64" s="206">
        <f>M64+O64</f>
        <v/>
      </c>
      <c r="R64" s="206">
        <f>M64+N64+O64+P64</f>
        <v/>
      </c>
      <c r="S64" s="206" t="n"/>
      <c r="T64" s="206" t="n"/>
      <c r="U64" s="206" t="n"/>
      <c r="V64" s="206" t="n"/>
      <c r="W64" s="293" t="n"/>
      <c r="X64" s="293" t="n"/>
      <c r="Y64" s="293" t="n"/>
      <c r="Z64" s="293" t="n"/>
      <c r="AA64" s="293" t="n"/>
      <c r="AB64" s="293" t="n"/>
      <c r="AC64" s="293" t="n"/>
      <c r="AD64" s="293" t="n"/>
      <c r="AE64" s="293" t="n"/>
      <c r="AF64" s="293" t="n"/>
      <c r="AG64" s="293" t="n"/>
      <c r="AH64" s="293" t="n"/>
      <c r="AI64" s="293" t="n"/>
      <c r="AJ64" s="293" t="n"/>
      <c r="AK64" s="293" t="n"/>
      <c r="AL64" s="293" t="n"/>
    </row>
    <row r="65" ht="14" customFormat="1" customHeight="1" s="180">
      <c r="A65" s="206" t="n">
        <v>29</v>
      </c>
      <c r="B65" s="206" t="inlineStr">
        <is>
          <t>100197784</t>
        </is>
      </c>
      <c r="C65" s="207" t="n"/>
      <c r="D65" s="207" t="inlineStr">
        <is>
          <t>中铁物资集团华南有限公司</t>
        </is>
      </c>
      <c r="E65" s="206" t="n"/>
      <c r="F65" s="206" t="n"/>
      <c r="G65" s="206" t="n"/>
      <c r="H65" s="206" t="n"/>
      <c r="I65" s="206" t="n"/>
      <c r="J65" s="206" t="n"/>
      <c r="K65" s="208" t="n"/>
      <c r="L65" s="206" t="n"/>
      <c r="M65" s="210" t="n">
        <v>0.01</v>
      </c>
      <c r="N65" s="206" t="n"/>
      <c r="O65" s="206">
        <f>L65-M65</f>
        <v/>
      </c>
      <c r="P65" s="206">
        <f>K65-N65</f>
        <v/>
      </c>
      <c r="Q65" s="206">
        <f>M65+O65</f>
        <v/>
      </c>
      <c r="R65" s="206">
        <f>M65+N65+O65+P65</f>
        <v/>
      </c>
      <c r="S65" s="206" t="n"/>
      <c r="T65" s="206" t="n"/>
      <c r="U65" s="206" t="n"/>
      <c r="V65" s="206" t="n"/>
      <c r="W65" s="293" t="n"/>
      <c r="X65" s="293" t="n"/>
      <c r="Y65" s="293" t="n"/>
      <c r="Z65" s="293" t="n"/>
      <c r="AA65" s="293" t="n"/>
      <c r="AB65" s="293" t="n"/>
      <c r="AC65" s="293" t="n"/>
      <c r="AD65" s="293" t="n"/>
      <c r="AE65" s="293" t="n"/>
      <c r="AF65" s="293" t="n"/>
      <c r="AG65" s="293" t="n"/>
      <c r="AH65" s="293" t="n"/>
      <c r="AI65" s="293" t="n"/>
      <c r="AJ65" s="293" t="n"/>
      <c r="AK65" s="293" t="n"/>
      <c r="AL65" s="293" t="n"/>
    </row>
    <row r="66" ht="14" customFormat="1" customHeight="1" s="180">
      <c r="A66" s="206" t="n">
        <v>30</v>
      </c>
      <c r="B66" s="206" t="inlineStr">
        <is>
          <t>200524589</t>
        </is>
      </c>
      <c r="C66" s="207" t="n"/>
      <c r="D66" s="207" t="inlineStr">
        <is>
          <t>广州新广建设工程有限公司</t>
        </is>
      </c>
      <c r="E66" s="206" t="n"/>
      <c r="F66" s="206" t="n"/>
      <c r="G66" s="206" t="n"/>
      <c r="H66" s="206" t="n"/>
      <c r="I66" s="206" t="n"/>
      <c r="J66" s="206" t="n"/>
      <c r="K66" s="208" t="n"/>
      <c r="L66" s="206" t="n"/>
      <c r="M66" s="210" t="n">
        <v>0.01</v>
      </c>
      <c r="N66" s="210" t="n">
        <v>-0.01</v>
      </c>
      <c r="O66" s="206">
        <f>L66-M66</f>
        <v/>
      </c>
      <c r="P66" s="206">
        <f>K66-N66</f>
        <v/>
      </c>
      <c r="Q66" s="206">
        <f>M66+O66</f>
        <v/>
      </c>
      <c r="R66" s="206">
        <f>M66+N66+O66+P66</f>
        <v/>
      </c>
      <c r="S66" s="206" t="n"/>
      <c r="T66" s="206" t="n"/>
      <c r="U66" s="206" t="n"/>
      <c r="V66" s="206" t="n"/>
      <c r="W66" s="293" t="n"/>
      <c r="X66" s="293" t="n"/>
      <c r="Y66" s="293" t="n"/>
      <c r="Z66" s="293" t="n"/>
      <c r="AA66" s="293" t="n"/>
      <c r="AB66" s="293" t="n"/>
      <c r="AC66" s="293" t="n"/>
      <c r="AD66" s="293" t="n"/>
      <c r="AE66" s="293" t="n"/>
      <c r="AF66" s="293" t="n"/>
      <c r="AG66" s="293" t="n"/>
      <c r="AH66" s="293" t="n"/>
      <c r="AI66" s="293" t="n"/>
      <c r="AJ66" s="293" t="n"/>
      <c r="AK66" s="293" t="n"/>
      <c r="AL66" s="293" t="n"/>
    </row>
    <row r="67" ht="14" customFormat="1" customHeight="1" s="180">
      <c r="A67" s="282" t="n"/>
      <c r="B67" s="283" t="n"/>
      <c r="C67" s="283" t="n"/>
      <c r="D67" s="294" t="inlineStr">
        <is>
          <t>**财务未列部分需增列***</t>
        </is>
      </c>
      <c r="E67" s="303" t="n"/>
      <c r="F67" s="303" t="n"/>
      <c r="G67" s="303" t="n"/>
      <c r="H67" s="285" t="n"/>
      <c r="I67" s="285" t="n"/>
      <c r="J67" s="285" t="n"/>
      <c r="K67" s="286" t="n"/>
      <c r="L67" s="287" t="n"/>
      <c r="M67" s="285" t="n"/>
      <c r="N67" s="285" t="n"/>
      <c r="O67" s="285">
        <f>L67-M67</f>
        <v/>
      </c>
      <c r="P67" s="285">
        <f>K67-N67</f>
        <v/>
      </c>
      <c r="Q67" s="285">
        <f>M67+O67</f>
        <v/>
      </c>
      <c r="R67" s="285">
        <f>M67+N67+O67+P67</f>
        <v/>
      </c>
      <c r="S67" s="289">
        <f>SUM(T67:V67)</f>
        <v/>
      </c>
      <c r="T67" s="285" t="n"/>
      <c r="U67" s="285" t="n"/>
      <c r="V67" s="285" t="n"/>
      <c r="W67" s="285" t="n"/>
      <c r="X67" s="285" t="n"/>
      <c r="Y67" s="285" t="n"/>
      <c r="Z67" s="289" t="n"/>
      <c r="AA67" s="289" t="n"/>
      <c r="AB67" s="290" t="n"/>
      <c r="AC67" s="290" t="n"/>
      <c r="AD67" s="290" t="n"/>
      <c r="AE67" s="290" t="n"/>
      <c r="AF67" s="290" t="n"/>
      <c r="AG67" s="290" t="n"/>
      <c r="AH67" s="290" t="n"/>
      <c r="AI67" s="290" t="n"/>
      <c r="AJ67" s="290" t="n"/>
      <c r="AK67" s="290">
        <f>AB22/1.17*0.17+AC22/1.16*0.16+AD22/1.11*0.11+AE22/1.1*0.1+AF22/1.09*0.09+AI22/1.03*0.03</f>
        <v/>
      </c>
      <c r="AL67" s="297" t="n"/>
    </row>
    <row r="68" ht="14" customFormat="1" customHeight="1" s="180">
      <c r="A68" s="298" t="n"/>
      <c r="B68" s="299" t="n"/>
      <c r="C68" s="299" t="n"/>
      <c r="D68" s="300" t="inlineStr">
        <is>
          <t>分包工程小计：</t>
        </is>
      </c>
      <c r="E68" s="301">
        <f>SUM(E36:E67)</f>
        <v/>
      </c>
      <c r="F68" s="301">
        <f>SUM(F36:F67)</f>
        <v/>
      </c>
      <c r="G68" s="301">
        <f>SUM(G36:G67)</f>
        <v/>
      </c>
      <c r="H68" s="301">
        <f>SUM(H36:H67)</f>
        <v/>
      </c>
      <c r="I68" s="301">
        <f>SUM(I36:I67)</f>
        <v/>
      </c>
      <c r="J68" s="301">
        <f>SUM(J36:J67)</f>
        <v/>
      </c>
      <c r="K68" s="301">
        <f>SUM(K36:K67)</f>
        <v/>
      </c>
      <c r="L68" s="301">
        <f>SUM(L36:L67)</f>
        <v/>
      </c>
      <c r="M68" s="301">
        <f>SUM(M36:M67)</f>
        <v/>
      </c>
      <c r="N68" s="301">
        <f>SUM(N36:N67)</f>
        <v/>
      </c>
      <c r="O68" s="301">
        <f>SUM(O36:O67)</f>
        <v/>
      </c>
      <c r="P68" s="301">
        <f>SUM(P36:P67)</f>
        <v/>
      </c>
      <c r="Q68" s="301">
        <f>SUM(Q36:Q67)</f>
        <v/>
      </c>
      <c r="R68" s="301">
        <f>SUM(R36:R67)</f>
        <v/>
      </c>
      <c r="S68" s="301">
        <f>SUM(S36:S67)</f>
        <v/>
      </c>
      <c r="T68" s="301">
        <f>SUM(T36:T67)</f>
        <v/>
      </c>
      <c r="U68" s="301">
        <f>SUM(U36:U67)</f>
        <v/>
      </c>
      <c r="V68" s="301">
        <f>SUM(V36:V67)</f>
        <v/>
      </c>
      <c r="W68" s="301">
        <f>SUM(W36:W67)</f>
        <v/>
      </c>
      <c r="X68" s="301">
        <f>SUM(X36:X67)</f>
        <v/>
      </c>
      <c r="Y68" s="301">
        <f>SUM(Y36:Y67)</f>
        <v/>
      </c>
      <c r="Z68" s="301">
        <f>SUM(Z36:Z67)</f>
        <v/>
      </c>
      <c r="AA68" s="301">
        <f>SUM(AA36:AA67)</f>
        <v/>
      </c>
      <c r="AB68" s="301">
        <f>SUM(AB36:AB67)</f>
        <v/>
      </c>
      <c r="AC68" s="301">
        <f>SUM(AC36:AC67)</f>
        <v/>
      </c>
      <c r="AD68" s="301">
        <f>SUM(AD36:AD67)</f>
        <v/>
      </c>
      <c r="AE68" s="301">
        <f>SUM(AE36:AE67)</f>
        <v/>
      </c>
      <c r="AF68" s="301">
        <f>SUM(AF36:AF67)</f>
        <v/>
      </c>
      <c r="AG68" s="301">
        <f>SUM(AG36:AG67)</f>
        <v/>
      </c>
      <c r="AH68" s="301">
        <f>SUM(AH36:AH67)</f>
        <v/>
      </c>
      <c r="AI68" s="301">
        <f>SUM(AI36:AI67)</f>
        <v/>
      </c>
      <c r="AJ68" s="301">
        <f>SUM(AJ36:AJ67)</f>
        <v/>
      </c>
      <c r="AK68" s="301">
        <f>SUM(AK36:AK67)</f>
        <v/>
      </c>
      <c r="AL68" s="291" t="n"/>
    </row>
    <row r="69" ht="39" customFormat="1" customHeight="1" s="180">
      <c r="A69" s="282" t="n"/>
      <c r="B69" s="283" t="n"/>
      <c r="C69" s="283" t="n"/>
      <c r="D69" s="302" t="inlineStr">
        <is>
          <t>(三)材料费</t>
        </is>
      </c>
      <c r="E69" s="283" t="n"/>
      <c r="F69" s="283" t="n"/>
      <c r="G69" s="283" t="n"/>
      <c r="H69" s="285" t="n"/>
      <c r="I69" s="285" t="n"/>
      <c r="J69" s="285" t="n"/>
      <c r="K69" s="286" t="n"/>
      <c r="L69" s="287" t="n"/>
      <c r="M69" s="285" t="n"/>
      <c r="N69" s="285" t="n"/>
      <c r="O69" s="285">
        <f>L69-M69</f>
        <v/>
      </c>
      <c r="P69" s="285">
        <f>K69-N69</f>
        <v/>
      </c>
      <c r="Q69" s="285">
        <f>M69+O69</f>
        <v/>
      </c>
      <c r="R69" s="285">
        <f>M69+N69+O69+P69</f>
        <v/>
      </c>
      <c r="S69" s="289">
        <f>SUM(T69:V69)</f>
        <v/>
      </c>
      <c r="T69" s="289" t="n"/>
      <c r="U69" s="289" t="n"/>
      <c r="V69" s="289" t="n"/>
      <c r="W69" s="289" t="n"/>
      <c r="X69" s="289" t="n"/>
      <c r="Y69" s="289" t="n"/>
      <c r="Z69" s="289" t="n"/>
      <c r="AA69" s="289" t="n"/>
      <c r="AB69" s="304" t="n"/>
      <c r="AC69" s="304" t="n"/>
      <c r="AD69" s="304" t="n"/>
      <c r="AE69" s="304" t="n"/>
      <c r="AF69" s="304" t="n"/>
      <c r="AG69" s="304" t="n"/>
      <c r="AH69" s="304" t="n"/>
      <c r="AI69" s="304" t="n"/>
      <c r="AJ69" s="304" t="n"/>
      <c r="AK69" s="290">
        <f>AB24/1.17*0.17+AC24/1.16*0.16+AD24/1.11*0.11+AE24/1.1*0.1+AF24/1.09*0.09+AI24/1.03*0.03</f>
        <v/>
      </c>
      <c r="AL69" s="305" t="n"/>
    </row>
    <row r="70" ht="14" customFormat="1" customHeight="1" s="180">
      <c r="A70" s="282" t="n"/>
      <c r="B70" s="283" t="n"/>
      <c r="C70" s="283" t="n"/>
      <c r="D70" s="285" t="inlineStr">
        <is>
          <t>（1）集中采购</t>
        </is>
      </c>
      <c r="E70" s="283" t="n"/>
      <c r="F70" s="283" t="n"/>
      <c r="G70" s="283" t="n"/>
      <c r="H70" s="285" t="n"/>
      <c r="I70" s="285" t="n"/>
      <c r="J70" s="285" t="n"/>
      <c r="K70" s="286" t="n"/>
      <c r="L70" s="287" t="n"/>
      <c r="M70" s="285" t="n"/>
      <c r="N70" s="285" t="n"/>
      <c r="O70" s="285">
        <f>L70-M70</f>
        <v/>
      </c>
      <c r="P70" s="285">
        <f>K70-N70</f>
        <v/>
      </c>
      <c r="Q70" s="285">
        <f>M70+O70</f>
        <v/>
      </c>
      <c r="R70" s="285">
        <f>M70+N70+O70+P70</f>
        <v/>
      </c>
      <c r="S70" s="289">
        <f>SUM(T70:V70)</f>
        <v/>
      </c>
      <c r="T70" s="289" t="n"/>
      <c r="U70" s="289" t="n"/>
      <c r="V70" s="289" t="n"/>
      <c r="W70" s="289" t="n"/>
      <c r="X70" s="289" t="n"/>
      <c r="Y70" s="289" t="n"/>
      <c r="Z70" s="289" t="n"/>
      <c r="AA70" s="289" t="n"/>
      <c r="AB70" s="304" t="n"/>
      <c r="AC70" s="304" t="n"/>
      <c r="AD70" s="304" t="n"/>
      <c r="AE70" s="304" t="n"/>
      <c r="AF70" s="304" t="n"/>
      <c r="AG70" s="304" t="n"/>
      <c r="AH70" s="304" t="n"/>
      <c r="AI70" s="304" t="n"/>
      <c r="AJ70" s="304" t="n"/>
      <c r="AK70" s="290">
        <f>AB25/1.17*0.17+AC25/1.16*0.16+AD25/1.11*0.11+AE25/1.1*0.1+AF25/1.09*0.09+AI25/1.03*0.03</f>
        <v/>
      </c>
      <c r="AL70" s="305" t="n"/>
    </row>
    <row r="71" ht="14" customFormat="1" customHeight="1" s="180">
      <c r="A71" s="33" t="n"/>
      <c r="B71" s="199" t="n"/>
      <c r="C71" s="199" t="n"/>
      <c r="D71" s="222" t="n"/>
      <c r="E71" s="213" t="n"/>
      <c r="F71" s="213" t="n"/>
      <c r="G71" s="213" t="n"/>
      <c r="H71" s="189" t="n"/>
      <c r="I71" s="189" t="n"/>
      <c r="J71" s="189" t="n"/>
      <c r="K71" s="201" t="n"/>
      <c r="L71" s="306" t="n"/>
      <c r="M71" s="189" t="n"/>
      <c r="N71" s="189" t="n"/>
      <c r="O71" s="189">
        <f>L71-M71</f>
        <v/>
      </c>
      <c r="P71" s="189">
        <f>K71-N71</f>
        <v/>
      </c>
      <c r="Q71" s="189">
        <f>M71+O71</f>
        <v/>
      </c>
      <c r="R71" s="189">
        <f>M71+N71+O71+P71</f>
        <v/>
      </c>
      <c r="S71" s="203">
        <f>SUM(T71:V71)</f>
        <v/>
      </c>
      <c r="T71" s="203" t="n"/>
      <c r="U71" s="203" t="n"/>
      <c r="V71" s="203" t="n"/>
      <c r="W71" s="203" t="n"/>
      <c r="X71" s="203" t="n"/>
      <c r="Y71" s="203" t="n"/>
      <c r="Z71" s="189">
        <f>SUM(AA26:AJ26)</f>
        <v/>
      </c>
      <c r="AA71" s="203" t="n"/>
      <c r="AB71" s="220" t="n"/>
      <c r="AC71" s="220" t="n"/>
      <c r="AD71" s="220" t="n"/>
      <c r="AE71" s="220" t="n"/>
      <c r="AF71" s="220" t="n"/>
      <c r="AG71" s="220" t="n"/>
      <c r="AH71" s="220" t="n"/>
      <c r="AI71" s="220" t="n"/>
      <c r="AJ71" s="220" t="n"/>
      <c r="AK71" s="188">
        <f>AB26/1.17*0.17+AC26/1.16*0.16+AD26/1.11*0.11+AE26/1.1*0.1+AF26/1.09*0.09+AI26/1.03*0.03</f>
        <v/>
      </c>
      <c r="AL71" s="221" t="n"/>
    </row>
    <row r="72" ht="14" customFormat="1" customHeight="1" s="180">
      <c r="A72" s="33" t="n"/>
      <c r="B72" s="199" t="n"/>
      <c r="C72" s="199" t="n"/>
      <c r="D72" s="222" t="n"/>
      <c r="E72" s="213" t="n"/>
      <c r="F72" s="213" t="n"/>
      <c r="G72" s="213" t="n"/>
      <c r="H72" s="189" t="n"/>
      <c r="I72" s="189" t="n"/>
      <c r="J72" s="189" t="n"/>
      <c r="K72" s="201" t="n"/>
      <c r="L72" s="306" t="n"/>
      <c r="M72" s="189" t="n"/>
      <c r="N72" s="189" t="n"/>
      <c r="O72" s="189">
        <f>L72-M72</f>
        <v/>
      </c>
      <c r="P72" s="189">
        <f>K72-N72</f>
        <v/>
      </c>
      <c r="Q72" s="189">
        <f>M72+O72</f>
        <v/>
      </c>
      <c r="R72" s="189">
        <f>M72+N72+O72+P72</f>
        <v/>
      </c>
      <c r="S72" s="203">
        <f>SUM(T72:V72)</f>
        <v/>
      </c>
      <c r="T72" s="203" t="n"/>
      <c r="U72" s="203" t="n"/>
      <c r="V72" s="203" t="n"/>
      <c r="W72" s="203" t="n"/>
      <c r="X72" s="203" t="n"/>
      <c r="Y72" s="203" t="n"/>
      <c r="Z72" s="189">
        <f>SUM(AA27:AJ27)</f>
        <v/>
      </c>
      <c r="AA72" s="203" t="n"/>
      <c r="AB72" s="220" t="n"/>
      <c r="AC72" s="220" t="n"/>
      <c r="AD72" s="220" t="n"/>
      <c r="AE72" s="220" t="n"/>
      <c r="AF72" s="220" t="n"/>
      <c r="AG72" s="220" t="n"/>
      <c r="AH72" s="220" t="n"/>
      <c r="AI72" s="220" t="n"/>
      <c r="AJ72" s="220" t="n"/>
      <c r="AK72" s="188">
        <f>AB27/1.17*0.17+AC27/1.16*0.16+AD27/1.11*0.11+AE27/1.1*0.1+AF27/1.09*0.09+AI27/1.03*0.03</f>
        <v/>
      </c>
      <c r="AL72" s="221" t="n"/>
    </row>
    <row r="73" ht="14" customFormat="1" customHeight="1" s="180">
      <c r="A73" s="33" t="n"/>
      <c r="B73" s="199" t="n"/>
      <c r="C73" s="199" t="n"/>
      <c r="D73" s="222" t="n"/>
      <c r="E73" s="213" t="n"/>
      <c r="F73" s="213" t="n"/>
      <c r="G73" s="213" t="n"/>
      <c r="H73" s="189" t="n"/>
      <c r="I73" s="189" t="n"/>
      <c r="J73" s="189" t="n"/>
      <c r="K73" s="201" t="n"/>
      <c r="L73" s="306" t="n"/>
      <c r="M73" s="189" t="n"/>
      <c r="N73" s="189" t="n"/>
      <c r="O73" s="189">
        <f>L73-M73</f>
        <v/>
      </c>
      <c r="P73" s="189">
        <f>K73-N73</f>
        <v/>
      </c>
      <c r="Q73" s="189">
        <f>M73+O73</f>
        <v/>
      </c>
      <c r="R73" s="189">
        <f>M73+N73+O73+P73</f>
        <v/>
      </c>
      <c r="S73" s="203">
        <f>SUM(T73:V73)</f>
        <v/>
      </c>
      <c r="T73" s="203" t="n"/>
      <c r="U73" s="203" t="n"/>
      <c r="V73" s="203" t="n"/>
      <c r="W73" s="203" t="n"/>
      <c r="X73" s="203" t="n"/>
      <c r="Y73" s="203" t="n"/>
      <c r="Z73" s="189">
        <f>SUM(AA28:AJ28)</f>
        <v/>
      </c>
      <c r="AA73" s="203" t="n"/>
      <c r="AB73" s="220" t="n"/>
      <c r="AC73" s="220" t="n"/>
      <c r="AD73" s="220" t="n"/>
      <c r="AE73" s="220" t="n"/>
      <c r="AF73" s="220" t="n"/>
      <c r="AG73" s="220" t="n"/>
      <c r="AH73" s="220" t="n"/>
      <c r="AI73" s="220" t="n"/>
      <c r="AJ73" s="220" t="n"/>
      <c r="AK73" s="188">
        <f>AB28/1.17*0.17+AC28/1.16*0.16+AD28/1.11*0.11+AE28/1.1*0.1+AF28/1.09*0.09+AI28/1.03*0.03</f>
        <v/>
      </c>
      <c r="AL73" s="221" t="n"/>
    </row>
    <row r="74" ht="14" customFormat="1" customHeight="1" s="180">
      <c r="A74" s="282" t="n"/>
      <c r="B74" s="283" t="n"/>
      <c r="C74" s="283" t="n"/>
      <c r="D74" s="285" t="inlineStr">
        <is>
          <t>（2）自行采购</t>
        </is>
      </c>
      <c r="E74" s="303" t="n"/>
      <c r="F74" s="303" t="n"/>
      <c r="G74" s="303" t="n"/>
      <c r="H74" s="285" t="n"/>
      <c r="I74" s="285" t="n"/>
      <c r="J74" s="285" t="n"/>
      <c r="K74" s="286" t="n"/>
      <c r="L74" s="287" t="n"/>
      <c r="M74" s="285" t="n"/>
      <c r="N74" s="285" t="n"/>
      <c r="O74" s="285">
        <f>L74-M74</f>
        <v/>
      </c>
      <c r="P74" s="285">
        <f>K74-N74</f>
        <v/>
      </c>
      <c r="Q74" s="285">
        <f>M74+O74</f>
        <v/>
      </c>
      <c r="R74" s="285">
        <f>M74+N74+O74+P74</f>
        <v/>
      </c>
      <c r="S74" s="289">
        <f>SUM(T74:V74)</f>
        <v/>
      </c>
      <c r="T74" s="289" t="n"/>
      <c r="U74" s="289" t="n"/>
      <c r="V74" s="289" t="n"/>
      <c r="W74" s="289" t="n"/>
      <c r="X74" s="289" t="n"/>
      <c r="Y74" s="289" t="n"/>
      <c r="Z74" s="285">
        <f>SUM(AA29:AJ29)</f>
        <v/>
      </c>
      <c r="AA74" s="289" t="n"/>
      <c r="AB74" s="304" t="n"/>
      <c r="AC74" s="304" t="n"/>
      <c r="AD74" s="304" t="n"/>
      <c r="AE74" s="304" t="n"/>
      <c r="AF74" s="304" t="n"/>
      <c r="AG74" s="304" t="n"/>
      <c r="AH74" s="304" t="n"/>
      <c r="AI74" s="304" t="n"/>
      <c r="AJ74" s="304" t="n"/>
      <c r="AK74" s="290">
        <f>AB29/1.17*0.17+AC29/1.16*0.16+AD29/1.11*0.11+AE29/1.1*0.1+AF29/1.09*0.09+AI29/1.03*0.03</f>
        <v/>
      </c>
      <c r="AL74" s="305" t="n"/>
    </row>
    <row r="75" ht="14" customFormat="1" customHeight="1" s="180">
      <c r="A75" s="206" t="n">
        <v>1</v>
      </c>
      <c r="B75" s="206" t="inlineStr">
        <is>
          <t>200234685</t>
        </is>
      </c>
      <c r="C75" s="207" t="inlineStr">
        <is>
          <t>中建四局0200202101806022</t>
        </is>
      </c>
      <c r="D75" s="207" t="inlineStr">
        <is>
          <t>上海找钢网供应链管理有限公司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6" t="n"/>
      <c r="M75" s="210" t="n">
        <v>2740600.46</v>
      </c>
      <c r="N75" s="210" t="n">
        <v>356278.05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3096878.51</v>
      </c>
      <c r="U75" s="206" t="n"/>
      <c r="V75" s="206" t="n"/>
      <c r="W75" s="293" t="n"/>
      <c r="X75" s="293" t="n"/>
      <c r="Y75" s="293" t="n"/>
      <c r="Z75" s="293" t="n"/>
      <c r="AA75" s="293" t="n"/>
      <c r="AB75" s="293" t="n"/>
      <c r="AC75" s="293" t="n"/>
      <c r="AD75" s="293" t="n"/>
      <c r="AE75" s="293" t="n"/>
      <c r="AF75" s="293" t="n"/>
      <c r="AG75" s="293" t="n"/>
      <c r="AH75" s="293" t="n"/>
      <c r="AI75" s="293" t="n"/>
      <c r="AJ75" s="293" t="n"/>
      <c r="AK75" s="293" t="n"/>
      <c r="AL75" s="293" t="n"/>
    </row>
    <row r="76" ht="14" customFormat="1" customHeight="1" s="180">
      <c r="A76" s="206" t="n">
        <v>2</v>
      </c>
      <c r="B76" s="206" t="inlineStr">
        <is>
          <t>2043724</t>
        </is>
      </c>
      <c r="C76" s="207" t="inlineStr">
        <is>
          <t>中建四局020020210018060002</t>
        </is>
      </c>
      <c r="D76" s="207" t="inlineStr">
        <is>
          <t>中建四局绿色建筑科技（广东）有限公司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6" t="n"/>
      <c r="M76" s="210" t="n">
        <v>752363.78</v>
      </c>
      <c r="N76" s="210" t="n">
        <v>97807.23</v>
      </c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10" t="n">
        <v>850171.01</v>
      </c>
      <c r="U76" s="206" t="n"/>
      <c r="V76" s="206" t="n"/>
      <c r="W76" s="293" t="n"/>
      <c r="X76" s="293" t="n"/>
      <c r="Y76" s="293" t="n"/>
      <c r="Z76" s="293" t="n"/>
      <c r="AA76" s="293" t="n"/>
      <c r="AB76" s="293" t="n"/>
      <c r="AC76" s="293" t="n"/>
      <c r="AD76" s="293" t="n"/>
      <c r="AE76" s="293" t="n"/>
      <c r="AF76" s="293" t="n"/>
      <c r="AG76" s="293" t="n"/>
      <c r="AH76" s="293" t="n"/>
      <c r="AI76" s="293" t="n"/>
      <c r="AJ76" s="293" t="n"/>
      <c r="AK76" s="293" t="n"/>
      <c r="AL76" s="293" t="n"/>
    </row>
    <row r="77" ht="14" customFormat="1" customHeight="1" s="180">
      <c r="A77" s="206" t="n">
        <v>3</v>
      </c>
      <c r="B77" s="206" t="inlineStr">
        <is>
          <t>100197784</t>
        </is>
      </c>
      <c r="C77" s="207" t="inlineStr">
        <is>
          <t>中建四局0200202101806025</t>
        </is>
      </c>
      <c r="D77" s="207" t="inlineStr">
        <is>
          <t>中铁物资集团华南有限公司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6" t="n"/>
      <c r="M77" s="210" t="n">
        <v>4776307.53</v>
      </c>
      <c r="N77" s="210" t="n">
        <v>620919.97</v>
      </c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10" t="n">
        <v>5397227.5</v>
      </c>
      <c r="U77" s="206" t="n"/>
      <c r="V77" s="206" t="n"/>
      <c r="W77" s="293" t="n"/>
      <c r="X77" s="293" t="n"/>
      <c r="Y77" s="293" t="n"/>
      <c r="Z77" s="293" t="n"/>
      <c r="AA77" s="293" t="n"/>
      <c r="AB77" s="293" t="n"/>
      <c r="AC77" s="293" t="n"/>
      <c r="AD77" s="293" t="n"/>
      <c r="AE77" s="293" t="n"/>
      <c r="AF77" s="293" t="n"/>
      <c r="AG77" s="293" t="n"/>
      <c r="AH77" s="293" t="n"/>
      <c r="AI77" s="293" t="n"/>
      <c r="AJ77" s="293" t="n"/>
      <c r="AK77" s="293" t="n"/>
      <c r="AL77" s="293" t="n"/>
    </row>
    <row r="78" ht="26" customFormat="1" customHeight="1" s="180">
      <c r="A78" s="206" t="n">
        <v>4</v>
      </c>
      <c r="B78" s="206" t="inlineStr">
        <is>
          <t>100237790</t>
        </is>
      </c>
      <c r="C78" s="207" t="inlineStr">
        <is>
          <t>中建四局0200202101806004</t>
        </is>
      </c>
      <c r="D78" s="207" t="inlineStr">
        <is>
          <t>佛山唐贵五金电器有限公司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6" t="n"/>
      <c r="M78" s="210" t="n">
        <v>14369</v>
      </c>
      <c r="N78" s="210" t="n">
        <v>1867.97</v>
      </c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10" t="n">
        <v>16236.97</v>
      </c>
      <c r="U78" s="206" t="n"/>
      <c r="V78" s="206" t="n"/>
      <c r="W78" s="293" t="n"/>
      <c r="X78" s="293" t="n"/>
      <c r="Y78" s="293" t="n"/>
      <c r="Z78" s="293" t="n"/>
      <c r="AA78" s="293" t="n"/>
      <c r="AB78" s="293" t="n"/>
      <c r="AC78" s="293" t="n"/>
      <c r="AD78" s="293" t="n"/>
      <c r="AE78" s="293" t="n"/>
      <c r="AF78" s="293" t="n"/>
      <c r="AG78" s="293" t="n"/>
      <c r="AH78" s="293" t="n"/>
      <c r="AI78" s="293" t="n"/>
      <c r="AJ78" s="293" t="n"/>
      <c r="AK78" s="293" t="n"/>
      <c r="AL78" s="293" t="n"/>
    </row>
    <row r="79" ht="26" customFormat="1" customHeight="1" s="180">
      <c r="A79" s="206" t="n">
        <v>5</v>
      </c>
      <c r="B79" s="206" t="inlineStr">
        <is>
          <t>100237790</t>
        </is>
      </c>
      <c r="C79" s="207" t="inlineStr">
        <is>
          <t>中建四局0200202101806005</t>
        </is>
      </c>
      <c r="D79" s="207" t="inlineStr">
        <is>
          <t>佛山唐贵五金电器有限公司</t>
        </is>
      </c>
      <c r="E79" s="206" t="n"/>
      <c r="F79" s="206" t="n"/>
      <c r="G79" s="206" t="n"/>
      <c r="H79" s="206" t="n"/>
      <c r="I79" s="206" t="n"/>
      <c r="J79" s="206" t="n"/>
      <c r="K79" s="208" t="n"/>
      <c r="L79" s="206" t="n"/>
      <c r="M79" s="210" t="n">
        <v>130267</v>
      </c>
      <c r="N79" s="210" t="n">
        <v>16934.71</v>
      </c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10" t="n">
        <v>147201.71</v>
      </c>
      <c r="U79" s="206" t="n"/>
      <c r="V79" s="206" t="n"/>
      <c r="W79" s="293" t="n"/>
      <c r="X79" s="293" t="n"/>
      <c r="Y79" s="293" t="n"/>
      <c r="Z79" s="293" t="n"/>
      <c r="AA79" s="293" t="n"/>
      <c r="AB79" s="293" t="n"/>
      <c r="AC79" s="293" t="n"/>
      <c r="AD79" s="293" t="n"/>
      <c r="AE79" s="293" t="n"/>
      <c r="AF79" s="293" t="n"/>
      <c r="AG79" s="293" t="n"/>
      <c r="AH79" s="293" t="n"/>
      <c r="AI79" s="293" t="n"/>
      <c r="AJ79" s="293" t="n"/>
      <c r="AK79" s="293" t="n"/>
      <c r="AL79" s="293" t="n"/>
    </row>
    <row r="80" ht="14" customFormat="1" customHeight="1" s="180">
      <c r="A80" s="206" t="n">
        <v>6</v>
      </c>
      <c r="B80" s="206" t="inlineStr">
        <is>
          <t>100237790</t>
        </is>
      </c>
      <c r="C80" s="207" t="inlineStr">
        <is>
          <t>中建四局0200202101806006</t>
        </is>
      </c>
      <c r="D80" s="207" t="inlineStr">
        <is>
          <t>佛山唐贵五金电器有限公司</t>
        </is>
      </c>
      <c r="E80" s="206" t="n"/>
      <c r="F80" s="206" t="n"/>
      <c r="G80" s="206" t="n"/>
      <c r="H80" s="206" t="n"/>
      <c r="I80" s="206" t="n"/>
      <c r="J80" s="206" t="n"/>
      <c r="K80" s="208" t="n"/>
      <c r="L80" s="206" t="n"/>
      <c r="M80" s="210" t="n">
        <v>2550134.38</v>
      </c>
      <c r="N80" s="210" t="n">
        <v>331517.47</v>
      </c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10" t="n">
        <v>2881651.85</v>
      </c>
      <c r="U80" s="206" t="n"/>
      <c r="V80" s="206" t="n"/>
      <c r="W80" s="293" t="n"/>
      <c r="X80" s="293" t="n"/>
      <c r="Y80" s="293" t="n"/>
      <c r="Z80" s="293" t="n"/>
      <c r="AA80" s="293" t="n"/>
      <c r="AB80" s="293" t="n"/>
      <c r="AC80" s="293" t="n"/>
      <c r="AD80" s="293" t="n"/>
      <c r="AE80" s="293" t="n"/>
      <c r="AF80" s="293" t="n"/>
      <c r="AG80" s="293" t="n"/>
      <c r="AH80" s="293" t="n"/>
      <c r="AI80" s="293" t="n"/>
      <c r="AJ80" s="293" t="n"/>
      <c r="AK80" s="293" t="n"/>
      <c r="AL80" s="293" t="n"/>
    </row>
    <row r="81" ht="14" customFormat="1" customHeight="1" s="3">
      <c r="A81" s="206" t="n">
        <v>7</v>
      </c>
      <c r="B81" s="206" t="inlineStr">
        <is>
          <t>100237790</t>
        </is>
      </c>
      <c r="C81" s="207" t="inlineStr">
        <is>
          <t>中建四局0200202101806016</t>
        </is>
      </c>
      <c r="D81" s="207" t="inlineStr">
        <is>
          <t>佛山唐贵五金电器有限公司</t>
        </is>
      </c>
      <c r="E81" s="206" t="n"/>
      <c r="F81" s="206" t="n"/>
      <c r="G81" s="206" t="n"/>
      <c r="H81" s="206" t="n"/>
      <c r="I81" s="206" t="n"/>
      <c r="J81" s="206" t="n"/>
      <c r="K81" s="208" t="n"/>
      <c r="L81" s="206" t="n"/>
      <c r="M81" s="210" t="n">
        <v>2123772.79</v>
      </c>
      <c r="N81" s="210" t="n">
        <v>276090.52</v>
      </c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10" t="n">
        <v>2399863.31</v>
      </c>
      <c r="U81" s="206" t="n"/>
      <c r="V81" s="206" t="n"/>
      <c r="W81" s="293" t="n"/>
      <c r="X81" s="293" t="n"/>
      <c r="Y81" s="293" t="n"/>
      <c r="Z81" s="293" t="n"/>
      <c r="AA81" s="293" t="n"/>
      <c r="AB81" s="293" t="n"/>
      <c r="AC81" s="293" t="n"/>
      <c r="AD81" s="293" t="n"/>
      <c r="AE81" s="293" t="n"/>
      <c r="AF81" s="293" t="n"/>
      <c r="AG81" s="293" t="n"/>
      <c r="AH81" s="293" t="n"/>
      <c r="AI81" s="293" t="n"/>
      <c r="AJ81" s="293" t="n"/>
      <c r="AK81" s="293" t="n"/>
      <c r="AL81" s="293" t="n"/>
    </row>
    <row r="82" ht="14" customHeight="1" s="159">
      <c r="A82" s="206" t="n">
        <v>8</v>
      </c>
      <c r="B82" s="206" t="inlineStr">
        <is>
          <t>100146779</t>
        </is>
      </c>
      <c r="C82" s="207" t="inlineStr">
        <is>
          <t>中建四局0200202101806026</t>
        </is>
      </c>
      <c r="D82" s="207" t="inlineStr">
        <is>
          <t>佛山市南海区洪顺水泥构件厂</t>
        </is>
      </c>
      <c r="E82" s="206" t="n"/>
      <c r="F82" s="206" t="n"/>
      <c r="G82" s="206" t="n"/>
      <c r="H82" s="206" t="n"/>
      <c r="I82" s="206" t="n"/>
      <c r="J82" s="206" t="n"/>
      <c r="K82" s="208" t="n"/>
      <c r="L82" s="206" t="n"/>
      <c r="M82" s="210" t="n">
        <v>1006289.65</v>
      </c>
      <c r="N82" s="210" t="n">
        <v>130817.7</v>
      </c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10" t="n">
        <v>1137107.35</v>
      </c>
      <c r="U82" s="206" t="n"/>
      <c r="V82" s="206" t="n"/>
      <c r="W82" s="293" t="n"/>
      <c r="X82" s="293" t="n"/>
      <c r="Y82" s="293" t="n"/>
      <c r="Z82" s="293" t="n"/>
      <c r="AA82" s="293" t="n"/>
      <c r="AB82" s="293" t="n"/>
      <c r="AC82" s="293" t="n"/>
      <c r="AD82" s="293" t="n"/>
      <c r="AE82" s="293" t="n"/>
      <c r="AF82" s="293" t="n"/>
      <c r="AG82" s="293" t="n"/>
      <c r="AH82" s="293" t="n"/>
      <c r="AI82" s="293" t="n"/>
      <c r="AJ82" s="293" t="n"/>
      <c r="AK82" s="293" t="n"/>
      <c r="AL82" s="293" t="n"/>
    </row>
    <row r="83" ht="14" customHeight="1" s="159">
      <c r="A83" s="206" t="n">
        <v>9</v>
      </c>
      <c r="B83" s="206" t="inlineStr">
        <is>
          <t>100206907</t>
        </is>
      </c>
      <c r="C83" s="207" t="inlineStr">
        <is>
          <t>中建四局0200202101806014</t>
        </is>
      </c>
      <c r="D83" s="207" t="inlineStr">
        <is>
          <t>佛山市开力电气有限公司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6" t="n"/>
      <c r="M83" s="210" t="n">
        <v>63203</v>
      </c>
      <c r="N83" s="210" t="n">
        <v>8216.389999999999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71419.39</v>
      </c>
      <c r="U83" s="206" t="n"/>
      <c r="V83" s="206" t="n"/>
      <c r="W83" s="293" t="n"/>
      <c r="X83" s="293" t="n"/>
      <c r="Y83" s="293" t="n"/>
      <c r="Z83" s="293" t="n"/>
      <c r="AA83" s="293" t="n"/>
      <c r="AB83" s="293" t="n"/>
      <c r="AC83" s="293" t="n"/>
      <c r="AD83" s="293" t="n"/>
      <c r="AE83" s="293" t="n"/>
      <c r="AF83" s="293" t="n"/>
      <c r="AG83" s="293" t="n"/>
      <c r="AH83" s="293" t="n"/>
      <c r="AI83" s="293" t="n"/>
      <c r="AJ83" s="293" t="n"/>
      <c r="AK83" s="293" t="n"/>
      <c r="AL83" s="293" t="n"/>
    </row>
    <row r="84">
      <c r="A84" s="206" t="n">
        <v>10</v>
      </c>
      <c r="B84" s="206" t="inlineStr">
        <is>
          <t>200162951</t>
        </is>
      </c>
      <c r="C84" s="207" t="inlineStr">
        <is>
          <t>中建四局0200202101806036</t>
        </is>
      </c>
      <c r="D84" s="207" t="inlineStr">
        <is>
          <t>佛山市翊德通新型环保科技建材有限公司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6" t="n"/>
      <c r="M84" s="210" t="n">
        <v>4369961.51</v>
      </c>
      <c r="N84" s="210" t="n">
        <v>568095.3199999999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4938056.52</v>
      </c>
      <c r="U84" s="206" t="n"/>
      <c r="V84" s="206" t="n"/>
      <c r="W84" s="293" t="n"/>
      <c r="X84" s="293" t="n"/>
      <c r="Y84" s="293" t="n"/>
      <c r="Z84" s="293" t="n"/>
      <c r="AA84" s="293" t="n"/>
      <c r="AB84" s="293" t="n"/>
      <c r="AC84" s="293" t="n"/>
      <c r="AD84" s="293" t="n"/>
      <c r="AE84" s="293" t="n"/>
      <c r="AF84" s="293" t="n"/>
      <c r="AG84" s="293" t="n"/>
      <c r="AH84" s="293" t="n"/>
      <c r="AI84" s="293" t="n"/>
      <c r="AJ84" s="293" t="n"/>
      <c r="AK84" s="293" t="n"/>
      <c r="AL84" s="293" t="n"/>
    </row>
    <row r="85">
      <c r="A85" s="206" t="n">
        <v>11</v>
      </c>
      <c r="B85" s="206" t="inlineStr">
        <is>
          <t>100232795</t>
        </is>
      </c>
      <c r="C85" s="207" t="inlineStr">
        <is>
          <t>中建四局0200202101806001</t>
        </is>
      </c>
      <c r="D85" s="207" t="inlineStr">
        <is>
          <t>佰丽特（厦门）电气科技有限公司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6" t="n"/>
      <c r="M85" s="210" t="n">
        <v>333728</v>
      </c>
      <c r="N85" s="210" t="n">
        <v>43384.64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301690.11</v>
      </c>
      <c r="U85" s="206" t="n"/>
      <c r="V85" s="206" t="n"/>
      <c r="W85" s="293" t="n"/>
      <c r="X85" s="293" t="n"/>
      <c r="Y85" s="293" t="n"/>
      <c r="Z85" s="293" t="n"/>
      <c r="AA85" s="293" t="n"/>
      <c r="AB85" s="293" t="n"/>
      <c r="AC85" s="293" t="n"/>
      <c r="AD85" s="293" t="n"/>
      <c r="AE85" s="293" t="n"/>
      <c r="AF85" s="293" t="n"/>
      <c r="AG85" s="293" t="n"/>
      <c r="AH85" s="293" t="n"/>
      <c r="AI85" s="293" t="n"/>
      <c r="AJ85" s="293" t="n"/>
      <c r="AK85" s="293" t="n"/>
      <c r="AL85" s="293" t="n"/>
    </row>
    <row r="86">
      <c r="A86" s="206" t="n">
        <v>12</v>
      </c>
      <c r="B86" s="206" t="inlineStr">
        <is>
          <t>200282611</t>
        </is>
      </c>
      <c r="C86" s="207" t="inlineStr">
        <is>
          <t>中建四局0200202101806009</t>
        </is>
      </c>
      <c r="D86" s="207" t="inlineStr">
        <is>
          <t>平安商贸有限公司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6" t="n"/>
      <c r="M86" s="210" t="n">
        <v>8873935.289999999</v>
      </c>
      <c r="N86" s="210" t="n">
        <v>1153611.59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10027546.88</v>
      </c>
      <c r="U86" s="206" t="n"/>
      <c r="V86" s="206" t="n"/>
      <c r="W86" s="293" t="n"/>
      <c r="X86" s="293" t="n"/>
      <c r="Y86" s="293" t="n"/>
      <c r="Z86" s="293" t="n"/>
      <c r="AA86" s="293" t="n"/>
      <c r="AB86" s="293" t="n"/>
      <c r="AC86" s="293" t="n"/>
      <c r="AD86" s="293" t="n"/>
      <c r="AE86" s="293" t="n"/>
      <c r="AF86" s="293" t="n"/>
      <c r="AG86" s="293" t="n"/>
      <c r="AH86" s="293" t="n"/>
      <c r="AI86" s="293" t="n"/>
      <c r="AJ86" s="293" t="n"/>
      <c r="AK86" s="293" t="n"/>
      <c r="AL86" s="293" t="n"/>
    </row>
    <row r="87">
      <c r="A87" s="206" t="n">
        <v>13</v>
      </c>
      <c r="B87" s="206" t="inlineStr">
        <is>
          <t>200609375</t>
        </is>
      </c>
      <c r="C87" s="207" t="inlineStr">
        <is>
          <t>中建四局0200202101806040</t>
        </is>
      </c>
      <c r="D87" s="207" t="inlineStr">
        <is>
          <t>广东富景成环保建材有限公司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6" t="n"/>
      <c r="M87" s="210" t="n">
        <v>385917.65</v>
      </c>
      <c r="N87" s="210" t="n">
        <v>50169.29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436086.94</v>
      </c>
      <c r="U87" s="206" t="n"/>
      <c r="V87" s="206" t="n"/>
      <c r="W87" s="293" t="n"/>
      <c r="X87" s="293" t="n"/>
      <c r="Y87" s="293" t="n"/>
      <c r="Z87" s="293" t="n"/>
      <c r="AA87" s="293" t="n"/>
      <c r="AB87" s="293" t="n"/>
      <c r="AC87" s="293" t="n"/>
      <c r="AD87" s="293" t="n"/>
      <c r="AE87" s="293" t="n"/>
      <c r="AF87" s="293" t="n"/>
      <c r="AG87" s="293" t="n"/>
      <c r="AH87" s="293" t="n"/>
      <c r="AI87" s="293" t="n"/>
      <c r="AJ87" s="293" t="n"/>
      <c r="AK87" s="293" t="n"/>
      <c r="AL87" s="293" t="n"/>
    </row>
    <row r="88">
      <c r="A88" s="206" t="n">
        <v>14</v>
      </c>
      <c r="B88" s="206" t="inlineStr">
        <is>
          <t>200589118</t>
        </is>
      </c>
      <c r="C88" s="207" t="inlineStr">
        <is>
          <t>中建四局020020210018060001</t>
        </is>
      </c>
      <c r="D88" s="207" t="inlineStr">
        <is>
          <t>广东广物中南建材集团有限公司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6" t="n"/>
      <c r="M88" s="210" t="n">
        <v>4299184.04</v>
      </c>
      <c r="N88" s="210" t="n">
        <v>558893.95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4858077.99</v>
      </c>
      <c r="U88" s="206" t="n"/>
      <c r="V88" s="206" t="n"/>
      <c r="W88" s="293" t="n"/>
      <c r="X88" s="293" t="n"/>
      <c r="Y88" s="293" t="n"/>
      <c r="Z88" s="293" t="n"/>
      <c r="AA88" s="293" t="n"/>
      <c r="AB88" s="293" t="n"/>
      <c r="AC88" s="293" t="n"/>
      <c r="AD88" s="293" t="n"/>
      <c r="AE88" s="293" t="n"/>
      <c r="AF88" s="293" t="n"/>
      <c r="AG88" s="293" t="n"/>
      <c r="AH88" s="293" t="n"/>
      <c r="AI88" s="293" t="n"/>
      <c r="AJ88" s="293" t="n"/>
      <c r="AK88" s="293" t="n"/>
      <c r="AL88" s="293" t="n"/>
    </row>
    <row r="89">
      <c r="A89" s="206" t="n">
        <v>15</v>
      </c>
      <c r="B89" s="206" t="inlineStr">
        <is>
          <t>100218495</t>
        </is>
      </c>
      <c r="C89" s="207" t="inlineStr">
        <is>
          <t>中建四局0200202101806024</t>
        </is>
      </c>
      <c r="D89" s="207" t="inlineStr">
        <is>
          <t>广东广物物资有限公司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6" t="n"/>
      <c r="M89" s="210" t="n">
        <v>52140600.21</v>
      </c>
      <c r="N89" s="210" t="n">
        <v>6778278.02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57634200</v>
      </c>
      <c r="U89" s="206" t="n"/>
      <c r="V89" s="206" t="n"/>
      <c r="W89" s="293" t="n"/>
      <c r="X89" s="293" t="n"/>
      <c r="Y89" s="293" t="n"/>
      <c r="Z89" s="293" t="n"/>
      <c r="AA89" s="293" t="n"/>
      <c r="AB89" s="293" t="n"/>
      <c r="AC89" s="293" t="n"/>
      <c r="AD89" s="293" t="n"/>
      <c r="AE89" s="293" t="n"/>
      <c r="AF89" s="293" t="n"/>
      <c r="AG89" s="293" t="n"/>
      <c r="AH89" s="293" t="n"/>
      <c r="AI89" s="293" t="n"/>
      <c r="AJ89" s="293" t="n"/>
      <c r="AK89" s="293" t="n"/>
      <c r="AL89" s="293" t="n"/>
    </row>
    <row r="90">
      <c r="A90" s="206" t="n">
        <v>16</v>
      </c>
      <c r="B90" s="206" t="inlineStr">
        <is>
          <t>100217200</t>
        </is>
      </c>
      <c r="C90" s="207" t="inlineStr">
        <is>
          <t>中建四局0200202101806042</t>
        </is>
      </c>
      <c r="D90" s="207" t="inlineStr">
        <is>
          <t>广东新瑞龙生态建材有限公司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6" t="n"/>
      <c r="M90" s="210" t="n">
        <v>9943627.460000001</v>
      </c>
      <c r="N90" s="210" t="n">
        <v>1292671.55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10199210.04</v>
      </c>
      <c r="U90" s="206" t="n"/>
      <c r="V90" s="206" t="n"/>
      <c r="W90" s="293" t="n"/>
      <c r="X90" s="293" t="n"/>
      <c r="Y90" s="293" t="n"/>
      <c r="Z90" s="293" t="n"/>
      <c r="AA90" s="293" t="n"/>
      <c r="AB90" s="293" t="n"/>
      <c r="AC90" s="293" t="n"/>
      <c r="AD90" s="293" t="n"/>
      <c r="AE90" s="293" t="n"/>
      <c r="AF90" s="293" t="n"/>
      <c r="AG90" s="293" t="n"/>
      <c r="AH90" s="293" t="n"/>
      <c r="AI90" s="293" t="n"/>
      <c r="AJ90" s="293" t="n"/>
      <c r="AK90" s="293" t="n"/>
      <c r="AL90" s="293" t="n"/>
    </row>
    <row r="91">
      <c r="A91" s="206" t="n">
        <v>17</v>
      </c>
      <c r="B91" s="206" t="inlineStr">
        <is>
          <t>100217564</t>
        </is>
      </c>
      <c r="C91" s="207" t="inlineStr">
        <is>
          <t>中建四局0200202101806015</t>
        </is>
      </c>
      <c r="D91" s="207" t="inlineStr">
        <is>
          <t>广东顺德雍强贸易有限公司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6" t="n"/>
      <c r="M91" s="210" t="n">
        <v>5074499.2</v>
      </c>
      <c r="N91" s="210" t="n">
        <v>659684.51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5722211.35</v>
      </c>
      <c r="U91" s="206" t="n"/>
      <c r="V91" s="206" t="n"/>
      <c r="W91" s="293" t="n"/>
      <c r="X91" s="293" t="n"/>
      <c r="Y91" s="293" t="n"/>
      <c r="Z91" s="293" t="n"/>
      <c r="AA91" s="293" t="n"/>
      <c r="AB91" s="293" t="n"/>
      <c r="AC91" s="293" t="n"/>
      <c r="AD91" s="293" t="n"/>
      <c r="AE91" s="293" t="n"/>
      <c r="AF91" s="293" t="n"/>
      <c r="AG91" s="293" t="n"/>
      <c r="AH91" s="293" t="n"/>
      <c r="AI91" s="293" t="n"/>
      <c r="AJ91" s="293" t="n"/>
      <c r="AK91" s="293" t="n"/>
      <c r="AL91" s="293" t="n"/>
    </row>
    <row r="92">
      <c r="A92" s="206" t="n">
        <v>18</v>
      </c>
      <c r="B92" s="206" t="inlineStr">
        <is>
          <t>200028988</t>
        </is>
      </c>
      <c r="C92" s="207" t="inlineStr">
        <is>
          <t>中建四局0200202101806020</t>
        </is>
      </c>
      <c r="D92" s="207" t="inlineStr">
        <is>
          <t>广州天源混凝土有限公司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6" t="n"/>
      <c r="M92" s="210" t="n">
        <v>82619375.06999999</v>
      </c>
      <c r="N92" s="210" t="n">
        <v>2479172.51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76114127.56</v>
      </c>
      <c r="U92" s="206" t="n"/>
      <c r="V92" s="206" t="n"/>
      <c r="W92" s="293" t="n"/>
      <c r="X92" s="293" t="n"/>
      <c r="Y92" s="293" t="n"/>
      <c r="Z92" s="293" t="n"/>
      <c r="AA92" s="293" t="n"/>
      <c r="AB92" s="293" t="n"/>
      <c r="AC92" s="293" t="n"/>
      <c r="AD92" s="293" t="n"/>
      <c r="AE92" s="293" t="n"/>
      <c r="AF92" s="293" t="n"/>
      <c r="AG92" s="293" t="n"/>
      <c r="AH92" s="293" t="n"/>
      <c r="AI92" s="293" t="n"/>
      <c r="AJ92" s="293" t="n"/>
      <c r="AK92" s="293" t="n"/>
      <c r="AL92" s="293" t="n"/>
    </row>
    <row r="93">
      <c r="A93" s="206" t="n">
        <v>19</v>
      </c>
      <c r="B93" s="206" t="inlineStr">
        <is>
          <t>100118018</t>
        </is>
      </c>
      <c r="C93" s="207" t="inlineStr">
        <is>
          <t>中建四局0200202101806023</t>
        </is>
      </c>
      <c r="D93" s="207" t="inlineStr">
        <is>
          <t>广州天达混凝土有限公司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6" t="n"/>
      <c r="M93" s="210" t="n">
        <v>7029897.31</v>
      </c>
      <c r="N93" s="210" t="n">
        <v>210896.97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7240794.28</v>
      </c>
      <c r="U93" s="206" t="n"/>
      <c r="V93" s="206" t="n"/>
      <c r="W93" s="293" t="n"/>
      <c r="X93" s="293" t="n"/>
      <c r="Y93" s="293" t="n"/>
      <c r="Z93" s="293" t="n"/>
      <c r="AA93" s="293" t="n"/>
      <c r="AB93" s="293" t="n"/>
      <c r="AC93" s="293" t="n"/>
      <c r="AD93" s="293" t="n"/>
      <c r="AE93" s="293" t="n"/>
      <c r="AF93" s="293" t="n"/>
      <c r="AG93" s="293" t="n"/>
      <c r="AH93" s="293" t="n"/>
      <c r="AI93" s="293" t="n"/>
      <c r="AJ93" s="293" t="n"/>
      <c r="AK93" s="293" t="n"/>
      <c r="AL93" s="293" t="n"/>
    </row>
    <row r="94">
      <c r="A94" s="206" t="n">
        <v>20</v>
      </c>
      <c r="B94" s="206" t="inlineStr">
        <is>
          <t>100217350</t>
        </is>
      </c>
      <c r="C94" s="207" t="inlineStr">
        <is>
          <t>中建四局0200202101806003</t>
        </is>
      </c>
      <c r="D94" s="207" t="inlineStr">
        <is>
          <t>广州市嘉宇金属制品有限公司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6" t="n"/>
      <c r="M94" s="210" t="n">
        <v>416379</v>
      </c>
      <c r="N94" s="210" t="n">
        <v>54129.27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470508.27</v>
      </c>
      <c r="U94" s="206" t="n"/>
      <c r="V94" s="206" t="n"/>
      <c r="W94" s="293" t="n"/>
      <c r="X94" s="293" t="n"/>
      <c r="Y94" s="293" t="n"/>
      <c r="Z94" s="293" t="n"/>
      <c r="AA94" s="293" t="n"/>
      <c r="AB94" s="293" t="n"/>
      <c r="AC94" s="293" t="n"/>
      <c r="AD94" s="293" t="n"/>
      <c r="AE94" s="293" t="n"/>
      <c r="AF94" s="293" t="n"/>
      <c r="AG94" s="293" t="n"/>
      <c r="AH94" s="293" t="n"/>
      <c r="AI94" s="293" t="n"/>
      <c r="AJ94" s="293" t="n"/>
      <c r="AK94" s="293" t="n"/>
      <c r="AL94" s="293" t="n"/>
    </row>
    <row r="95">
      <c r="A95" s="206" t="n">
        <v>21</v>
      </c>
      <c r="B95" s="206" t="inlineStr">
        <is>
          <t>100217450</t>
        </is>
      </c>
      <c r="C95" s="207" t="inlineStr">
        <is>
          <t>中建四局0200202101806041</t>
        </is>
      </c>
      <c r="D95" s="207" t="inlineStr">
        <is>
          <t>广州市常宏建材有限公司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6" t="n"/>
      <c r="M95" s="210" t="n">
        <v>32639</v>
      </c>
      <c r="N95" s="210" t="n">
        <v>4243.07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36882.07</v>
      </c>
      <c r="U95" s="206" t="n"/>
      <c r="V95" s="206" t="n"/>
      <c r="W95" s="293" t="n"/>
      <c r="X95" s="293" t="n"/>
      <c r="Y95" s="293" t="n"/>
      <c r="Z95" s="293" t="n"/>
      <c r="AA95" s="293" t="n"/>
      <c r="AB95" s="293" t="n"/>
      <c r="AC95" s="293" t="n"/>
      <c r="AD95" s="293" t="n"/>
      <c r="AE95" s="293" t="n"/>
      <c r="AF95" s="293" t="n"/>
      <c r="AG95" s="293" t="n"/>
      <c r="AH95" s="293" t="n"/>
      <c r="AI95" s="293" t="n"/>
      <c r="AJ95" s="293" t="n"/>
      <c r="AK95" s="293" t="n"/>
      <c r="AL95" s="293" t="n"/>
    </row>
    <row r="96">
      <c r="A96" s="206" t="n">
        <v>22</v>
      </c>
      <c r="B96" s="206" t="inlineStr">
        <is>
          <t>100115149</t>
        </is>
      </c>
      <c r="C96" s="207" t="inlineStr">
        <is>
          <t>中建四局0200202101806035</t>
        </is>
      </c>
      <c r="D96" s="207" t="inlineStr">
        <is>
          <t>广州市建邦建材有限公司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6" t="n"/>
      <c r="M96" s="210" t="n">
        <v>7683428.5</v>
      </c>
      <c r="N96" s="210" t="n">
        <v>998845.46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8682273.960000001</v>
      </c>
      <c r="U96" s="206" t="n"/>
      <c r="V96" s="206" t="n"/>
      <c r="W96" s="293" t="n"/>
      <c r="X96" s="293" t="n"/>
      <c r="Y96" s="293" t="n"/>
      <c r="Z96" s="293" t="n"/>
      <c r="AA96" s="293" t="n"/>
      <c r="AB96" s="293" t="n"/>
      <c r="AC96" s="293" t="n"/>
      <c r="AD96" s="293" t="n"/>
      <c r="AE96" s="293" t="n"/>
      <c r="AF96" s="293" t="n"/>
      <c r="AG96" s="293" t="n"/>
      <c r="AH96" s="293" t="n"/>
      <c r="AI96" s="293" t="n"/>
      <c r="AJ96" s="293" t="n"/>
      <c r="AK96" s="293" t="n"/>
      <c r="AL96" s="293" t="n"/>
    </row>
    <row r="97">
      <c r="A97" s="206" t="n">
        <v>23</v>
      </c>
      <c r="B97" s="206" t="inlineStr">
        <is>
          <t>100147894</t>
        </is>
      </c>
      <c r="C97" s="207" t="inlineStr">
        <is>
          <t>中建四局0200202101806007</t>
        </is>
      </c>
      <c r="D97" s="207" t="inlineStr">
        <is>
          <t>广州市息县旺建材有限公司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6" t="n"/>
      <c r="M97" s="210" t="n">
        <v>950254.54</v>
      </c>
      <c r="N97" s="210" t="n">
        <v>123533.02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1067146.16</v>
      </c>
      <c r="U97" s="206" t="n"/>
      <c r="V97" s="206" t="n"/>
      <c r="W97" s="293" t="n"/>
      <c r="X97" s="293" t="n"/>
      <c r="Y97" s="293" t="n"/>
      <c r="Z97" s="293" t="n"/>
      <c r="AA97" s="293" t="n"/>
      <c r="AB97" s="293" t="n"/>
      <c r="AC97" s="293" t="n"/>
      <c r="AD97" s="293" t="n"/>
      <c r="AE97" s="293" t="n"/>
      <c r="AF97" s="293" t="n"/>
      <c r="AG97" s="293" t="n"/>
      <c r="AH97" s="293" t="n"/>
      <c r="AI97" s="293" t="n"/>
      <c r="AJ97" s="293" t="n"/>
      <c r="AK97" s="293" t="n"/>
      <c r="AL97" s="293" t="n"/>
    </row>
    <row r="98">
      <c r="A98" s="206" t="n">
        <v>24</v>
      </c>
      <c r="B98" s="206" t="inlineStr">
        <is>
          <t>200335317</t>
        </is>
      </c>
      <c r="C98" s="207" t="inlineStr">
        <is>
          <t>中建四局0200202101806029</t>
        </is>
      </c>
      <c r="D98" s="207" t="inlineStr">
        <is>
          <t>广州市汇亿鑫贸易有限公司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6" t="n"/>
      <c r="M98" s="210" t="n">
        <v>274015</v>
      </c>
      <c r="N98" s="210" t="n">
        <v>35621.95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309636.95</v>
      </c>
      <c r="U98" s="206" t="n"/>
      <c r="V98" s="206" t="n"/>
      <c r="W98" s="293" t="n"/>
      <c r="X98" s="293" t="n"/>
      <c r="Y98" s="293" t="n"/>
      <c r="Z98" s="293" t="n"/>
      <c r="AA98" s="293" t="n"/>
      <c r="AB98" s="293" t="n"/>
      <c r="AC98" s="293" t="n"/>
      <c r="AD98" s="293" t="n"/>
      <c r="AE98" s="293" t="n"/>
      <c r="AF98" s="293" t="n"/>
      <c r="AG98" s="293" t="n"/>
      <c r="AH98" s="293" t="n"/>
      <c r="AI98" s="293" t="n"/>
      <c r="AJ98" s="293" t="n"/>
      <c r="AK98" s="293" t="n"/>
      <c r="AL98" s="293" t="n"/>
    </row>
    <row r="99">
      <c r="A99" s="206" t="n">
        <v>25</v>
      </c>
      <c r="B99" s="206" t="inlineStr">
        <is>
          <t>100006014</t>
        </is>
      </c>
      <c r="C99" s="207" t="inlineStr">
        <is>
          <t>中建四局0200202101806038</t>
        </is>
      </c>
      <c r="D99" s="207" t="inlineStr">
        <is>
          <t>广州市番禺区石楼镇沙南建材二厂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6" t="n"/>
      <c r="M99" s="210" t="n">
        <v>1561706.28</v>
      </c>
      <c r="N99" s="210" t="n">
        <v>203021.99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1764728.27</v>
      </c>
      <c r="U99" s="206" t="n"/>
      <c r="V99" s="206" t="n"/>
      <c r="W99" s="293" t="n"/>
      <c r="X99" s="293" t="n"/>
      <c r="Y99" s="293" t="n"/>
      <c r="Z99" s="293" t="n"/>
      <c r="AA99" s="293" t="n"/>
      <c r="AB99" s="293" t="n"/>
      <c r="AC99" s="293" t="n"/>
      <c r="AD99" s="293" t="n"/>
      <c r="AE99" s="293" t="n"/>
      <c r="AF99" s="293" t="n"/>
      <c r="AG99" s="293" t="n"/>
      <c r="AH99" s="293" t="n"/>
      <c r="AI99" s="293" t="n"/>
      <c r="AJ99" s="293" t="n"/>
      <c r="AK99" s="293" t="n"/>
      <c r="AL99" s="293" t="n"/>
    </row>
    <row r="100">
      <c r="A100" s="206" t="n">
        <v>26</v>
      </c>
      <c r="B100" s="206" t="inlineStr">
        <is>
          <t>100118301</t>
        </is>
      </c>
      <c r="C100" s="207" t="inlineStr">
        <is>
          <t>中建四局0200202101806019</t>
        </is>
      </c>
      <c r="D100" s="207" t="inlineStr">
        <is>
          <t>广州市维意建材有限公司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6" t="n"/>
      <c r="M100" s="210" t="n">
        <v>27146211.76</v>
      </c>
      <c r="N100" s="210" t="n">
        <v>814386.39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27960598.15</v>
      </c>
      <c r="U100" s="206" t="n"/>
      <c r="V100" s="206" t="n"/>
      <c r="W100" s="293" t="n"/>
      <c r="X100" s="293" t="n"/>
      <c r="Y100" s="293" t="n"/>
      <c r="Z100" s="293" t="n"/>
      <c r="AA100" s="293" t="n"/>
      <c r="AB100" s="293" t="n"/>
      <c r="AC100" s="293" t="n"/>
      <c r="AD100" s="293" t="n"/>
      <c r="AE100" s="293" t="n"/>
      <c r="AF100" s="293" t="n"/>
      <c r="AG100" s="293" t="n"/>
      <c r="AH100" s="293" t="n"/>
      <c r="AI100" s="293" t="n"/>
      <c r="AJ100" s="293" t="n"/>
      <c r="AK100" s="293" t="n"/>
      <c r="AL100" s="293" t="n"/>
    </row>
    <row r="101">
      <c r="A101" s="206" t="n">
        <v>27</v>
      </c>
      <c r="B101" s="206" t="inlineStr">
        <is>
          <t>100118101</t>
        </is>
      </c>
      <c r="C101" s="207" t="inlineStr">
        <is>
          <t>中建四局0200202101806032</t>
        </is>
      </c>
      <c r="D101" s="207" t="inlineStr">
        <is>
          <t>广州市长兴混凝土有限公司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6" t="n"/>
      <c r="M101" s="210" t="n">
        <v>7126276.05</v>
      </c>
      <c r="N101" s="210" t="n">
        <v>213788.29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7297640.86</v>
      </c>
      <c r="U101" s="206" t="n"/>
      <c r="V101" s="206" t="n"/>
      <c r="W101" s="293" t="n"/>
      <c r="X101" s="293" t="n"/>
      <c r="Y101" s="293" t="n"/>
      <c r="Z101" s="293" t="n"/>
      <c r="AA101" s="293" t="n"/>
      <c r="AB101" s="293" t="n"/>
      <c r="AC101" s="293" t="n"/>
      <c r="AD101" s="293" t="n"/>
      <c r="AE101" s="293" t="n"/>
      <c r="AF101" s="293" t="n"/>
      <c r="AG101" s="293" t="n"/>
      <c r="AH101" s="293" t="n"/>
      <c r="AI101" s="293" t="n"/>
      <c r="AJ101" s="293" t="n"/>
      <c r="AK101" s="293" t="n"/>
      <c r="AL101" s="293" t="n"/>
    </row>
    <row r="102">
      <c r="A102" s="206" t="n">
        <v>28</v>
      </c>
      <c r="B102" s="206" t="inlineStr">
        <is>
          <t>100217478</t>
        </is>
      </c>
      <c r="C102" s="207" t="inlineStr">
        <is>
          <t>中建四局0200202101806017</t>
        </is>
      </c>
      <c r="D102" s="207" t="inlineStr">
        <is>
          <t>广州建侯建材有限公司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6" t="n"/>
      <c r="M102" s="210" t="n">
        <v>1538956.12</v>
      </c>
      <c r="N102" s="210" t="n">
        <v>200064.3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1739020.42</v>
      </c>
      <c r="U102" s="206" t="n"/>
      <c r="V102" s="206" t="n"/>
      <c r="W102" s="293" t="n"/>
      <c r="X102" s="293" t="n"/>
      <c r="Y102" s="293" t="n"/>
      <c r="Z102" s="293" t="n"/>
      <c r="AA102" s="293" t="n"/>
      <c r="AB102" s="293" t="n"/>
      <c r="AC102" s="293" t="n"/>
      <c r="AD102" s="293" t="n"/>
      <c r="AE102" s="293" t="n"/>
      <c r="AF102" s="293" t="n"/>
      <c r="AG102" s="293" t="n"/>
      <c r="AH102" s="293" t="n"/>
      <c r="AI102" s="293" t="n"/>
      <c r="AJ102" s="293" t="n"/>
      <c r="AK102" s="293" t="n"/>
      <c r="AL102" s="293" t="n"/>
    </row>
    <row r="103">
      <c r="A103" s="206" t="n">
        <v>29</v>
      </c>
      <c r="B103" s="206" t="inlineStr">
        <is>
          <t>100094223</t>
        </is>
      </c>
      <c r="C103" s="207" t="inlineStr">
        <is>
          <t>中建四局0200202101806034</t>
        </is>
      </c>
      <c r="D103" s="207" t="inlineStr">
        <is>
          <t>广州晴泰蓝环保工程有限公司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6" t="n"/>
      <c r="M103" s="210" t="n">
        <v>140000</v>
      </c>
      <c r="N103" s="210" t="n">
        <v>18200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158200</v>
      </c>
      <c r="U103" s="206" t="n"/>
      <c r="V103" s="206" t="n"/>
      <c r="W103" s="293" t="n"/>
      <c r="X103" s="293" t="n"/>
      <c r="Y103" s="293" t="n"/>
      <c r="Z103" s="293" t="n"/>
      <c r="AA103" s="293" t="n"/>
      <c r="AB103" s="293" t="n"/>
      <c r="AC103" s="293" t="n"/>
      <c r="AD103" s="293" t="n"/>
      <c r="AE103" s="293" t="n"/>
      <c r="AF103" s="293" t="n"/>
      <c r="AG103" s="293" t="n"/>
      <c r="AH103" s="293" t="n"/>
      <c r="AI103" s="293" t="n"/>
      <c r="AJ103" s="293" t="n"/>
      <c r="AK103" s="293" t="n"/>
      <c r="AL103" s="293" t="n"/>
    </row>
    <row r="104">
      <c r="A104" s="206" t="n">
        <v>30</v>
      </c>
      <c r="B104" s="206" t="inlineStr">
        <is>
          <t>200413088</t>
        </is>
      </c>
      <c r="C104" s="207" t="inlineStr">
        <is>
          <t>中建四局0200202101806021</t>
        </is>
      </c>
      <c r="D104" s="207" t="inlineStr">
        <is>
          <t>广州盒子住宅科技有限公司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6" t="n"/>
      <c r="M104" s="210" t="n">
        <v>13945976.97</v>
      </c>
      <c r="N104" s="210" t="n">
        <v>1793690.33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10" t="n">
        <v>8652600</v>
      </c>
      <c r="U104" s="206" t="n"/>
      <c r="V104" s="206" t="n"/>
      <c r="W104" s="293" t="n"/>
      <c r="X104" s="293" t="n"/>
      <c r="Y104" s="293" t="n"/>
      <c r="Z104" s="293" t="n"/>
      <c r="AA104" s="293" t="n"/>
      <c r="AB104" s="293" t="n"/>
      <c r="AC104" s="293" t="n"/>
      <c r="AD104" s="293" t="n"/>
      <c r="AE104" s="293" t="n"/>
      <c r="AF104" s="293" t="n"/>
      <c r="AG104" s="293" t="n"/>
      <c r="AH104" s="293" t="n"/>
      <c r="AI104" s="293" t="n"/>
      <c r="AJ104" s="293" t="n"/>
      <c r="AK104" s="293" t="n"/>
      <c r="AL104" s="293" t="n"/>
    </row>
    <row r="105">
      <c r="A105" s="206" t="n">
        <v>31</v>
      </c>
      <c r="B105" s="206" t="inlineStr">
        <is>
          <t>200234923</t>
        </is>
      </c>
      <c r="C105" s="207" t="inlineStr">
        <is>
          <t>中建四局0200202101806013</t>
        </is>
      </c>
      <c r="D105" s="207" t="inlineStr">
        <is>
          <t>广州睿越建材有限公司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6" t="n"/>
      <c r="M105" s="210" t="n">
        <v>43710.65</v>
      </c>
      <c r="N105" s="210" t="n">
        <v>5682.39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10" t="n">
        <v>49393.04</v>
      </c>
      <c r="U105" s="206" t="n"/>
      <c r="V105" s="206" t="n"/>
      <c r="W105" s="293" t="n"/>
      <c r="X105" s="293" t="n"/>
      <c r="Y105" s="293" t="n"/>
      <c r="Z105" s="293" t="n"/>
      <c r="AA105" s="293" t="n"/>
      <c r="AB105" s="293" t="n"/>
      <c r="AC105" s="293" t="n"/>
      <c r="AD105" s="293" t="n"/>
      <c r="AE105" s="293" t="n"/>
      <c r="AF105" s="293" t="n"/>
      <c r="AG105" s="293" t="n"/>
      <c r="AH105" s="293" t="n"/>
      <c r="AI105" s="293" t="n"/>
      <c r="AJ105" s="293" t="n"/>
      <c r="AK105" s="293" t="n"/>
      <c r="AL105" s="293" t="n"/>
    </row>
    <row r="106">
      <c r="A106" s="206" t="n">
        <v>32</v>
      </c>
      <c r="B106" s="206" t="inlineStr">
        <is>
          <t>100119801</t>
        </is>
      </c>
      <c r="C106" s="207" t="inlineStr">
        <is>
          <t>中建四局0200202101806037</t>
        </is>
      </c>
      <c r="D106" s="207" t="inlineStr">
        <is>
          <t>广州禄臻贸易有限公司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6" t="n"/>
      <c r="M106" s="210" t="n">
        <v>582161.09</v>
      </c>
      <c r="N106" s="210" t="n">
        <v>75681</v>
      </c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10" t="n">
        <v>657842.08</v>
      </c>
      <c r="U106" s="206" t="n"/>
      <c r="V106" s="206" t="n"/>
      <c r="W106" s="293" t="n"/>
      <c r="X106" s="293" t="n"/>
      <c r="Y106" s="293" t="n"/>
      <c r="Z106" s="293" t="n"/>
      <c r="AA106" s="293" t="n"/>
      <c r="AB106" s="293" t="n"/>
      <c r="AC106" s="293" t="n"/>
      <c r="AD106" s="293" t="n"/>
      <c r="AE106" s="293" t="n"/>
      <c r="AF106" s="293" t="n"/>
      <c r="AG106" s="293" t="n"/>
      <c r="AH106" s="293" t="n"/>
      <c r="AI106" s="293" t="n"/>
      <c r="AJ106" s="293" t="n"/>
      <c r="AK106" s="293" t="n"/>
      <c r="AL106" s="293" t="n"/>
    </row>
    <row r="107">
      <c r="A107" s="206" t="n">
        <v>33</v>
      </c>
      <c r="B107" s="206" t="inlineStr">
        <is>
          <t>100217843</t>
        </is>
      </c>
      <c r="C107" s="207" t="inlineStr">
        <is>
          <t>中建四局0200202101806039</t>
        </is>
      </c>
      <c r="D107" s="207" t="inlineStr">
        <is>
          <t>广州绿色金融街投资管理有限公司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6" t="n"/>
      <c r="M107" s="210" t="n">
        <v>30291914.17</v>
      </c>
      <c r="N107" s="210" t="n">
        <v>3937948.82</v>
      </c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10" t="n">
        <v>34229862.99</v>
      </c>
      <c r="U107" s="206" t="n"/>
      <c r="V107" s="206" t="n"/>
      <c r="W107" s="293" t="n"/>
      <c r="X107" s="293" t="n"/>
      <c r="Y107" s="293" t="n"/>
      <c r="Z107" s="293" t="n"/>
      <c r="AA107" s="293" t="n"/>
      <c r="AB107" s="293" t="n"/>
      <c r="AC107" s="293" t="n"/>
      <c r="AD107" s="293" t="n"/>
      <c r="AE107" s="293" t="n"/>
      <c r="AF107" s="293" t="n"/>
      <c r="AG107" s="293" t="n"/>
      <c r="AH107" s="293" t="n"/>
      <c r="AI107" s="293" t="n"/>
      <c r="AJ107" s="293" t="n"/>
      <c r="AK107" s="293" t="n"/>
      <c r="AL107" s="293" t="n"/>
    </row>
    <row r="108">
      <c r="A108" s="206" t="n">
        <v>34</v>
      </c>
      <c r="B108" s="206" t="inlineStr">
        <is>
          <t>100217163</t>
        </is>
      </c>
      <c r="C108" s="207" t="inlineStr">
        <is>
          <t>中建四局0200202101806002</t>
        </is>
      </c>
      <c r="D108" s="207" t="inlineStr">
        <is>
          <t>广州辰辰建材租赁有限公司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6" t="n"/>
      <c r="M108" s="210" t="n">
        <v>3566769.49</v>
      </c>
      <c r="N108" s="210" t="n">
        <v>463680.09</v>
      </c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10" t="n">
        <v>4017620.13</v>
      </c>
      <c r="U108" s="206" t="n"/>
      <c r="V108" s="206" t="n"/>
      <c r="W108" s="293" t="n"/>
      <c r="X108" s="293" t="n"/>
      <c r="Y108" s="293" t="n"/>
      <c r="Z108" s="293" t="n"/>
      <c r="AA108" s="293" t="n"/>
      <c r="AB108" s="293" t="n"/>
      <c r="AC108" s="293" t="n"/>
      <c r="AD108" s="293" t="n"/>
      <c r="AE108" s="293" t="n"/>
      <c r="AF108" s="293" t="n"/>
      <c r="AG108" s="293" t="n"/>
      <c r="AH108" s="293" t="n"/>
      <c r="AI108" s="293" t="n"/>
      <c r="AJ108" s="293" t="n"/>
      <c r="AK108" s="293" t="n"/>
      <c r="AL108" s="293" t="n"/>
    </row>
    <row r="109">
      <c r="A109" s="206" t="n">
        <v>35</v>
      </c>
      <c r="B109" s="206" t="inlineStr">
        <is>
          <t>200009555</t>
        </is>
      </c>
      <c r="C109" s="207" t="inlineStr">
        <is>
          <t>中建四局0200202101806030</t>
        </is>
      </c>
      <c r="D109" s="207" t="inlineStr">
        <is>
          <t>广联达科技股份有限公司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6" t="n"/>
      <c r="M109" s="210" t="n">
        <v>44247.79</v>
      </c>
      <c r="N109" s="210" t="n">
        <v>5752.21</v>
      </c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10" t="n">
        <v>50000</v>
      </c>
      <c r="U109" s="206" t="n"/>
      <c r="V109" s="206" t="n"/>
      <c r="W109" s="293" t="n"/>
      <c r="X109" s="293" t="n"/>
      <c r="Y109" s="293" t="n"/>
      <c r="Z109" s="293" t="n"/>
      <c r="AA109" s="293" t="n"/>
      <c r="AB109" s="293" t="n"/>
      <c r="AC109" s="293" t="n"/>
      <c r="AD109" s="293" t="n"/>
      <c r="AE109" s="293" t="n"/>
      <c r="AF109" s="293" t="n"/>
      <c r="AG109" s="293" t="n"/>
      <c r="AH109" s="293" t="n"/>
      <c r="AI109" s="293" t="n"/>
      <c r="AJ109" s="293" t="n"/>
      <c r="AK109" s="293" t="n"/>
      <c r="AL109" s="293" t="n"/>
    </row>
    <row r="110">
      <c r="A110" s="206" t="n">
        <v>36</v>
      </c>
      <c r="B110" s="206" t="inlineStr">
        <is>
          <t>100170699</t>
        </is>
      </c>
      <c r="C110" s="207" t="inlineStr">
        <is>
          <t>中建四局0200202101806027</t>
        </is>
      </c>
      <c r="D110" s="207" t="inlineStr">
        <is>
          <t>浙商中拓集团（广东）有限公司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6" t="n"/>
      <c r="M110" s="210" t="n">
        <v>697130.35</v>
      </c>
      <c r="N110" s="210" t="n">
        <v>90626.95</v>
      </c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10" t="n">
        <v>787757.3</v>
      </c>
      <c r="U110" s="206" t="n"/>
      <c r="V110" s="206" t="n"/>
      <c r="W110" s="293" t="n"/>
      <c r="X110" s="293" t="n"/>
      <c r="Y110" s="293" t="n"/>
      <c r="Z110" s="293" t="n"/>
      <c r="AA110" s="293" t="n"/>
      <c r="AB110" s="293" t="n"/>
      <c r="AC110" s="293" t="n"/>
      <c r="AD110" s="293" t="n"/>
      <c r="AE110" s="293" t="n"/>
      <c r="AF110" s="293" t="n"/>
      <c r="AG110" s="293" t="n"/>
      <c r="AH110" s="293" t="n"/>
      <c r="AI110" s="293" t="n"/>
      <c r="AJ110" s="293" t="n"/>
      <c r="AK110" s="293" t="n"/>
      <c r="AL110" s="293" t="n"/>
    </row>
    <row r="111">
      <c r="A111" s="206" t="n">
        <v>37</v>
      </c>
      <c r="B111" s="206" t="inlineStr">
        <is>
          <t>100198899</t>
        </is>
      </c>
      <c r="C111" s="207" t="inlineStr">
        <is>
          <t>中建四局0200202101806008</t>
        </is>
      </c>
      <c r="D111" s="207" t="inlineStr">
        <is>
          <t>深圳市金仪时代环保产业有限公司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6" t="n"/>
      <c r="M111" s="210" t="n">
        <v>46390</v>
      </c>
      <c r="N111" s="210" t="n">
        <v>6030.7</v>
      </c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10" t="n">
        <v>52420.7</v>
      </c>
      <c r="U111" s="206" t="n"/>
      <c r="V111" s="206" t="n"/>
      <c r="W111" s="293" t="n"/>
      <c r="X111" s="293" t="n"/>
      <c r="Y111" s="293" t="n"/>
      <c r="Z111" s="293" t="n"/>
      <c r="AA111" s="293" t="n"/>
      <c r="AB111" s="293" t="n"/>
      <c r="AC111" s="293" t="n"/>
      <c r="AD111" s="293" t="n"/>
      <c r="AE111" s="293" t="n"/>
      <c r="AF111" s="293" t="n"/>
      <c r="AG111" s="293" t="n"/>
      <c r="AH111" s="293" t="n"/>
      <c r="AI111" s="293" t="n"/>
      <c r="AJ111" s="293" t="n"/>
      <c r="AK111" s="293" t="n"/>
      <c r="AL111" s="293" t="n"/>
    </row>
    <row r="112">
      <c r="A112" s="206" t="n">
        <v>38</v>
      </c>
      <c r="B112" s="206" t="inlineStr">
        <is>
          <t>100218623</t>
        </is>
      </c>
      <c r="C112" s="207" t="inlineStr">
        <is>
          <t>中建四局0200202101806043</t>
        </is>
      </c>
      <c r="D112" s="207" t="inlineStr">
        <is>
          <t>深圳市鑫源发陶瓷有限公司</t>
        </is>
      </c>
      <c r="E112" s="206" t="n"/>
      <c r="F112" s="206" t="n"/>
      <c r="G112" s="206" t="n"/>
      <c r="H112" s="206" t="n"/>
      <c r="I112" s="206" t="n"/>
      <c r="J112" s="206" t="n"/>
      <c r="K112" s="208" t="n"/>
      <c r="L112" s="206" t="n"/>
      <c r="M112" s="210" t="n">
        <v>220443.53</v>
      </c>
      <c r="N112" s="210" t="n">
        <v>28657.66</v>
      </c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10" t="n">
        <v>249101.19</v>
      </c>
      <c r="U112" s="206" t="n"/>
      <c r="V112" s="206" t="n"/>
      <c r="W112" s="293" t="n"/>
      <c r="X112" s="293" t="n"/>
      <c r="Y112" s="293" t="n"/>
      <c r="Z112" s="293" t="n"/>
      <c r="AA112" s="293" t="n"/>
      <c r="AB112" s="293" t="n"/>
      <c r="AC112" s="293" t="n"/>
      <c r="AD112" s="293" t="n"/>
      <c r="AE112" s="293" t="n"/>
      <c r="AF112" s="293" t="n"/>
      <c r="AG112" s="293" t="n"/>
      <c r="AH112" s="293" t="n"/>
      <c r="AI112" s="293" t="n"/>
      <c r="AJ112" s="293" t="n"/>
      <c r="AK112" s="293" t="n"/>
      <c r="AL112" s="293" t="n"/>
    </row>
    <row r="113">
      <c r="A113" s="206" t="n">
        <v>39</v>
      </c>
      <c r="B113" s="206" t="inlineStr">
        <is>
          <t>100074117</t>
        </is>
      </c>
      <c r="C113" s="207" t="inlineStr">
        <is>
          <t>中建四局0200202101806011</t>
        </is>
      </c>
      <c r="D113" s="207" t="inlineStr">
        <is>
          <t>清远市榕兴新型环保建材有限责任公司</t>
        </is>
      </c>
      <c r="E113" s="206" t="n"/>
      <c r="F113" s="206" t="n"/>
      <c r="G113" s="206" t="n"/>
      <c r="H113" s="206" t="n"/>
      <c r="I113" s="206" t="n"/>
      <c r="J113" s="206" t="n"/>
      <c r="K113" s="208" t="n"/>
      <c r="L113" s="206" t="n"/>
      <c r="M113" s="210" t="n">
        <v>1271717.14</v>
      </c>
      <c r="N113" s="210" t="n">
        <v>165323.22</v>
      </c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10" t="n">
        <v>1437040.36</v>
      </c>
      <c r="U113" s="206" t="n"/>
      <c r="V113" s="206" t="n"/>
      <c r="W113" s="293" t="n"/>
      <c r="X113" s="293" t="n"/>
      <c r="Y113" s="293" t="n"/>
      <c r="Z113" s="293" t="n"/>
      <c r="AA113" s="293" t="n"/>
      <c r="AB113" s="293" t="n"/>
      <c r="AC113" s="293" t="n"/>
      <c r="AD113" s="293" t="n"/>
      <c r="AE113" s="293" t="n"/>
      <c r="AF113" s="293" t="n"/>
      <c r="AG113" s="293" t="n"/>
      <c r="AH113" s="293" t="n"/>
      <c r="AI113" s="293" t="n"/>
      <c r="AJ113" s="293" t="n"/>
      <c r="AK113" s="293" t="n"/>
      <c r="AL113" s="293" t="n"/>
    </row>
    <row r="114">
      <c r="A114" s="206" t="n">
        <v>40</v>
      </c>
      <c r="B114" s="206" t="inlineStr">
        <is>
          <t>100114405</t>
        </is>
      </c>
      <c r="C114" s="207" t="inlineStr">
        <is>
          <t>中建四局0200202101806018</t>
        </is>
      </c>
      <c r="D114" s="207" t="inlineStr">
        <is>
          <t>祁东县明达轻质陶粒厂</t>
        </is>
      </c>
      <c r="E114" s="206" t="n"/>
      <c r="F114" s="206" t="n"/>
      <c r="G114" s="206" t="n"/>
      <c r="H114" s="206" t="n"/>
      <c r="I114" s="206" t="n"/>
      <c r="J114" s="206" t="n"/>
      <c r="K114" s="208" t="n"/>
      <c r="L114" s="206" t="n"/>
      <c r="M114" s="210" t="n">
        <v>534785.89</v>
      </c>
      <c r="N114" s="210" t="n">
        <v>16863.59</v>
      </c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10" t="n">
        <v>549855.73</v>
      </c>
      <c r="U114" s="206" t="n"/>
      <c r="V114" s="206" t="n"/>
      <c r="W114" s="293" t="n"/>
      <c r="X114" s="293" t="n"/>
      <c r="Y114" s="293" t="n"/>
      <c r="Z114" s="293" t="n"/>
      <c r="AA114" s="293" t="n"/>
      <c r="AB114" s="293" t="n"/>
      <c r="AC114" s="293" t="n"/>
      <c r="AD114" s="293" t="n"/>
      <c r="AE114" s="293" t="n"/>
      <c r="AF114" s="293" t="n"/>
      <c r="AG114" s="293" t="n"/>
      <c r="AH114" s="293" t="n"/>
      <c r="AI114" s="293" t="n"/>
      <c r="AJ114" s="293" t="n"/>
      <c r="AK114" s="293" t="n"/>
      <c r="AL114" s="293" t="n"/>
    </row>
    <row r="115">
      <c r="A115" s="206" t="n">
        <v>41</v>
      </c>
      <c r="B115" s="206" t="inlineStr">
        <is>
          <t>100199057</t>
        </is>
      </c>
      <c r="C115" s="207" t="inlineStr">
        <is>
          <t>中建四局0200202101806010</t>
        </is>
      </c>
      <c r="D115" s="207" t="inlineStr">
        <is>
          <t>福建省莆田市龙兴劳保用品有限公司</t>
        </is>
      </c>
      <c r="E115" s="206" t="n"/>
      <c r="F115" s="206" t="n"/>
      <c r="G115" s="206" t="n"/>
      <c r="H115" s="206" t="n"/>
      <c r="I115" s="206" t="n"/>
      <c r="J115" s="206" t="n"/>
      <c r="K115" s="208" t="n"/>
      <c r="L115" s="206" t="n"/>
      <c r="M115" s="210" t="n">
        <v>509280.38</v>
      </c>
      <c r="N115" s="210" t="n">
        <v>66206.64999999999</v>
      </c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10" t="n">
        <v>575487.03</v>
      </c>
      <c r="U115" s="206" t="n"/>
      <c r="V115" s="206" t="n"/>
      <c r="W115" s="293" t="n"/>
      <c r="X115" s="293" t="n"/>
      <c r="Y115" s="293" t="n"/>
      <c r="Z115" s="293" t="n"/>
      <c r="AA115" s="293" t="n"/>
      <c r="AB115" s="293" t="n"/>
      <c r="AC115" s="293" t="n"/>
      <c r="AD115" s="293" t="n"/>
      <c r="AE115" s="293" t="n"/>
      <c r="AF115" s="293" t="n"/>
      <c r="AG115" s="293" t="n"/>
      <c r="AH115" s="293" t="n"/>
      <c r="AI115" s="293" t="n"/>
      <c r="AJ115" s="293" t="n"/>
      <c r="AK115" s="293" t="n"/>
      <c r="AL115" s="293" t="n"/>
    </row>
    <row r="116">
      <c r="A116" s="206" t="n">
        <v>42</v>
      </c>
      <c r="B116" s="206" t="inlineStr">
        <is>
          <t>100199057</t>
        </is>
      </c>
      <c r="C116" s="207" t="inlineStr">
        <is>
          <t>中建四局0200202101806031</t>
        </is>
      </c>
      <c r="D116" s="207" t="inlineStr">
        <is>
          <t>福建省莆田市龙兴劳保用品有限公司</t>
        </is>
      </c>
      <c r="E116" s="206" t="n"/>
      <c r="F116" s="206" t="n"/>
      <c r="G116" s="206" t="n"/>
      <c r="H116" s="206" t="n"/>
      <c r="I116" s="206" t="n"/>
      <c r="J116" s="206" t="n"/>
      <c r="K116" s="208" t="n"/>
      <c r="L116" s="206" t="n"/>
      <c r="M116" s="210" t="n">
        <v>48485.21</v>
      </c>
      <c r="N116" s="210" t="n">
        <v>6303.07</v>
      </c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10" t="n">
        <v>54788.28</v>
      </c>
      <c r="U116" s="206" t="n"/>
      <c r="V116" s="206" t="n"/>
      <c r="W116" s="293" t="n"/>
      <c r="X116" s="293" t="n"/>
      <c r="Y116" s="293" t="n"/>
      <c r="Z116" s="293" t="n"/>
      <c r="AA116" s="293" t="n"/>
      <c r="AB116" s="293" t="n"/>
      <c r="AC116" s="293" t="n"/>
      <c r="AD116" s="293" t="n"/>
      <c r="AE116" s="293" t="n"/>
      <c r="AF116" s="293" t="n"/>
      <c r="AG116" s="293" t="n"/>
      <c r="AH116" s="293" t="n"/>
      <c r="AI116" s="293" t="n"/>
      <c r="AJ116" s="293" t="n"/>
      <c r="AK116" s="293" t="n"/>
      <c r="AL116" s="293" t="n"/>
    </row>
    <row r="117">
      <c r="A117" s="206" t="n">
        <v>43</v>
      </c>
      <c r="B117" s="206" t="n"/>
      <c r="C117" s="207" t="n"/>
      <c r="D117" s="207" t="inlineStr">
        <is>
          <t>其他</t>
        </is>
      </c>
      <c r="E117" s="206" t="n"/>
      <c r="F117" s="206" t="n"/>
      <c r="G117" s="206" t="n"/>
      <c r="H117" s="206" t="n"/>
      <c r="I117" s="206" t="n"/>
      <c r="J117" s="206" t="n"/>
      <c r="K117" s="208" t="n"/>
      <c r="L117" s="206" t="n"/>
      <c r="M117" s="210" t="n">
        <v>211578.27</v>
      </c>
      <c r="N117" s="206" t="n"/>
      <c r="O117" s="206">
        <f>L117-M117</f>
        <v/>
      </c>
      <c r="P117" s="206">
        <f>K117-N117</f>
        <v/>
      </c>
      <c r="Q117" s="206">
        <f>M117+O117</f>
        <v/>
      </c>
      <c r="R117" s="206">
        <f>M117+N117+O117+P117</f>
        <v/>
      </c>
      <c r="S117" s="206" t="n"/>
      <c r="T117" s="206" t="n"/>
      <c r="U117" s="206" t="n"/>
      <c r="V117" s="206" t="n"/>
      <c r="W117" s="293" t="n"/>
      <c r="X117" s="293" t="n"/>
      <c r="Y117" s="293" t="n"/>
      <c r="Z117" s="293" t="n"/>
      <c r="AA117" s="293" t="n"/>
      <c r="AB117" s="293" t="n"/>
      <c r="AC117" s="293" t="n"/>
      <c r="AD117" s="293" t="n"/>
      <c r="AE117" s="293" t="n"/>
      <c r="AF117" s="293" t="n"/>
      <c r="AG117" s="293" t="n"/>
      <c r="AH117" s="293" t="n"/>
      <c r="AI117" s="293" t="n"/>
      <c r="AJ117" s="293" t="n"/>
      <c r="AK117" s="293" t="n"/>
      <c r="AL117" s="293" t="n"/>
    </row>
    <row r="118">
      <c r="A118" s="206" t="n">
        <v>44</v>
      </c>
      <c r="B118" s="206" t="n"/>
      <c r="C118" s="207" t="n"/>
      <c r="D118" s="207" t="inlineStr">
        <is>
          <t>废旧物资处置</t>
        </is>
      </c>
      <c r="E118" s="206" t="n"/>
      <c r="F118" s="206" t="n"/>
      <c r="G118" s="206" t="n"/>
      <c r="H118" s="206" t="n"/>
      <c r="I118" s="206" t="n"/>
      <c r="J118" s="206" t="n"/>
      <c r="K118" s="208" t="n"/>
      <c r="L118" s="206" t="n"/>
      <c r="M118" s="210" t="n">
        <v>-1401180.1</v>
      </c>
      <c r="N118" s="206" t="n"/>
      <c r="O118" s="206">
        <f>L118-M118</f>
        <v/>
      </c>
      <c r="P118" s="206">
        <f>K118-N118</f>
        <v/>
      </c>
      <c r="Q118" s="206">
        <f>M118+O118</f>
        <v/>
      </c>
      <c r="R118" s="206">
        <f>M118+N118+O118+P118</f>
        <v/>
      </c>
      <c r="S118" s="206" t="n"/>
      <c r="T118" s="206" t="n"/>
      <c r="U118" s="206" t="n"/>
      <c r="V118" s="206" t="n"/>
      <c r="W118" s="293" t="n"/>
      <c r="X118" s="293" t="n"/>
      <c r="Y118" s="293" t="n"/>
      <c r="Z118" s="293" t="n"/>
      <c r="AA118" s="293" t="n"/>
      <c r="AB118" s="293" t="n"/>
      <c r="AC118" s="293" t="n"/>
      <c r="AD118" s="293" t="n"/>
      <c r="AE118" s="293" t="n"/>
      <c r="AF118" s="293" t="n"/>
      <c r="AG118" s="293" t="n"/>
      <c r="AH118" s="293" t="n"/>
      <c r="AI118" s="293" t="n"/>
      <c r="AJ118" s="293" t="n"/>
      <c r="AK118" s="293" t="n"/>
      <c r="AL118" s="293" t="n"/>
    </row>
    <row r="119">
      <c r="A119" s="206" t="n">
        <v>45</v>
      </c>
      <c r="B119" s="206" t="n"/>
      <c r="C119" s="207" t="n"/>
      <c r="D119" s="207" t="inlineStr">
        <is>
          <t>研发支出-材料费</t>
        </is>
      </c>
      <c r="E119" s="206" t="n"/>
      <c r="F119" s="206" t="n"/>
      <c r="G119" s="206" t="n"/>
      <c r="H119" s="206" t="n"/>
      <c r="I119" s="206" t="n"/>
      <c r="J119" s="206" t="n"/>
      <c r="K119" s="208" t="n"/>
      <c r="L119" s="206" t="n"/>
      <c r="M119" s="210" t="n">
        <v>-25030932</v>
      </c>
      <c r="N119" s="206" t="n"/>
      <c r="O119" s="206">
        <f>L119-M119</f>
        <v/>
      </c>
      <c r="P119" s="206">
        <f>K119-N119</f>
        <v/>
      </c>
      <c r="Q119" s="206">
        <f>M119+O119</f>
        <v/>
      </c>
      <c r="R119" s="206">
        <f>M119+N119+O119+P119</f>
        <v/>
      </c>
      <c r="S119" s="206" t="n"/>
      <c r="T119" s="206" t="n"/>
      <c r="U119" s="206" t="n"/>
      <c r="V119" s="206" t="n"/>
      <c r="W119" s="293" t="n"/>
      <c r="X119" s="293" t="n"/>
      <c r="Y119" s="293" t="n"/>
      <c r="Z119" s="293" t="n"/>
      <c r="AA119" s="293" t="n"/>
      <c r="AB119" s="293" t="n"/>
      <c r="AC119" s="293" t="n"/>
      <c r="AD119" s="293" t="n"/>
      <c r="AE119" s="293" t="n"/>
      <c r="AF119" s="293" t="n"/>
      <c r="AG119" s="293" t="n"/>
      <c r="AH119" s="293" t="n"/>
      <c r="AI119" s="293" t="n"/>
      <c r="AJ119" s="293" t="n"/>
      <c r="AK119" s="293" t="n"/>
      <c r="AL119" s="293" t="n"/>
    </row>
    <row r="120">
      <c r="A120" s="282" t="n">
        <v>46</v>
      </c>
      <c r="B120" s="283" t="n"/>
      <c r="C120" s="283" t="n"/>
      <c r="D120" s="302" t="inlineStr">
        <is>
          <t>材料调入</t>
        </is>
      </c>
      <c r="E120" s="283" t="n"/>
      <c r="F120" s="283" t="n"/>
      <c r="G120" s="283" t="n"/>
      <c r="H120" s="285" t="n"/>
      <c r="I120" s="285" t="n"/>
      <c r="J120" s="285" t="n"/>
      <c r="K120" s="286" t="n"/>
      <c r="L120" s="287" t="n"/>
      <c r="M120" s="307" t="n">
        <v>17996069.15</v>
      </c>
      <c r="N120" s="285" t="n"/>
      <c r="O120" s="285">
        <f>L120-M120</f>
        <v/>
      </c>
      <c r="P120" s="285">
        <f>K120-N120</f>
        <v/>
      </c>
      <c r="Q120" s="285">
        <f>M120+O120</f>
        <v/>
      </c>
      <c r="R120" s="285">
        <f>M120+N120+O120+P120</f>
        <v/>
      </c>
      <c r="S120" s="289">
        <f>SUM(T120:V120)</f>
        <v/>
      </c>
      <c r="T120" s="289" t="n"/>
      <c r="U120" s="289" t="n"/>
      <c r="V120" s="289" t="n"/>
      <c r="W120" s="289" t="n"/>
      <c r="X120" s="289" t="n"/>
      <c r="Y120" s="289" t="n"/>
      <c r="Z120" s="285">
        <f>SUM(AA30:AJ30)</f>
        <v/>
      </c>
      <c r="AA120" s="289" t="n"/>
      <c r="AB120" s="304" t="n"/>
      <c r="AC120" s="304" t="n"/>
      <c r="AD120" s="304" t="n"/>
      <c r="AE120" s="304" t="n"/>
      <c r="AF120" s="304" t="n"/>
      <c r="AG120" s="304" t="n"/>
      <c r="AH120" s="304" t="n"/>
      <c r="AI120" s="304" t="n"/>
      <c r="AJ120" s="304" t="n"/>
      <c r="AK120" s="290">
        <f>AB30/1.17*0.17+AC30/1.16*0.16+AD30/1.11*0.11+AE30/1.1*0.1+AF30/1.09*0.09+AI30/1.03*0.03</f>
        <v/>
      </c>
      <c r="AL120" s="305" t="n"/>
    </row>
    <row r="121">
      <c r="A121" s="282" t="n">
        <v>47</v>
      </c>
      <c r="B121" s="283" t="n"/>
      <c r="C121" s="283" t="n"/>
      <c r="D121" s="302" t="inlineStr">
        <is>
          <t>材料调出（注：负数填报）</t>
        </is>
      </c>
      <c r="E121" s="308" t="n"/>
      <c r="F121" s="308" t="n"/>
      <c r="G121" s="308" t="n"/>
      <c r="H121" s="309" t="n"/>
      <c r="I121" s="309" t="n"/>
      <c r="J121" s="285" t="n"/>
      <c r="K121" s="286" t="n"/>
      <c r="L121" s="287" t="n"/>
      <c r="M121" s="310" t="n">
        <v>-8003517.42</v>
      </c>
      <c r="N121" s="309" t="n"/>
      <c r="O121" s="285">
        <f>L121-M121</f>
        <v/>
      </c>
      <c r="P121" s="285">
        <f>K121-N121</f>
        <v/>
      </c>
      <c r="Q121" s="285">
        <f>M121+O121</f>
        <v/>
      </c>
      <c r="R121" s="285">
        <f>M121+N121+O121+P121</f>
        <v/>
      </c>
      <c r="S121" s="289">
        <f>SUM(T121:V121)</f>
        <v/>
      </c>
      <c r="T121" s="309" t="n"/>
      <c r="U121" s="309" t="n"/>
      <c r="V121" s="309" t="n"/>
      <c r="W121" s="309" t="n"/>
      <c r="X121" s="309" t="n"/>
      <c r="Y121" s="309" t="n"/>
      <c r="Z121" s="285">
        <f>SUM(AA31:AJ31)</f>
        <v/>
      </c>
      <c r="AA121" s="309" t="n"/>
      <c r="AB121" s="311" t="n"/>
      <c r="AC121" s="311" t="n"/>
      <c r="AD121" s="311" t="n"/>
      <c r="AE121" s="311" t="n"/>
      <c r="AF121" s="311" t="n"/>
      <c r="AG121" s="311" t="n"/>
      <c r="AH121" s="311" t="n"/>
      <c r="AI121" s="311" t="n"/>
      <c r="AJ121" s="311" t="n"/>
      <c r="AK121" s="290">
        <f>AB31/1.17*0.17+AC31/1.16*0.16+AD31/1.11*0.11+AE31/1.1*0.1+AF31/1.09*0.09+AI31/1.03*0.03</f>
        <v/>
      </c>
      <c r="AL121" s="312" t="n"/>
    </row>
    <row r="122">
      <c r="A122" s="282" t="n"/>
      <c r="B122" s="283" t="n"/>
      <c r="C122" s="283" t="n"/>
      <c r="D122" s="302" t="inlineStr">
        <is>
          <t>材料库存（注：项目已结算未使用材料冲减项目成本，负数填报）</t>
        </is>
      </c>
      <c r="E122" s="308" t="n"/>
      <c r="F122" s="308" t="n"/>
      <c r="G122" s="308" t="n"/>
      <c r="H122" s="309" t="n"/>
      <c r="I122" s="309" t="n"/>
      <c r="J122" s="285" t="n"/>
      <c r="K122" s="286" t="n"/>
      <c r="L122" s="287" t="n"/>
      <c r="M122" s="309" t="n"/>
      <c r="N122" s="309" t="n"/>
      <c r="O122" s="285" t="n"/>
      <c r="P122" s="285" t="n"/>
      <c r="Q122" s="285" t="n"/>
      <c r="R122" s="285" t="n"/>
      <c r="S122" s="289" t="n"/>
      <c r="T122" s="309" t="n"/>
      <c r="U122" s="309" t="n"/>
      <c r="V122" s="309" t="n"/>
      <c r="W122" s="309" t="n"/>
      <c r="X122" s="309" t="n"/>
      <c r="Y122" s="309" t="n"/>
      <c r="Z122" s="285" t="n"/>
      <c r="AA122" s="309" t="n"/>
      <c r="AB122" s="311" t="n"/>
      <c r="AC122" s="311" t="n"/>
      <c r="AD122" s="311" t="n"/>
      <c r="AE122" s="311" t="n"/>
      <c r="AF122" s="311" t="n"/>
      <c r="AG122" s="311" t="n"/>
      <c r="AH122" s="311" t="n"/>
      <c r="AI122" s="311" t="n"/>
      <c r="AJ122" s="311" t="n"/>
      <c r="AK122" s="290" t="n"/>
      <c r="AL122" s="312" t="n"/>
    </row>
    <row r="123">
      <c r="A123" s="282" t="n"/>
      <c r="B123" s="283" t="n"/>
      <c r="C123" s="283" t="n"/>
      <c r="D123" s="294" t="inlineStr">
        <is>
          <t>**财务未列部分需增列***</t>
        </is>
      </c>
      <c r="E123" s="303" t="n"/>
      <c r="F123" s="303" t="n"/>
      <c r="G123" s="303" t="n"/>
      <c r="H123" s="285" t="n"/>
      <c r="I123" s="285" t="n"/>
      <c r="J123" s="285" t="n"/>
      <c r="K123" s="286" t="n"/>
      <c r="L123" s="287" t="n"/>
      <c r="M123" s="285" t="n"/>
      <c r="N123" s="285" t="n"/>
      <c r="O123" s="285">
        <f>L123-M123</f>
        <v/>
      </c>
      <c r="P123" s="285">
        <f>K123-N123</f>
        <v/>
      </c>
      <c r="Q123" s="285">
        <f>M123+O123</f>
        <v/>
      </c>
      <c r="R123" s="285">
        <f>M123+N123+O123+P123</f>
        <v/>
      </c>
      <c r="S123" s="289">
        <f>SUM(T123:V123)</f>
        <v/>
      </c>
      <c r="T123" s="289" t="n"/>
      <c r="U123" s="289" t="n"/>
      <c r="V123" s="289" t="n"/>
      <c r="W123" s="289" t="n"/>
      <c r="X123" s="289" t="n"/>
      <c r="Y123" s="289" t="n"/>
      <c r="Z123" s="289" t="n"/>
      <c r="AA123" s="289" t="n"/>
      <c r="AB123" s="304" t="n"/>
      <c r="AC123" s="304" t="n"/>
      <c r="AD123" s="304" t="n"/>
      <c r="AE123" s="304" t="n"/>
      <c r="AF123" s="304" t="n"/>
      <c r="AG123" s="304" t="n"/>
      <c r="AH123" s="304" t="n"/>
      <c r="AI123" s="304" t="n"/>
      <c r="AJ123" s="304" t="n"/>
      <c r="AK123" s="290">
        <f>AB33/1.17*0.17+AC33/1.16*0.16+AD33/1.11*0.11+AE33/1.1*0.1+AF33/1.09*0.09+AI33/1.03*0.03</f>
        <v/>
      </c>
      <c r="AL123" s="305" t="n"/>
    </row>
    <row r="124">
      <c r="A124" s="298" t="n"/>
      <c r="B124" s="299" t="n"/>
      <c r="C124" s="299" t="n"/>
      <c r="D124" s="300" t="inlineStr">
        <is>
          <t>材料费小计：</t>
        </is>
      </c>
      <c r="E124" s="301">
        <f>SUM(E69:E123)</f>
        <v/>
      </c>
      <c r="F124" s="301">
        <f>SUM(F69:F123)</f>
        <v/>
      </c>
      <c r="G124" s="301">
        <f>SUM(G69:G123)</f>
        <v/>
      </c>
      <c r="H124" s="301">
        <f>SUM(H69:H123)</f>
        <v/>
      </c>
      <c r="I124" s="301">
        <f>SUM(I69:I123)</f>
        <v/>
      </c>
      <c r="J124" s="301">
        <f>SUM(J69:J123)</f>
        <v/>
      </c>
      <c r="K124" s="301">
        <f>SUM(K69:K123)</f>
        <v/>
      </c>
      <c r="L124" s="301">
        <f>SUM(L69:L123)</f>
        <v/>
      </c>
      <c r="M124" s="301">
        <f>SUM(M69:M123)</f>
        <v/>
      </c>
      <c r="N124" s="301">
        <f>SUM(N69:N123)</f>
        <v/>
      </c>
      <c r="O124" s="301">
        <f>SUM(O69:O123)</f>
        <v/>
      </c>
      <c r="P124" s="301">
        <f>SUM(P69:P123)</f>
        <v/>
      </c>
      <c r="Q124" s="301">
        <f>SUM(Q69:Q123)</f>
        <v/>
      </c>
      <c r="R124" s="301">
        <f>SUM(R69:R123)</f>
        <v/>
      </c>
      <c r="S124" s="301">
        <f>SUM(S69:S123)</f>
        <v/>
      </c>
      <c r="T124" s="301">
        <f>SUM(T69:T123)</f>
        <v/>
      </c>
      <c r="U124" s="301">
        <f>SUM(U69:U123)</f>
        <v/>
      </c>
      <c r="V124" s="301">
        <f>SUM(V69:V123)</f>
        <v/>
      </c>
      <c r="W124" s="301">
        <f>SUM(W69:W123)</f>
        <v/>
      </c>
      <c r="X124" s="301">
        <f>SUM(X69:X123)</f>
        <v/>
      </c>
      <c r="Y124" s="301">
        <f>SUM(Y69:Y123)</f>
        <v/>
      </c>
      <c r="Z124" s="301">
        <f>SUM(Z69:Z123)</f>
        <v/>
      </c>
      <c r="AA124" s="301">
        <f>SUM(AA69:AA123)</f>
        <v/>
      </c>
      <c r="AB124" s="301">
        <f>SUM(AB69:AB123)</f>
        <v/>
      </c>
      <c r="AC124" s="301">
        <f>SUM(AC69:AC123)</f>
        <v/>
      </c>
      <c r="AD124" s="301">
        <f>SUM(AD69:AD123)</f>
        <v/>
      </c>
      <c r="AE124" s="301">
        <f>SUM(AE69:AE123)</f>
        <v/>
      </c>
      <c r="AF124" s="301">
        <f>SUM(AF69:AF123)</f>
        <v/>
      </c>
      <c r="AG124" s="301">
        <f>SUM(AG69:AG123)</f>
        <v/>
      </c>
      <c r="AH124" s="301">
        <f>SUM(AH69:AH123)</f>
        <v/>
      </c>
      <c r="AI124" s="301">
        <f>SUM(AI69:AI123)</f>
        <v/>
      </c>
      <c r="AJ124" s="301">
        <f>SUM(AJ69:AJ123)</f>
        <v/>
      </c>
      <c r="AK124" s="301">
        <f>SUM(AK69:AK123)</f>
        <v/>
      </c>
      <c r="AL124" s="291" t="n"/>
    </row>
    <row r="125">
      <c r="A125" s="282" t="n"/>
      <c r="B125" s="283" t="n"/>
      <c r="C125" s="283" t="n"/>
      <c r="D125" s="302" t="inlineStr">
        <is>
          <t>(四）机械租赁费</t>
        </is>
      </c>
      <c r="E125" s="295" t="n"/>
      <c r="F125" s="295" t="n"/>
      <c r="G125" s="295" t="n"/>
      <c r="H125" s="285" t="n"/>
      <c r="I125" s="285" t="n"/>
      <c r="J125" s="285" t="n"/>
      <c r="K125" s="286" t="n">
        <v>0</v>
      </c>
      <c r="L125" s="287">
        <f>J125-K125</f>
        <v/>
      </c>
      <c r="M125" s="288" t="n"/>
      <c r="N125" s="288" t="n"/>
      <c r="O125" s="285">
        <f>L125-M125</f>
        <v/>
      </c>
      <c r="P125" s="285">
        <f>K125-N125</f>
        <v/>
      </c>
      <c r="Q125" s="285">
        <f>M125+O125</f>
        <v/>
      </c>
      <c r="R125" s="285">
        <f>M125+N125+O125+P125</f>
        <v/>
      </c>
      <c r="S125" s="289">
        <f>SUM(T125:V125)</f>
        <v/>
      </c>
      <c r="T125" s="289" t="n"/>
      <c r="U125" s="289" t="n"/>
      <c r="V125" s="289" t="n"/>
      <c r="W125" s="289" t="n"/>
      <c r="X125" s="289" t="n"/>
      <c r="Y125" s="289" t="n"/>
      <c r="Z125" s="289" t="n"/>
      <c r="AA125" s="289" t="n"/>
      <c r="AB125" s="289" t="n"/>
      <c r="AC125" s="289" t="n"/>
      <c r="AD125" s="289" t="n"/>
      <c r="AE125" s="289" t="n"/>
      <c r="AF125" s="289" t="n"/>
      <c r="AG125" s="289" t="n"/>
      <c r="AH125" s="289" t="n"/>
      <c r="AI125" s="289" t="n"/>
      <c r="AJ125" s="289" t="n"/>
      <c r="AK125" s="290">
        <f>AB35/1.17*0.17+AC35/1.16*0.16+AD35/1.11*0.11+AE35/1.1*0.1+AF35/1.09*0.09+AI35/1.03*0.03</f>
        <v/>
      </c>
      <c r="AL125" s="291" t="n"/>
    </row>
    <row r="126">
      <c r="A126" s="206" t="n">
        <v>1</v>
      </c>
      <c r="B126" s="206" t="inlineStr">
        <is>
          <t>100051486</t>
        </is>
      </c>
      <c r="C126" s="207" t="inlineStr">
        <is>
          <t>中建四局0200202101805009</t>
        </is>
      </c>
      <c r="D126" s="207" t="inlineStr">
        <is>
          <t>佛山市赢鑫建筑机械租赁有限公司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6">
        <f>J126-K126</f>
        <v/>
      </c>
      <c r="M126" s="210" t="n">
        <v>5455288.19</v>
      </c>
      <c r="N126" s="210" t="n">
        <v>738597.9399999999</v>
      </c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10" t="n">
        <v>6405720.63</v>
      </c>
      <c r="U126" s="206" t="n"/>
      <c r="V126" s="206" t="n"/>
      <c r="W126" s="293" t="n"/>
      <c r="X126" s="293" t="n"/>
      <c r="Y126" s="293" t="n"/>
      <c r="Z126" s="293" t="n"/>
      <c r="AA126" s="293" t="n"/>
      <c r="AB126" s="293" t="n"/>
      <c r="AC126" s="293" t="n"/>
      <c r="AD126" s="293" t="n"/>
      <c r="AE126" s="293" t="n"/>
      <c r="AF126" s="293" t="n"/>
      <c r="AG126" s="293" t="n"/>
      <c r="AH126" s="293" t="n"/>
      <c r="AI126" s="293" t="n"/>
      <c r="AJ126" s="293" t="n"/>
      <c r="AK126" s="293" t="n"/>
      <c r="AL126" s="293" t="n"/>
    </row>
    <row r="127">
      <c r="A127" s="206" t="n">
        <v>2</v>
      </c>
      <c r="B127" s="206" t="inlineStr">
        <is>
          <t>100217442</t>
        </is>
      </c>
      <c r="C127" s="207" t="inlineStr">
        <is>
          <t>中建四局0200202101805001</t>
        </is>
      </c>
      <c r="D127" s="207" t="inlineStr">
        <is>
          <t>任丘市嘉宇运输有限公司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6">
        <f>J127-K127</f>
        <v/>
      </c>
      <c r="M127" s="210" t="n">
        <v>39943.9</v>
      </c>
      <c r="N127" s="210" t="n">
        <v>3594.95</v>
      </c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10" t="n">
        <v>43538.85</v>
      </c>
      <c r="U127" s="206" t="n"/>
      <c r="V127" s="206" t="n"/>
      <c r="W127" s="293" t="n"/>
      <c r="X127" s="293" t="n"/>
      <c r="Y127" s="293" t="n"/>
      <c r="Z127" s="293" t="n"/>
      <c r="AA127" s="293" t="n"/>
      <c r="AB127" s="293" t="n"/>
      <c r="AC127" s="293" t="n"/>
      <c r="AD127" s="293" t="n"/>
      <c r="AE127" s="293" t="n"/>
      <c r="AF127" s="293" t="n"/>
      <c r="AG127" s="293" t="n"/>
      <c r="AH127" s="293" t="n"/>
      <c r="AI127" s="293" t="n"/>
      <c r="AJ127" s="293" t="n"/>
      <c r="AK127" s="293" t="n"/>
      <c r="AL127" s="293" t="n"/>
    </row>
    <row r="128">
      <c r="A128" s="206" t="n">
        <v>3</v>
      </c>
      <c r="B128" s="206" t="inlineStr">
        <is>
          <t>200363935</t>
        </is>
      </c>
      <c r="C128" s="207" t="inlineStr">
        <is>
          <t>中建四局0200202101805006</t>
        </is>
      </c>
      <c r="D128" s="207" t="inlineStr">
        <is>
          <t>佛山市雄壮建筑工程有限公司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6">
        <f>J128-K128</f>
        <v/>
      </c>
      <c r="M128" s="210" t="n">
        <v>1197689.75</v>
      </c>
      <c r="N128" s="210" t="n">
        <v>36663.97</v>
      </c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10" t="n">
        <v>1258000</v>
      </c>
      <c r="U128" s="206" t="n"/>
      <c r="V128" s="206" t="n"/>
      <c r="W128" s="293" t="n"/>
      <c r="X128" s="293" t="n"/>
      <c r="Y128" s="293" t="n"/>
      <c r="Z128" s="293" t="n"/>
      <c r="AA128" s="293" t="n"/>
      <c r="AB128" s="293" t="n"/>
      <c r="AC128" s="293" t="n"/>
      <c r="AD128" s="293" t="n"/>
      <c r="AE128" s="293" t="n"/>
      <c r="AF128" s="293" t="n"/>
      <c r="AG128" s="293" t="n"/>
      <c r="AH128" s="293" t="n"/>
      <c r="AI128" s="293" t="n"/>
      <c r="AJ128" s="293" t="n"/>
      <c r="AK128" s="293" t="n"/>
      <c r="AL128" s="293" t="n"/>
    </row>
    <row r="129">
      <c r="A129" s="206" t="n">
        <v>4</v>
      </c>
      <c r="B129" s="206" t="inlineStr">
        <is>
          <t>200477323</t>
        </is>
      </c>
      <c r="C129" s="207" t="inlineStr">
        <is>
          <t>中建四局0200202101805011</t>
        </is>
      </c>
      <c r="D129" s="207" t="inlineStr">
        <is>
          <t>佛山市霸伟建筑工程有限公司</t>
        </is>
      </c>
      <c r="E129" s="206" t="n"/>
      <c r="F129" s="206" t="n"/>
      <c r="G129" s="206" t="n"/>
      <c r="H129" s="206" t="n"/>
      <c r="I129" s="206" t="n"/>
      <c r="J129" s="206">
        <f>H129+I129</f>
        <v/>
      </c>
      <c r="K129" s="208" t="n"/>
      <c r="L129" s="206">
        <f>J129-K129</f>
        <v/>
      </c>
      <c r="M129" s="210" t="n">
        <v>947713.86</v>
      </c>
      <c r="N129" s="210" t="n">
        <v>29244.62</v>
      </c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10" t="n">
        <v>999000</v>
      </c>
      <c r="U129" s="206" t="n"/>
      <c r="V129" s="206" t="n"/>
      <c r="W129" s="293" t="n"/>
      <c r="X129" s="293" t="n"/>
      <c r="Y129" s="293" t="n"/>
      <c r="Z129" s="293" t="n"/>
      <c r="AA129" s="293" t="n"/>
      <c r="AB129" s="293" t="n"/>
      <c r="AC129" s="293" t="n"/>
      <c r="AD129" s="293" t="n"/>
      <c r="AE129" s="293" t="n"/>
      <c r="AF129" s="293" t="n"/>
      <c r="AG129" s="293" t="n"/>
      <c r="AH129" s="293" t="n"/>
      <c r="AI129" s="293" t="n"/>
      <c r="AJ129" s="293" t="n"/>
      <c r="AK129" s="293" t="n"/>
      <c r="AL129" s="293" t="n"/>
    </row>
    <row r="130">
      <c r="A130" s="206" t="n">
        <v>5</v>
      </c>
      <c r="B130" s="206" t="inlineStr">
        <is>
          <t>100093859</t>
        </is>
      </c>
      <c r="C130" s="207" t="inlineStr">
        <is>
          <t>中建四局0200202101805010</t>
        </is>
      </c>
      <c r="D130" s="207" t="inlineStr">
        <is>
          <t>嘉兴浩锐机械设备有限公司</t>
        </is>
      </c>
      <c r="E130" s="206" t="n"/>
      <c r="F130" s="206" t="n"/>
      <c r="G130" s="206" t="n"/>
      <c r="H130" s="206" t="n"/>
      <c r="I130" s="206" t="n"/>
      <c r="J130" s="206">
        <f>H130+I130</f>
        <v/>
      </c>
      <c r="K130" s="208" t="n"/>
      <c r="L130" s="206">
        <f>J130-K130</f>
        <v/>
      </c>
      <c r="M130" s="210" t="n">
        <v>1387247.1</v>
      </c>
      <c r="N130" s="210" t="n">
        <v>180342.12</v>
      </c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10" t="n">
        <v>1567589.22</v>
      </c>
      <c r="U130" s="206" t="n"/>
      <c r="V130" s="206" t="n"/>
      <c r="W130" s="293" t="n"/>
      <c r="X130" s="293" t="n"/>
      <c r="Y130" s="293" t="n"/>
      <c r="Z130" s="293" t="n"/>
      <c r="AA130" s="293" t="n"/>
      <c r="AB130" s="293" t="n"/>
      <c r="AC130" s="293" t="n"/>
      <c r="AD130" s="293" t="n"/>
      <c r="AE130" s="293" t="n"/>
      <c r="AF130" s="293" t="n"/>
      <c r="AG130" s="293" t="n"/>
      <c r="AH130" s="293" t="n"/>
      <c r="AI130" s="293" t="n"/>
      <c r="AJ130" s="293" t="n"/>
      <c r="AK130" s="293" t="n"/>
      <c r="AL130" s="293" t="n"/>
    </row>
    <row r="131">
      <c r="A131" s="206" t="n">
        <v>6</v>
      </c>
      <c r="B131" s="206" t="inlineStr">
        <is>
          <t>100117504</t>
        </is>
      </c>
      <c r="C131" s="207" t="inlineStr">
        <is>
          <t>中建四局0200202101805005</t>
        </is>
      </c>
      <c r="D131" s="207" t="inlineStr">
        <is>
          <t>广州大丰工程机械设备有限公司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6">
        <f>J131-K131</f>
        <v/>
      </c>
      <c r="M131" s="210" t="n">
        <v>1065730.14</v>
      </c>
      <c r="N131" s="210" t="n">
        <v>138544.93</v>
      </c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10" t="n">
        <v>1204275.07</v>
      </c>
      <c r="U131" s="206" t="n"/>
      <c r="V131" s="206" t="n"/>
      <c r="W131" s="293" t="n"/>
      <c r="X131" s="293" t="n"/>
      <c r="Y131" s="293" t="n"/>
      <c r="Z131" s="293" t="n"/>
      <c r="AA131" s="293" t="n"/>
      <c r="AB131" s="293" t="n"/>
      <c r="AC131" s="293" t="n"/>
      <c r="AD131" s="293" t="n"/>
      <c r="AE131" s="293" t="n"/>
      <c r="AF131" s="293" t="n"/>
      <c r="AG131" s="293" t="n"/>
      <c r="AH131" s="293" t="n"/>
      <c r="AI131" s="293" t="n"/>
      <c r="AJ131" s="293" t="n"/>
      <c r="AK131" s="293" t="n"/>
      <c r="AL131" s="293" t="n"/>
    </row>
    <row r="132">
      <c r="A132" s="206" t="n">
        <v>7</v>
      </c>
      <c r="B132" s="206" t="inlineStr">
        <is>
          <t>200353812</t>
        </is>
      </c>
      <c r="C132" s="207" t="inlineStr">
        <is>
          <t>中建四局0200202101805007</t>
        </is>
      </c>
      <c r="D132" s="207" t="inlineStr">
        <is>
          <t>广州小老虎建筑机械租赁有限公司</t>
        </is>
      </c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6">
        <f>J132-K132</f>
        <v/>
      </c>
      <c r="M132" s="210" t="n">
        <v>11189319.59</v>
      </c>
      <c r="N132" s="210" t="n">
        <v>1022884.43</v>
      </c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10" t="n">
        <v>12388266.76</v>
      </c>
      <c r="U132" s="206" t="n"/>
      <c r="V132" s="206" t="n"/>
      <c r="W132" s="293" t="n"/>
      <c r="X132" s="293" t="n"/>
      <c r="Y132" s="293" t="n"/>
      <c r="Z132" s="293" t="n"/>
      <c r="AA132" s="293" t="n"/>
      <c r="AB132" s="293" t="n"/>
      <c r="AC132" s="293" t="n"/>
      <c r="AD132" s="293" t="n"/>
      <c r="AE132" s="293" t="n"/>
      <c r="AF132" s="293" t="n"/>
      <c r="AG132" s="293" t="n"/>
      <c r="AH132" s="293" t="n"/>
      <c r="AI132" s="293" t="n"/>
      <c r="AJ132" s="293" t="n"/>
      <c r="AK132" s="293" t="n"/>
      <c r="AL132" s="293" t="n"/>
    </row>
    <row r="133">
      <c r="A133" s="206" t="n">
        <v>8</v>
      </c>
      <c r="B133" s="206" t="inlineStr">
        <is>
          <t>200162948</t>
        </is>
      </c>
      <c r="C133" s="207" t="inlineStr">
        <is>
          <t>中建四局0200202101805004</t>
        </is>
      </c>
      <c r="D133" s="207" t="inlineStr">
        <is>
          <t>广州市仁发运输有限公司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6">
        <f>J133-K133</f>
        <v/>
      </c>
      <c r="M133" s="210" t="n">
        <v>183165.02</v>
      </c>
      <c r="N133" s="210" t="n">
        <v>5494.92</v>
      </c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10" t="n">
        <v>188659.94</v>
      </c>
      <c r="U133" s="206" t="n"/>
      <c r="V133" s="206" t="n"/>
      <c r="W133" s="293" t="n"/>
      <c r="X133" s="293" t="n"/>
      <c r="Y133" s="293" t="n"/>
      <c r="Z133" s="293" t="n"/>
      <c r="AA133" s="293" t="n"/>
      <c r="AB133" s="293" t="n"/>
      <c r="AC133" s="293" t="n"/>
      <c r="AD133" s="293" t="n"/>
      <c r="AE133" s="293" t="n"/>
      <c r="AF133" s="293" t="n"/>
      <c r="AG133" s="293" t="n"/>
      <c r="AH133" s="293" t="n"/>
      <c r="AI133" s="293" t="n"/>
      <c r="AJ133" s="293" t="n"/>
      <c r="AK133" s="293" t="n"/>
      <c r="AL133" s="293" t="n"/>
    </row>
    <row r="134">
      <c r="A134" s="206" t="n">
        <v>9</v>
      </c>
      <c r="B134" s="206" t="inlineStr">
        <is>
          <t>100217539</t>
        </is>
      </c>
      <c r="C134" s="207" t="inlineStr">
        <is>
          <t>中建四局0200202101805003</t>
        </is>
      </c>
      <c r="D134" s="207" t="inlineStr">
        <is>
          <t>广州易达运输有限公司</t>
        </is>
      </c>
      <c r="E134" s="206" t="n"/>
      <c r="F134" s="206" t="n"/>
      <c r="G134" s="206" t="n"/>
      <c r="H134" s="206" t="n"/>
      <c r="I134" s="206" t="n"/>
      <c r="J134" s="206">
        <f>H134+I134</f>
        <v/>
      </c>
      <c r="K134" s="208" t="n"/>
      <c r="L134" s="206">
        <f>J134-K134</f>
        <v/>
      </c>
      <c r="M134" s="210" t="n">
        <v>213962.98</v>
      </c>
      <c r="N134" s="210" t="n">
        <v>4631.78</v>
      </c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10" t="n">
        <v>218594.76</v>
      </c>
      <c r="U134" s="206" t="n"/>
      <c r="V134" s="206" t="n"/>
      <c r="W134" s="293" t="n"/>
      <c r="X134" s="293" t="n"/>
      <c r="Y134" s="293" t="n"/>
      <c r="Z134" s="293" t="n"/>
      <c r="AA134" s="293" t="n"/>
      <c r="AB134" s="293" t="n"/>
      <c r="AC134" s="293" t="n"/>
      <c r="AD134" s="293" t="n"/>
      <c r="AE134" s="293" t="n"/>
      <c r="AF134" s="293" t="n"/>
      <c r="AG134" s="293" t="n"/>
      <c r="AH134" s="293" t="n"/>
      <c r="AI134" s="293" t="n"/>
      <c r="AJ134" s="293" t="n"/>
      <c r="AK134" s="293" t="n"/>
      <c r="AL134" s="293" t="n"/>
    </row>
    <row r="135">
      <c r="A135" s="206" t="n">
        <v>10</v>
      </c>
      <c r="B135" s="206" t="inlineStr">
        <is>
          <t>100217502</t>
        </is>
      </c>
      <c r="C135" s="207" t="inlineStr">
        <is>
          <t>中建四局0200202101805002</t>
        </is>
      </c>
      <c r="D135" s="207" t="inlineStr">
        <is>
          <t>广州湘亿货运代理有限公司</t>
        </is>
      </c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6">
        <f>J135-K135</f>
        <v/>
      </c>
      <c r="M135" s="210" t="n">
        <v>68419.10000000001</v>
      </c>
      <c r="N135" s="210" t="n">
        <v>6157.73</v>
      </c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10" t="n">
        <v>74576.83</v>
      </c>
      <c r="U135" s="206" t="n"/>
      <c r="V135" s="206" t="n"/>
      <c r="W135" s="293" t="n"/>
      <c r="X135" s="293" t="n"/>
      <c r="Y135" s="293" t="n"/>
      <c r="Z135" s="293" t="n"/>
      <c r="AA135" s="293" t="n"/>
      <c r="AB135" s="293" t="n"/>
      <c r="AC135" s="293" t="n"/>
      <c r="AD135" s="293" t="n"/>
      <c r="AE135" s="293" t="n"/>
      <c r="AF135" s="293" t="n"/>
      <c r="AG135" s="293" t="n"/>
      <c r="AH135" s="293" t="n"/>
      <c r="AI135" s="293" t="n"/>
      <c r="AJ135" s="293" t="n"/>
      <c r="AK135" s="293" t="n"/>
      <c r="AL135" s="293" t="n"/>
    </row>
    <row r="136">
      <c r="A136" s="206" t="n"/>
      <c r="B136" s="206" t="n"/>
      <c r="C136" s="207" t="n"/>
      <c r="D136" s="207" t="n"/>
      <c r="E136" s="206" t="n"/>
      <c r="F136" s="206" t="n"/>
      <c r="G136" s="206" t="n"/>
      <c r="H136" s="206" t="n"/>
      <c r="I136" s="206" t="n"/>
      <c r="J136" s="206">
        <f>H136+I136</f>
        <v/>
      </c>
      <c r="K136" s="208" t="n"/>
      <c r="L136" s="206">
        <f>J136-K136</f>
        <v/>
      </c>
      <c r="M136" s="210" t="n">
        <v>5438.34</v>
      </c>
      <c r="N136" s="206" t="n"/>
      <c r="O136" s="206">
        <f>L136-M136</f>
        <v/>
      </c>
      <c r="P136" s="206">
        <f>K136-N136</f>
        <v/>
      </c>
      <c r="Q136" s="206">
        <f>M136+O136</f>
        <v/>
      </c>
      <c r="R136" s="206">
        <f>M136+N136+O136+P136</f>
        <v/>
      </c>
      <c r="S136" s="206" t="n"/>
      <c r="T136" s="206" t="n"/>
      <c r="U136" s="206" t="n"/>
      <c r="V136" s="206" t="n"/>
      <c r="W136" s="293" t="n"/>
      <c r="X136" s="293" t="n"/>
      <c r="Y136" s="293" t="n"/>
      <c r="Z136" s="293" t="n"/>
      <c r="AA136" s="293" t="n"/>
      <c r="AB136" s="293" t="n"/>
      <c r="AC136" s="293" t="n"/>
      <c r="AD136" s="293" t="n"/>
      <c r="AE136" s="293" t="n"/>
      <c r="AF136" s="293" t="n"/>
      <c r="AG136" s="293" t="n"/>
      <c r="AH136" s="293" t="n"/>
      <c r="AI136" s="293" t="n"/>
      <c r="AJ136" s="293" t="n"/>
      <c r="AK136" s="293" t="n"/>
      <c r="AL136" s="293" t="n"/>
    </row>
    <row r="137">
      <c r="A137" s="206" t="n">
        <v>11</v>
      </c>
      <c r="B137" s="206" t="n"/>
      <c r="C137" s="207" t="n"/>
      <c r="D137" s="207" t="inlineStr">
        <is>
          <t>JXZ</t>
        </is>
      </c>
      <c r="E137" s="206" t="n"/>
      <c r="F137" s="206" t="n"/>
      <c r="G137" s="206" t="n"/>
      <c r="H137" s="206" t="n"/>
      <c r="I137" s="206" t="n"/>
      <c r="J137" s="206">
        <f>H137+I137</f>
        <v/>
      </c>
      <c r="K137" s="208" t="n"/>
      <c r="L137" s="206">
        <f>J137-K137</f>
        <v/>
      </c>
      <c r="M137" s="210" t="n">
        <v>30661.52</v>
      </c>
      <c r="N137" s="206" t="n"/>
      <c r="O137" s="206">
        <f>L137-M137</f>
        <v/>
      </c>
      <c r="P137" s="206">
        <f>K137-N137</f>
        <v/>
      </c>
      <c r="Q137" s="206">
        <f>M137+O137</f>
        <v/>
      </c>
      <c r="R137" s="206">
        <f>M137+N137+O137+P137</f>
        <v/>
      </c>
      <c r="S137" s="206" t="n"/>
      <c r="T137" s="206" t="n"/>
      <c r="U137" s="206" t="n"/>
      <c r="V137" s="206" t="n"/>
      <c r="W137" s="293" t="n"/>
      <c r="X137" s="293" t="n"/>
      <c r="Y137" s="293" t="n"/>
      <c r="Z137" s="293" t="n"/>
      <c r="AA137" s="293" t="n"/>
      <c r="AB137" s="293" t="n"/>
      <c r="AC137" s="293" t="n"/>
      <c r="AD137" s="293" t="n"/>
      <c r="AE137" s="293" t="n"/>
      <c r="AF137" s="293" t="n"/>
      <c r="AG137" s="293" t="n"/>
      <c r="AH137" s="293" t="n"/>
      <c r="AI137" s="293" t="n"/>
      <c r="AJ137" s="293" t="n"/>
      <c r="AK137" s="293" t="n"/>
      <c r="AL137" s="293" t="n"/>
    </row>
    <row r="138">
      <c r="A138" s="206" t="n">
        <v>12</v>
      </c>
      <c r="B138" s="206" t="n"/>
      <c r="C138" s="207" t="n"/>
      <c r="D138" s="207" t="inlineStr">
        <is>
          <t>ZGD</t>
        </is>
      </c>
      <c r="E138" s="206" t="n"/>
      <c r="F138" s="206" t="n"/>
      <c r="G138" s="206" t="n"/>
      <c r="H138" s="206" t="n"/>
      <c r="I138" s="206" t="n"/>
      <c r="J138" s="206">
        <f>H138+I138</f>
        <v/>
      </c>
      <c r="K138" s="208" t="n"/>
      <c r="L138" s="206">
        <f>J138-K138</f>
        <v/>
      </c>
      <c r="M138" s="210" t="n">
        <v>-709.35</v>
      </c>
      <c r="N138" s="206" t="n"/>
      <c r="O138" s="206">
        <f>L138-M138</f>
        <v/>
      </c>
      <c r="P138" s="206">
        <f>K138-N138</f>
        <v/>
      </c>
      <c r="Q138" s="206">
        <f>M138+O138</f>
        <v/>
      </c>
      <c r="R138" s="206">
        <f>M138+N138+O138+P138</f>
        <v/>
      </c>
      <c r="S138" s="206" t="n"/>
      <c r="T138" s="206" t="n"/>
      <c r="U138" s="206" t="n"/>
      <c r="V138" s="206" t="n"/>
      <c r="W138" s="293" t="n"/>
      <c r="X138" s="293" t="n"/>
      <c r="Y138" s="293" t="n"/>
      <c r="Z138" s="293" t="n"/>
      <c r="AA138" s="293" t="n"/>
      <c r="AB138" s="293" t="n"/>
      <c r="AC138" s="293" t="n"/>
      <c r="AD138" s="293" t="n"/>
      <c r="AE138" s="293" t="n"/>
      <c r="AF138" s="293" t="n"/>
      <c r="AG138" s="293" t="n"/>
      <c r="AH138" s="293" t="n"/>
      <c r="AI138" s="293" t="n"/>
      <c r="AJ138" s="293" t="n"/>
      <c r="AK138" s="293" t="n"/>
      <c r="AL138" s="293" t="n"/>
    </row>
    <row r="139">
      <c r="A139" s="206" t="n">
        <v>13</v>
      </c>
      <c r="B139" s="206" t="inlineStr">
        <is>
          <t>100197784</t>
        </is>
      </c>
      <c r="C139" s="207" t="n"/>
      <c r="D139" s="207" t="inlineStr">
        <is>
          <t>中铁物资集团华南有限公司</t>
        </is>
      </c>
      <c r="E139" s="206" t="n"/>
      <c r="F139" s="206" t="n"/>
      <c r="G139" s="206" t="n"/>
      <c r="H139" s="206" t="n"/>
      <c r="I139" s="206" t="n"/>
      <c r="J139" s="206">
        <f>H139+I139</f>
        <v/>
      </c>
      <c r="K139" s="208" t="n"/>
      <c r="L139" s="206">
        <f>J139-K139</f>
        <v/>
      </c>
      <c r="M139" s="210" t="n">
        <v>0.08</v>
      </c>
      <c r="N139" s="206" t="n"/>
      <c r="O139" s="206">
        <f>L139-M139</f>
        <v/>
      </c>
      <c r="P139" s="206">
        <f>K139-N139</f>
        <v/>
      </c>
      <c r="Q139" s="206">
        <f>M139+O139</f>
        <v/>
      </c>
      <c r="R139" s="206">
        <f>M139+N139+O139+P139</f>
        <v/>
      </c>
      <c r="S139" s="206" t="n"/>
      <c r="T139" s="206" t="n"/>
      <c r="U139" s="206" t="n"/>
      <c r="V139" s="206" t="n"/>
      <c r="W139" s="293" t="n"/>
      <c r="X139" s="293" t="n"/>
      <c r="Y139" s="293" t="n"/>
      <c r="Z139" s="293" t="n"/>
      <c r="AA139" s="293" t="n"/>
      <c r="AB139" s="293" t="n"/>
      <c r="AC139" s="293" t="n"/>
      <c r="AD139" s="293" t="n"/>
      <c r="AE139" s="293" t="n"/>
      <c r="AF139" s="293" t="n"/>
      <c r="AG139" s="293" t="n"/>
      <c r="AH139" s="293" t="n"/>
      <c r="AI139" s="293" t="n"/>
      <c r="AJ139" s="293" t="n"/>
      <c r="AK139" s="293" t="n"/>
      <c r="AL139" s="293" t="n"/>
    </row>
    <row r="140">
      <c r="A140" s="282" t="n"/>
      <c r="B140" s="283" t="n"/>
      <c r="C140" s="283" t="n"/>
      <c r="D140" s="294" t="inlineStr">
        <is>
          <t>**财务未列部分需增列***</t>
        </is>
      </c>
      <c r="E140" s="313" t="n"/>
      <c r="F140" s="313" t="n"/>
      <c r="G140" s="313" t="n"/>
      <c r="H140" s="285" t="n"/>
      <c r="I140" s="285" t="n"/>
      <c r="J140" s="285" t="n"/>
      <c r="K140" s="286" t="n">
        <v>0</v>
      </c>
      <c r="L140" s="287">
        <f>J140-K140</f>
        <v/>
      </c>
      <c r="M140" s="314" t="n"/>
      <c r="N140" s="314" t="n"/>
      <c r="O140" s="285">
        <f>L140-M140</f>
        <v/>
      </c>
      <c r="P140" s="285">
        <f>K140-N140</f>
        <v/>
      </c>
      <c r="Q140" s="285">
        <f>M140+O140</f>
        <v/>
      </c>
      <c r="R140" s="285">
        <f>M140+N140+O140+P140</f>
        <v/>
      </c>
      <c r="S140" s="289">
        <f>SUM(T140:V140)</f>
        <v/>
      </c>
      <c r="T140" s="314" t="n"/>
      <c r="U140" s="314" t="n"/>
      <c r="V140" s="314" t="n"/>
      <c r="W140" s="314" t="n"/>
      <c r="X140" s="314" t="n"/>
      <c r="Y140" s="314" t="n"/>
      <c r="Z140" s="314" t="n"/>
      <c r="AA140" s="289" t="n"/>
      <c r="AB140" s="290" t="n"/>
      <c r="AC140" s="290" t="n"/>
      <c r="AD140" s="290" t="n"/>
      <c r="AE140" s="290" t="n"/>
      <c r="AF140" s="290" t="n"/>
      <c r="AG140" s="290" t="n"/>
      <c r="AH140" s="290" t="n"/>
      <c r="AI140" s="290" t="n"/>
      <c r="AJ140" s="290" t="n"/>
      <c r="AK140" s="290">
        <f>AB37/1.17*0.17+AC37/1.16*0.16+AD37/1.11*0.11+AE37/1.1*0.1+AF37/1.09*0.09+AI37/1.03*0.03</f>
        <v/>
      </c>
      <c r="AL140" s="297" t="n"/>
    </row>
    <row r="141">
      <c r="A141" s="298" t="n"/>
      <c r="B141" s="299" t="n"/>
      <c r="C141" s="299" t="n"/>
      <c r="D141" s="315" t="inlineStr">
        <is>
          <t>机械费小计：</t>
        </is>
      </c>
      <c r="E141" s="316" t="n"/>
      <c r="F141" s="316" t="n"/>
      <c r="G141" s="316" t="n"/>
      <c r="H141" s="301">
        <f>SUM(H125:H140)</f>
        <v/>
      </c>
      <c r="I141" s="301">
        <f>SUM(I125:I140)</f>
        <v/>
      </c>
      <c r="J141" s="301">
        <f>SUM(J125:J140)</f>
        <v/>
      </c>
      <c r="K141" s="301">
        <f>SUM(K125:K140)</f>
        <v/>
      </c>
      <c r="L141" s="317">
        <f>SUM(L125:L140)</f>
        <v/>
      </c>
      <c r="M141" s="301">
        <f>SUM(M125:M140)</f>
        <v/>
      </c>
      <c r="N141" s="301">
        <f>SUM(N125:N140)</f>
        <v/>
      </c>
      <c r="O141" s="301">
        <f>SUM(O125:O140)</f>
        <v/>
      </c>
      <c r="P141" s="301">
        <f>SUM(P125:P140)</f>
        <v/>
      </c>
      <c r="Q141" s="301">
        <f>SUM(Q125:Q140)</f>
        <v/>
      </c>
      <c r="R141" s="301">
        <f>SUM(R125:R140)</f>
        <v/>
      </c>
      <c r="S141" s="301">
        <f>SUM(S125:S140)</f>
        <v/>
      </c>
      <c r="T141" s="301" t="n"/>
      <c r="U141" s="301" t="n"/>
      <c r="V141" s="301" t="n"/>
      <c r="W141" s="301" t="n"/>
      <c r="X141" s="301" t="n"/>
      <c r="Y141" s="301" t="n"/>
      <c r="Z141" s="301">
        <f>SUM(Z125:Z140)</f>
        <v/>
      </c>
      <c r="AA141" s="301">
        <f>SUM(AA125:AA140)</f>
        <v/>
      </c>
      <c r="AB141" s="301" t="n"/>
      <c r="AC141" s="301" t="n"/>
      <c r="AD141" s="301" t="n"/>
      <c r="AE141" s="301" t="n"/>
      <c r="AF141" s="301" t="n"/>
      <c r="AG141" s="301" t="n"/>
      <c r="AH141" s="301" t="n"/>
      <c r="AI141" s="301" t="n"/>
      <c r="AJ141" s="301" t="n"/>
      <c r="AK141" s="301" t="n"/>
      <c r="AL141" s="291" t="n"/>
    </row>
    <row r="142">
      <c r="A142" s="282" t="n"/>
      <c r="B142" s="283" t="n"/>
      <c r="C142" s="283" t="n"/>
      <c r="D142" s="302" t="inlineStr">
        <is>
          <t>（五）其他直接费</t>
        </is>
      </c>
      <c r="E142" s="295" t="n"/>
      <c r="F142" s="295" t="n"/>
      <c r="G142" s="295" t="n"/>
      <c r="H142" s="285" t="n"/>
      <c r="I142" s="285" t="n"/>
      <c r="J142" s="288" t="n">
        <v>0</v>
      </c>
      <c r="K142" s="286" t="n">
        <v>0</v>
      </c>
      <c r="L142" s="287">
        <f>J142-N142-P142</f>
        <v/>
      </c>
      <c r="M142" s="288" t="n"/>
      <c r="N142" s="288" t="n"/>
      <c r="O142" s="285">
        <f>L142-M142</f>
        <v/>
      </c>
      <c r="P142" s="285">
        <f>K142-N142</f>
        <v/>
      </c>
      <c r="Q142" s="285">
        <f>M142+O142</f>
        <v/>
      </c>
      <c r="R142" s="285">
        <f>M142+N142+O142+P142</f>
        <v/>
      </c>
      <c r="S142" s="289">
        <f>SUM(T142:V142)</f>
        <v/>
      </c>
      <c r="T142" s="289" t="n"/>
      <c r="U142" s="289" t="n"/>
      <c r="V142" s="289" t="n"/>
      <c r="W142" s="289" t="n"/>
      <c r="X142" s="289" t="n"/>
      <c r="Y142" s="289" t="n"/>
      <c r="Z142" s="289" t="n"/>
      <c r="AA142" s="289" t="n"/>
      <c r="AB142" s="289" t="n"/>
      <c r="AC142" s="289" t="n"/>
      <c r="AD142" s="289" t="n"/>
      <c r="AE142" s="289" t="n"/>
      <c r="AF142" s="289" t="n"/>
      <c r="AG142" s="289" t="n"/>
      <c r="AH142" s="289" t="n"/>
      <c r="AI142" s="289" t="n"/>
      <c r="AJ142" s="289" t="n"/>
      <c r="AK142" s="290" t="n"/>
      <c r="AL142" s="291" t="n"/>
    </row>
    <row r="143">
      <c r="A143" s="206" t="n">
        <v>1</v>
      </c>
      <c r="B143" s="206" t="n"/>
      <c r="C143" s="207" t="n"/>
      <c r="D143" s="207" t="inlineStr">
        <is>
          <t>保险费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6">
        <f>J143-K143</f>
        <v/>
      </c>
      <c r="M143" s="210" t="n">
        <v>2060794.4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  <c r="W143" s="293" t="n"/>
      <c r="X143" s="293" t="n"/>
      <c r="Y143" s="293" t="n"/>
      <c r="Z143" s="293" t="n"/>
      <c r="AA143" s="293" t="n"/>
      <c r="AB143" s="293" t="n"/>
      <c r="AC143" s="293" t="n"/>
      <c r="AD143" s="293" t="n"/>
      <c r="AE143" s="293" t="n"/>
      <c r="AF143" s="293" t="n"/>
      <c r="AG143" s="293" t="n"/>
      <c r="AH143" s="293" t="n"/>
      <c r="AI143" s="293" t="n"/>
      <c r="AJ143" s="293" t="n"/>
      <c r="AK143" s="293" t="n"/>
      <c r="AL143" s="293" t="n"/>
    </row>
    <row r="144">
      <c r="A144" s="206" t="n">
        <v>2</v>
      </c>
      <c r="B144" s="206" t="n"/>
      <c r="C144" s="207" t="n"/>
      <c r="D144" s="207" t="inlineStr">
        <is>
          <t>其他</t>
        </is>
      </c>
      <c r="E144" s="206" t="n"/>
      <c r="F144" s="206" t="n"/>
      <c r="G144" s="206" t="n"/>
      <c r="H144" s="206" t="n"/>
      <c r="I144" s="206" t="n"/>
      <c r="J144" s="206">
        <f>H144+I144</f>
        <v/>
      </c>
      <c r="K144" s="208" t="n"/>
      <c r="L144" s="206">
        <f>J144-K144</f>
        <v/>
      </c>
      <c r="M144" s="210" t="n">
        <v>4351039.99</v>
      </c>
      <c r="N144" s="206" t="n"/>
      <c r="O144" s="206">
        <f>L144-M144</f>
        <v/>
      </c>
      <c r="P144" s="206">
        <f>K144-N144</f>
        <v/>
      </c>
      <c r="Q144" s="206">
        <f>M144+O144</f>
        <v/>
      </c>
      <c r="R144" s="206">
        <f>M144+N144+O144+P144</f>
        <v/>
      </c>
      <c r="S144" s="206" t="n"/>
      <c r="T144" s="206" t="n"/>
      <c r="U144" s="206" t="n"/>
      <c r="V144" s="206" t="n"/>
      <c r="W144" s="293" t="n"/>
      <c r="X144" s="293" t="n"/>
      <c r="Y144" s="293" t="n"/>
      <c r="Z144" s="293" t="n"/>
      <c r="AA144" s="293" t="n"/>
      <c r="AB144" s="293" t="n"/>
      <c r="AC144" s="293" t="n"/>
      <c r="AD144" s="293" t="n"/>
      <c r="AE144" s="293" t="n"/>
      <c r="AF144" s="293" t="n"/>
      <c r="AG144" s="293" t="n"/>
      <c r="AH144" s="293" t="n"/>
      <c r="AI144" s="293" t="n"/>
      <c r="AJ144" s="293" t="n"/>
      <c r="AK144" s="293" t="n"/>
      <c r="AL144" s="293" t="n"/>
    </row>
    <row r="145">
      <c r="A145" s="206" t="n">
        <v>3</v>
      </c>
      <c r="B145" s="206" t="n"/>
      <c r="C145" s="207" t="n"/>
      <c r="D145" s="207" t="inlineStr">
        <is>
          <t>咨询费</t>
        </is>
      </c>
      <c r="E145" s="206" t="n"/>
      <c r="F145" s="206" t="n"/>
      <c r="G145" s="206" t="n"/>
      <c r="H145" s="206" t="n"/>
      <c r="I145" s="206" t="n"/>
      <c r="J145" s="206">
        <f>H145+I145</f>
        <v/>
      </c>
      <c r="K145" s="208" t="n"/>
      <c r="L145" s="206">
        <f>J145-K145</f>
        <v/>
      </c>
      <c r="M145" s="210" t="n">
        <v>1165.05</v>
      </c>
      <c r="N145" s="206" t="n"/>
      <c r="O145" s="206">
        <f>L145-M145</f>
        <v/>
      </c>
      <c r="P145" s="206">
        <f>K145-N145</f>
        <v/>
      </c>
      <c r="Q145" s="206">
        <f>M145+O145</f>
        <v/>
      </c>
      <c r="R145" s="206">
        <f>M145+N145+O145+P145</f>
        <v/>
      </c>
      <c r="S145" s="206" t="n"/>
      <c r="T145" s="206" t="n"/>
      <c r="U145" s="206" t="n"/>
      <c r="V145" s="206" t="n"/>
      <c r="W145" s="293" t="n"/>
      <c r="X145" s="293" t="n"/>
      <c r="Y145" s="293" t="n"/>
      <c r="Z145" s="293" t="n"/>
      <c r="AA145" s="293" t="n"/>
      <c r="AB145" s="293" t="n"/>
      <c r="AC145" s="293" t="n"/>
      <c r="AD145" s="293" t="n"/>
      <c r="AE145" s="293" t="n"/>
      <c r="AF145" s="293" t="n"/>
      <c r="AG145" s="293" t="n"/>
      <c r="AH145" s="293" t="n"/>
      <c r="AI145" s="293" t="n"/>
      <c r="AJ145" s="293" t="n"/>
      <c r="AK145" s="293" t="n"/>
      <c r="AL145" s="293" t="n"/>
    </row>
    <row r="146">
      <c r="A146" s="206" t="n">
        <v>4</v>
      </c>
      <c r="B146" s="206" t="n"/>
      <c r="C146" s="207" t="n"/>
      <c r="D146" s="207" t="inlineStr">
        <is>
          <t>检验试验费</t>
        </is>
      </c>
      <c r="E146" s="206" t="n"/>
      <c r="F146" s="206" t="n"/>
      <c r="G146" s="206" t="n"/>
      <c r="H146" s="206" t="n"/>
      <c r="I146" s="206" t="n"/>
      <c r="J146" s="206">
        <f>H146+I146</f>
        <v/>
      </c>
      <c r="K146" s="208" t="n"/>
      <c r="L146" s="206">
        <f>J146-K146</f>
        <v/>
      </c>
      <c r="M146" s="210" t="n">
        <v>2298882.29</v>
      </c>
      <c r="N146" s="206" t="n"/>
      <c r="O146" s="206">
        <f>L146-M146</f>
        <v/>
      </c>
      <c r="P146" s="206">
        <f>K146-N146</f>
        <v/>
      </c>
      <c r="Q146" s="206">
        <f>M146+O146</f>
        <v/>
      </c>
      <c r="R146" s="206">
        <f>M146+N146+O146+P146</f>
        <v/>
      </c>
      <c r="S146" s="206" t="n"/>
      <c r="T146" s="206" t="n"/>
      <c r="U146" s="206" t="n"/>
      <c r="V146" s="206" t="n"/>
      <c r="W146" s="293" t="n"/>
      <c r="X146" s="293" t="n"/>
      <c r="Y146" s="293" t="n"/>
      <c r="Z146" s="293" t="n"/>
      <c r="AA146" s="293" t="n"/>
      <c r="AB146" s="293" t="n"/>
      <c r="AC146" s="293" t="n"/>
      <c r="AD146" s="293" t="n"/>
      <c r="AE146" s="293" t="n"/>
      <c r="AF146" s="293" t="n"/>
      <c r="AG146" s="293" t="n"/>
      <c r="AH146" s="293" t="n"/>
      <c r="AI146" s="293" t="n"/>
      <c r="AJ146" s="293" t="n"/>
      <c r="AK146" s="293" t="n"/>
      <c r="AL146" s="293" t="n"/>
    </row>
    <row r="147">
      <c r="A147" s="206" t="n">
        <v>5</v>
      </c>
      <c r="B147" s="206" t="n"/>
      <c r="C147" s="207" t="n"/>
      <c r="D147" s="207" t="inlineStr">
        <is>
          <t>水电费</t>
        </is>
      </c>
      <c r="E147" s="206" t="n"/>
      <c r="F147" s="206" t="n"/>
      <c r="G147" s="206" t="n"/>
      <c r="H147" s="206" t="n"/>
      <c r="I147" s="206" t="n"/>
      <c r="J147" s="206">
        <f>H147+I147</f>
        <v/>
      </c>
      <c r="K147" s="208" t="n"/>
      <c r="L147" s="206">
        <f>J147-K147</f>
        <v/>
      </c>
      <c r="M147" s="210" t="n">
        <v>8300988.65</v>
      </c>
      <c r="N147" s="206" t="n"/>
      <c r="O147" s="206">
        <f>L147-M147</f>
        <v/>
      </c>
      <c r="P147" s="206">
        <f>K147-N147</f>
        <v/>
      </c>
      <c r="Q147" s="206">
        <f>M147+O147</f>
        <v/>
      </c>
      <c r="R147" s="206">
        <f>M147+N147+O147+P147</f>
        <v/>
      </c>
      <c r="S147" s="206" t="n"/>
      <c r="T147" s="206" t="n"/>
      <c r="U147" s="206" t="n"/>
      <c r="V147" s="206" t="n"/>
      <c r="W147" s="293" t="n"/>
      <c r="X147" s="293" t="n"/>
      <c r="Y147" s="293" t="n"/>
      <c r="Z147" s="293" t="n"/>
      <c r="AA147" s="293" t="n"/>
      <c r="AB147" s="293" t="n"/>
      <c r="AC147" s="293" t="n"/>
      <c r="AD147" s="293" t="n"/>
      <c r="AE147" s="293" t="n"/>
      <c r="AF147" s="293" t="n"/>
      <c r="AG147" s="293" t="n"/>
      <c r="AH147" s="293" t="n"/>
      <c r="AI147" s="293" t="n"/>
      <c r="AJ147" s="293" t="n"/>
      <c r="AK147" s="293" t="n"/>
      <c r="AL147" s="293" t="n"/>
    </row>
    <row r="148">
      <c r="A148" s="282" t="n"/>
      <c r="B148" s="283" t="n"/>
      <c r="C148" s="283" t="n"/>
      <c r="D148" s="294" t="inlineStr">
        <is>
          <t>**财务未列部分需增列***</t>
        </is>
      </c>
      <c r="E148" s="295" t="n"/>
      <c r="F148" s="295" t="n"/>
      <c r="G148" s="295" t="n"/>
      <c r="H148" s="285" t="n"/>
      <c r="I148" s="285" t="n"/>
      <c r="J148" s="288" t="n"/>
      <c r="K148" s="286" t="n"/>
      <c r="L148" s="287">
        <f>J148-K148</f>
        <v/>
      </c>
      <c r="M148" s="318" t="n"/>
      <c r="N148" s="318" t="n"/>
      <c r="O148" s="285">
        <f>L148-M148</f>
        <v/>
      </c>
      <c r="P148" s="285">
        <f>K148-N148</f>
        <v/>
      </c>
      <c r="Q148" s="285">
        <f>M148+O148</f>
        <v/>
      </c>
      <c r="R148" s="285">
        <f>M148+N148+O148+P148</f>
        <v/>
      </c>
      <c r="S148" s="289">
        <f>SUM(T148:V148)</f>
        <v/>
      </c>
      <c r="T148" s="318" t="n"/>
      <c r="U148" s="318" t="n"/>
      <c r="V148" s="318" t="n"/>
      <c r="W148" s="318" t="n"/>
      <c r="X148" s="318" t="n"/>
      <c r="Y148" s="318" t="n"/>
      <c r="Z148" s="285">
        <f>SUM(AA45:AJ45)</f>
        <v/>
      </c>
      <c r="AA148" s="289" t="n"/>
      <c r="AB148" s="289" t="n"/>
      <c r="AC148" s="289" t="n"/>
      <c r="AD148" s="289" t="n"/>
      <c r="AE148" s="289" t="n"/>
      <c r="AF148" s="289" t="n"/>
      <c r="AG148" s="289" t="n"/>
      <c r="AH148" s="289" t="n"/>
      <c r="AI148" s="289" t="n"/>
      <c r="AJ148" s="289" t="n"/>
      <c r="AK148" s="290" t="n"/>
      <c r="AL148" s="291" t="n"/>
    </row>
    <row r="149">
      <c r="A149" s="319" t="n"/>
      <c r="B149" s="320" t="n"/>
      <c r="C149" s="320" t="n"/>
      <c r="D149" s="315" t="inlineStr">
        <is>
          <t>其他直接费小计：</t>
        </is>
      </c>
      <c r="E149" s="321" t="n"/>
      <c r="F149" s="321" t="n"/>
      <c r="G149" s="321" t="n"/>
      <c r="H149" s="301">
        <f>SUM(H142:H148)</f>
        <v/>
      </c>
      <c r="I149" s="301">
        <f>SUM(I142:I148)</f>
        <v/>
      </c>
      <c r="J149" s="301">
        <f>SUM(J142:J148)</f>
        <v/>
      </c>
      <c r="K149" s="301">
        <f>SUM(K142:K148)</f>
        <v/>
      </c>
      <c r="L149" s="317">
        <f>SUM(L142:L148)</f>
        <v/>
      </c>
      <c r="M149" s="301">
        <f>SUM(M142:M148)</f>
        <v/>
      </c>
      <c r="N149" s="301">
        <f>SUM(N142:N148)</f>
        <v/>
      </c>
      <c r="O149" s="301">
        <f>L149-M149</f>
        <v/>
      </c>
      <c r="P149" s="301">
        <f>SUM(P142:P148)</f>
        <v/>
      </c>
      <c r="Q149" s="301">
        <f>M149+O149</f>
        <v/>
      </c>
      <c r="R149" s="301">
        <f>SUM(R142:R148)</f>
        <v/>
      </c>
      <c r="S149" s="301">
        <f>SUM(S142:S148)</f>
        <v/>
      </c>
      <c r="T149" s="301" t="n"/>
      <c r="U149" s="301" t="n"/>
      <c r="V149" s="301" t="n"/>
      <c r="W149" s="301" t="n"/>
      <c r="X149" s="301" t="n"/>
      <c r="Y149" s="301" t="n"/>
      <c r="Z149" s="301">
        <f>SUM(Z142:Z148)</f>
        <v/>
      </c>
      <c r="AA149" s="301">
        <f>SUM(AA142:AA148)</f>
        <v/>
      </c>
      <c r="AB149" s="301">
        <f>SUM(AB142:AB148)</f>
        <v/>
      </c>
      <c r="AC149" s="301">
        <f>SUM(AC142:AC148)</f>
        <v/>
      </c>
      <c r="AD149" s="301">
        <f>SUM(AD142:AD148)</f>
        <v/>
      </c>
      <c r="AE149" s="301">
        <f>SUM(AE142:AE148)</f>
        <v/>
      </c>
      <c r="AF149" s="301">
        <f>SUM(AF142:AF148)</f>
        <v/>
      </c>
      <c r="AG149" s="301" t="n"/>
      <c r="AH149" s="301" t="n"/>
      <c r="AI149" s="301">
        <f>SUM(AI142:AI148)</f>
        <v/>
      </c>
      <c r="AJ149" s="301">
        <f>SUM(AJ142:AJ148)</f>
        <v/>
      </c>
      <c r="AK149" s="301">
        <f>SUM(AK142:AK148)</f>
        <v/>
      </c>
      <c r="AL149" s="291" t="n"/>
    </row>
    <row r="150">
      <c r="A150" s="282" t="n"/>
      <c r="B150" s="283" t="n"/>
      <c r="C150" s="283" t="n"/>
      <c r="D150" s="302" t="inlineStr">
        <is>
          <t>（六）间接费</t>
        </is>
      </c>
      <c r="E150" s="295" t="n"/>
      <c r="F150" s="295" t="n"/>
      <c r="G150" s="295" t="n"/>
      <c r="H150" s="288" t="n"/>
      <c r="I150" s="285" t="n"/>
      <c r="J150" s="285" t="n">
        <v>0</v>
      </c>
      <c r="K150" s="286" t="n">
        <v>0</v>
      </c>
      <c r="L150" s="287">
        <f>J150-N150-P150</f>
        <v/>
      </c>
      <c r="M150" s="288" t="n"/>
      <c r="N150" s="288" t="n"/>
      <c r="O150" s="285">
        <f>L150-M150</f>
        <v/>
      </c>
      <c r="P150" s="285">
        <f>K150-N150</f>
        <v/>
      </c>
      <c r="Q150" s="285">
        <f>M150+O150</f>
        <v/>
      </c>
      <c r="R150" s="285">
        <f>M150+N150+O150+P150</f>
        <v/>
      </c>
      <c r="S150" s="289">
        <f>SUM(T150:V150)</f>
        <v/>
      </c>
      <c r="T150" s="289" t="n"/>
      <c r="U150" s="289" t="n"/>
      <c r="V150" s="289" t="n"/>
      <c r="W150" s="289" t="n"/>
      <c r="X150" s="289" t="n"/>
      <c r="Y150" s="289" t="n"/>
      <c r="Z150" s="289" t="n"/>
      <c r="AA150" s="289" t="n"/>
      <c r="AB150" s="289" t="n"/>
      <c r="AC150" s="289" t="n"/>
      <c r="AD150" s="289" t="n"/>
      <c r="AE150" s="289" t="n"/>
      <c r="AF150" s="289" t="n"/>
      <c r="AG150" s="289" t="n"/>
      <c r="AH150" s="289" t="n"/>
      <c r="AI150" s="289" t="n"/>
      <c r="AJ150" s="289" t="n"/>
      <c r="AK150" s="290" t="n"/>
      <c r="AL150" s="291" t="n"/>
    </row>
    <row r="151">
      <c r="A151" s="206" t="n">
        <v>1</v>
      </c>
      <c r="B151" s="206" t="n"/>
      <c r="C151" s="207" t="n"/>
      <c r="D151" s="207" t="inlineStr">
        <is>
          <t>书报资料费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6">
        <f>J151-K151</f>
        <v/>
      </c>
      <c r="M151" s="210" t="n">
        <v>220.88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  <c r="W151" s="293" t="n"/>
      <c r="X151" s="293" t="n"/>
      <c r="Y151" s="293" t="n"/>
      <c r="Z151" s="293" t="n"/>
      <c r="AA151" s="293" t="n"/>
      <c r="AB151" s="293" t="n"/>
      <c r="AC151" s="293" t="n"/>
      <c r="AD151" s="293" t="n"/>
      <c r="AE151" s="293" t="n"/>
      <c r="AF151" s="293" t="n"/>
      <c r="AG151" s="293" t="n"/>
      <c r="AH151" s="293" t="n"/>
      <c r="AI151" s="293" t="n"/>
      <c r="AJ151" s="293" t="n"/>
      <c r="AK151" s="293" t="n"/>
      <c r="AL151" s="293" t="n"/>
    </row>
    <row r="152">
      <c r="A152" s="206" t="n">
        <v>2</v>
      </c>
      <c r="B152" s="206" t="n"/>
      <c r="C152" s="207" t="n"/>
      <c r="D152" s="207" t="inlineStr">
        <is>
          <t>企业年金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6">
        <f>J152-K152</f>
        <v/>
      </c>
      <c r="M152" s="210" t="n">
        <v>186548.56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  <c r="W152" s="293" t="n"/>
      <c r="X152" s="293" t="n"/>
      <c r="Y152" s="293" t="n"/>
      <c r="Z152" s="293" t="n"/>
      <c r="AA152" s="293" t="n"/>
      <c r="AB152" s="293" t="n"/>
      <c r="AC152" s="293" t="n"/>
      <c r="AD152" s="293" t="n"/>
      <c r="AE152" s="293" t="n"/>
      <c r="AF152" s="293" t="n"/>
      <c r="AG152" s="293" t="n"/>
      <c r="AH152" s="293" t="n"/>
      <c r="AI152" s="293" t="n"/>
      <c r="AJ152" s="293" t="n"/>
      <c r="AK152" s="293" t="n"/>
      <c r="AL152" s="293" t="n"/>
    </row>
    <row r="153">
      <c r="A153" s="206" t="n">
        <v>3</v>
      </c>
      <c r="B153" s="206" t="n"/>
      <c r="C153" s="207" t="n"/>
      <c r="D153" s="207" t="inlineStr">
        <is>
          <t>会议费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6">
        <f>J153-K153</f>
        <v/>
      </c>
      <c r="M153" s="210" t="n">
        <v>5867.37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  <c r="W153" s="293" t="n"/>
      <c r="X153" s="293" t="n"/>
      <c r="Y153" s="293" t="n"/>
      <c r="Z153" s="293" t="n"/>
      <c r="AA153" s="293" t="n"/>
      <c r="AB153" s="293" t="n"/>
      <c r="AC153" s="293" t="n"/>
      <c r="AD153" s="293" t="n"/>
      <c r="AE153" s="293" t="n"/>
      <c r="AF153" s="293" t="n"/>
      <c r="AG153" s="293" t="n"/>
      <c r="AH153" s="293" t="n"/>
      <c r="AI153" s="293" t="n"/>
      <c r="AJ153" s="293" t="n"/>
      <c r="AK153" s="293" t="n"/>
      <c r="AL153" s="293" t="n"/>
    </row>
    <row r="154">
      <c r="A154" s="206" t="n">
        <v>4</v>
      </c>
      <c r="B154" s="206" t="n"/>
      <c r="C154" s="207" t="n"/>
      <c r="D154" s="207" t="inlineStr">
        <is>
          <t>住房公积金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6">
        <f>J154-K154</f>
        <v/>
      </c>
      <c r="M154" s="210" t="n">
        <v>921583.74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  <c r="W154" s="293" t="n"/>
      <c r="X154" s="293" t="n"/>
      <c r="Y154" s="293" t="n"/>
      <c r="Z154" s="293" t="n"/>
      <c r="AA154" s="293" t="n"/>
      <c r="AB154" s="293" t="n"/>
      <c r="AC154" s="293" t="n"/>
      <c r="AD154" s="293" t="n"/>
      <c r="AE154" s="293" t="n"/>
      <c r="AF154" s="293" t="n"/>
      <c r="AG154" s="293" t="n"/>
      <c r="AH154" s="293" t="n"/>
      <c r="AI154" s="293" t="n"/>
      <c r="AJ154" s="293" t="n"/>
      <c r="AK154" s="293" t="n"/>
      <c r="AL154" s="293" t="n"/>
    </row>
    <row r="155">
      <c r="A155" s="206" t="n">
        <v>5</v>
      </c>
      <c r="B155" s="206" t="n"/>
      <c r="C155" s="207" t="n"/>
      <c r="D155" s="207" t="inlineStr">
        <is>
          <t>保险费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6">
        <f>J155-K155</f>
        <v/>
      </c>
      <c r="M155" s="210" t="n">
        <v>4245.28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  <c r="W155" s="293" t="n"/>
      <c r="X155" s="293" t="n"/>
      <c r="Y155" s="293" t="n"/>
      <c r="Z155" s="293" t="n"/>
      <c r="AA155" s="293" t="n"/>
      <c r="AB155" s="293" t="n"/>
      <c r="AC155" s="293" t="n"/>
      <c r="AD155" s="293" t="n"/>
      <c r="AE155" s="293" t="n"/>
      <c r="AF155" s="293" t="n"/>
      <c r="AG155" s="293" t="n"/>
      <c r="AH155" s="293" t="n"/>
      <c r="AI155" s="293" t="n"/>
      <c r="AJ155" s="293" t="n"/>
      <c r="AK155" s="293" t="n"/>
      <c r="AL155" s="293" t="n"/>
    </row>
    <row r="156">
      <c r="A156" s="206" t="n">
        <v>6</v>
      </c>
      <c r="B156" s="206" t="n"/>
      <c r="C156" s="207" t="n"/>
      <c r="D156" s="207" t="inlineStr">
        <is>
          <t>修理费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6">
        <f>J156-K156</f>
        <v/>
      </c>
      <c r="M156" s="210" t="n">
        <v>27769.38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  <c r="W156" s="293" t="n"/>
      <c r="X156" s="293" t="n"/>
      <c r="Y156" s="293" t="n"/>
      <c r="Z156" s="293" t="n"/>
      <c r="AA156" s="293" t="n"/>
      <c r="AB156" s="293" t="n"/>
      <c r="AC156" s="293" t="n"/>
      <c r="AD156" s="293" t="n"/>
      <c r="AE156" s="293" t="n"/>
      <c r="AF156" s="293" t="n"/>
      <c r="AG156" s="293" t="n"/>
      <c r="AH156" s="293" t="n"/>
      <c r="AI156" s="293" t="n"/>
      <c r="AJ156" s="293" t="n"/>
      <c r="AK156" s="293" t="n"/>
      <c r="AL156" s="293" t="n"/>
    </row>
    <row r="157">
      <c r="A157" s="206" t="n">
        <v>7</v>
      </c>
      <c r="B157" s="206" t="n"/>
      <c r="C157" s="207" t="n"/>
      <c r="D157" s="207" t="inlineStr">
        <is>
          <t>其他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6">
        <f>J157-K157</f>
        <v/>
      </c>
      <c r="M157" s="210" t="n">
        <v>445466.64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  <c r="W157" s="293" t="n"/>
      <c r="X157" s="293" t="n"/>
      <c r="Y157" s="293" t="n"/>
      <c r="Z157" s="293" t="n"/>
      <c r="AA157" s="293" t="n"/>
      <c r="AB157" s="293" t="n"/>
      <c r="AC157" s="293" t="n"/>
      <c r="AD157" s="293" t="n"/>
      <c r="AE157" s="293" t="n"/>
      <c r="AF157" s="293" t="n"/>
      <c r="AG157" s="293" t="n"/>
      <c r="AH157" s="293" t="n"/>
      <c r="AI157" s="293" t="n"/>
      <c r="AJ157" s="293" t="n"/>
      <c r="AK157" s="293" t="n"/>
      <c r="AL157" s="293" t="n"/>
    </row>
    <row r="158">
      <c r="A158" s="206" t="n">
        <v>8</v>
      </c>
      <c r="B158" s="206" t="n"/>
      <c r="C158" s="207" t="n"/>
      <c r="D158" s="207" t="inlineStr">
        <is>
          <t>其他补充保险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6">
        <f>J158-K158</f>
        <v/>
      </c>
      <c r="M158" s="210" t="n">
        <v>87.84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  <c r="W158" s="293" t="n"/>
      <c r="X158" s="293" t="n"/>
      <c r="Y158" s="293" t="n"/>
      <c r="Z158" s="293" t="n"/>
      <c r="AA158" s="293" t="n"/>
      <c r="AB158" s="293" t="n"/>
      <c r="AC158" s="293" t="n"/>
      <c r="AD158" s="293" t="n"/>
      <c r="AE158" s="293" t="n"/>
      <c r="AF158" s="293" t="n"/>
      <c r="AG158" s="293" t="n"/>
      <c r="AH158" s="293" t="n"/>
      <c r="AI158" s="293" t="n"/>
      <c r="AJ158" s="293" t="n"/>
      <c r="AK158" s="293" t="n"/>
      <c r="AL158" s="293" t="n"/>
    </row>
    <row r="159">
      <c r="A159" s="206" t="n">
        <v>9</v>
      </c>
      <c r="B159" s="206" t="n"/>
      <c r="C159" s="207" t="n"/>
      <c r="D159" s="207" t="inlineStr">
        <is>
          <t>冲晒印刷费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6">
        <f>J159-K159</f>
        <v/>
      </c>
      <c r="M159" s="210" t="n">
        <v>112428.15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  <c r="W159" s="293" t="n"/>
      <c r="X159" s="293" t="n"/>
      <c r="Y159" s="293" t="n"/>
      <c r="Z159" s="293" t="n"/>
      <c r="AA159" s="293" t="n"/>
      <c r="AB159" s="293" t="n"/>
      <c r="AC159" s="293" t="n"/>
      <c r="AD159" s="293" t="n"/>
      <c r="AE159" s="293" t="n"/>
      <c r="AF159" s="293" t="n"/>
      <c r="AG159" s="293" t="n"/>
      <c r="AH159" s="293" t="n"/>
      <c r="AI159" s="293" t="n"/>
      <c r="AJ159" s="293" t="n"/>
      <c r="AK159" s="293" t="n"/>
      <c r="AL159" s="293" t="n"/>
    </row>
    <row r="160">
      <c r="A160" s="206" t="n">
        <v>10</v>
      </c>
      <c r="B160" s="206" t="n"/>
      <c r="C160" s="207" t="n"/>
      <c r="D160" s="207" t="inlineStr">
        <is>
          <t>办公用品费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6">
        <f>J160-K160</f>
        <v/>
      </c>
      <c r="M160" s="210" t="n">
        <v>607692.39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  <c r="W160" s="293" t="n"/>
      <c r="X160" s="293" t="n"/>
      <c r="Y160" s="293" t="n"/>
      <c r="Z160" s="293" t="n"/>
      <c r="AA160" s="293" t="n"/>
      <c r="AB160" s="293" t="n"/>
      <c r="AC160" s="293" t="n"/>
      <c r="AD160" s="293" t="n"/>
      <c r="AE160" s="293" t="n"/>
      <c r="AF160" s="293" t="n"/>
      <c r="AG160" s="293" t="n"/>
      <c r="AH160" s="293" t="n"/>
      <c r="AI160" s="293" t="n"/>
      <c r="AJ160" s="293" t="n"/>
      <c r="AK160" s="293" t="n"/>
      <c r="AL160" s="293" t="n"/>
    </row>
    <row r="161">
      <c r="A161" s="206" t="n">
        <v>11</v>
      </c>
      <c r="B161" s="206" t="n"/>
      <c r="C161" s="207" t="n"/>
      <c r="D161" s="207" t="inlineStr">
        <is>
          <t>医疗保险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6">
        <f>J161-K161</f>
        <v/>
      </c>
      <c r="M161" s="210" t="n">
        <v>453554.98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  <c r="W161" s="293" t="n"/>
      <c r="X161" s="293" t="n"/>
      <c r="Y161" s="293" t="n"/>
      <c r="Z161" s="293" t="n"/>
      <c r="AA161" s="293" t="n"/>
      <c r="AB161" s="293" t="n"/>
      <c r="AC161" s="293" t="n"/>
      <c r="AD161" s="293" t="n"/>
      <c r="AE161" s="293" t="n"/>
      <c r="AF161" s="293" t="n"/>
      <c r="AG161" s="293" t="n"/>
      <c r="AH161" s="293" t="n"/>
      <c r="AI161" s="293" t="n"/>
      <c r="AJ161" s="293" t="n"/>
      <c r="AK161" s="293" t="n"/>
      <c r="AL161" s="293" t="n"/>
    </row>
    <row r="162">
      <c r="A162" s="206" t="n">
        <v>12</v>
      </c>
      <c r="B162" s="206" t="n"/>
      <c r="C162" s="207" t="n"/>
      <c r="D162" s="207" t="inlineStr">
        <is>
          <t>基本养老保险</t>
        </is>
      </c>
      <c r="E162" s="206" t="n"/>
      <c r="F162" s="206" t="n"/>
      <c r="G162" s="206" t="n"/>
      <c r="H162" s="206" t="n"/>
      <c r="I162" s="206" t="n"/>
      <c r="J162" s="206">
        <f>H162+I162</f>
        <v/>
      </c>
      <c r="K162" s="208" t="n"/>
      <c r="L162" s="206">
        <f>J162-K162</f>
        <v/>
      </c>
      <c r="M162" s="210" t="n">
        <v>1111816.95</v>
      </c>
      <c r="N162" s="206" t="n"/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06" t="n"/>
      <c r="U162" s="206" t="n"/>
      <c r="V162" s="206" t="n"/>
      <c r="W162" s="293" t="n"/>
      <c r="X162" s="293" t="n"/>
      <c r="Y162" s="293" t="n"/>
      <c r="Z162" s="293" t="n"/>
      <c r="AA162" s="293" t="n"/>
      <c r="AB162" s="293" t="n"/>
      <c r="AC162" s="293" t="n"/>
      <c r="AD162" s="293" t="n"/>
      <c r="AE162" s="293" t="n"/>
      <c r="AF162" s="293" t="n"/>
      <c r="AG162" s="293" t="n"/>
      <c r="AH162" s="293" t="n"/>
      <c r="AI162" s="293" t="n"/>
      <c r="AJ162" s="293" t="n"/>
      <c r="AK162" s="293" t="n"/>
      <c r="AL162" s="293" t="n"/>
    </row>
    <row r="163">
      <c r="A163" s="206" t="n">
        <v>13</v>
      </c>
      <c r="B163" s="206" t="n"/>
      <c r="C163" s="207" t="n"/>
      <c r="D163" s="207" t="inlineStr">
        <is>
          <t>境内差旅费</t>
        </is>
      </c>
      <c r="E163" s="206" t="n"/>
      <c r="F163" s="206" t="n"/>
      <c r="G163" s="206" t="n"/>
      <c r="H163" s="206" t="n"/>
      <c r="I163" s="206" t="n"/>
      <c r="J163" s="206">
        <f>H163+I163</f>
        <v/>
      </c>
      <c r="K163" s="208" t="n"/>
      <c r="L163" s="206">
        <f>J163-K163</f>
        <v/>
      </c>
      <c r="M163" s="210" t="n">
        <v>29087.86</v>
      </c>
      <c r="N163" s="206" t="n"/>
      <c r="O163" s="206">
        <f>L163-M163</f>
        <v/>
      </c>
      <c r="P163" s="206">
        <f>K163-N163</f>
        <v/>
      </c>
      <c r="Q163" s="206">
        <f>M163+O163</f>
        <v/>
      </c>
      <c r="R163" s="206">
        <f>M163+N163+O163+P163</f>
        <v/>
      </c>
      <c r="S163" s="206" t="n"/>
      <c r="T163" s="206" t="n"/>
      <c r="U163" s="206" t="n"/>
      <c r="V163" s="206" t="n"/>
      <c r="W163" s="293" t="n"/>
      <c r="X163" s="293" t="n"/>
      <c r="Y163" s="293" t="n"/>
      <c r="Z163" s="293" t="n"/>
      <c r="AA163" s="293" t="n"/>
      <c r="AB163" s="293" t="n"/>
      <c r="AC163" s="293" t="n"/>
      <c r="AD163" s="293" t="n"/>
      <c r="AE163" s="293" t="n"/>
      <c r="AF163" s="293" t="n"/>
      <c r="AG163" s="293" t="n"/>
      <c r="AH163" s="293" t="n"/>
      <c r="AI163" s="293" t="n"/>
      <c r="AJ163" s="293" t="n"/>
      <c r="AK163" s="293" t="n"/>
      <c r="AL163" s="293" t="n"/>
    </row>
    <row r="164">
      <c r="A164" s="206" t="n">
        <v>14</v>
      </c>
      <c r="B164" s="206" t="n"/>
      <c r="C164" s="207" t="n"/>
      <c r="D164" s="207" t="inlineStr">
        <is>
          <t>失业保险</t>
        </is>
      </c>
      <c r="E164" s="206" t="n"/>
      <c r="F164" s="206" t="n"/>
      <c r="G164" s="206" t="n"/>
      <c r="H164" s="206" t="n"/>
      <c r="I164" s="206" t="n"/>
      <c r="J164" s="206">
        <f>H164+I164</f>
        <v/>
      </c>
      <c r="K164" s="208" t="n"/>
      <c r="L164" s="206">
        <f>J164-K164</f>
        <v/>
      </c>
      <c r="M164" s="210" t="n">
        <v>45975.32</v>
      </c>
      <c r="N164" s="206" t="n"/>
      <c r="O164" s="206">
        <f>L164-M164</f>
        <v/>
      </c>
      <c r="P164" s="206">
        <f>K164-N164</f>
        <v/>
      </c>
      <c r="Q164" s="206">
        <f>M164+O164</f>
        <v/>
      </c>
      <c r="R164" s="206">
        <f>M164+N164+O164+P164</f>
        <v/>
      </c>
      <c r="S164" s="206" t="n"/>
      <c r="T164" s="206" t="n"/>
      <c r="U164" s="206" t="n"/>
      <c r="V164" s="206" t="n"/>
      <c r="W164" s="293" t="n"/>
      <c r="X164" s="293" t="n"/>
      <c r="Y164" s="293" t="n"/>
      <c r="Z164" s="293" t="n"/>
      <c r="AA164" s="293" t="n"/>
      <c r="AB164" s="293" t="n"/>
      <c r="AC164" s="293" t="n"/>
      <c r="AD164" s="293" t="n"/>
      <c r="AE164" s="293" t="n"/>
      <c r="AF164" s="293" t="n"/>
      <c r="AG164" s="293" t="n"/>
      <c r="AH164" s="293" t="n"/>
      <c r="AI164" s="293" t="n"/>
      <c r="AJ164" s="293" t="n"/>
      <c r="AK164" s="293" t="n"/>
      <c r="AL164" s="293" t="n"/>
    </row>
    <row r="165">
      <c r="A165" s="206" t="n">
        <v>15</v>
      </c>
      <c r="B165" s="206" t="n"/>
      <c r="C165" s="207" t="n"/>
      <c r="D165" s="207" t="inlineStr">
        <is>
          <t>工会经费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6">
        <f>J165-K165</f>
        <v/>
      </c>
      <c r="M165" s="210" t="n">
        <v>266903.49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  <c r="W165" s="293" t="n"/>
      <c r="X165" s="293" t="n"/>
      <c r="Y165" s="293" t="n"/>
      <c r="Z165" s="293" t="n"/>
      <c r="AA165" s="293" t="n"/>
      <c r="AB165" s="293" t="n"/>
      <c r="AC165" s="293" t="n"/>
      <c r="AD165" s="293" t="n"/>
      <c r="AE165" s="293" t="n"/>
      <c r="AF165" s="293" t="n"/>
      <c r="AG165" s="293" t="n"/>
      <c r="AH165" s="293" t="n"/>
      <c r="AI165" s="293" t="n"/>
      <c r="AJ165" s="293" t="n"/>
      <c r="AK165" s="293" t="n"/>
      <c r="AL165" s="293" t="n"/>
    </row>
    <row r="166">
      <c r="A166" s="206" t="n">
        <v>16</v>
      </c>
      <c r="B166" s="206" t="n"/>
      <c r="C166" s="207" t="n"/>
      <c r="D166" s="207" t="inlineStr">
        <is>
          <t>工伤保险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6">
        <f>J166-K166</f>
        <v/>
      </c>
      <c r="M166" s="210" t="n">
        <v>43560.14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  <c r="W166" s="293" t="n"/>
      <c r="X166" s="293" t="n"/>
      <c r="Y166" s="293" t="n"/>
      <c r="Z166" s="293" t="n"/>
      <c r="AA166" s="293" t="n"/>
      <c r="AB166" s="293" t="n"/>
      <c r="AC166" s="293" t="n"/>
      <c r="AD166" s="293" t="n"/>
      <c r="AE166" s="293" t="n"/>
      <c r="AF166" s="293" t="n"/>
      <c r="AG166" s="293" t="n"/>
      <c r="AH166" s="293" t="n"/>
      <c r="AI166" s="293" t="n"/>
      <c r="AJ166" s="293" t="n"/>
      <c r="AK166" s="293" t="n"/>
      <c r="AL166" s="293" t="n"/>
    </row>
    <row r="167">
      <c r="A167" s="206" t="n">
        <v>17</v>
      </c>
      <c r="B167" s="206" t="n"/>
      <c r="C167" s="207" t="n"/>
      <c r="D167" s="207" t="inlineStr">
        <is>
          <t>工资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6">
        <f>J167-K167</f>
        <v/>
      </c>
      <c r="M167" s="210" t="n">
        <v>21036724.24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  <c r="W167" s="293" t="n"/>
      <c r="X167" s="293" t="n"/>
      <c r="Y167" s="293" t="n"/>
      <c r="Z167" s="293" t="n"/>
      <c r="AA167" s="293" t="n"/>
      <c r="AB167" s="293" t="n"/>
      <c r="AC167" s="293" t="n"/>
      <c r="AD167" s="293" t="n"/>
      <c r="AE167" s="293" t="n"/>
      <c r="AF167" s="293" t="n"/>
      <c r="AG167" s="293" t="n"/>
      <c r="AH167" s="293" t="n"/>
      <c r="AI167" s="293" t="n"/>
      <c r="AJ167" s="293" t="n"/>
      <c r="AK167" s="293" t="n"/>
      <c r="AL167" s="293" t="n"/>
    </row>
    <row r="168">
      <c r="A168" s="206" t="n">
        <v>18</v>
      </c>
      <c r="B168" s="206" t="n"/>
      <c r="C168" s="207" t="n"/>
      <c r="D168" s="207" t="inlineStr">
        <is>
          <t>市内交通费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6">
        <f>J168-K168</f>
        <v/>
      </c>
      <c r="M168" s="210" t="n">
        <v>5663.74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  <c r="W168" s="293" t="n"/>
      <c r="X168" s="293" t="n"/>
      <c r="Y168" s="293" t="n"/>
      <c r="Z168" s="293" t="n"/>
      <c r="AA168" s="293" t="n"/>
      <c r="AB168" s="293" t="n"/>
      <c r="AC168" s="293" t="n"/>
      <c r="AD168" s="293" t="n"/>
      <c r="AE168" s="293" t="n"/>
      <c r="AF168" s="293" t="n"/>
      <c r="AG168" s="293" t="n"/>
      <c r="AH168" s="293" t="n"/>
      <c r="AI168" s="293" t="n"/>
      <c r="AJ168" s="293" t="n"/>
      <c r="AK168" s="293" t="n"/>
      <c r="AL168" s="293" t="n"/>
    </row>
    <row r="169">
      <c r="A169" s="206" t="n">
        <v>19</v>
      </c>
      <c r="B169" s="206" t="n"/>
      <c r="C169" s="207" t="n"/>
      <c r="D169" s="207" t="inlineStr">
        <is>
          <t>律师费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6">
        <f>J169-K169</f>
        <v/>
      </c>
      <c r="M169" s="210" t="n">
        <v>14327.83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  <c r="W169" s="293" t="n"/>
      <c r="X169" s="293" t="n"/>
      <c r="Y169" s="293" t="n"/>
      <c r="Z169" s="293" t="n"/>
      <c r="AA169" s="293" t="n"/>
      <c r="AB169" s="293" t="n"/>
      <c r="AC169" s="293" t="n"/>
      <c r="AD169" s="293" t="n"/>
      <c r="AE169" s="293" t="n"/>
      <c r="AF169" s="293" t="n"/>
      <c r="AG169" s="293" t="n"/>
      <c r="AH169" s="293" t="n"/>
      <c r="AI169" s="293" t="n"/>
      <c r="AJ169" s="293" t="n"/>
      <c r="AK169" s="293" t="n"/>
      <c r="AL169" s="293" t="n"/>
    </row>
    <row r="170">
      <c r="A170" s="206" t="n">
        <v>20</v>
      </c>
      <c r="B170" s="206" t="n"/>
      <c r="C170" s="207" t="n"/>
      <c r="D170" s="207" t="inlineStr">
        <is>
          <t>折旧费</t>
        </is>
      </c>
      <c r="E170" s="206" t="n"/>
      <c r="F170" s="206" t="n"/>
      <c r="G170" s="206" t="n"/>
      <c r="H170" s="206" t="n"/>
      <c r="I170" s="206" t="n"/>
      <c r="J170" s="206">
        <f>H170+I170</f>
        <v/>
      </c>
      <c r="K170" s="208" t="n"/>
      <c r="L170" s="206">
        <f>J170-K170</f>
        <v/>
      </c>
      <c r="M170" s="210" t="n">
        <v>66169.48</v>
      </c>
      <c r="N170" s="206" t="n"/>
      <c r="O170" s="206">
        <f>L170-M170</f>
        <v/>
      </c>
      <c r="P170" s="206">
        <f>K170-N170</f>
        <v/>
      </c>
      <c r="Q170" s="206">
        <f>M170+O170</f>
        <v/>
      </c>
      <c r="R170" s="206">
        <f>M170+N170+O170+P170</f>
        <v/>
      </c>
      <c r="S170" s="206" t="n"/>
      <c r="T170" s="206" t="n"/>
      <c r="U170" s="206" t="n"/>
      <c r="V170" s="206" t="n"/>
      <c r="W170" s="293" t="n"/>
      <c r="X170" s="293" t="n"/>
      <c r="Y170" s="293" t="n"/>
      <c r="Z170" s="293" t="n"/>
      <c r="AA170" s="293" t="n"/>
      <c r="AB170" s="293" t="n"/>
      <c r="AC170" s="293" t="n"/>
      <c r="AD170" s="293" t="n"/>
      <c r="AE170" s="293" t="n"/>
      <c r="AF170" s="293" t="n"/>
      <c r="AG170" s="293" t="n"/>
      <c r="AH170" s="293" t="n"/>
      <c r="AI170" s="293" t="n"/>
      <c r="AJ170" s="293" t="n"/>
      <c r="AK170" s="293" t="n"/>
      <c r="AL170" s="293" t="n"/>
    </row>
    <row r="171">
      <c r="A171" s="206" t="n">
        <v>21</v>
      </c>
      <c r="B171" s="206" t="n"/>
      <c r="C171" s="207" t="n"/>
      <c r="D171" s="207" t="inlineStr">
        <is>
          <t>水电费</t>
        </is>
      </c>
      <c r="E171" s="206" t="n"/>
      <c r="F171" s="206" t="n"/>
      <c r="G171" s="206" t="n"/>
      <c r="H171" s="206" t="n"/>
      <c r="I171" s="206" t="n"/>
      <c r="J171" s="206">
        <f>H171+I171</f>
        <v/>
      </c>
      <c r="K171" s="208" t="n"/>
      <c r="L171" s="206">
        <f>J171-K171</f>
        <v/>
      </c>
      <c r="M171" s="210" t="n">
        <v>1915223.39</v>
      </c>
      <c r="N171" s="206" t="n"/>
      <c r="O171" s="206">
        <f>L171-M171</f>
        <v/>
      </c>
      <c r="P171" s="206">
        <f>K171-N171</f>
        <v/>
      </c>
      <c r="Q171" s="206">
        <f>M171+O171</f>
        <v/>
      </c>
      <c r="R171" s="206">
        <f>M171+N171+O171+P171</f>
        <v/>
      </c>
      <c r="S171" s="206" t="n"/>
      <c r="T171" s="206" t="n"/>
      <c r="U171" s="206" t="n"/>
      <c r="V171" s="206" t="n"/>
      <c r="W171" s="293" t="n"/>
      <c r="X171" s="293" t="n"/>
      <c r="Y171" s="293" t="n"/>
      <c r="Z171" s="293" t="n"/>
      <c r="AA171" s="293" t="n"/>
      <c r="AB171" s="293" t="n"/>
      <c r="AC171" s="293" t="n"/>
      <c r="AD171" s="293" t="n"/>
      <c r="AE171" s="293" t="n"/>
      <c r="AF171" s="293" t="n"/>
      <c r="AG171" s="293" t="n"/>
      <c r="AH171" s="293" t="n"/>
      <c r="AI171" s="293" t="n"/>
      <c r="AJ171" s="293" t="n"/>
      <c r="AK171" s="293" t="n"/>
      <c r="AL171" s="293" t="n"/>
    </row>
    <row r="172">
      <c r="A172" s="206" t="n">
        <v>22</v>
      </c>
      <c r="B172" s="206" t="n"/>
      <c r="C172" s="207" t="n"/>
      <c r="D172" s="207" t="inlineStr">
        <is>
          <t>燃油费</t>
        </is>
      </c>
      <c r="E172" s="206" t="n"/>
      <c r="F172" s="206" t="n"/>
      <c r="G172" s="206" t="n"/>
      <c r="H172" s="206" t="n"/>
      <c r="I172" s="206" t="n"/>
      <c r="J172" s="206">
        <f>H172+I172</f>
        <v/>
      </c>
      <c r="K172" s="208" t="n"/>
      <c r="L172" s="206">
        <f>J172-K172</f>
        <v/>
      </c>
      <c r="M172" s="210" t="n">
        <v>210747.51</v>
      </c>
      <c r="N172" s="206" t="n"/>
      <c r="O172" s="206">
        <f>L172-M172</f>
        <v/>
      </c>
      <c r="P172" s="206">
        <f>K172-N172</f>
        <v/>
      </c>
      <c r="Q172" s="206">
        <f>M172+O172</f>
        <v/>
      </c>
      <c r="R172" s="206">
        <f>M172+N172+O172+P172</f>
        <v/>
      </c>
      <c r="S172" s="206" t="n"/>
      <c r="T172" s="206" t="n"/>
      <c r="U172" s="206" t="n"/>
      <c r="V172" s="206" t="n"/>
      <c r="W172" s="293" t="n"/>
      <c r="X172" s="293" t="n"/>
      <c r="Y172" s="293" t="n"/>
      <c r="Z172" s="293" t="n"/>
      <c r="AA172" s="293" t="n"/>
      <c r="AB172" s="293" t="n"/>
      <c r="AC172" s="293" t="n"/>
      <c r="AD172" s="293" t="n"/>
      <c r="AE172" s="293" t="n"/>
      <c r="AF172" s="293" t="n"/>
      <c r="AG172" s="293" t="n"/>
      <c r="AH172" s="293" t="n"/>
      <c r="AI172" s="293" t="n"/>
      <c r="AJ172" s="293" t="n"/>
      <c r="AK172" s="293" t="n"/>
      <c r="AL172" s="293" t="n"/>
    </row>
    <row r="173">
      <c r="A173" s="206" t="n">
        <v>23</v>
      </c>
      <c r="B173" s="206" t="n"/>
      <c r="C173" s="207" t="n"/>
      <c r="D173" s="207" t="inlineStr">
        <is>
          <t>物业租赁费</t>
        </is>
      </c>
      <c r="E173" s="206" t="n"/>
      <c r="F173" s="206" t="n"/>
      <c r="G173" s="206" t="n"/>
      <c r="H173" s="206" t="n"/>
      <c r="I173" s="206" t="n"/>
      <c r="J173" s="206">
        <f>H173+I173</f>
        <v/>
      </c>
      <c r="K173" s="208" t="n"/>
      <c r="L173" s="206">
        <f>J173-K173</f>
        <v/>
      </c>
      <c r="M173" s="210" t="n">
        <v>223298.47</v>
      </c>
      <c r="N173" s="206" t="n"/>
      <c r="O173" s="206">
        <f>L173-M173</f>
        <v/>
      </c>
      <c r="P173" s="206">
        <f>K173-N173</f>
        <v/>
      </c>
      <c r="Q173" s="206">
        <f>M173+O173</f>
        <v/>
      </c>
      <c r="R173" s="206">
        <f>M173+N173+O173+P173</f>
        <v/>
      </c>
      <c r="S173" s="206" t="n"/>
      <c r="T173" s="206" t="n"/>
      <c r="U173" s="206" t="n"/>
      <c r="V173" s="206" t="n"/>
      <c r="W173" s="293" t="n"/>
      <c r="X173" s="293" t="n"/>
      <c r="Y173" s="293" t="n"/>
      <c r="Z173" s="293" t="n"/>
      <c r="AA173" s="293" t="n"/>
      <c r="AB173" s="293" t="n"/>
      <c r="AC173" s="293" t="n"/>
      <c r="AD173" s="293" t="n"/>
      <c r="AE173" s="293" t="n"/>
      <c r="AF173" s="293" t="n"/>
      <c r="AG173" s="293" t="n"/>
      <c r="AH173" s="293" t="n"/>
      <c r="AI173" s="293" t="n"/>
      <c r="AJ173" s="293" t="n"/>
      <c r="AK173" s="293" t="n"/>
      <c r="AL173" s="293" t="n"/>
    </row>
    <row r="174">
      <c r="A174" s="206" t="n">
        <v>24</v>
      </c>
      <c r="B174" s="206" t="n"/>
      <c r="C174" s="207" t="n"/>
      <c r="D174" s="207" t="inlineStr">
        <is>
          <t>物业管理费</t>
        </is>
      </c>
      <c r="E174" s="206" t="n"/>
      <c r="F174" s="206" t="n"/>
      <c r="G174" s="206" t="n"/>
      <c r="H174" s="206" t="n"/>
      <c r="I174" s="206" t="n"/>
      <c r="J174" s="206">
        <f>H174+I174</f>
        <v/>
      </c>
      <c r="K174" s="208" t="n"/>
      <c r="L174" s="206">
        <f>J174-K174</f>
        <v/>
      </c>
      <c r="M174" s="210" t="n">
        <v>463287.94</v>
      </c>
      <c r="N174" s="206" t="n"/>
      <c r="O174" s="206">
        <f>L174-M174</f>
        <v/>
      </c>
      <c r="P174" s="206">
        <f>K174-N174</f>
        <v/>
      </c>
      <c r="Q174" s="206">
        <f>M174+O174</f>
        <v/>
      </c>
      <c r="R174" s="206">
        <f>M174+N174+O174+P174</f>
        <v/>
      </c>
      <c r="S174" s="206" t="n"/>
      <c r="T174" s="206" t="n"/>
      <c r="U174" s="206" t="n"/>
      <c r="V174" s="206" t="n"/>
      <c r="W174" s="293" t="n"/>
      <c r="X174" s="293" t="n"/>
      <c r="Y174" s="293" t="n"/>
      <c r="Z174" s="293" t="n"/>
      <c r="AA174" s="293" t="n"/>
      <c r="AB174" s="293" t="n"/>
      <c r="AC174" s="293" t="n"/>
      <c r="AD174" s="293" t="n"/>
      <c r="AE174" s="293" t="n"/>
      <c r="AF174" s="293" t="n"/>
      <c r="AG174" s="293" t="n"/>
      <c r="AH174" s="293" t="n"/>
      <c r="AI174" s="293" t="n"/>
      <c r="AJ174" s="293" t="n"/>
      <c r="AK174" s="293" t="n"/>
      <c r="AL174" s="293" t="n"/>
    </row>
    <row r="175">
      <c r="A175" s="206" t="n">
        <v>25</v>
      </c>
      <c r="B175" s="206" t="n"/>
      <c r="C175" s="207" t="n"/>
      <c r="D175" s="207" t="inlineStr">
        <is>
          <t>物料消耗</t>
        </is>
      </c>
      <c r="E175" s="206" t="n"/>
      <c r="F175" s="206" t="n"/>
      <c r="G175" s="206" t="n"/>
      <c r="H175" s="206" t="n"/>
      <c r="I175" s="206" t="n"/>
      <c r="J175" s="206">
        <f>H175+I175</f>
        <v/>
      </c>
      <c r="K175" s="208" t="n"/>
      <c r="L175" s="206">
        <f>J175-K175</f>
        <v/>
      </c>
      <c r="M175" s="210" t="n">
        <v>4059.41</v>
      </c>
      <c r="N175" s="206" t="n"/>
      <c r="O175" s="206">
        <f>L175-M175</f>
        <v/>
      </c>
      <c r="P175" s="206">
        <f>K175-N175</f>
        <v/>
      </c>
      <c r="Q175" s="206">
        <f>M175+O175</f>
        <v/>
      </c>
      <c r="R175" s="206">
        <f>M175+N175+O175+P175</f>
        <v/>
      </c>
      <c r="S175" s="206" t="n"/>
      <c r="T175" s="206" t="n"/>
      <c r="U175" s="206" t="n"/>
      <c r="V175" s="206" t="n"/>
      <c r="W175" s="293" t="n"/>
      <c r="X175" s="293" t="n"/>
      <c r="Y175" s="293" t="n"/>
      <c r="Z175" s="293" t="n"/>
      <c r="AA175" s="293" t="n"/>
      <c r="AB175" s="293" t="n"/>
      <c r="AC175" s="293" t="n"/>
      <c r="AD175" s="293" t="n"/>
      <c r="AE175" s="293" t="n"/>
      <c r="AF175" s="293" t="n"/>
      <c r="AG175" s="293" t="n"/>
      <c r="AH175" s="293" t="n"/>
      <c r="AI175" s="293" t="n"/>
      <c r="AJ175" s="293" t="n"/>
      <c r="AK175" s="293" t="n"/>
      <c r="AL175" s="293" t="n"/>
    </row>
    <row r="176">
      <c r="A176" s="206" t="n">
        <v>26</v>
      </c>
      <c r="B176" s="206" t="n"/>
      <c r="C176" s="207" t="n"/>
      <c r="D176" s="207" t="inlineStr">
        <is>
          <t>生育保险</t>
        </is>
      </c>
      <c r="E176" s="206" t="n"/>
      <c r="F176" s="206" t="n"/>
      <c r="G176" s="206" t="n"/>
      <c r="H176" s="206" t="n"/>
      <c r="I176" s="206" t="n"/>
      <c r="J176" s="206">
        <f>H176+I176</f>
        <v/>
      </c>
      <c r="K176" s="208" t="n"/>
      <c r="L176" s="206">
        <f>J176-K176</f>
        <v/>
      </c>
      <c r="M176" s="210" t="n">
        <v>4798.28</v>
      </c>
      <c r="N176" s="206" t="n"/>
      <c r="O176" s="206">
        <f>L176-M176</f>
        <v/>
      </c>
      <c r="P176" s="206">
        <f>K176-N176</f>
        <v/>
      </c>
      <c r="Q176" s="206">
        <f>M176+O176</f>
        <v/>
      </c>
      <c r="R176" s="206">
        <f>M176+N176+O176+P176</f>
        <v/>
      </c>
      <c r="S176" s="206" t="n"/>
      <c r="T176" s="206" t="n"/>
      <c r="U176" s="206" t="n"/>
      <c r="V176" s="206" t="n"/>
      <c r="W176" s="293" t="n"/>
      <c r="X176" s="293" t="n"/>
      <c r="Y176" s="293" t="n"/>
      <c r="Z176" s="293" t="n"/>
      <c r="AA176" s="293" t="n"/>
      <c r="AB176" s="293" t="n"/>
      <c r="AC176" s="293" t="n"/>
      <c r="AD176" s="293" t="n"/>
      <c r="AE176" s="293" t="n"/>
      <c r="AF176" s="293" t="n"/>
      <c r="AG176" s="293" t="n"/>
      <c r="AH176" s="293" t="n"/>
      <c r="AI176" s="293" t="n"/>
      <c r="AJ176" s="293" t="n"/>
      <c r="AK176" s="293" t="n"/>
      <c r="AL176" s="293" t="n"/>
    </row>
    <row r="177">
      <c r="A177" s="206" t="n">
        <v>27</v>
      </c>
      <c r="B177" s="206" t="n"/>
      <c r="C177" s="207" t="n"/>
      <c r="D177" s="207" t="inlineStr">
        <is>
          <t>社保及公积金</t>
        </is>
      </c>
      <c r="E177" s="206" t="n"/>
      <c r="F177" s="206" t="n"/>
      <c r="G177" s="206" t="n"/>
      <c r="H177" s="206" t="n"/>
      <c r="I177" s="206" t="n"/>
      <c r="J177" s="206">
        <f>H177+I177</f>
        <v/>
      </c>
      <c r="K177" s="208" t="n"/>
      <c r="L177" s="206">
        <f>J177-K177</f>
        <v/>
      </c>
      <c r="M177" s="210" t="n">
        <v>1410339.33</v>
      </c>
      <c r="N177" s="206" t="n"/>
      <c r="O177" s="206">
        <f>L177-M177</f>
        <v/>
      </c>
      <c r="P177" s="206">
        <f>K177-N177</f>
        <v/>
      </c>
      <c r="Q177" s="206">
        <f>M177+O177</f>
        <v/>
      </c>
      <c r="R177" s="206">
        <f>M177+N177+O177+P177</f>
        <v/>
      </c>
      <c r="S177" s="206" t="n"/>
      <c r="T177" s="206" t="n"/>
      <c r="U177" s="206" t="n"/>
      <c r="V177" s="206" t="n"/>
      <c r="W177" s="293" t="n"/>
      <c r="X177" s="293" t="n"/>
      <c r="Y177" s="293" t="n"/>
      <c r="Z177" s="293" t="n"/>
      <c r="AA177" s="293" t="n"/>
      <c r="AB177" s="293" t="n"/>
      <c r="AC177" s="293" t="n"/>
      <c r="AD177" s="293" t="n"/>
      <c r="AE177" s="293" t="n"/>
      <c r="AF177" s="293" t="n"/>
      <c r="AG177" s="293" t="n"/>
      <c r="AH177" s="293" t="n"/>
      <c r="AI177" s="293" t="n"/>
      <c r="AJ177" s="293" t="n"/>
      <c r="AK177" s="293" t="n"/>
      <c r="AL177" s="293" t="n"/>
    </row>
    <row r="178">
      <c r="A178" s="206" t="n">
        <v>28</v>
      </c>
      <c r="B178" s="206" t="n"/>
      <c r="C178" s="207" t="n"/>
      <c r="D178" s="207" t="inlineStr">
        <is>
          <t>租车费</t>
        </is>
      </c>
      <c r="E178" s="206" t="n"/>
      <c r="F178" s="206" t="n"/>
      <c r="G178" s="206" t="n"/>
      <c r="H178" s="206" t="n"/>
      <c r="I178" s="206" t="n"/>
      <c r="J178" s="206">
        <f>H178+I178</f>
        <v/>
      </c>
      <c r="K178" s="208" t="n"/>
      <c r="L178" s="206">
        <f>J178-K178</f>
        <v/>
      </c>
      <c r="M178" s="210" t="n">
        <v>429894.83</v>
      </c>
      <c r="N178" s="206" t="n"/>
      <c r="O178" s="206">
        <f>L178-M178</f>
        <v/>
      </c>
      <c r="P178" s="206">
        <f>K178-N178</f>
        <v/>
      </c>
      <c r="Q178" s="206">
        <f>M178+O178</f>
        <v/>
      </c>
      <c r="R178" s="206">
        <f>M178+N178+O178+P178</f>
        <v/>
      </c>
      <c r="S178" s="206" t="n"/>
      <c r="T178" s="206" t="n"/>
      <c r="U178" s="206" t="n"/>
      <c r="V178" s="206" t="n"/>
      <c r="W178" s="293" t="n"/>
      <c r="X178" s="293" t="n"/>
      <c r="Y178" s="293" t="n"/>
      <c r="Z178" s="293" t="n"/>
      <c r="AA178" s="293" t="n"/>
      <c r="AB178" s="293" t="n"/>
      <c r="AC178" s="293" t="n"/>
      <c r="AD178" s="293" t="n"/>
      <c r="AE178" s="293" t="n"/>
      <c r="AF178" s="293" t="n"/>
      <c r="AG178" s="293" t="n"/>
      <c r="AH178" s="293" t="n"/>
      <c r="AI178" s="293" t="n"/>
      <c r="AJ178" s="293" t="n"/>
      <c r="AK178" s="293" t="n"/>
      <c r="AL178" s="293" t="n"/>
    </row>
    <row r="179">
      <c r="A179" s="206" t="n">
        <v>29</v>
      </c>
      <c r="B179" s="206" t="n"/>
      <c r="C179" s="207" t="n"/>
      <c r="D179" s="207" t="inlineStr">
        <is>
          <t>维修保养费</t>
        </is>
      </c>
      <c r="E179" s="206" t="n"/>
      <c r="F179" s="206" t="n"/>
      <c r="G179" s="206" t="n"/>
      <c r="H179" s="206" t="n"/>
      <c r="I179" s="206" t="n"/>
      <c r="J179" s="206">
        <f>H179+I179</f>
        <v/>
      </c>
      <c r="K179" s="208" t="n"/>
      <c r="L179" s="206">
        <f>J179-K179</f>
        <v/>
      </c>
      <c r="M179" s="210" t="n">
        <v>34521.89</v>
      </c>
      <c r="N179" s="206" t="n"/>
      <c r="O179" s="206">
        <f>L179-M179</f>
        <v/>
      </c>
      <c r="P179" s="206">
        <f>K179-N179</f>
        <v/>
      </c>
      <c r="Q179" s="206">
        <f>M179+O179</f>
        <v/>
      </c>
      <c r="R179" s="206">
        <f>M179+N179+O179+P179</f>
        <v/>
      </c>
      <c r="S179" s="206" t="n"/>
      <c r="T179" s="206" t="n"/>
      <c r="U179" s="206" t="n"/>
      <c r="V179" s="206" t="n"/>
      <c r="W179" s="293" t="n"/>
      <c r="X179" s="293" t="n"/>
      <c r="Y179" s="293" t="n"/>
      <c r="Z179" s="293" t="n"/>
      <c r="AA179" s="293" t="n"/>
      <c r="AB179" s="293" t="n"/>
      <c r="AC179" s="293" t="n"/>
      <c r="AD179" s="293" t="n"/>
      <c r="AE179" s="293" t="n"/>
      <c r="AF179" s="293" t="n"/>
      <c r="AG179" s="293" t="n"/>
      <c r="AH179" s="293" t="n"/>
      <c r="AI179" s="293" t="n"/>
      <c r="AJ179" s="293" t="n"/>
      <c r="AK179" s="293" t="n"/>
      <c r="AL179" s="293" t="n"/>
    </row>
    <row r="180">
      <c r="A180" s="206" t="n">
        <v>30</v>
      </c>
      <c r="B180" s="206" t="n"/>
      <c r="C180" s="207" t="n"/>
      <c r="D180" s="207" t="inlineStr">
        <is>
          <t>网络使用费</t>
        </is>
      </c>
      <c r="E180" s="206" t="n"/>
      <c r="F180" s="206" t="n"/>
      <c r="G180" s="206" t="n"/>
      <c r="H180" s="206" t="n"/>
      <c r="I180" s="206" t="n"/>
      <c r="J180" s="206">
        <f>H180+I180</f>
        <v/>
      </c>
      <c r="K180" s="208" t="n"/>
      <c r="L180" s="206">
        <f>J180-K180</f>
        <v/>
      </c>
      <c r="M180" s="210" t="n">
        <v>114830.51</v>
      </c>
      <c r="N180" s="206" t="n"/>
      <c r="O180" s="206">
        <f>L180-M180</f>
        <v/>
      </c>
      <c r="P180" s="206">
        <f>K180-N180</f>
        <v/>
      </c>
      <c r="Q180" s="206">
        <f>M180+O180</f>
        <v/>
      </c>
      <c r="R180" s="206">
        <f>M180+N180+O180+P180</f>
        <v/>
      </c>
      <c r="S180" s="206" t="n"/>
      <c r="T180" s="206" t="n"/>
      <c r="U180" s="206" t="n"/>
      <c r="V180" s="206" t="n"/>
      <c r="W180" s="293" t="n"/>
      <c r="X180" s="293" t="n"/>
      <c r="Y180" s="293" t="n"/>
      <c r="Z180" s="293" t="n"/>
      <c r="AA180" s="293" t="n"/>
      <c r="AB180" s="293" t="n"/>
      <c r="AC180" s="293" t="n"/>
      <c r="AD180" s="293" t="n"/>
      <c r="AE180" s="293" t="n"/>
      <c r="AF180" s="293" t="n"/>
      <c r="AG180" s="293" t="n"/>
      <c r="AH180" s="293" t="n"/>
      <c r="AI180" s="293" t="n"/>
      <c r="AJ180" s="293" t="n"/>
      <c r="AK180" s="293" t="n"/>
      <c r="AL180" s="293" t="n"/>
    </row>
    <row r="181">
      <c r="A181" s="206" t="n">
        <v>31</v>
      </c>
      <c r="B181" s="206" t="n"/>
      <c r="C181" s="207" t="n"/>
      <c r="D181" s="207" t="inlineStr">
        <is>
          <t>职工教育经费</t>
        </is>
      </c>
      <c r="E181" s="206" t="n"/>
      <c r="F181" s="206" t="n"/>
      <c r="G181" s="206" t="n"/>
      <c r="H181" s="206" t="n"/>
      <c r="I181" s="206" t="n"/>
      <c r="J181" s="206">
        <f>H181+I181</f>
        <v/>
      </c>
      <c r="K181" s="208" t="n"/>
      <c r="L181" s="206">
        <f>J181-K181</f>
        <v/>
      </c>
      <c r="M181" s="210" t="n">
        <v>135820.32</v>
      </c>
      <c r="N181" s="206" t="n"/>
      <c r="O181" s="206">
        <f>L181-M181</f>
        <v/>
      </c>
      <c r="P181" s="206">
        <f>K181-N181</f>
        <v/>
      </c>
      <c r="Q181" s="206">
        <f>M181+O181</f>
        <v/>
      </c>
      <c r="R181" s="206">
        <f>M181+N181+O181+P181</f>
        <v/>
      </c>
      <c r="S181" s="206" t="n"/>
      <c r="T181" s="206" t="n"/>
      <c r="U181" s="206" t="n"/>
      <c r="V181" s="206" t="n"/>
      <c r="W181" s="293" t="n"/>
      <c r="X181" s="293" t="n"/>
      <c r="Y181" s="293" t="n"/>
      <c r="Z181" s="293" t="n"/>
      <c r="AA181" s="293" t="n"/>
      <c r="AB181" s="293" t="n"/>
      <c r="AC181" s="293" t="n"/>
      <c r="AD181" s="293" t="n"/>
      <c r="AE181" s="293" t="n"/>
      <c r="AF181" s="293" t="n"/>
      <c r="AG181" s="293" t="n"/>
      <c r="AH181" s="293" t="n"/>
      <c r="AI181" s="293" t="n"/>
      <c r="AJ181" s="293" t="n"/>
      <c r="AK181" s="293" t="n"/>
      <c r="AL181" s="293" t="n"/>
    </row>
    <row r="182">
      <c r="A182" s="206" t="n">
        <v>32</v>
      </c>
      <c r="B182" s="206" t="n"/>
      <c r="C182" s="207" t="n"/>
      <c r="D182" s="207" t="inlineStr">
        <is>
          <t>职工福利费</t>
        </is>
      </c>
      <c r="E182" s="206" t="n"/>
      <c r="F182" s="206" t="n"/>
      <c r="G182" s="206" t="n"/>
      <c r="H182" s="206" t="n"/>
      <c r="I182" s="206" t="n"/>
      <c r="J182" s="206">
        <f>H182+I182</f>
        <v/>
      </c>
      <c r="K182" s="208" t="n"/>
      <c r="L182" s="206">
        <f>J182-K182</f>
        <v/>
      </c>
      <c r="M182" s="210" t="n">
        <v>824342.88</v>
      </c>
      <c r="N182" s="206" t="n"/>
      <c r="O182" s="206">
        <f>L182-M182</f>
        <v/>
      </c>
      <c r="P182" s="206">
        <f>K182-N182</f>
        <v/>
      </c>
      <c r="Q182" s="206">
        <f>M182+O182</f>
        <v/>
      </c>
      <c r="R182" s="206">
        <f>M182+N182+O182+P182</f>
        <v/>
      </c>
      <c r="S182" s="206" t="n"/>
      <c r="T182" s="206" t="n"/>
      <c r="U182" s="206" t="n"/>
      <c r="V182" s="206" t="n"/>
      <c r="W182" s="293" t="n"/>
      <c r="X182" s="293" t="n"/>
      <c r="Y182" s="293" t="n"/>
      <c r="Z182" s="293" t="n"/>
      <c r="AA182" s="293" t="n"/>
      <c r="AB182" s="293" t="n"/>
      <c r="AC182" s="293" t="n"/>
      <c r="AD182" s="293" t="n"/>
      <c r="AE182" s="293" t="n"/>
      <c r="AF182" s="293" t="n"/>
      <c r="AG182" s="293" t="n"/>
      <c r="AH182" s="293" t="n"/>
      <c r="AI182" s="293" t="n"/>
      <c r="AJ182" s="293" t="n"/>
      <c r="AK182" s="293" t="n"/>
      <c r="AL182" s="293" t="n"/>
    </row>
    <row r="183">
      <c r="A183" s="206" t="n">
        <v>33</v>
      </c>
      <c r="B183" s="206" t="n"/>
      <c r="C183" s="207" t="n"/>
      <c r="D183" s="207" t="inlineStr">
        <is>
          <t>补充医疗保险</t>
        </is>
      </c>
      <c r="E183" s="206" t="n"/>
      <c r="F183" s="206" t="n"/>
      <c r="G183" s="206" t="n"/>
      <c r="H183" s="206" t="n"/>
      <c r="I183" s="206" t="n"/>
      <c r="J183" s="206">
        <f>H183+I183</f>
        <v/>
      </c>
      <c r="K183" s="208" t="n"/>
      <c r="L183" s="206">
        <f>J183-K183</f>
        <v/>
      </c>
      <c r="M183" s="210" t="n">
        <v>7322.89</v>
      </c>
      <c r="N183" s="206" t="n"/>
      <c r="O183" s="206">
        <f>L183-M183</f>
        <v/>
      </c>
      <c r="P183" s="206">
        <f>K183-N183</f>
        <v/>
      </c>
      <c r="Q183" s="206">
        <f>M183+O183</f>
        <v/>
      </c>
      <c r="R183" s="206">
        <f>M183+N183+O183+P183</f>
        <v/>
      </c>
      <c r="S183" s="206" t="n"/>
      <c r="T183" s="206" t="n"/>
      <c r="U183" s="206" t="n"/>
      <c r="V183" s="206" t="n"/>
      <c r="W183" s="293" t="n"/>
      <c r="X183" s="293" t="n"/>
      <c r="Y183" s="293" t="n"/>
      <c r="Z183" s="293" t="n"/>
      <c r="AA183" s="293" t="n"/>
      <c r="AB183" s="293" t="n"/>
      <c r="AC183" s="293" t="n"/>
      <c r="AD183" s="293" t="n"/>
      <c r="AE183" s="293" t="n"/>
      <c r="AF183" s="293" t="n"/>
      <c r="AG183" s="293" t="n"/>
      <c r="AH183" s="293" t="n"/>
      <c r="AI183" s="293" t="n"/>
      <c r="AJ183" s="293" t="n"/>
      <c r="AK183" s="293" t="n"/>
      <c r="AL183" s="293" t="n"/>
    </row>
    <row r="184">
      <c r="A184" s="206" t="n">
        <v>34</v>
      </c>
      <c r="B184" s="206" t="n"/>
      <c r="C184" s="207" t="n"/>
      <c r="D184" s="207" t="inlineStr">
        <is>
          <t>诉讼费</t>
        </is>
      </c>
      <c r="E184" s="206" t="n"/>
      <c r="F184" s="206" t="n"/>
      <c r="G184" s="206" t="n"/>
      <c r="H184" s="206" t="n"/>
      <c r="I184" s="206" t="n"/>
      <c r="J184" s="206">
        <f>H184+I184</f>
        <v/>
      </c>
      <c r="K184" s="208" t="n"/>
      <c r="L184" s="206">
        <f>J184-K184</f>
        <v/>
      </c>
      <c r="M184" s="210" t="n">
        <v>36638.87</v>
      </c>
      <c r="N184" s="206" t="n"/>
      <c r="O184" s="206">
        <f>L184-M184</f>
        <v/>
      </c>
      <c r="P184" s="206">
        <f>K184-N184</f>
        <v/>
      </c>
      <c r="Q184" s="206">
        <f>M184+O184</f>
        <v/>
      </c>
      <c r="R184" s="206">
        <f>M184+N184+O184+P184</f>
        <v/>
      </c>
      <c r="S184" s="206" t="n"/>
      <c r="T184" s="206" t="n"/>
      <c r="U184" s="206" t="n"/>
      <c r="V184" s="206" t="n"/>
      <c r="W184" s="293" t="n"/>
      <c r="X184" s="293" t="n"/>
      <c r="Y184" s="293" t="n"/>
      <c r="Z184" s="293" t="n"/>
      <c r="AA184" s="293" t="n"/>
      <c r="AB184" s="293" t="n"/>
      <c r="AC184" s="293" t="n"/>
      <c r="AD184" s="293" t="n"/>
      <c r="AE184" s="293" t="n"/>
      <c r="AF184" s="293" t="n"/>
      <c r="AG184" s="293" t="n"/>
      <c r="AH184" s="293" t="n"/>
      <c r="AI184" s="293" t="n"/>
      <c r="AJ184" s="293" t="n"/>
      <c r="AK184" s="293" t="n"/>
      <c r="AL184" s="293" t="n"/>
    </row>
    <row r="185">
      <c r="A185" s="206" t="n">
        <v>35</v>
      </c>
      <c r="B185" s="206" t="n"/>
      <c r="C185" s="207" t="n"/>
      <c r="D185" s="207" t="inlineStr">
        <is>
          <t>路桥及停车费</t>
        </is>
      </c>
      <c r="E185" s="206" t="n"/>
      <c r="F185" s="206" t="n"/>
      <c r="G185" s="206" t="n"/>
      <c r="H185" s="206" t="n"/>
      <c r="I185" s="206" t="n"/>
      <c r="J185" s="206">
        <f>H185+I185</f>
        <v/>
      </c>
      <c r="K185" s="208" t="n"/>
      <c r="L185" s="206">
        <f>J185-K185</f>
        <v/>
      </c>
      <c r="M185" s="210" t="n">
        <v>78817.39999999999</v>
      </c>
      <c r="N185" s="206" t="n"/>
      <c r="O185" s="206">
        <f>L185-M185</f>
        <v/>
      </c>
      <c r="P185" s="206">
        <f>K185-N185</f>
        <v/>
      </c>
      <c r="Q185" s="206">
        <f>M185+O185</f>
        <v/>
      </c>
      <c r="R185" s="206">
        <f>M185+N185+O185+P185</f>
        <v/>
      </c>
      <c r="S185" s="206" t="n"/>
      <c r="T185" s="206" t="n"/>
      <c r="U185" s="206" t="n"/>
      <c r="V185" s="206" t="n"/>
      <c r="W185" s="293" t="n"/>
      <c r="X185" s="293" t="n"/>
      <c r="Y185" s="293" t="n"/>
      <c r="Z185" s="293" t="n"/>
      <c r="AA185" s="293" t="n"/>
      <c r="AB185" s="293" t="n"/>
      <c r="AC185" s="293" t="n"/>
      <c r="AD185" s="293" t="n"/>
      <c r="AE185" s="293" t="n"/>
      <c r="AF185" s="293" t="n"/>
      <c r="AG185" s="293" t="n"/>
      <c r="AH185" s="293" t="n"/>
      <c r="AI185" s="293" t="n"/>
      <c r="AJ185" s="293" t="n"/>
      <c r="AK185" s="293" t="n"/>
      <c r="AL185" s="293" t="n"/>
    </row>
    <row r="186">
      <c r="A186" s="206" t="n">
        <v>36</v>
      </c>
      <c r="B186" s="206" t="n"/>
      <c r="C186" s="207" t="n"/>
      <c r="D186" s="207" t="inlineStr">
        <is>
          <t>软件费</t>
        </is>
      </c>
      <c r="E186" s="206" t="n"/>
      <c r="F186" s="206" t="n"/>
      <c r="G186" s="206" t="n"/>
      <c r="H186" s="206" t="n"/>
      <c r="I186" s="206" t="n"/>
      <c r="J186" s="206">
        <f>H186+I186</f>
        <v/>
      </c>
      <c r="K186" s="208" t="n"/>
      <c r="L186" s="206">
        <f>J186-K186</f>
        <v/>
      </c>
      <c r="M186" s="210" t="n">
        <v>209326.47</v>
      </c>
      <c r="N186" s="206" t="n"/>
      <c r="O186" s="206">
        <f>L186-M186</f>
        <v/>
      </c>
      <c r="P186" s="206">
        <f>K186-N186</f>
        <v/>
      </c>
      <c r="Q186" s="206">
        <f>M186+O186</f>
        <v/>
      </c>
      <c r="R186" s="206">
        <f>M186+N186+O186+P186</f>
        <v/>
      </c>
      <c r="S186" s="206" t="n"/>
      <c r="T186" s="206" t="n"/>
      <c r="U186" s="206" t="n"/>
      <c r="V186" s="206" t="n"/>
      <c r="W186" s="293" t="n"/>
      <c r="X186" s="293" t="n"/>
      <c r="Y186" s="293" t="n"/>
      <c r="Z186" s="293" t="n"/>
      <c r="AA186" s="293" t="n"/>
      <c r="AB186" s="293" t="n"/>
      <c r="AC186" s="293" t="n"/>
      <c r="AD186" s="293" t="n"/>
      <c r="AE186" s="293" t="n"/>
      <c r="AF186" s="293" t="n"/>
      <c r="AG186" s="293" t="n"/>
      <c r="AH186" s="293" t="n"/>
      <c r="AI186" s="293" t="n"/>
      <c r="AJ186" s="293" t="n"/>
      <c r="AK186" s="293" t="n"/>
      <c r="AL186" s="293" t="n"/>
    </row>
    <row r="187">
      <c r="A187" s="206" t="n">
        <v>37</v>
      </c>
      <c r="B187" s="206" t="n"/>
      <c r="C187" s="207" t="n"/>
      <c r="D187" s="207" t="inlineStr">
        <is>
          <t>通信费</t>
        </is>
      </c>
      <c r="E187" s="206" t="n"/>
      <c r="F187" s="206" t="n"/>
      <c r="G187" s="206" t="n"/>
      <c r="H187" s="206" t="n"/>
      <c r="I187" s="206" t="n"/>
      <c r="J187" s="206">
        <f>H187+I187</f>
        <v/>
      </c>
      <c r="K187" s="208" t="n"/>
      <c r="L187" s="206">
        <f>J187-K187</f>
        <v/>
      </c>
      <c r="M187" s="210" t="n">
        <v>192969.09</v>
      </c>
      <c r="N187" s="206" t="n"/>
      <c r="O187" s="206">
        <f>L187-M187</f>
        <v/>
      </c>
      <c r="P187" s="206">
        <f>K187-N187</f>
        <v/>
      </c>
      <c r="Q187" s="206">
        <f>M187+O187</f>
        <v/>
      </c>
      <c r="R187" s="206">
        <f>M187+N187+O187+P187</f>
        <v/>
      </c>
      <c r="S187" s="206" t="n"/>
      <c r="T187" s="206" t="n"/>
      <c r="U187" s="206" t="n"/>
      <c r="V187" s="206" t="n"/>
      <c r="W187" s="293" t="n"/>
      <c r="X187" s="293" t="n"/>
      <c r="Y187" s="293" t="n"/>
      <c r="Z187" s="293" t="n"/>
      <c r="AA187" s="293" t="n"/>
      <c r="AB187" s="293" t="n"/>
      <c r="AC187" s="293" t="n"/>
      <c r="AD187" s="293" t="n"/>
      <c r="AE187" s="293" t="n"/>
      <c r="AF187" s="293" t="n"/>
      <c r="AG187" s="293" t="n"/>
      <c r="AH187" s="293" t="n"/>
      <c r="AI187" s="293" t="n"/>
      <c r="AJ187" s="293" t="n"/>
      <c r="AK187" s="293" t="n"/>
      <c r="AL187" s="293" t="n"/>
    </row>
    <row r="188">
      <c r="A188" s="206" t="n">
        <v>38</v>
      </c>
      <c r="B188" s="206" t="n"/>
      <c r="C188" s="207" t="n"/>
      <c r="D188" s="207" t="inlineStr">
        <is>
          <t>邮寄费</t>
        </is>
      </c>
      <c r="E188" s="206" t="n"/>
      <c r="F188" s="206" t="n"/>
      <c r="G188" s="206" t="n"/>
      <c r="H188" s="206" t="n"/>
      <c r="I188" s="206" t="n"/>
      <c r="J188" s="206">
        <f>H188+I188</f>
        <v/>
      </c>
      <c r="K188" s="208" t="n"/>
      <c r="L188" s="206">
        <f>J188-K188</f>
        <v/>
      </c>
      <c r="M188" s="210" t="n">
        <v>1030.72</v>
      </c>
      <c r="N188" s="206" t="n"/>
      <c r="O188" s="206">
        <f>L188-M188</f>
        <v/>
      </c>
      <c r="P188" s="206">
        <f>K188-N188</f>
        <v/>
      </c>
      <c r="Q188" s="206">
        <f>M188+O188</f>
        <v/>
      </c>
      <c r="R188" s="206">
        <f>M188+N188+O188+P188</f>
        <v/>
      </c>
      <c r="S188" s="206" t="n"/>
      <c r="T188" s="206" t="n"/>
      <c r="U188" s="206" t="n"/>
      <c r="V188" s="206" t="n"/>
      <c r="W188" s="293" t="n"/>
      <c r="X188" s="293" t="n"/>
      <c r="Y188" s="293" t="n"/>
      <c r="Z188" s="293" t="n"/>
      <c r="AA188" s="293" t="n"/>
      <c r="AB188" s="293" t="n"/>
      <c r="AC188" s="293" t="n"/>
      <c r="AD188" s="293" t="n"/>
      <c r="AE188" s="293" t="n"/>
      <c r="AF188" s="293" t="n"/>
      <c r="AG188" s="293" t="n"/>
      <c r="AH188" s="293" t="n"/>
      <c r="AI188" s="293" t="n"/>
      <c r="AJ188" s="293" t="n"/>
      <c r="AK188" s="293" t="n"/>
      <c r="AL188" s="293" t="n"/>
    </row>
    <row r="189">
      <c r="A189" s="282" t="n"/>
      <c r="B189" s="283" t="n"/>
      <c r="C189" s="283" t="n"/>
      <c r="D189" s="294" t="inlineStr">
        <is>
          <t>**财务未列部分需增列***</t>
        </is>
      </c>
      <c r="E189" s="295" t="n"/>
      <c r="F189" s="295" t="n"/>
      <c r="G189" s="295" t="n"/>
      <c r="H189" s="318" t="n"/>
      <c r="I189" s="285" t="n"/>
      <c r="J189" s="318" t="n"/>
      <c r="K189" s="286" t="n"/>
      <c r="L189" s="287" t="n"/>
      <c r="M189" s="318" t="n"/>
      <c r="N189" s="285" t="n"/>
      <c r="O189" s="285">
        <f>L189-M189</f>
        <v/>
      </c>
      <c r="P189" s="285">
        <f>K189-N189</f>
        <v/>
      </c>
      <c r="Q189" s="285">
        <f>M189+O189</f>
        <v/>
      </c>
      <c r="R189" s="285">
        <f>M189+N189+O189+P189</f>
        <v/>
      </c>
      <c r="S189" s="289">
        <f>SUM(T189:V189)</f>
        <v/>
      </c>
      <c r="T189" s="318" t="n"/>
      <c r="U189" s="318" t="n"/>
      <c r="V189" s="318" t="n"/>
      <c r="W189" s="318" t="n"/>
      <c r="X189" s="318" t="n"/>
      <c r="Y189" s="318" t="n"/>
      <c r="Z189" s="318" t="n"/>
      <c r="AA189" s="289" t="n"/>
      <c r="AB189" s="290" t="n"/>
      <c r="AC189" s="290" t="n"/>
      <c r="AD189" s="290" t="n"/>
      <c r="AE189" s="290" t="n"/>
      <c r="AF189" s="290" t="n"/>
      <c r="AG189" s="290" t="n"/>
      <c r="AH189" s="290" t="n"/>
      <c r="AI189" s="290" t="n"/>
      <c r="AJ189" s="290" t="n"/>
      <c r="AK189" s="290" t="n"/>
      <c r="AL189" s="297" t="n"/>
    </row>
    <row r="190">
      <c r="A190" s="319" t="n"/>
      <c r="B190" s="320" t="n"/>
      <c r="C190" s="320" t="n"/>
      <c r="D190" s="315" t="inlineStr">
        <is>
          <t>间接费小计：</t>
        </is>
      </c>
      <c r="E190" s="321" t="n"/>
      <c r="F190" s="321" t="n"/>
      <c r="G190" s="321" t="n"/>
      <c r="H190" s="301">
        <f>SUM(H150:H189)</f>
        <v/>
      </c>
      <c r="I190" s="301">
        <f>SUM(I150:I189)</f>
        <v/>
      </c>
      <c r="J190" s="301">
        <f>SUM(J150:J189)</f>
        <v/>
      </c>
      <c r="K190" s="301">
        <f>SUM(K150:K189)</f>
        <v/>
      </c>
      <c r="L190" s="317">
        <f>SUM(L150:L189)</f>
        <v/>
      </c>
      <c r="M190" s="317">
        <f>SUM(M150:M189)</f>
        <v/>
      </c>
      <c r="N190" s="317">
        <f>SUM(N150:N189)</f>
        <v/>
      </c>
      <c r="O190" s="317">
        <f>SUM(O150:O189)</f>
        <v/>
      </c>
      <c r="P190" s="317">
        <f>SUM(P150:P189)</f>
        <v/>
      </c>
      <c r="Q190" s="317">
        <f>SUM(Q150:Q189)</f>
        <v/>
      </c>
      <c r="R190" s="317">
        <f>SUM(R150:R189)</f>
        <v/>
      </c>
      <c r="S190" s="317">
        <f>SUM(S150:S189)</f>
        <v/>
      </c>
      <c r="T190" s="317" t="n"/>
      <c r="U190" s="317" t="n"/>
      <c r="V190" s="317" t="n"/>
      <c r="W190" s="317" t="n"/>
      <c r="X190" s="317" t="n"/>
      <c r="Y190" s="317" t="n"/>
      <c r="Z190" s="317">
        <f>SUM(Z150:Z189)</f>
        <v/>
      </c>
      <c r="AA190" s="317">
        <f>SUM(AA150:AA189)</f>
        <v/>
      </c>
      <c r="AB190" s="317">
        <f>SUM(AB150:AB189)</f>
        <v/>
      </c>
      <c r="AC190" s="317">
        <f>SUM(AC150:AC189)</f>
        <v/>
      </c>
      <c r="AD190" s="317">
        <f>SUM(AD150:AD189)</f>
        <v/>
      </c>
      <c r="AE190" s="317">
        <f>SUM(AE150:AE189)</f>
        <v/>
      </c>
      <c r="AF190" s="317">
        <f>SUM(AF150:AF189)</f>
        <v/>
      </c>
      <c r="AG190" s="317" t="n"/>
      <c r="AH190" s="317" t="n"/>
      <c r="AI190" s="317">
        <f>SUM(AI150:AI189)</f>
        <v/>
      </c>
      <c r="AJ190" s="317">
        <f>SUM(AJ150:AJ189)</f>
        <v/>
      </c>
      <c r="AK190" s="317">
        <f>SUM(AK150:AK189)</f>
        <v/>
      </c>
      <c r="AL190" s="297" t="n"/>
    </row>
    <row r="191">
      <c r="A191" s="282" t="n"/>
      <c r="B191" s="283" t="n"/>
      <c r="C191" s="283" t="n"/>
      <c r="D191" s="302" t="inlineStr">
        <is>
          <t>（七）安全费</t>
        </is>
      </c>
      <c r="E191" s="295" t="n"/>
      <c r="F191" s="295" t="n"/>
      <c r="G191" s="295" t="n"/>
      <c r="H191" s="285" t="n"/>
      <c r="I191" s="285" t="n"/>
      <c r="J191" s="288" t="n">
        <v>0</v>
      </c>
      <c r="K191" s="322" t="n"/>
      <c r="L191" s="287">
        <f>J191-N191-P191</f>
        <v/>
      </c>
      <c r="M191" s="285" t="n"/>
      <c r="N191" s="285" t="n"/>
      <c r="O191" s="285">
        <f>L191-M191</f>
        <v/>
      </c>
      <c r="P191" s="285">
        <f>K191-N191</f>
        <v/>
      </c>
      <c r="Q191" s="285">
        <f>M191+O191</f>
        <v/>
      </c>
      <c r="R191" s="285">
        <f>M191+N191+O191+P191</f>
        <v/>
      </c>
      <c r="S191" s="289">
        <f>SUM(T191:V191)</f>
        <v/>
      </c>
      <c r="T191" s="318" t="n"/>
      <c r="U191" s="318" t="n"/>
      <c r="V191" s="318" t="n"/>
      <c r="W191" s="318" t="n"/>
      <c r="X191" s="318" t="n"/>
      <c r="Y191" s="318" t="n"/>
      <c r="Z191" s="314" t="n"/>
      <c r="AA191" s="289" t="n"/>
      <c r="AB191" s="290" t="n"/>
      <c r="AC191" s="290" t="n"/>
      <c r="AD191" s="290" t="n"/>
      <c r="AE191" s="290" t="n"/>
      <c r="AF191" s="290" t="n"/>
      <c r="AG191" s="290" t="n"/>
      <c r="AH191" s="290" t="n"/>
      <c r="AI191" s="290" t="n"/>
      <c r="AJ191" s="290" t="n"/>
      <c r="AK191" s="290" t="n"/>
      <c r="AL191" s="297" t="n"/>
    </row>
    <row r="192">
      <c r="A192" s="206" t="n">
        <v>1</v>
      </c>
      <c r="B192" s="206" t="n"/>
      <c r="C192" s="207" t="n"/>
      <c r="D192" s="207" t="inlineStr">
        <is>
          <t>安全生产-人工费</t>
        </is>
      </c>
      <c r="E192" s="206" t="n"/>
      <c r="F192" s="206" t="n"/>
      <c r="G192" s="206" t="n"/>
      <c r="H192" s="206" t="n"/>
      <c r="I192" s="206" t="n"/>
      <c r="J192" s="206">
        <f>H192+I192</f>
        <v/>
      </c>
      <c r="K192" s="208" t="n"/>
      <c r="L192" s="206">
        <f>J192-K192</f>
        <v/>
      </c>
      <c r="M192" s="210" t="n">
        <v>2852405.63</v>
      </c>
      <c r="N192" s="206" t="n"/>
      <c r="O192" s="206">
        <f>L192-M192</f>
        <v/>
      </c>
      <c r="P192" s="206">
        <f>K192-N192</f>
        <v/>
      </c>
      <c r="Q192" s="206">
        <f>M192+O192</f>
        <v/>
      </c>
      <c r="R192" s="206">
        <f>M192+N192+O192+P192</f>
        <v/>
      </c>
      <c r="S192" s="206" t="n"/>
      <c r="T192" s="206" t="n"/>
      <c r="U192" s="206" t="n"/>
      <c r="V192" s="206" t="n"/>
      <c r="W192" s="293" t="n"/>
      <c r="X192" s="293" t="n"/>
      <c r="Y192" s="293" t="n"/>
      <c r="Z192" s="293" t="n"/>
      <c r="AA192" s="293" t="n"/>
      <c r="AB192" s="293" t="n"/>
      <c r="AC192" s="293" t="n"/>
      <c r="AD192" s="293" t="n"/>
      <c r="AE192" s="293" t="n"/>
      <c r="AF192" s="293" t="n"/>
      <c r="AG192" s="293" t="n"/>
      <c r="AH192" s="293" t="n"/>
      <c r="AI192" s="293" t="n"/>
      <c r="AJ192" s="293" t="n"/>
      <c r="AK192" s="293" t="n"/>
      <c r="AL192" s="293" t="n"/>
    </row>
    <row r="193">
      <c r="A193" s="206" t="n">
        <v>2</v>
      </c>
      <c r="B193" s="206" t="n"/>
      <c r="C193" s="207" t="n"/>
      <c r="D193" s="207" t="inlineStr">
        <is>
          <t>安全生产-分包工程</t>
        </is>
      </c>
      <c r="E193" s="206" t="n"/>
      <c r="F193" s="206" t="n"/>
      <c r="G193" s="206" t="n"/>
      <c r="H193" s="206" t="n"/>
      <c r="I193" s="206" t="n"/>
      <c r="J193" s="206">
        <f>H193+I193</f>
        <v/>
      </c>
      <c r="K193" s="208" t="n"/>
      <c r="L193" s="206">
        <f>J193-K193</f>
        <v/>
      </c>
      <c r="M193" s="210" t="n">
        <v>12546095.85</v>
      </c>
      <c r="N193" s="206" t="n"/>
      <c r="O193" s="206">
        <f>L193-M193</f>
        <v/>
      </c>
      <c r="P193" s="206">
        <f>K193-N193</f>
        <v/>
      </c>
      <c r="Q193" s="206">
        <f>M193+O193</f>
        <v/>
      </c>
      <c r="R193" s="206">
        <f>M193+N193+O193+P193</f>
        <v/>
      </c>
      <c r="S193" s="206" t="n"/>
      <c r="T193" s="206" t="n"/>
      <c r="U193" s="206" t="n"/>
      <c r="V193" s="206" t="n"/>
      <c r="W193" s="293" t="n"/>
      <c r="X193" s="293" t="n"/>
      <c r="Y193" s="293" t="n"/>
      <c r="Z193" s="293" t="n"/>
      <c r="AA193" s="293" t="n"/>
      <c r="AB193" s="293" t="n"/>
      <c r="AC193" s="293" t="n"/>
      <c r="AD193" s="293" t="n"/>
      <c r="AE193" s="293" t="n"/>
      <c r="AF193" s="293" t="n"/>
      <c r="AG193" s="293" t="n"/>
      <c r="AH193" s="293" t="n"/>
      <c r="AI193" s="293" t="n"/>
      <c r="AJ193" s="293" t="n"/>
      <c r="AK193" s="293" t="n"/>
      <c r="AL193" s="293" t="n"/>
    </row>
    <row r="194">
      <c r="A194" s="206" t="n">
        <v>3</v>
      </c>
      <c r="B194" s="206" t="n"/>
      <c r="C194" s="207" t="n"/>
      <c r="D194" s="207" t="inlineStr">
        <is>
          <t>安全生产-机械使用</t>
        </is>
      </c>
      <c r="E194" s="206" t="n"/>
      <c r="F194" s="206" t="n"/>
      <c r="G194" s="206" t="n"/>
      <c r="H194" s="206" t="n"/>
      <c r="I194" s="206" t="n"/>
      <c r="J194" s="206">
        <f>H194+I194</f>
        <v/>
      </c>
      <c r="K194" s="208" t="n"/>
      <c r="L194" s="206">
        <f>J194-K194</f>
        <v/>
      </c>
      <c r="M194" s="210" t="n">
        <v>326856.87</v>
      </c>
      <c r="N194" s="206" t="n"/>
      <c r="O194" s="206">
        <f>L194-M194</f>
        <v/>
      </c>
      <c r="P194" s="206">
        <f>K194-N194</f>
        <v/>
      </c>
      <c r="Q194" s="206">
        <f>M194+O194</f>
        <v/>
      </c>
      <c r="R194" s="206">
        <f>M194+N194+O194+P194</f>
        <v/>
      </c>
      <c r="S194" s="206" t="n"/>
      <c r="T194" s="206" t="n"/>
      <c r="U194" s="206" t="n"/>
      <c r="V194" s="206" t="n"/>
      <c r="W194" s="293" t="n"/>
      <c r="X194" s="293" t="n"/>
      <c r="Y194" s="293" t="n"/>
      <c r="Z194" s="293" t="n"/>
      <c r="AA194" s="293" t="n"/>
      <c r="AB194" s="293" t="n"/>
      <c r="AC194" s="293" t="n"/>
      <c r="AD194" s="293" t="n"/>
      <c r="AE194" s="293" t="n"/>
      <c r="AF194" s="293" t="n"/>
      <c r="AG194" s="293" t="n"/>
      <c r="AH194" s="293" t="n"/>
      <c r="AI194" s="293" t="n"/>
      <c r="AJ194" s="293" t="n"/>
      <c r="AK194" s="293" t="n"/>
      <c r="AL194" s="293" t="n"/>
    </row>
    <row r="195">
      <c r="A195" s="206" t="n">
        <v>4</v>
      </c>
      <c r="B195" s="206" t="n"/>
      <c r="C195" s="207" t="n"/>
      <c r="D195" s="207" t="inlineStr">
        <is>
          <t>安全生产费-报销</t>
        </is>
      </c>
      <c r="E195" s="206" t="n"/>
      <c r="F195" s="206" t="n"/>
      <c r="G195" s="206" t="n"/>
      <c r="H195" s="206" t="n"/>
      <c r="I195" s="206" t="n"/>
      <c r="J195" s="206">
        <f>H195+I195</f>
        <v/>
      </c>
      <c r="K195" s="208" t="n"/>
      <c r="L195" s="206">
        <f>J195-K195</f>
        <v/>
      </c>
      <c r="M195" s="210" t="n">
        <v>2066826.1</v>
      </c>
      <c r="N195" s="206" t="n"/>
      <c r="O195" s="206">
        <f>L195-M195</f>
        <v/>
      </c>
      <c r="P195" s="206">
        <f>K195-N195</f>
        <v/>
      </c>
      <c r="Q195" s="206">
        <f>M195+O195</f>
        <v/>
      </c>
      <c r="R195" s="206">
        <f>M195+N195+O195+P195</f>
        <v/>
      </c>
      <c r="S195" s="206" t="n"/>
      <c r="T195" s="206" t="n"/>
      <c r="U195" s="206" t="n"/>
      <c r="V195" s="206" t="n"/>
      <c r="W195" s="293" t="n"/>
      <c r="X195" s="293" t="n"/>
      <c r="Y195" s="293" t="n"/>
      <c r="Z195" s="293" t="n"/>
      <c r="AA195" s="293" t="n"/>
      <c r="AB195" s="293" t="n"/>
      <c r="AC195" s="293" t="n"/>
      <c r="AD195" s="293" t="n"/>
      <c r="AE195" s="293" t="n"/>
      <c r="AF195" s="293" t="n"/>
      <c r="AG195" s="293" t="n"/>
      <c r="AH195" s="293" t="n"/>
      <c r="AI195" s="293" t="n"/>
      <c r="AJ195" s="293" t="n"/>
      <c r="AK195" s="293" t="n"/>
      <c r="AL195" s="293" t="n"/>
    </row>
    <row r="196">
      <c r="A196" s="319" t="n"/>
      <c r="B196" s="320" t="n"/>
      <c r="C196" s="320" t="n"/>
      <c r="D196" s="315" t="inlineStr">
        <is>
          <t>安全费小计：</t>
        </is>
      </c>
      <c r="E196" s="315" t="n"/>
      <c r="F196" s="315" t="n"/>
      <c r="G196" s="315" t="n"/>
      <c r="H196" s="301">
        <f>SUM(H191:H195)</f>
        <v/>
      </c>
      <c r="I196" s="301">
        <f>SUM(I191:I195)</f>
        <v/>
      </c>
      <c r="J196" s="301" t="n">
        <v>0</v>
      </c>
      <c r="K196" s="301" t="n">
        <v>0</v>
      </c>
      <c r="L196" s="323">
        <f>J196-K196</f>
        <v/>
      </c>
      <c r="M196" s="317">
        <f>SUM(M191:M195)</f>
        <v/>
      </c>
      <c r="N196" s="317">
        <f>SUM(N191:N195)</f>
        <v/>
      </c>
      <c r="O196" s="317">
        <f>SUM(O191:O195)</f>
        <v/>
      </c>
      <c r="P196" s="317">
        <f>SUM(P191:P195)</f>
        <v/>
      </c>
      <c r="Q196" s="317">
        <f>SUM(Q191:Q195)</f>
        <v/>
      </c>
      <c r="R196" s="317">
        <f>SUM(R191:R195)</f>
        <v/>
      </c>
      <c r="S196" s="317">
        <f>SUM(S191:S195)</f>
        <v/>
      </c>
      <c r="T196" s="324" t="n"/>
      <c r="U196" s="324" t="n"/>
      <c r="V196" s="324" t="n"/>
      <c r="W196" s="324" t="n"/>
      <c r="X196" s="324" t="n"/>
      <c r="Y196" s="324" t="n"/>
      <c r="Z196" s="324" t="n"/>
      <c r="AA196" s="324">
        <f>SUM(AA191:AA195)</f>
        <v/>
      </c>
      <c r="AB196" s="324">
        <f>SUM(AB191:AB195)</f>
        <v/>
      </c>
      <c r="AC196" s="324">
        <f>SUM(AC191:AC195)</f>
        <v/>
      </c>
      <c r="AD196" s="324">
        <f>SUM(AD191:AD195)</f>
        <v/>
      </c>
      <c r="AE196" s="324">
        <f>SUM(AE191:AE195)</f>
        <v/>
      </c>
      <c r="AF196" s="324">
        <f>SUM(AF191:AF195)</f>
        <v/>
      </c>
      <c r="AG196" s="324" t="n"/>
      <c r="AH196" s="324" t="n"/>
      <c r="AI196" s="324">
        <f>SUM(AI191:AI195)</f>
        <v/>
      </c>
      <c r="AJ196" s="324">
        <f>SUM(AJ191:AJ195)</f>
        <v/>
      </c>
      <c r="AK196" s="324">
        <f>SUM(AK191:AK195)</f>
        <v/>
      </c>
      <c r="AL196" s="325" t="n"/>
    </row>
    <row r="197">
      <c r="A197" s="319" t="n"/>
      <c r="B197" s="320" t="n"/>
      <c r="C197" s="320" t="n"/>
      <c r="D197" s="315" t="inlineStr">
        <is>
          <t>三、成本合计：</t>
        </is>
      </c>
      <c r="E197" s="321" t="n"/>
      <c r="F197" s="321" t="n"/>
      <c r="G197" s="321" t="n"/>
      <c r="H197" s="301">
        <f>H35+H68+H124+H141+H149+H190+H196</f>
        <v/>
      </c>
      <c r="I197" s="301">
        <f>I35+I68+I124+I141+I149+I190+I196</f>
        <v/>
      </c>
      <c r="J197" s="301">
        <f>J35+J68+J124+J141+J149+J190+J196</f>
        <v/>
      </c>
      <c r="K197" s="301">
        <f>K35+K68+K124+K141+K149+K190+K196</f>
        <v/>
      </c>
      <c r="L197" s="317">
        <f>L35+L68+L124+L141+L149+L190+L196</f>
        <v/>
      </c>
      <c r="M197" s="324">
        <f>M35+M68+M124+M141+M149+M190+M196</f>
        <v/>
      </c>
      <c r="N197" s="324">
        <f>N35+N68+N124+N141+N149+N190+N196</f>
        <v/>
      </c>
      <c r="O197" s="324">
        <f>O35+O68+O124+O141+O149+O190+O196</f>
        <v/>
      </c>
      <c r="P197" s="324">
        <f>P35+P68+P124+P141+P149+P190+P196</f>
        <v/>
      </c>
      <c r="Q197" s="324">
        <f>Q35+Q68+Q124+Q141+Q149+Q190+Q196</f>
        <v/>
      </c>
      <c r="R197" s="324">
        <f>R35+R68+R124+R141+R149+R190+R196</f>
        <v/>
      </c>
      <c r="S197" s="324">
        <f>S35+S68+S124+S141+S149+S190+S196</f>
        <v/>
      </c>
      <c r="T197" s="324" t="n"/>
      <c r="U197" s="324" t="n"/>
      <c r="V197" s="324" t="n"/>
      <c r="W197" s="324" t="n"/>
      <c r="X197" s="324" t="n"/>
      <c r="Y197" s="324" t="n"/>
      <c r="Z197" s="324">
        <f>Z35+Z68+Z124+Z141+Z149+Z190+Z196</f>
        <v/>
      </c>
      <c r="AA197" s="324">
        <f>AA35+AA68+AA124+AA141+AA149+AA190+AA196</f>
        <v/>
      </c>
      <c r="AB197" s="324">
        <f>AB35+AB68+AB124+AB141+AB149+AB190+AB196</f>
        <v/>
      </c>
      <c r="AC197" s="324">
        <f>AC35+AC68+AC124+AC141+AC149+AC190+AC196</f>
        <v/>
      </c>
      <c r="AD197" s="324">
        <f>AD35+AD68+AD124+AD141+AD149+AD190+AD196</f>
        <v/>
      </c>
      <c r="AE197" s="324">
        <f>AE35+AE68+AE124+AE141+AE149+AE190+AE196</f>
        <v/>
      </c>
      <c r="AF197" s="324">
        <f>AF35+AF68+AF124+AF141+AF149+AF190+AF196</f>
        <v/>
      </c>
      <c r="AG197" s="324" t="n"/>
      <c r="AH197" s="324" t="n"/>
      <c r="AI197" s="324">
        <f>AI35+AI68+AI124+AI141+AI149+AI190+AI196</f>
        <v/>
      </c>
      <c r="AJ197" s="324">
        <f>AJ35+AJ68+AJ124+AJ141+AJ149+AJ190+AJ196</f>
        <v/>
      </c>
      <c r="AK197" s="324">
        <f>AK35+AK68+AK124+AK141+AK149+AK190+AK196</f>
        <v/>
      </c>
      <c r="AL197" s="325" t="n"/>
    </row>
    <row r="198">
      <c r="A198" s="319" t="n"/>
      <c r="B198" s="320" t="n"/>
      <c r="C198" s="320" t="n"/>
      <c r="D198" s="315" t="inlineStr">
        <is>
          <t>四、计提保修金</t>
        </is>
      </c>
      <c r="E198" s="321" t="inlineStr">
        <is>
          <t>（在建：房建0.6%，其它0.4%；在保修期间的按0.3~0.5%自行确定;保修期结束为0）</t>
        </is>
      </c>
      <c r="F198" s="321" t="n"/>
      <c r="G198" s="321" t="n"/>
      <c r="H198" s="301" t="n"/>
      <c r="I198" s="301" t="n"/>
      <c r="J198" s="301">
        <f>H198+I198</f>
        <v/>
      </c>
      <c r="K198" s="301" t="n"/>
      <c r="L198" s="317">
        <f>J198-K198</f>
        <v/>
      </c>
      <c r="M198" s="324" t="n"/>
      <c r="N198" s="324" t="n"/>
      <c r="O198" s="324">
        <f>L198-M198</f>
        <v/>
      </c>
      <c r="P198" s="324">
        <f>K198-N198</f>
        <v/>
      </c>
      <c r="Q198" s="324">
        <f>M198+O198</f>
        <v/>
      </c>
      <c r="R198" s="324">
        <f>M198+N198+O198+P198</f>
        <v/>
      </c>
      <c r="S198" s="324">
        <f>SUM(T198:V198)</f>
        <v/>
      </c>
      <c r="T198" s="324" t="n"/>
      <c r="U198" s="324" t="n"/>
      <c r="V198" s="324" t="n"/>
      <c r="W198" s="324" t="n"/>
      <c r="X198" s="324" t="n"/>
      <c r="Y198" s="324" t="n"/>
      <c r="Z198" s="324" t="n"/>
      <c r="AA198" s="324">
        <f>Q69-S69</f>
        <v/>
      </c>
      <c r="AB198" s="324" t="n"/>
      <c r="AC198" s="324" t="n"/>
      <c r="AD198" s="324" t="n"/>
      <c r="AE198" s="324" t="n"/>
      <c r="AF198" s="324" t="n"/>
      <c r="AG198" s="324" t="n"/>
      <c r="AH198" s="324" t="n"/>
      <c r="AI198" s="324" t="n"/>
      <c r="AJ198" s="324" t="n"/>
      <c r="AK198" s="324" t="n"/>
      <c r="AL198" s="325" t="n"/>
    </row>
    <row r="199">
      <c r="A199" s="319" t="n"/>
      <c r="B199" s="320" t="n"/>
      <c r="C199" s="320" t="n"/>
      <c r="D199" s="315" t="inlineStr">
        <is>
          <t>五、过程节点奖金</t>
        </is>
      </c>
      <c r="E199" s="321" t="n"/>
      <c r="F199" s="321" t="n"/>
      <c r="G199" s="321" t="n"/>
      <c r="H199" s="301" t="n"/>
      <c r="I199" s="301" t="n"/>
      <c r="J199" s="301">
        <f>H199+I199</f>
        <v/>
      </c>
      <c r="K199" s="301" t="n"/>
      <c r="L199" s="317">
        <f>J199-K199</f>
        <v/>
      </c>
      <c r="M199" s="324" t="n"/>
      <c r="N199" s="324" t="n"/>
      <c r="O199" s="324">
        <f>L199-M199</f>
        <v/>
      </c>
      <c r="P199" s="324">
        <f>K199-N199</f>
        <v/>
      </c>
      <c r="Q199" s="324">
        <f>M199+O199</f>
        <v/>
      </c>
      <c r="R199" s="324">
        <f>M199+N199+O199+P199</f>
        <v/>
      </c>
      <c r="S199" s="324">
        <f>SUM(T199:V199)</f>
        <v/>
      </c>
      <c r="T199" s="324" t="n"/>
      <c r="U199" s="324" t="n"/>
      <c r="V199" s="324" t="n"/>
      <c r="W199" s="324" t="n"/>
      <c r="X199" s="324" t="n"/>
      <c r="Y199" s="324" t="n"/>
      <c r="Z199" s="324" t="n"/>
      <c r="AA199" s="324" t="n"/>
      <c r="AB199" s="324" t="n"/>
      <c r="AC199" s="324" t="n"/>
      <c r="AD199" s="324" t="n"/>
      <c r="AE199" s="324" t="n"/>
      <c r="AF199" s="324" t="n"/>
      <c r="AG199" s="324" t="n"/>
      <c r="AH199" s="324" t="n"/>
      <c r="AI199" s="324" t="n"/>
      <c r="AJ199" s="324" t="n"/>
      <c r="AK199" s="324" t="n"/>
      <c r="AL199" s="325" t="n"/>
    </row>
    <row r="200">
      <c r="A200" s="319" t="n"/>
      <c r="B200" s="320" t="n"/>
      <c r="C200" s="320" t="n"/>
      <c r="D200" s="315" t="inlineStr">
        <is>
          <t>六、资金占用费用</t>
        </is>
      </c>
      <c r="E200" s="321" t="n"/>
      <c r="F200" s="321" t="n"/>
      <c r="G200" s="321" t="n"/>
      <c r="H200" s="301" t="n"/>
      <c r="I200" s="301" t="n"/>
      <c r="J200" s="301">
        <f>H200+I200</f>
        <v/>
      </c>
      <c r="K200" s="301" t="n"/>
      <c r="L200" s="317">
        <f>J200-K200</f>
        <v/>
      </c>
      <c r="M200" s="326" t="n">
        <v>6780777.21</v>
      </c>
      <c r="N200" s="324" t="n"/>
      <c r="O200" s="324">
        <f>L200-M200</f>
        <v/>
      </c>
      <c r="P200" s="324">
        <f>K200-N200</f>
        <v/>
      </c>
      <c r="Q200" s="324">
        <f>M200+O200</f>
        <v/>
      </c>
      <c r="R200" s="324">
        <f>M200+N200+O200+P200</f>
        <v/>
      </c>
      <c r="S200" s="324">
        <f>SUM(T200:V200)</f>
        <v/>
      </c>
      <c r="T200" s="324" t="n"/>
      <c r="U200" s="324" t="n"/>
      <c r="V200" s="324" t="n"/>
      <c r="W200" s="324" t="n"/>
      <c r="X200" s="324" t="n"/>
      <c r="Y200" s="324" t="n"/>
      <c r="Z200" s="324" t="n"/>
      <c r="AA200" s="324" t="n"/>
      <c r="AB200" s="324" t="n"/>
      <c r="AC200" s="324" t="n"/>
      <c r="AD200" s="324" t="n"/>
      <c r="AE200" s="324" t="n"/>
      <c r="AF200" s="324" t="n"/>
      <c r="AG200" s="324" t="n"/>
      <c r="AH200" s="324" t="n"/>
      <c r="AI200" s="324" t="n"/>
      <c r="AJ200" s="324" t="n"/>
      <c r="AK200" s="324" t="n"/>
      <c r="AL200" s="325" t="n"/>
    </row>
    <row r="201">
      <c r="A201" s="319" t="n"/>
      <c r="B201" s="320" t="n"/>
      <c r="C201" s="320" t="n"/>
      <c r="D201" s="315" t="inlineStr">
        <is>
          <t>七、局投资收益（局投资项目选填）</t>
        </is>
      </c>
      <c r="E201" s="321" t="n"/>
      <c r="F201" s="321" t="n"/>
      <c r="G201" s="321" t="n"/>
      <c r="H201" s="301" t="n"/>
      <c r="I201" s="301" t="n"/>
      <c r="J201" s="301">
        <f>H201+I201</f>
        <v/>
      </c>
      <c r="K201" s="301" t="n"/>
      <c r="L201" s="317">
        <f>J201-K201</f>
        <v/>
      </c>
      <c r="M201" s="324" t="n"/>
      <c r="N201" s="324" t="n"/>
      <c r="O201" s="324">
        <f>L201-M201</f>
        <v/>
      </c>
      <c r="P201" s="324">
        <f>K201-N201</f>
        <v/>
      </c>
      <c r="Q201" s="324">
        <f>M201+O201</f>
        <v/>
      </c>
      <c r="R201" s="324">
        <f>M201+N201+O201+P201</f>
        <v/>
      </c>
      <c r="S201" s="324">
        <f>SUM(T201:V201)</f>
        <v/>
      </c>
      <c r="T201" s="324" t="n"/>
      <c r="U201" s="324" t="n"/>
      <c r="V201" s="324" t="n"/>
      <c r="W201" s="324" t="n"/>
      <c r="X201" s="324" t="n"/>
      <c r="Y201" s="324" t="n"/>
      <c r="Z201" s="324" t="n"/>
      <c r="AA201" s="324" t="n"/>
      <c r="AB201" s="324" t="n"/>
      <c r="AC201" s="324" t="n"/>
      <c r="AD201" s="324" t="n"/>
      <c r="AE201" s="324" t="n"/>
      <c r="AF201" s="324" t="n"/>
      <c r="AG201" s="324" t="n"/>
      <c r="AH201" s="324" t="n"/>
      <c r="AI201" s="324" t="n"/>
      <c r="AJ201" s="324" t="n"/>
      <c r="AK201" s="324" t="n"/>
      <c r="AL201" s="325" t="n"/>
    </row>
    <row r="202">
      <c r="A202" s="319" t="n"/>
      <c r="B202" s="320" t="n"/>
      <c r="C202" s="320" t="n"/>
      <c r="D202" s="315" t="inlineStr">
        <is>
          <t>八、研发费用</t>
        </is>
      </c>
      <c r="E202" s="321" t="n"/>
      <c r="F202" s="321" t="n"/>
      <c r="G202" s="321" t="n"/>
      <c r="H202" s="301" t="n"/>
      <c r="I202" s="301" t="n"/>
      <c r="J202" s="301">
        <f>H202+I202</f>
        <v/>
      </c>
      <c r="K202" s="301" t="n"/>
      <c r="L202" s="317">
        <f>J202-K202</f>
        <v/>
      </c>
      <c r="M202" s="324">
        <f>SUM(M203:M207)</f>
        <v/>
      </c>
      <c r="N202" s="324">
        <f>SUM(N203:N207)</f>
        <v/>
      </c>
      <c r="O202" s="324">
        <f>SUM(O203:O207)</f>
        <v/>
      </c>
      <c r="P202" s="324">
        <f>SUM(P203:P207)</f>
        <v/>
      </c>
      <c r="Q202" s="324">
        <f>SUM(Q203:Q207)</f>
        <v/>
      </c>
      <c r="R202" s="324">
        <f>SUM(R203:R207)</f>
        <v/>
      </c>
      <c r="S202" s="324">
        <f>SUM(S203:S207)</f>
        <v/>
      </c>
      <c r="T202" s="324">
        <f>SUM(T203:T207)</f>
        <v/>
      </c>
      <c r="U202" s="324">
        <f>SUM(U203:U207)</f>
        <v/>
      </c>
      <c r="V202" s="324">
        <f>SUM(V203:V207)</f>
        <v/>
      </c>
      <c r="W202" s="324">
        <f>SUM(W203:W207)</f>
        <v/>
      </c>
      <c r="X202" s="324">
        <f>SUM(X203:X207)</f>
        <v/>
      </c>
      <c r="Y202" s="324">
        <f>SUM(Y203:Y207)</f>
        <v/>
      </c>
      <c r="Z202" s="324">
        <f>SUM(Z203:Z207)</f>
        <v/>
      </c>
      <c r="AA202" s="324">
        <f>SUM(AA203:AA207)</f>
        <v/>
      </c>
      <c r="AB202" s="324">
        <f>SUM(AB203:AB207)</f>
        <v/>
      </c>
      <c r="AC202" s="324">
        <f>SUM(AC203:AC207)</f>
        <v/>
      </c>
      <c r="AD202" s="324">
        <f>SUM(AD203:AD207)</f>
        <v/>
      </c>
      <c r="AE202" s="324">
        <f>SUM(AE203:AE207)</f>
        <v/>
      </c>
      <c r="AF202" s="324">
        <f>SUM(AF203:AF207)</f>
        <v/>
      </c>
      <c r="AG202" s="324">
        <f>SUM(AG203:AG207)</f>
        <v/>
      </c>
      <c r="AH202" s="324">
        <f>SUM(AH203:AH207)</f>
        <v/>
      </c>
      <c r="AI202" s="324">
        <f>SUM(AI203:AI207)</f>
        <v/>
      </c>
      <c r="AJ202" s="324">
        <f>SUM(AJ203:AJ207)</f>
        <v/>
      </c>
      <c r="AK202" s="324">
        <f>SUM(AK203:AK207)</f>
        <v/>
      </c>
      <c r="AL202" s="325" t="n"/>
    </row>
    <row r="203">
      <c r="A203" s="209" t="n">
        <v>1</v>
      </c>
      <c r="B203" s="209" t="n"/>
      <c r="C203" s="242" t="n"/>
      <c r="D203" s="242" t="inlineStr">
        <is>
          <t>人工成本</t>
        </is>
      </c>
      <c r="E203" s="209" t="n"/>
      <c r="F203" s="209" t="n"/>
      <c r="G203" s="209" t="n"/>
      <c r="H203" s="209" t="n"/>
      <c r="I203" s="209" t="n"/>
      <c r="J203" s="209" t="n"/>
      <c r="K203" s="209" t="n"/>
      <c r="L203" s="209" t="n"/>
      <c r="M203" s="243" t="n">
        <v>2069939.18</v>
      </c>
      <c r="N203" s="244" t="n"/>
      <c r="O203" s="244">
        <f>L203-M203</f>
        <v/>
      </c>
      <c r="P203" s="244">
        <f>K203-N203</f>
        <v/>
      </c>
      <c r="Q203" s="244">
        <f>M203+O203</f>
        <v/>
      </c>
      <c r="R203" s="244">
        <f>M203+N203+O203+P203</f>
        <v/>
      </c>
      <c r="S203" s="206" t="n"/>
      <c r="T203" s="244" t="n"/>
      <c r="U203" s="244" t="n"/>
      <c r="V203" s="244" t="n"/>
      <c r="W203" s="293" t="n"/>
      <c r="X203" s="293" t="n"/>
      <c r="Y203" s="293" t="n"/>
      <c r="Z203" s="293" t="n"/>
      <c r="AA203" s="293" t="n"/>
      <c r="AB203" s="293" t="n"/>
      <c r="AC203" s="293" t="n"/>
      <c r="AD203" s="293" t="n"/>
      <c r="AE203" s="293" t="n"/>
      <c r="AF203" s="293" t="n"/>
      <c r="AG203" s="293" t="n"/>
      <c r="AH203" s="293" t="n"/>
      <c r="AI203" s="293" t="n"/>
      <c r="AJ203" s="293" t="n"/>
      <c r="AK203" s="293" t="n"/>
      <c r="AL203" s="293" t="n"/>
    </row>
    <row r="204">
      <c r="A204" s="209" t="n">
        <v>2</v>
      </c>
      <c r="B204" s="209" t="n"/>
      <c r="C204" s="242" t="n"/>
      <c r="D204" s="242" t="inlineStr">
        <is>
          <t>可用存款</t>
        </is>
      </c>
      <c r="E204" s="209" t="n"/>
      <c r="F204" s="209" t="n"/>
      <c r="G204" s="209" t="n"/>
      <c r="H204" s="209" t="n"/>
      <c r="I204" s="209" t="n"/>
      <c r="J204" s="209" t="n"/>
      <c r="K204" s="209" t="n"/>
      <c r="L204" s="209" t="n"/>
      <c r="M204" s="243" t="n">
        <v>2358.5</v>
      </c>
      <c r="N204" s="244" t="n"/>
      <c r="O204" s="244">
        <f>L204-M204</f>
        <v/>
      </c>
      <c r="P204" s="244">
        <f>K204-N204</f>
        <v/>
      </c>
      <c r="Q204" s="244">
        <f>M204+O204</f>
        <v/>
      </c>
      <c r="R204" s="244">
        <f>M204+N204+O204+P204</f>
        <v/>
      </c>
      <c r="S204" s="206" t="n"/>
      <c r="T204" s="244" t="n"/>
      <c r="U204" s="244" t="n"/>
      <c r="V204" s="244" t="n"/>
      <c r="W204" s="293" t="n"/>
      <c r="X204" s="293" t="n"/>
      <c r="Y204" s="293" t="n"/>
      <c r="Z204" s="293" t="n"/>
      <c r="AA204" s="293" t="n"/>
      <c r="AB204" s="293" t="n"/>
      <c r="AC204" s="293" t="n"/>
      <c r="AD204" s="293" t="n"/>
      <c r="AE204" s="293" t="n"/>
      <c r="AF204" s="293" t="n"/>
      <c r="AG204" s="293" t="n"/>
      <c r="AH204" s="293" t="n"/>
      <c r="AI204" s="293" t="n"/>
      <c r="AJ204" s="293" t="n"/>
      <c r="AK204" s="293" t="n"/>
      <c r="AL204" s="293" t="n"/>
    </row>
    <row r="205">
      <c r="A205" s="209" t="n">
        <v>3</v>
      </c>
      <c r="B205" s="209" t="n"/>
      <c r="C205" s="242" t="n"/>
      <c r="D205" s="242" t="inlineStr">
        <is>
          <t>折旧</t>
        </is>
      </c>
      <c r="E205" s="209" t="n"/>
      <c r="F205" s="209" t="n"/>
      <c r="G205" s="209" t="n"/>
      <c r="H205" s="209" t="n"/>
      <c r="I205" s="209" t="n"/>
      <c r="J205" s="209" t="n"/>
      <c r="K205" s="209" t="n"/>
      <c r="L205" s="209" t="n"/>
      <c r="M205" s="243" t="n">
        <v>6857.02</v>
      </c>
      <c r="N205" s="244" t="n"/>
      <c r="O205" s="244">
        <f>L205-M205</f>
        <v/>
      </c>
      <c r="P205" s="244">
        <f>K205-N205</f>
        <v/>
      </c>
      <c r="Q205" s="244">
        <f>M205+O205</f>
        <v/>
      </c>
      <c r="R205" s="244">
        <f>M205+N205+O205+P205</f>
        <v/>
      </c>
      <c r="S205" s="206" t="n"/>
      <c r="T205" s="244" t="n"/>
      <c r="U205" s="244" t="n"/>
      <c r="V205" s="244" t="n"/>
      <c r="W205" s="293" t="n"/>
      <c r="X205" s="293" t="n"/>
      <c r="Y205" s="293" t="n"/>
      <c r="Z205" s="293" t="n"/>
      <c r="AA205" s="293" t="n"/>
      <c r="AB205" s="293" t="n"/>
      <c r="AC205" s="293" t="n"/>
      <c r="AD205" s="293" t="n"/>
      <c r="AE205" s="293" t="n"/>
      <c r="AF205" s="293" t="n"/>
      <c r="AG205" s="293" t="n"/>
      <c r="AH205" s="293" t="n"/>
      <c r="AI205" s="293" t="n"/>
      <c r="AJ205" s="293" t="n"/>
      <c r="AK205" s="293" t="n"/>
      <c r="AL205" s="293" t="n"/>
    </row>
    <row r="206">
      <c r="A206" s="209" t="n">
        <v>4</v>
      </c>
      <c r="B206" s="209" t="n"/>
      <c r="C206" s="242" t="n"/>
      <c r="D206" s="242" t="inlineStr">
        <is>
          <t>机械租赁</t>
        </is>
      </c>
      <c r="E206" s="209" t="n"/>
      <c r="F206" s="209" t="n"/>
      <c r="G206" s="209" t="n"/>
      <c r="H206" s="209" t="n"/>
      <c r="I206" s="209" t="n"/>
      <c r="J206" s="209" t="n"/>
      <c r="K206" s="209" t="n"/>
      <c r="L206" s="209" t="n"/>
      <c r="M206" s="243" t="n">
        <v>63495</v>
      </c>
      <c r="N206" s="244" t="n"/>
      <c r="O206" s="244">
        <f>L206-M206</f>
        <v/>
      </c>
      <c r="P206" s="244">
        <f>K206-N206</f>
        <v/>
      </c>
      <c r="Q206" s="244">
        <f>M206+O206</f>
        <v/>
      </c>
      <c r="R206" s="244">
        <f>M206+N206+O206+P206</f>
        <v/>
      </c>
      <c r="S206" s="206" t="n"/>
      <c r="T206" s="244" t="n"/>
      <c r="U206" s="244" t="n"/>
      <c r="V206" s="244" t="n"/>
      <c r="W206" s="293" t="n"/>
      <c r="X206" s="293" t="n"/>
      <c r="Y206" s="293" t="n"/>
      <c r="Z206" s="293" t="n"/>
      <c r="AA206" s="293" t="n"/>
      <c r="AB206" s="293" t="n"/>
      <c r="AC206" s="293" t="n"/>
      <c r="AD206" s="293" t="n"/>
      <c r="AE206" s="293" t="n"/>
      <c r="AF206" s="293" t="n"/>
      <c r="AG206" s="293" t="n"/>
      <c r="AH206" s="293" t="n"/>
      <c r="AI206" s="293" t="n"/>
      <c r="AJ206" s="293" t="n"/>
      <c r="AK206" s="293" t="n"/>
      <c r="AL206" s="293" t="n"/>
    </row>
    <row r="207">
      <c r="A207" s="209" t="n">
        <v>5</v>
      </c>
      <c r="B207" s="209" t="n"/>
      <c r="C207" s="242" t="n"/>
      <c r="D207" s="242" t="inlineStr">
        <is>
          <t>材料费</t>
        </is>
      </c>
      <c r="E207" s="209" t="n"/>
      <c r="F207" s="209" t="n"/>
      <c r="G207" s="209" t="n"/>
      <c r="H207" s="209" t="n"/>
      <c r="I207" s="209" t="n"/>
      <c r="J207" s="209" t="n"/>
      <c r="K207" s="209" t="n"/>
      <c r="L207" s="209" t="n"/>
      <c r="M207" s="243" t="n">
        <v>25030932</v>
      </c>
      <c r="N207" s="244" t="n"/>
      <c r="O207" s="244">
        <f>L207-M207</f>
        <v/>
      </c>
      <c r="P207" s="244">
        <f>K207-N207</f>
        <v/>
      </c>
      <c r="Q207" s="244">
        <f>M207+O207</f>
        <v/>
      </c>
      <c r="R207" s="244">
        <f>M207+N207+O207+P207</f>
        <v/>
      </c>
      <c r="S207" s="206" t="n"/>
      <c r="T207" s="244" t="n"/>
      <c r="U207" s="244" t="n"/>
      <c r="V207" s="244" t="n"/>
      <c r="W207" s="293" t="n"/>
      <c r="X207" s="293" t="n"/>
      <c r="Y207" s="293" t="n"/>
      <c r="Z207" s="293" t="n"/>
      <c r="AA207" s="293" t="n"/>
      <c r="AB207" s="293" t="n"/>
      <c r="AC207" s="293" t="n"/>
      <c r="AD207" s="293" t="n"/>
      <c r="AE207" s="293" t="n"/>
      <c r="AF207" s="293" t="n"/>
      <c r="AG207" s="293" t="n"/>
      <c r="AH207" s="293" t="n"/>
      <c r="AI207" s="293" t="n"/>
      <c r="AJ207" s="293" t="n"/>
      <c r="AK207" s="293" t="n"/>
      <c r="AL207" s="293" t="n"/>
    </row>
    <row r="208">
      <c r="A208" s="298" t="n"/>
      <c r="B208" s="299" t="n"/>
      <c r="C208" s="299" t="n"/>
      <c r="D208" s="315" t="inlineStr">
        <is>
          <t>九、成本及费用合计（三+四+五+六+七）</t>
        </is>
      </c>
      <c r="E208" s="316" t="n"/>
      <c r="F208" s="316" t="n"/>
      <c r="G208" s="316" t="n"/>
      <c r="H208" s="301">
        <f>H197+H198+H199+H200+H201+H202</f>
        <v/>
      </c>
      <c r="I208" s="301">
        <f>I197+I198+I199+I200+I201+I202</f>
        <v/>
      </c>
      <c r="J208" s="327">
        <f>J197+J198+J199+J200+J201+J202</f>
        <v/>
      </c>
      <c r="K208" s="301">
        <f>K197+K198+K199+K200+K201+K202</f>
        <v/>
      </c>
      <c r="L208" s="328">
        <f>L197+L198+L199+L200+L201+L202</f>
        <v/>
      </c>
      <c r="M208" s="328">
        <f>M197+M198+M199+M200+M201+M202</f>
        <v/>
      </c>
      <c r="N208" s="328">
        <f>N197+N198+N199+N200+N201+N202</f>
        <v/>
      </c>
      <c r="O208" s="328">
        <f>O197+O198+O199+O200+O201+O202</f>
        <v/>
      </c>
      <c r="P208" s="328">
        <f>P197+P198+P199+P200+P201+P202</f>
        <v/>
      </c>
      <c r="Q208" s="328">
        <f>Q197+Q198+Q199+Q200+Q201+Q202</f>
        <v/>
      </c>
      <c r="R208" s="328">
        <f>R197+R198+R199+R200+R201+R202</f>
        <v/>
      </c>
      <c r="S208" s="324">
        <f>S197+S198+S199+S200+S201+S202</f>
        <v/>
      </c>
      <c r="T208" s="324" t="n"/>
      <c r="U208" s="324" t="n"/>
      <c r="V208" s="324" t="n"/>
      <c r="W208" s="324" t="n"/>
      <c r="X208" s="324" t="n"/>
      <c r="Y208" s="324" t="n"/>
      <c r="Z208" s="324">
        <f>Z197+Z198+Z199+Z200+Z201+Z202</f>
        <v/>
      </c>
      <c r="AA208" s="324">
        <f>AA197+AA198+AA199+AA200+AA201+AA202</f>
        <v/>
      </c>
      <c r="AB208" s="329" t="n"/>
      <c r="AC208" s="329" t="n"/>
      <c r="AD208" s="329" t="n"/>
      <c r="AE208" s="329" t="n"/>
      <c r="AF208" s="329" t="n"/>
      <c r="AG208" s="329" t="n"/>
      <c r="AH208" s="329" t="n"/>
      <c r="AI208" s="329" t="n"/>
      <c r="AJ208" s="329" t="n"/>
      <c r="AK208" s="330" t="n"/>
      <c r="AL208" s="331" t="n"/>
    </row>
    <row r="209">
      <c r="A209" s="298" t="n"/>
      <c r="B209" s="299" t="n"/>
      <c r="C209" s="299" t="n"/>
      <c r="D209" s="315" t="inlineStr">
        <is>
          <t>十、增值税实际税负（按财务数据）</t>
        </is>
      </c>
      <c r="E209" s="316" t="inlineStr">
        <is>
          <t>根据财务账面实际已缴纳增值税额+尚需缴纳的增值税额</t>
        </is>
      </c>
      <c r="F209" s="316" t="n"/>
      <c r="G209" s="316" t="n"/>
      <c r="H209" s="301" t="n"/>
      <c r="I209" s="301" t="n"/>
      <c r="J209" s="327">
        <f>H78+I78</f>
        <v/>
      </c>
      <c r="K209" s="301" t="inlineStr">
        <is>
          <t>/</t>
        </is>
      </c>
      <c r="L209" s="328" t="inlineStr">
        <is>
          <t>/</t>
        </is>
      </c>
      <c r="M209" s="328" t="n"/>
      <c r="N209" s="328">
        <f>N6-N77</f>
        <v/>
      </c>
      <c r="O209" s="328" t="n"/>
      <c r="P209" s="328" t="n"/>
      <c r="Q209" s="328" t="inlineStr">
        <is>
          <t>/</t>
        </is>
      </c>
      <c r="R209" s="328">
        <f>N78+P78</f>
        <v/>
      </c>
      <c r="S209" s="324" t="n"/>
      <c r="T209" s="324" t="n"/>
      <c r="U209" s="324" t="n"/>
      <c r="V209" s="324" t="n"/>
      <c r="W209" s="324" t="n"/>
      <c r="X209" s="324" t="n"/>
      <c r="Y209" s="324" t="n"/>
      <c r="Z209" s="324" t="n"/>
      <c r="AA209" s="324" t="n"/>
      <c r="AB209" s="329" t="n"/>
      <c r="AC209" s="329" t="n"/>
      <c r="AD209" s="329" t="n"/>
      <c r="AE209" s="329" t="n"/>
      <c r="AF209" s="329" t="n"/>
      <c r="AG209" s="329" t="n"/>
      <c r="AH209" s="329" t="n"/>
      <c r="AI209" s="329" t="n"/>
      <c r="AJ209" s="329" t="n"/>
      <c r="AK209" s="330" t="n"/>
      <c r="AL209" s="331" t="n"/>
    </row>
    <row r="210">
      <c r="A210" s="298" t="n"/>
      <c r="B210" s="299" t="n"/>
      <c r="C210" s="299" t="n"/>
      <c r="D210" s="315" t="inlineStr">
        <is>
          <t>十一、税金及附加（按财务数据）</t>
        </is>
      </c>
      <c r="E210" s="316" t="inlineStr">
        <is>
          <t>根据财务账面实际已缴纳税金及附加+尚需缴纳的税金及附加</t>
        </is>
      </c>
      <c r="F210" s="316" t="n"/>
      <c r="G210" s="316" t="n"/>
      <c r="H210" s="301" t="n"/>
      <c r="I210" s="301" t="n"/>
      <c r="J210" s="327">
        <f>H79+I79</f>
        <v/>
      </c>
      <c r="K210" s="301" t="n"/>
      <c r="L210" s="328">
        <f>J79</f>
        <v/>
      </c>
      <c r="M210" s="332" t="n">
        <v>349670.26</v>
      </c>
      <c r="N210" s="328" t="n"/>
      <c r="O210" s="328">
        <f>L79-M79</f>
        <v/>
      </c>
      <c r="P210" s="328" t="n"/>
      <c r="Q210" s="328">
        <f>M79+O79</f>
        <v/>
      </c>
      <c r="R210" s="328">
        <f>Q79</f>
        <v/>
      </c>
      <c r="S210" s="324" t="n"/>
      <c r="T210" s="324" t="n"/>
      <c r="U210" s="324" t="n"/>
      <c r="V210" s="324" t="n"/>
      <c r="W210" s="324" t="n"/>
      <c r="X210" s="324" t="n"/>
      <c r="Y210" s="324" t="n"/>
      <c r="Z210" s="324" t="n"/>
      <c r="AA210" s="324" t="n"/>
      <c r="AB210" s="329" t="n"/>
      <c r="AC210" s="329" t="n"/>
      <c r="AD210" s="329" t="n"/>
      <c r="AE210" s="329" t="n"/>
      <c r="AF210" s="329" t="n"/>
      <c r="AG210" s="329" t="n"/>
      <c r="AH210" s="329" t="n"/>
      <c r="AI210" s="329" t="n"/>
      <c r="AJ210" s="329" t="n"/>
      <c r="AK210" s="330" t="n"/>
      <c r="AL210" s="331" t="n"/>
    </row>
    <row r="211">
      <c r="A211" s="298" t="n"/>
      <c r="B211" s="299" t="n"/>
      <c r="C211" s="299" t="n"/>
      <c r="D211" s="315" t="inlineStr">
        <is>
          <t>十二、利润</t>
        </is>
      </c>
      <c r="E211" s="316" t="n"/>
      <c r="F211" s="316" t="n"/>
      <c r="G211" s="316" t="n"/>
      <c r="H211" s="301" t="n"/>
      <c r="I211" s="301" t="n"/>
      <c r="J211" s="327">
        <f>J6-J208-J209-J210</f>
        <v/>
      </c>
      <c r="K211" s="301" t="n"/>
      <c r="L211" s="328" t="n"/>
      <c r="M211" s="328" t="n"/>
      <c r="N211" s="328" t="n"/>
      <c r="O211" s="328" t="n"/>
      <c r="P211" s="328" t="n"/>
      <c r="Q211" s="328" t="n"/>
      <c r="R211" s="328" t="n"/>
      <c r="S211" s="324" t="n"/>
      <c r="T211" s="324" t="n"/>
      <c r="U211" s="324" t="n"/>
      <c r="V211" s="324" t="n"/>
      <c r="W211" s="324" t="n"/>
      <c r="X211" s="324" t="n"/>
      <c r="Y211" s="324" t="n"/>
      <c r="Z211" s="324" t="n"/>
      <c r="AA211" s="324" t="n"/>
      <c r="AB211" s="329" t="n"/>
      <c r="AC211" s="329" t="n"/>
      <c r="AD211" s="329" t="n"/>
      <c r="AE211" s="329" t="n"/>
      <c r="AF211" s="329" t="n"/>
      <c r="AG211" s="329" t="n"/>
      <c r="AH211" s="329" t="n"/>
      <c r="AI211" s="329" t="n"/>
      <c r="AJ211" s="329" t="n"/>
      <c r="AK211" s="330" t="n"/>
      <c r="AL211" s="331" t="n"/>
    </row>
    <row r="212">
      <c r="A212" s="333" t="n"/>
      <c r="B212" s="334" t="n"/>
      <c r="C212" s="334" t="n"/>
      <c r="D212" s="335" t="inlineStr">
        <is>
          <t>十三、利润率</t>
        </is>
      </c>
      <c r="E212" s="336" t="n"/>
      <c r="F212" s="336" t="n"/>
      <c r="G212" s="336" t="n"/>
      <c r="H212" s="337" t="n"/>
      <c r="I212" s="337" t="n"/>
      <c r="J212" s="337">
        <f>J211/J6</f>
        <v/>
      </c>
      <c r="K212" s="337" t="n"/>
      <c r="L212" s="338">
        <f>L211/L6</f>
        <v/>
      </c>
      <c r="M212" s="338">
        <f>M211/M6</f>
        <v/>
      </c>
      <c r="N212" s="338" t="n"/>
      <c r="O212" s="338" t="n"/>
      <c r="P212" s="338" t="n"/>
      <c r="Q212" s="338">
        <f>Q211/Q6</f>
        <v/>
      </c>
      <c r="R212" s="338">
        <f>R211/R6</f>
        <v/>
      </c>
      <c r="S212" s="339" t="n"/>
      <c r="T212" s="339" t="n"/>
      <c r="U212" s="339" t="n"/>
      <c r="V212" s="339" t="n"/>
      <c r="W212" s="339" t="n"/>
      <c r="X212" s="339" t="n"/>
      <c r="Y212" s="339" t="n"/>
      <c r="Z212" s="339" t="n"/>
      <c r="AA212" s="339" t="n"/>
      <c r="AB212" s="340" t="n"/>
      <c r="AC212" s="340" t="n"/>
      <c r="AD212" s="340" t="n"/>
      <c r="AE212" s="340" t="n"/>
      <c r="AF212" s="340" t="n"/>
      <c r="AG212" s="340" t="n"/>
      <c r="AH212" s="340" t="n"/>
      <c r="AI212" s="340" t="n"/>
      <c r="AJ212" s="340" t="n"/>
      <c r="AK212" s="341" t="n"/>
      <c r="AL212" s="342" t="n"/>
    </row>
    <row r="213">
      <c r="A213" s="111" t="n"/>
      <c r="B213" s="111" t="n"/>
      <c r="C213" s="111" t="n"/>
      <c r="D213" s="112" t="n"/>
      <c r="E213" s="113" t="n"/>
      <c r="F213" s="113" t="n"/>
      <c r="G213" s="113" t="n"/>
      <c r="H213" s="251" t="n"/>
      <c r="I213" s="251" t="n"/>
      <c r="J213" s="252" t="inlineStr">
        <is>
          <t>含税利润率</t>
        </is>
      </c>
      <c r="K213" s="253" t="n"/>
      <c r="L213" s="254" t="inlineStr">
        <is>
          <t>不含税利润率</t>
        </is>
      </c>
      <c r="M213" s="255" t="n"/>
      <c r="N213" s="255" t="n"/>
      <c r="O213" s="255" t="n"/>
      <c r="P213" s="255" t="n"/>
      <c r="Q213" s="255" t="n"/>
      <c r="R213" s="255" t="n"/>
      <c r="S213" s="255" t="n"/>
      <c r="T213" s="255" t="n"/>
      <c r="U213" s="255" t="n"/>
      <c r="V213" s="255" t="n"/>
      <c r="W213" s="255" t="n"/>
      <c r="X213" s="255" t="n"/>
      <c r="Y213" s="255" t="n"/>
      <c r="Z213" s="256" t="n"/>
      <c r="AA213" s="162" t="n"/>
      <c r="AB213" s="257" t="n"/>
      <c r="AC213" s="257" t="n"/>
      <c r="AD213" s="257" t="n"/>
      <c r="AE213" s="257" t="n"/>
      <c r="AF213" s="257" t="n"/>
      <c r="AG213" s="257" t="n"/>
      <c r="AH213" s="257" t="n"/>
      <c r="AI213" s="257" t="n"/>
      <c r="AJ213" s="257" t="n"/>
      <c r="AK213" s="257" t="n"/>
      <c r="AL213" s="156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2026-04-22T08:42:12Z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