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5" authorId="0" shapeId="0">
      <text>
        <t>于:
**同财务账面合同履约成本/工程施工成本/直接人工费数据一致**</t>
      </text>
    </comment>
    <comment ref="F35" authorId="0" shapeId="0">
      <text>
        <t>于:
**同财务账面合同履约成本/工程施工成本/直接人工费数据一致**</t>
      </text>
    </comment>
    <comment ref="G35" authorId="0" shapeId="0">
      <text>
        <t>于:
**同财务账面合同履约成本/工程施工成本/直接人工费数据一致**</t>
      </text>
    </comment>
    <comment ref="H35" authorId="0" shapeId="0">
      <text>
        <t>于:
**同财务账面合同履约成本/工程施工成本/直接人工费数据一致**</t>
      </text>
    </comment>
    <comment ref="I35" authorId="0" shapeId="0">
      <text>
        <t>于:
**同财务账面合同履约成本/工程施工成本/直接人工费数据一致**</t>
      </text>
    </comment>
    <comment ref="J35" authorId="0" shapeId="0">
      <text>
        <t>于:
**同财务账面合同履约成本/工程施工成本/直接人工费数据一致**</t>
      </text>
    </comment>
    <comment ref="K35" authorId="0" shapeId="0">
      <text>
        <t>于:
**同财务账面合同履约成本/工程施工成本/直接人工费数据一致**</t>
      </text>
    </comment>
    <comment ref="L35" authorId="0" shapeId="0">
      <text>
        <t>于:
**同财务账面合同履约成本/工程施工成本/直接人工费数据一致**</t>
      </text>
    </comment>
    <comment ref="M35" authorId="0" shapeId="0">
      <text>
        <t>于:
**同财务账面合同履约成本/工程施工成本/直接人工费数据一致**</t>
      </text>
    </comment>
    <comment ref="N35" authorId="0" shapeId="0">
      <text>
        <t>于:
**同财务账面合同履约成本/工程施工成本/直接人工费数据一致**</t>
      </text>
    </comment>
    <comment ref="O35" authorId="0" shapeId="0">
      <text>
        <t>于:
**同财务账面合同履约成本/工程施工成本/直接人工费数据一致**</t>
      </text>
    </comment>
    <comment ref="P35" authorId="0" shapeId="0">
      <text>
        <t>于:
**同财务账面合同履约成本/工程施工成本/直接人工费数据一致**</t>
      </text>
    </comment>
    <comment ref="Q35" authorId="0" shapeId="0">
      <text>
        <t>于:
**同财务账面合同履约成本/工程施工成本/直接人工费数据一致**</t>
      </text>
    </comment>
    <comment ref="R35" authorId="0" shapeId="0">
      <text>
        <t>于:
**同财务账面合同履约成本/工程施工成本/直接人工费数据一致**</t>
      </text>
    </comment>
    <comment ref="S35" authorId="0" shapeId="0">
      <text>
        <t>于:
**同财务账面合同履约成本/工程施工成本/直接人工费数据一致**</t>
      </text>
    </comment>
    <comment ref="T35" authorId="0" shapeId="0">
      <text>
        <t>于:
**同财务账面合同履约成本/工程施工成本/直接人工费数据一致**</t>
      </text>
    </comment>
    <comment ref="U35" authorId="0" shapeId="0">
      <text>
        <t>于:
**同财务账面合同履约成本/工程施工成本/直接人工费数据一致**</t>
      </text>
    </comment>
    <comment ref="V35" authorId="0" shapeId="0">
      <text>
        <t>于:
**同财务账面合同履约成本/工程施工成本/直接人工费数据一致**</t>
      </text>
    </comment>
    <comment ref="W35" authorId="0" shapeId="0">
      <text>
        <t>于:
**同财务账面合同履约成本/工程施工成本/直接人工费数据一致**</t>
      </text>
    </comment>
    <comment ref="X35" authorId="0" shapeId="0">
      <text>
        <t>于:
**同财务账面合同履约成本/工程施工成本/直接人工费数据一致**</t>
      </text>
    </comment>
    <comment ref="Y35" authorId="0" shapeId="0">
      <text>
        <t>于:
**同财务账面合同履约成本/工程施工成本/直接人工费数据一致**</t>
      </text>
    </comment>
    <comment ref="Z35" authorId="0" shapeId="0">
      <text>
        <t>于:
**同财务账面合同履约成本/工程施工成本/直接人工费数据一致**</t>
      </text>
    </comment>
    <comment ref="AA35" authorId="0" shapeId="0">
      <text>
        <t>于:
**同财务账面合同履约成本/工程施工成本/直接人工费数据一致**</t>
      </text>
    </comment>
    <comment ref="AB35" authorId="0" shapeId="0">
      <text>
        <t>于:
**同财务账面合同履约成本/工程施工成本/直接人工费数据一致**</t>
      </text>
    </comment>
    <comment ref="AC35" authorId="0" shapeId="0">
      <text>
        <t>于:
**同财务账面合同履约成本/工程施工成本/直接人工费数据一致**</t>
      </text>
    </comment>
    <comment ref="AD35" authorId="0" shapeId="0">
      <text>
        <t>于:
**同财务账面合同履约成本/工程施工成本/直接人工费数据一致**</t>
      </text>
    </comment>
    <comment ref="AE35" authorId="0" shapeId="0">
      <text>
        <t>于:
**同财务账面合同履约成本/工程施工成本/直接人工费数据一致**</t>
      </text>
    </comment>
    <comment ref="AF35" authorId="0" shapeId="0">
      <text>
        <t>于:
**同财务账面合同履约成本/工程施工成本/直接人工费数据一致**</t>
      </text>
    </comment>
    <comment ref="AG35" authorId="0" shapeId="0">
      <text>
        <t>于:
**同财务账面合同履约成本/工程施工成本/直接人工费数据一致**</t>
      </text>
    </comment>
    <comment ref="AH35" authorId="0" shapeId="0">
      <text>
        <t>于:
**同财务账面合同履约成本/工程施工成本/直接人工费数据一致**</t>
      </text>
    </comment>
    <comment ref="AI35" authorId="0" shapeId="0">
      <text>
        <t>于:
**同财务账面合同履约成本/工程施工成本/直接人工费数据一致**</t>
      </text>
    </comment>
    <comment ref="AJ35" authorId="0" shapeId="0">
      <text>
        <t>于:
**同财务账面合同履约成本/工程施工成本/直接人工费数据一致**</t>
      </text>
    </comment>
    <comment ref="AK35" authorId="0" shapeId="0">
      <text>
        <t>于:
**同财务账面合同履约成本/工程施工成本/直接人工费数据一致**</t>
      </text>
    </comment>
    <comment ref="M141" authorId="1" shapeId="0">
      <text>
        <t xml:space="preserve">**同财务账面合同履约成本/工程施工成本/机械租赁费数据一致**
</t>
      </text>
    </comment>
    <comment ref="M149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8" authorId="2" shapeId="0">
      <text>
        <t>（在建：房建0.6%，其它0.4%；在保修期间的按0.3~0.5%自行确定;保修期结束为0）</t>
      </text>
    </comment>
    <comment ref="E212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3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1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67151447.97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ZGD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42912.81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33" t="n"/>
      <c r="B34" s="199" t="n"/>
      <c r="C34" s="199" t="n"/>
      <c r="D34" s="211" t="inlineStr">
        <is>
          <t>**财务未列部分需增列***</t>
        </is>
      </c>
      <c r="E34" s="212" t="n"/>
      <c r="F34" s="212" t="n"/>
      <c r="G34" s="212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189" t="n"/>
      <c r="U34" s="189" t="n"/>
      <c r="V34" s="189" t="n"/>
      <c r="W34" s="189" t="n"/>
      <c r="X34" s="189" t="n"/>
      <c r="Y34" s="189" t="n"/>
      <c r="Z34" s="189">
        <f>SUM(AA16:AJ16)</f>
        <v/>
      </c>
      <c r="AA34" s="213" t="n"/>
      <c r="AB34" s="188" t="n"/>
      <c r="AC34" s="188" t="n"/>
      <c r="AD34" s="188" t="n"/>
      <c r="AE34" s="188" t="n"/>
      <c r="AF34" s="188" t="n"/>
      <c r="AG34" s="188" t="n"/>
      <c r="AH34" s="188" t="n"/>
      <c r="AI34" s="188" t="n"/>
      <c r="AJ34" s="188" t="n"/>
      <c r="AK34" s="188">
        <f>AB16/1.17*0.17+AC16/1.16*0.16+AD16/1.11*0.11+AE16/1.1*0.1+AF16/1.09*0.09+AI16/1.03*0.03</f>
        <v/>
      </c>
      <c r="AL34" s="214" t="n"/>
    </row>
    <row r="35" ht="14" customFormat="1" customHeight="1" s="180">
      <c r="A35" s="41" t="n"/>
      <c r="B35" s="215" t="n"/>
      <c r="C35" s="215" t="n"/>
      <c r="D35" s="216" t="inlineStr">
        <is>
          <t>人工费小计：</t>
        </is>
      </c>
      <c r="E35" s="217">
        <f>SUM(E12:E34)</f>
        <v/>
      </c>
      <c r="F35" s="217">
        <f>SUM(F12:F34)</f>
        <v/>
      </c>
      <c r="G35" s="217">
        <f>SUM(G12:G34)</f>
        <v/>
      </c>
      <c r="H35" s="217">
        <f>SUM(H12:H34)</f>
        <v/>
      </c>
      <c r="I35" s="217">
        <f>SUM(I12:I34)</f>
        <v/>
      </c>
      <c r="J35" s="217">
        <f>SUM(J12:J34)</f>
        <v/>
      </c>
      <c r="K35" s="217">
        <f>SUM(K12:K34)</f>
        <v/>
      </c>
      <c r="L35" s="217">
        <f>SUM(L12:L34)</f>
        <v/>
      </c>
      <c r="M35" s="217">
        <f>SUM(M12:M34)</f>
        <v/>
      </c>
      <c r="N35" s="217">
        <f>SUM(N12:N34)</f>
        <v/>
      </c>
      <c r="O35" s="217">
        <f>SUM(O12:O34)</f>
        <v/>
      </c>
      <c r="P35" s="217">
        <f>SUM(P12:P34)</f>
        <v/>
      </c>
      <c r="Q35" s="217">
        <f>SUM(Q12:Q34)</f>
        <v/>
      </c>
      <c r="R35" s="217">
        <f>SUM(R12:R34)</f>
        <v/>
      </c>
      <c r="S35" s="217">
        <f>SUM(S12:S34)</f>
        <v/>
      </c>
      <c r="T35" s="217">
        <f>SUM(T12:T34)</f>
        <v/>
      </c>
      <c r="U35" s="217">
        <f>SUM(U12:U34)</f>
        <v/>
      </c>
      <c r="V35" s="217">
        <f>SUM(V12:V34)</f>
        <v/>
      </c>
      <c r="W35" s="217">
        <f>SUM(W12:W34)</f>
        <v/>
      </c>
      <c r="X35" s="217">
        <f>SUM(X12:X34)</f>
        <v/>
      </c>
      <c r="Y35" s="217">
        <f>SUM(Y12:Y34)</f>
        <v/>
      </c>
      <c r="Z35" s="217">
        <f>SUM(Z12:Z34)</f>
        <v/>
      </c>
      <c r="AA35" s="217">
        <f>SUM(AA12:AA34)</f>
        <v/>
      </c>
      <c r="AB35" s="217">
        <f>SUM(AB12:AB34)</f>
        <v/>
      </c>
      <c r="AC35" s="217">
        <f>SUM(AC12:AC34)</f>
        <v/>
      </c>
      <c r="AD35" s="217">
        <f>SUM(AD12:AD34)</f>
        <v/>
      </c>
      <c r="AE35" s="217">
        <f>SUM(AE12:AE34)</f>
        <v/>
      </c>
      <c r="AF35" s="217">
        <f>SUM(AF12:AF34)</f>
        <v/>
      </c>
      <c r="AG35" s="217">
        <f>SUM(AG12:AG34)</f>
        <v/>
      </c>
      <c r="AH35" s="217">
        <f>SUM(AH12:AH34)</f>
        <v/>
      </c>
      <c r="AI35" s="217">
        <f>SUM(AI12:AI34)</f>
        <v/>
      </c>
      <c r="AJ35" s="217">
        <f>SUM(AJ12:AJ34)</f>
        <v/>
      </c>
      <c r="AK35" s="217">
        <f>SUM(AK12:AK34)</f>
        <v/>
      </c>
      <c r="AL35" s="204" t="n"/>
    </row>
    <row r="36" ht="14" customFormat="1" customHeight="1" s="180">
      <c r="A36" s="33" t="n"/>
      <c r="B36" s="199" t="n"/>
      <c r="C36" s="199" t="n"/>
      <c r="D36" s="218" t="inlineStr">
        <is>
          <t>（二）分包工程</t>
        </is>
      </c>
      <c r="E36" s="199" t="n"/>
      <c r="F36" s="199" t="n"/>
      <c r="G36" s="199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203" t="n"/>
      <c r="AA36" s="203" t="n"/>
      <c r="AB36" s="203" t="n"/>
      <c r="AC36" s="203" t="n"/>
      <c r="AD36" s="203" t="n"/>
      <c r="AE36" s="203" t="n"/>
      <c r="AF36" s="203" t="n"/>
      <c r="AG36" s="203" t="n"/>
      <c r="AH36" s="203" t="n"/>
      <c r="AI36" s="203" t="n"/>
      <c r="AJ36" s="203" t="n"/>
      <c r="AK36" s="188">
        <f>AB18/1.17*0.17+AC18/1.16*0.16+AD18/1.11*0.11+AE18/1.1*0.1+AF18/1.09*0.09+AI18/1.03*0.03</f>
        <v/>
      </c>
      <c r="AL36" s="204" t="n"/>
    </row>
    <row r="37" ht="14" customFormat="1" customHeight="1" s="180">
      <c r="A37" s="206" t="n">
        <v>1</v>
      </c>
      <c r="B37" s="206" t="inlineStr">
        <is>
          <t>100217528</t>
        </is>
      </c>
      <c r="C37" s="207" t="inlineStr">
        <is>
          <t>中建四局0200202101803017</t>
        </is>
      </c>
      <c r="D37" s="207" t="inlineStr">
        <is>
          <t>佛山市耀盈活动房屋有限公司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461205.33</v>
      </c>
      <c r="N37" s="210" t="n">
        <v>61180.3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507773.85</v>
      </c>
      <c r="U37" s="206" t="n"/>
      <c r="V37" s="206" t="n"/>
    </row>
    <row r="38" ht="14" customFormat="1" customHeight="1" s="180">
      <c r="A38" s="206" t="n">
        <v>2</v>
      </c>
      <c r="B38" s="206" t="inlineStr">
        <is>
          <t>200120407</t>
        </is>
      </c>
      <c r="C38" s="207" t="inlineStr">
        <is>
          <t>中建四局0200202101803011</t>
        </is>
      </c>
      <c r="D38" s="207" t="inlineStr">
        <is>
          <t>广东华海建设集团有限公司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17622990.53</v>
      </c>
      <c r="N38" s="210" t="n">
        <v>1620857.48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17382710</v>
      </c>
      <c r="U38" s="206" t="n"/>
      <c r="V38" s="206" t="n"/>
    </row>
    <row r="39" ht="14" customFormat="1" customHeight="1" s="180">
      <c r="A39" s="206" t="n">
        <v>3</v>
      </c>
      <c r="B39" s="206" t="inlineStr">
        <is>
          <t>200393732</t>
        </is>
      </c>
      <c r="C39" s="207" t="inlineStr">
        <is>
          <t>中建四局020020210018030002</t>
        </is>
      </c>
      <c r="D39" s="207" t="inlineStr">
        <is>
          <t>广东城投建设集团有限公司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1164215.34</v>
      </c>
      <c r="N39" s="210" t="n">
        <v>108019.98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1215005</v>
      </c>
      <c r="U39" s="206" t="n"/>
      <c r="V39" s="206" t="n"/>
    </row>
    <row r="40" ht="14" customFormat="1" customHeight="1" s="180">
      <c r="A40" s="206" t="n">
        <v>4</v>
      </c>
      <c r="B40" s="206" t="inlineStr">
        <is>
          <t>200430199</t>
        </is>
      </c>
      <c r="C40" s="207" t="inlineStr">
        <is>
          <t>中建四局0200202101803023</t>
        </is>
      </c>
      <c r="D40" s="207" t="inlineStr">
        <is>
          <t>广东振华建筑有限公司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422454.4</v>
      </c>
      <c r="N40" s="210" t="n">
        <v>13065.6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260000</v>
      </c>
      <c r="U40" s="206" t="n"/>
      <c r="V40" s="206" t="n"/>
    </row>
    <row r="41" ht="14" customFormat="1" customHeight="1" s="180">
      <c r="A41" s="206" t="n">
        <v>5</v>
      </c>
      <c r="B41" s="206" t="inlineStr">
        <is>
          <t>200053581</t>
        </is>
      </c>
      <c r="C41" s="207" t="inlineStr">
        <is>
          <t>中建四局0200202101803003</t>
        </is>
      </c>
      <c r="D41" s="207" t="inlineStr">
        <is>
          <t>广东粤忠晟保安服务有限公司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2383550.91</v>
      </c>
      <c r="N41" s="210" t="n">
        <v>122373.19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2284661</v>
      </c>
      <c r="U41" s="206" t="n"/>
      <c r="V41" s="206" t="n"/>
    </row>
    <row r="42" ht="14" customFormat="1" customHeight="1" s="180">
      <c r="A42" s="206" t="n">
        <v>6</v>
      </c>
      <c r="B42" s="206" t="inlineStr">
        <is>
          <t>100095592</t>
        </is>
      </c>
      <c r="C42" s="207" t="inlineStr">
        <is>
          <t>中建四局0200202101803005</t>
        </is>
      </c>
      <c r="D42" s="207" t="inlineStr">
        <is>
          <t>广东金华城建设集团有限公司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9646066.359999999</v>
      </c>
      <c r="N42" s="210" t="n">
        <v>889462.14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9688900</v>
      </c>
      <c r="U42" s="206" t="n"/>
      <c r="V42" s="206" t="n"/>
    </row>
    <row r="43" ht="14" customFormat="1" customHeight="1" s="180">
      <c r="A43" s="206" t="n">
        <v>7</v>
      </c>
      <c r="B43" s="206" t="inlineStr">
        <is>
          <t>200350492</t>
        </is>
      </c>
      <c r="C43" s="207" t="inlineStr">
        <is>
          <t>中建四局0200202101803010</t>
        </is>
      </c>
      <c r="D43" s="207" t="inlineStr">
        <is>
          <t>广东鑫弘盛建设工程有限公司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31780341.05</v>
      </c>
      <c r="N43" s="210" t="n">
        <v>2928739.94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34881345</v>
      </c>
      <c r="U43" s="206" t="n"/>
      <c r="V43" s="206" t="n"/>
    </row>
    <row r="44" ht="14" customFormat="1" customHeight="1" s="180">
      <c r="A44" s="206" t="n">
        <v>8</v>
      </c>
      <c r="B44" s="206" t="inlineStr">
        <is>
          <t>200167577</t>
        </is>
      </c>
      <c r="C44" s="207" t="inlineStr">
        <is>
          <t>中建四局0200202101803018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678606.99</v>
      </c>
      <c r="N44" s="210" t="n">
        <v>62680.61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756733.7</v>
      </c>
      <c r="U44" s="206" t="n"/>
      <c r="V44" s="206" t="n"/>
    </row>
    <row r="45" ht="14" customFormat="1" customHeight="1" s="180">
      <c r="A45" s="206" t="n">
        <v>9</v>
      </c>
      <c r="B45" s="206" t="inlineStr">
        <is>
          <t>200167577</t>
        </is>
      </c>
      <c r="C45" s="207" t="inlineStr">
        <is>
          <t>中建四局0200202101803019</t>
        </is>
      </c>
      <c r="D45" s="207" t="inlineStr">
        <is>
          <t>广州巧艺佳建筑装饰工程有限公司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1543302.24</v>
      </c>
      <c r="N45" s="210" t="n">
        <v>142971.95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1731549.1</v>
      </c>
      <c r="U45" s="206" t="n"/>
      <c r="V45" s="206" t="n"/>
    </row>
    <row r="46" ht="14" customFormat="1" customHeight="1" s="180">
      <c r="A46" s="206" t="n">
        <v>10</v>
      </c>
      <c r="B46" s="206" t="inlineStr">
        <is>
          <t>100060432</t>
        </is>
      </c>
      <c r="C46" s="207" t="inlineStr">
        <is>
          <t>中建四局0200202101803004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14558358.96</v>
      </c>
      <c r="N46" s="210" t="n">
        <v>448169.28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14546400</v>
      </c>
      <c r="U46" s="206" t="n"/>
      <c r="V46" s="206" t="n"/>
    </row>
    <row r="47" ht="14" customFormat="1" customHeight="1" s="180">
      <c r="A47" s="206" t="n">
        <v>11</v>
      </c>
      <c r="B47" s="206" t="inlineStr">
        <is>
          <t>100060432</t>
        </is>
      </c>
      <c r="C47" s="207" t="inlineStr">
        <is>
          <t>中建四局0200202101803014</t>
        </is>
      </c>
      <c r="D47" s="207" t="inlineStr">
        <is>
          <t>广州市亲力劳务派遣有限公司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40402570.47</v>
      </c>
      <c r="N47" s="210" t="n">
        <v>1242269.38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42593124.4</v>
      </c>
      <c r="U47" s="206" t="n"/>
      <c r="V47" s="206" t="n"/>
    </row>
    <row r="48" ht="14" customFormat="1" customHeight="1" s="180">
      <c r="A48" s="206" t="n">
        <v>12</v>
      </c>
      <c r="B48" s="206" t="inlineStr">
        <is>
          <t>200328198</t>
        </is>
      </c>
      <c r="C48" s="207" t="inlineStr">
        <is>
          <t>中建四局0200202101803022</t>
        </is>
      </c>
      <c r="D48" s="207" t="inlineStr">
        <is>
          <t>广州市华居宝建筑装饰工程实业有限公司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4222327.28</v>
      </c>
      <c r="N48" s="210" t="n">
        <v>389361.13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4669100</v>
      </c>
      <c r="U48" s="206" t="n"/>
      <c r="V48" s="206" t="n"/>
    </row>
    <row r="49" ht="14" customFormat="1" customHeight="1" s="180">
      <c r="A49" s="206" t="n">
        <v>13</v>
      </c>
      <c r="B49" s="206" t="inlineStr">
        <is>
          <t>100006039</t>
        </is>
      </c>
      <c r="C49" s="207" t="inlineStr">
        <is>
          <t>中建四局0200202101803016</t>
        </is>
      </c>
      <c r="D49" s="207" t="inlineStr">
        <is>
          <t>广州市桃园建材有限公司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229902.49</v>
      </c>
      <c r="N49" s="210" t="n">
        <v>7082.56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243167.55</v>
      </c>
      <c r="U49" s="206" t="n"/>
      <c r="V49" s="206" t="n"/>
    </row>
    <row r="50" ht="14" customFormat="1" customHeight="1" s="180">
      <c r="A50" s="206" t="n">
        <v>14</v>
      </c>
      <c r="B50" s="206" t="inlineStr">
        <is>
          <t>200163448</t>
        </is>
      </c>
      <c r="C50" s="207" t="inlineStr">
        <is>
          <t>中建四局020020210018030001</t>
        </is>
      </c>
      <c r="D50" s="207" t="inlineStr">
        <is>
          <t>广州市森平装饰材料有限公司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1025077.57</v>
      </c>
      <c r="N50" s="210" t="n">
        <v>95110.28999999999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953000</v>
      </c>
      <c r="U50" s="206" t="n"/>
      <c r="V50" s="206" t="n"/>
    </row>
    <row r="51" ht="14" customFormat="1" customHeight="1" s="180">
      <c r="A51" s="206" t="n">
        <v>15</v>
      </c>
      <c r="B51" s="206" t="inlineStr">
        <is>
          <t>200524589</t>
        </is>
      </c>
      <c r="C51" s="207" t="inlineStr">
        <is>
          <t>中建四局0200202101803020</t>
        </is>
      </c>
      <c r="D51" s="207" t="inlineStr">
        <is>
          <t>广州新广建设工程有限公司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1270396</v>
      </c>
      <c r="N51" s="210" t="n">
        <v>116872.2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1412300</v>
      </c>
      <c r="U51" s="206" t="n"/>
      <c r="V51" s="206" t="n"/>
    </row>
    <row r="52" ht="14" customFormat="1" customHeight="1" s="180">
      <c r="A52" s="206" t="n">
        <v>16</v>
      </c>
      <c r="B52" s="206" t="inlineStr">
        <is>
          <t>200310203</t>
        </is>
      </c>
      <c r="C52" s="207" t="inlineStr">
        <is>
          <t>中建四局02002021018030025</t>
        </is>
      </c>
      <c r="D52" s="207" t="inlineStr">
        <is>
          <t>广州爱创广告策划有限公司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440556.7</v>
      </c>
      <c r="N52" s="210" t="n">
        <v>27250.93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481000</v>
      </c>
      <c r="U52" s="206" t="n"/>
      <c r="V52" s="206" t="n"/>
    </row>
    <row r="53" ht="14" customFormat="1" customHeight="1" s="180">
      <c r="A53" s="206" t="n">
        <v>17</v>
      </c>
      <c r="B53" s="206" t="inlineStr">
        <is>
          <t>100082913</t>
        </is>
      </c>
      <c r="C53" s="207" t="inlineStr">
        <is>
          <t>中建四局0200202101803024</t>
        </is>
      </c>
      <c r="D53" s="207" t="inlineStr">
        <is>
          <t>广州盛绿建材有限公司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691816.8</v>
      </c>
      <c r="N53" s="210" t="n">
        <v>64189.19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685000</v>
      </c>
      <c r="U53" s="206" t="n"/>
      <c r="V53" s="206" t="n"/>
    </row>
    <row r="54" ht="14" customFormat="1" customHeight="1" s="180">
      <c r="A54" s="206" t="n">
        <v>18</v>
      </c>
      <c r="B54" s="206" t="inlineStr">
        <is>
          <t>100217147</t>
        </is>
      </c>
      <c r="C54" s="207" t="inlineStr">
        <is>
          <t>中建四局0200202101803006</t>
        </is>
      </c>
      <c r="D54" s="207" t="inlineStr">
        <is>
          <t>广州精诚建筑劳务有限公司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5332586.7</v>
      </c>
      <c r="N54" s="210" t="n">
        <v>491883.5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5957255.62</v>
      </c>
      <c r="U54" s="206" t="n"/>
      <c r="V54" s="206" t="n"/>
    </row>
    <row r="55" ht="14" customFormat="1" customHeight="1" s="180">
      <c r="A55" s="206" t="n">
        <v>19</v>
      </c>
      <c r="B55" s="206" t="inlineStr">
        <is>
          <t>200050849</t>
        </is>
      </c>
      <c r="C55" s="207" t="inlineStr">
        <is>
          <t>中建四局0200202101803009</t>
        </is>
      </c>
      <c r="D55" s="207" t="inlineStr">
        <is>
          <t>广州轲达土石方工程有限公司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4591554.32</v>
      </c>
      <c r="N55" s="210" t="n">
        <v>425595.11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4881700</v>
      </c>
      <c r="U55" s="206" t="n"/>
      <c r="V55" s="206" t="n"/>
    </row>
    <row r="56" ht="14" customFormat="1" customHeight="1" s="180">
      <c r="A56" s="206" t="n">
        <v>20</v>
      </c>
      <c r="B56" s="206" t="inlineStr">
        <is>
          <t>200140248</t>
        </is>
      </c>
      <c r="C56" s="207" t="inlineStr">
        <is>
          <t>中建四局0200202101803001</t>
        </is>
      </c>
      <c r="D56" s="207" t="inlineStr">
        <is>
          <t>广州陇飞广告有限公司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1310979.55</v>
      </c>
      <c r="N56" s="210" t="n">
        <v>35791.76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1378952.99</v>
      </c>
      <c r="U56" s="206" t="n"/>
      <c r="V56" s="206" t="n"/>
    </row>
    <row r="57" ht="14" customFormat="1" customHeight="1" s="180">
      <c r="A57" s="206" t="n">
        <v>21</v>
      </c>
      <c r="B57" s="206" t="inlineStr">
        <is>
          <t>200098421</t>
        </is>
      </c>
      <c r="C57" s="207" t="inlineStr">
        <is>
          <t>中建四局0200202101803015</t>
        </is>
      </c>
      <c r="D57" s="207" t="inlineStr">
        <is>
          <t>广州鸿伟广告工程有限公司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275636.96</v>
      </c>
      <c r="N57" s="210" t="n">
        <v>8437.870000000001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282000</v>
      </c>
      <c r="U57" s="206" t="n"/>
      <c r="V57" s="206" t="n"/>
    </row>
    <row r="58" ht="14" customFormat="1" customHeight="1" s="180">
      <c r="A58" s="206" t="n">
        <v>22</v>
      </c>
      <c r="B58" s="206" t="inlineStr">
        <is>
          <t>100089001</t>
        </is>
      </c>
      <c r="C58" s="207" t="inlineStr">
        <is>
          <t>中建四局0200202101803002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1028396.83</v>
      </c>
      <c r="N58" s="210" t="n">
        <v>136848.07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1189525.58</v>
      </c>
      <c r="U58" s="206" t="n"/>
      <c r="V58" s="206" t="n"/>
    </row>
    <row r="59" ht="14" customFormat="1" customHeight="1" s="180">
      <c r="A59" s="206" t="n">
        <v>23</v>
      </c>
      <c r="B59" s="206" t="inlineStr">
        <is>
          <t>100089001</t>
        </is>
      </c>
      <c r="C59" s="207" t="inlineStr">
        <is>
          <t>中建四局0200202101803008</t>
        </is>
      </c>
      <c r="D59" s="207" t="inlineStr">
        <is>
          <t>正工模块化建筑科技（深圳）有限公司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863347.49</v>
      </c>
      <c r="N59" s="210" t="n">
        <v>114830.34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998140.64</v>
      </c>
      <c r="U59" s="206" t="n"/>
      <c r="V59" s="206" t="n"/>
    </row>
    <row r="60" ht="14" customFormat="1" customHeight="1" s="180">
      <c r="A60" s="206" t="n">
        <v>24</v>
      </c>
      <c r="B60" s="206" t="inlineStr">
        <is>
          <t>100089014</t>
        </is>
      </c>
      <c r="C60" s="207" t="inlineStr">
        <is>
          <t>中建四局0200202101803012</t>
        </is>
      </c>
      <c r="D60" s="207" t="inlineStr">
        <is>
          <t>江西志特新材料股份有限公司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8910792.42</v>
      </c>
      <c r="N60" s="210" t="n">
        <v>1184934.15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10299812.4</v>
      </c>
      <c r="U60" s="206" t="n"/>
      <c r="V60" s="206" t="n"/>
    </row>
    <row r="61" ht="14" customFormat="1" customHeight="1" s="180">
      <c r="A61" s="206" t="n">
        <v>25</v>
      </c>
      <c r="B61" s="206" t="inlineStr">
        <is>
          <t>200447949</t>
        </is>
      </c>
      <c r="C61" s="207" t="inlineStr">
        <is>
          <t>中建四局0200202101803007</t>
        </is>
      </c>
      <c r="D61" s="207" t="inlineStr">
        <is>
          <t>深圳市他拍档科技有限公司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1200868.51</v>
      </c>
      <c r="N61" s="210" t="n">
        <v>108396.07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1308300</v>
      </c>
      <c r="U61" s="206" t="n"/>
      <c r="V61" s="206" t="n"/>
    </row>
    <row r="62" ht="14" customFormat="1" customHeight="1" s="180">
      <c r="A62" s="206" t="n">
        <v>26</v>
      </c>
      <c r="B62" s="206" t="inlineStr">
        <is>
          <t>200280905</t>
        </is>
      </c>
      <c r="C62" s="207" t="inlineStr">
        <is>
          <t>中建四局0200202101803013</t>
        </is>
      </c>
      <c r="D62" s="207" t="inlineStr">
        <is>
          <t>深圳市宏富丽晶建筑装饰工程有限公司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360003.32</v>
      </c>
      <c r="N62" s="210" t="n">
        <v>33118.76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401100</v>
      </c>
      <c r="U62" s="206" t="n"/>
      <c r="V62" s="206" t="n"/>
    </row>
    <row r="63" ht="14" customFormat="1" customHeight="1" s="180">
      <c r="A63" s="206" t="n">
        <v>27</v>
      </c>
      <c r="B63" s="206" t="inlineStr">
        <is>
          <t>200165033</t>
        </is>
      </c>
      <c r="C63" s="207" t="inlineStr">
        <is>
          <t>中建四局0200202101803021</t>
        </is>
      </c>
      <c r="D63" s="207" t="inlineStr">
        <is>
          <t>深圳市鹏兴机电工程有限公司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31380176.19</v>
      </c>
      <c r="N63" s="210" t="n">
        <v>2909197.29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33467842.59</v>
      </c>
      <c r="U63" s="206" t="n"/>
      <c r="V63" s="206" t="n"/>
    </row>
    <row r="64" ht="14" customFormat="1" customHeight="1" s="180">
      <c r="A64" s="206" t="n">
        <v>28</v>
      </c>
      <c r="B64" s="206" t="n"/>
      <c r="C64" s="207" t="n"/>
      <c r="D64" s="207" t="inlineStr">
        <is>
          <t>ZGD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9" t="n"/>
      <c r="M64" s="210" t="n">
        <v>-7872000.25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</row>
    <row r="65" ht="14" customFormat="1" customHeight="1" s="180">
      <c r="A65" s="206" t="n">
        <v>29</v>
      </c>
      <c r="B65" s="206" t="inlineStr">
        <is>
          <t>100197784</t>
        </is>
      </c>
      <c r="C65" s="207" t="n"/>
      <c r="D65" s="207" t="inlineStr">
        <is>
          <t>中铁物资集团华南有限公司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0.01</v>
      </c>
      <c r="N65" s="206" t="n"/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</row>
    <row r="66" ht="14" customFormat="1" customHeight="1" s="180">
      <c r="A66" s="206" t="n">
        <v>30</v>
      </c>
      <c r="B66" s="206" t="inlineStr">
        <is>
          <t>200524589</t>
        </is>
      </c>
      <c r="C66" s="207" t="n"/>
      <c r="D66" s="207" t="inlineStr">
        <is>
          <t>广州新广建设工程有限公司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9" t="n"/>
      <c r="M66" s="210" t="n">
        <v>0.01</v>
      </c>
      <c r="N66" s="210" t="n">
        <v>-0.01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06" t="n"/>
      <c r="U66" s="206" t="n"/>
      <c r="V66" s="206" t="n"/>
    </row>
    <row r="67" ht="14" customFormat="1" customHeight="1" s="180">
      <c r="A67" s="33" t="n"/>
      <c r="B67" s="199" t="n"/>
      <c r="C67" s="199" t="n"/>
      <c r="D67" s="211" t="inlineStr">
        <is>
          <t>**财务未列部分需增列***</t>
        </is>
      </c>
      <c r="E67" s="219" t="n"/>
      <c r="F67" s="219" t="n"/>
      <c r="G67" s="21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189" t="n"/>
      <c r="U67" s="189" t="n"/>
      <c r="V67" s="189" t="n"/>
      <c r="W67" s="189" t="n"/>
      <c r="X67" s="189" t="n"/>
      <c r="Y67" s="189" t="n"/>
      <c r="Z67" s="203" t="n"/>
      <c r="AA67" s="203" t="n"/>
      <c r="AB67" s="188" t="n"/>
      <c r="AC67" s="188" t="n"/>
      <c r="AD67" s="188" t="n"/>
      <c r="AE67" s="188" t="n"/>
      <c r="AF67" s="188" t="n"/>
      <c r="AG67" s="188" t="n"/>
      <c r="AH67" s="188" t="n"/>
      <c r="AI67" s="188" t="n"/>
      <c r="AJ67" s="188" t="n"/>
      <c r="AK67" s="188">
        <f>AB22/1.17*0.17+AC22/1.16*0.16+AD22/1.11*0.11+AE22/1.1*0.1+AF22/1.09*0.09+AI22/1.03*0.03</f>
        <v/>
      </c>
      <c r="AL67" s="214" t="n"/>
    </row>
    <row r="68" ht="14" customFormat="1" customHeight="1" s="180">
      <c r="A68" s="41" t="n"/>
      <c r="B68" s="215" t="n"/>
      <c r="C68" s="215" t="n"/>
      <c r="D68" s="216" t="inlineStr">
        <is>
          <t>分包工程小计：</t>
        </is>
      </c>
      <c r="E68" s="217">
        <f>SUM(E36:E67)</f>
        <v/>
      </c>
      <c r="F68" s="217">
        <f>SUM(F36:F67)</f>
        <v/>
      </c>
      <c r="G68" s="217">
        <f>SUM(G36:G67)</f>
        <v/>
      </c>
      <c r="H68" s="217">
        <f>SUM(H36:H67)</f>
        <v/>
      </c>
      <c r="I68" s="217">
        <f>SUM(I36:I67)</f>
        <v/>
      </c>
      <c r="J68" s="217">
        <f>SUM(J36:J67)</f>
        <v/>
      </c>
      <c r="K68" s="217">
        <f>SUM(K36:K67)</f>
        <v/>
      </c>
      <c r="L68" s="217">
        <f>SUM(L36:L67)</f>
        <v/>
      </c>
      <c r="M68" s="217">
        <f>SUM(M36:M67)</f>
        <v/>
      </c>
      <c r="N68" s="217">
        <f>SUM(N36:N67)</f>
        <v/>
      </c>
      <c r="O68" s="217">
        <f>SUM(O36:O67)</f>
        <v/>
      </c>
      <c r="P68" s="217">
        <f>SUM(P36:P67)</f>
        <v/>
      </c>
      <c r="Q68" s="217">
        <f>SUM(Q36:Q67)</f>
        <v/>
      </c>
      <c r="R68" s="217">
        <f>SUM(R36:R67)</f>
        <v/>
      </c>
      <c r="S68" s="217">
        <f>SUM(S36:S67)</f>
        <v/>
      </c>
      <c r="T68" s="217">
        <f>SUM(T36:T67)</f>
        <v/>
      </c>
      <c r="U68" s="217">
        <f>SUM(U36:U67)</f>
        <v/>
      </c>
      <c r="V68" s="217">
        <f>SUM(V36:V67)</f>
        <v/>
      </c>
      <c r="W68" s="217">
        <f>SUM(W36:W67)</f>
        <v/>
      </c>
      <c r="X68" s="217">
        <f>SUM(X36:X67)</f>
        <v/>
      </c>
      <c r="Y68" s="217">
        <f>SUM(Y36:Y67)</f>
        <v/>
      </c>
      <c r="Z68" s="217">
        <f>SUM(Z36:Z67)</f>
        <v/>
      </c>
      <c r="AA68" s="217">
        <f>SUM(AA36:AA67)</f>
        <v/>
      </c>
      <c r="AB68" s="217">
        <f>SUM(AB36:AB67)</f>
        <v/>
      </c>
      <c r="AC68" s="217">
        <f>SUM(AC36:AC67)</f>
        <v/>
      </c>
      <c r="AD68" s="217">
        <f>SUM(AD36:AD67)</f>
        <v/>
      </c>
      <c r="AE68" s="217">
        <f>SUM(AE36:AE67)</f>
        <v/>
      </c>
      <c r="AF68" s="217">
        <f>SUM(AF36:AF67)</f>
        <v/>
      </c>
      <c r="AG68" s="217">
        <f>SUM(AG36:AG67)</f>
        <v/>
      </c>
      <c r="AH68" s="217">
        <f>SUM(AH36:AH67)</f>
        <v/>
      </c>
      <c r="AI68" s="217">
        <f>SUM(AI36:AI67)</f>
        <v/>
      </c>
      <c r="AJ68" s="217">
        <f>SUM(AJ36:AJ67)</f>
        <v/>
      </c>
      <c r="AK68" s="217">
        <f>SUM(AK36:AK67)</f>
        <v/>
      </c>
      <c r="AL68" s="204" t="n"/>
    </row>
    <row r="69" ht="39" customFormat="1" customHeight="1" s="180">
      <c r="A69" s="33" t="n"/>
      <c r="B69" s="199" t="n"/>
      <c r="C69" s="199" t="n"/>
      <c r="D69" s="218" t="inlineStr">
        <is>
          <t>(三)材料费</t>
        </is>
      </c>
      <c r="E69" s="199" t="n"/>
      <c r="F69" s="199" t="n"/>
      <c r="G69" s="199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203" t="n"/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AB24/1.17*0.17+AC24/1.16*0.16+AD24/1.11*0.11+AE24/1.1*0.1+AF24/1.09*0.09+AI24/1.03*0.03</f>
        <v/>
      </c>
      <c r="AL69" s="221" t="n"/>
    </row>
    <row r="70" ht="14" customFormat="1" customHeight="1" s="180">
      <c r="A70" s="33" t="n"/>
      <c r="B70" s="199" t="n"/>
      <c r="C70" s="199" t="n"/>
      <c r="D70" s="189" t="inlineStr">
        <is>
          <t>（1）集中采购</t>
        </is>
      </c>
      <c r="E70" s="199" t="n"/>
      <c r="F70" s="199" t="n"/>
      <c r="G70" s="199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AB25/1.17*0.17+AC25/1.16*0.16+AD25/1.11*0.11+AE25/1.1*0.1+AF25/1.09*0.09+AI25/1.03*0.03</f>
        <v/>
      </c>
      <c r="AL70" s="221" t="n"/>
    </row>
    <row r="71" ht="14" customFormat="1" customHeight="1" s="180">
      <c r="A71" s="33" t="n"/>
      <c r="B71" s="199" t="n"/>
      <c r="C71" s="199" t="n"/>
      <c r="D71" s="222" t="n"/>
      <c r="E71" s="213" t="n"/>
      <c r="F71" s="213" t="n"/>
      <c r="G71" s="213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SUM(AA26:AJ26)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AB26/1.17*0.17+AC26/1.16*0.16+AD26/1.11*0.11+AE26/1.1*0.1+AF26/1.09*0.09+AI26/1.03*0.03</f>
        <v/>
      </c>
      <c r="AL71" s="221" t="n"/>
    </row>
    <row r="72" ht="14" customFormat="1" customHeight="1" s="180">
      <c r="A72" s="33" t="n"/>
      <c r="B72" s="199" t="n"/>
      <c r="C72" s="199" t="n"/>
      <c r="D72" s="222" t="n"/>
      <c r="E72" s="213" t="n"/>
      <c r="F72" s="213" t="n"/>
      <c r="G72" s="213" t="n"/>
      <c r="H72" s="189" t="n"/>
      <c r="I72" s="189" t="n"/>
      <c r="J72" s="189" t="n"/>
      <c r="K72" s="201" t="n"/>
      <c r="L72" s="202" t="n"/>
      <c r="M72" s="189" t="n"/>
      <c r="N72" s="189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03" t="n"/>
      <c r="U72" s="203" t="n"/>
      <c r="V72" s="203" t="n"/>
      <c r="W72" s="203" t="n"/>
      <c r="X72" s="203" t="n"/>
      <c r="Y72" s="203" t="n"/>
      <c r="Z72" s="189">
        <f>SUM(AA27:AJ27)</f>
        <v/>
      </c>
      <c r="AA72" s="203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188">
        <f>AB27/1.17*0.17+AC27/1.16*0.16+AD27/1.11*0.11+AE27/1.1*0.1+AF27/1.09*0.09+AI27/1.03*0.03</f>
        <v/>
      </c>
      <c r="AL72" s="221" t="n"/>
    </row>
    <row r="73" ht="14" customFormat="1" customHeight="1" s="180">
      <c r="A73" s="33" t="n"/>
      <c r="B73" s="199" t="n"/>
      <c r="C73" s="199" t="n"/>
      <c r="D73" s="222" t="n"/>
      <c r="E73" s="213" t="n"/>
      <c r="F73" s="213" t="n"/>
      <c r="G73" s="213" t="n"/>
      <c r="H73" s="189" t="n"/>
      <c r="I73" s="189" t="n"/>
      <c r="J73" s="189" t="n"/>
      <c r="K73" s="201" t="n"/>
      <c r="L73" s="202" t="n"/>
      <c r="M73" s="189" t="n"/>
      <c r="N73" s="189" t="n"/>
      <c r="O73" s="189">
        <f>L73-M73</f>
        <v/>
      </c>
      <c r="P73" s="189">
        <f>K73-N73</f>
        <v/>
      </c>
      <c r="Q73" s="189">
        <f>M73+O73</f>
        <v/>
      </c>
      <c r="R73" s="189">
        <f>M73+N73+O73+P73</f>
        <v/>
      </c>
      <c r="S73" s="203">
        <f>SUM(T73:V73)</f>
        <v/>
      </c>
      <c r="T73" s="203" t="n"/>
      <c r="U73" s="203" t="n"/>
      <c r="V73" s="203" t="n"/>
      <c r="W73" s="203" t="n"/>
      <c r="X73" s="203" t="n"/>
      <c r="Y73" s="203" t="n"/>
      <c r="Z73" s="189">
        <f>SUM(AA28:AJ28)</f>
        <v/>
      </c>
      <c r="AA73" s="203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188">
        <f>AB28/1.17*0.17+AC28/1.16*0.16+AD28/1.11*0.11+AE28/1.1*0.1+AF28/1.09*0.09+AI28/1.03*0.03</f>
        <v/>
      </c>
      <c r="AL73" s="221" t="n"/>
    </row>
    <row r="74" ht="14" customFormat="1" customHeight="1" s="180">
      <c r="A74" s="33" t="n"/>
      <c r="B74" s="199" t="n"/>
      <c r="C74" s="199" t="n"/>
      <c r="D74" s="189" t="inlineStr">
        <is>
          <t>（2）自行采购</t>
        </is>
      </c>
      <c r="E74" s="219" t="n"/>
      <c r="F74" s="219" t="n"/>
      <c r="G74" s="219" t="n"/>
      <c r="H74" s="189" t="n"/>
      <c r="I74" s="189" t="n"/>
      <c r="J74" s="189" t="n"/>
      <c r="K74" s="201" t="n"/>
      <c r="L74" s="202" t="n"/>
      <c r="M74" s="189" t="n"/>
      <c r="N74" s="189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03" t="n"/>
      <c r="U74" s="203" t="n"/>
      <c r="V74" s="203" t="n"/>
      <c r="W74" s="203" t="n"/>
      <c r="X74" s="203" t="n"/>
      <c r="Y74" s="203" t="n"/>
      <c r="Z74" s="189">
        <f>SUM(AA29:AJ29)</f>
        <v/>
      </c>
      <c r="AA74" s="203" t="n"/>
      <c r="AB74" s="220" t="n"/>
      <c r="AC74" s="220" t="n"/>
      <c r="AD74" s="220" t="n"/>
      <c r="AE74" s="220" t="n"/>
      <c r="AF74" s="220" t="n"/>
      <c r="AG74" s="220" t="n"/>
      <c r="AH74" s="220" t="n"/>
      <c r="AI74" s="220" t="n"/>
      <c r="AJ74" s="220" t="n"/>
      <c r="AK74" s="188">
        <f>AB29/1.17*0.17+AC29/1.16*0.16+AD29/1.11*0.11+AE29/1.1*0.1+AF29/1.09*0.09+AI29/1.03*0.03</f>
        <v/>
      </c>
      <c r="AL74" s="221" t="n"/>
    </row>
    <row r="75" ht="14" customFormat="1" customHeight="1" s="180">
      <c r="A75" s="206" t="n">
        <v>1</v>
      </c>
      <c r="B75" s="206" t="inlineStr">
        <is>
          <t>200234685</t>
        </is>
      </c>
      <c r="C75" s="207" t="inlineStr">
        <is>
          <t>中建四局0200202101806022</t>
        </is>
      </c>
      <c r="D75" s="207" t="inlineStr">
        <is>
          <t>上海找钢网供应链管理有限公司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2740600.46</v>
      </c>
      <c r="N75" s="210" t="n">
        <v>356278.05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3096878.51</v>
      </c>
      <c r="U75" s="206" t="n"/>
      <c r="V75" s="206" t="n"/>
    </row>
    <row r="76" ht="14" customFormat="1" customHeight="1" s="180">
      <c r="A76" s="206" t="n">
        <v>2</v>
      </c>
      <c r="B76" s="206" t="inlineStr">
        <is>
          <t>2043724</t>
        </is>
      </c>
      <c r="C76" s="207" t="inlineStr">
        <is>
          <t>中建四局020020210018060002</t>
        </is>
      </c>
      <c r="D76" s="207" t="inlineStr">
        <is>
          <t>中建四局绿色建筑科技（广东）有限公司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752363.78</v>
      </c>
      <c r="N76" s="210" t="n">
        <v>97807.23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850171.01</v>
      </c>
      <c r="U76" s="206" t="n"/>
      <c r="V76" s="206" t="n"/>
    </row>
    <row r="77" ht="14" customFormat="1" customHeight="1" s="180">
      <c r="A77" s="206" t="n">
        <v>3</v>
      </c>
      <c r="B77" s="206" t="inlineStr">
        <is>
          <t>100197784</t>
        </is>
      </c>
      <c r="C77" s="207" t="inlineStr">
        <is>
          <t>中建四局0200202101806025</t>
        </is>
      </c>
      <c r="D77" s="207" t="inlineStr">
        <is>
          <t>中铁物资集团华南有限公司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4776307.53</v>
      </c>
      <c r="N77" s="210" t="n">
        <v>620919.97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5397227.5</v>
      </c>
      <c r="U77" s="206" t="n"/>
      <c r="V77" s="206" t="n"/>
    </row>
    <row r="78" ht="26" customFormat="1" customHeight="1" s="180">
      <c r="A78" s="206" t="n">
        <v>4</v>
      </c>
      <c r="B78" s="206" t="inlineStr">
        <is>
          <t>100237790</t>
        </is>
      </c>
      <c r="C78" s="207" t="inlineStr">
        <is>
          <t>中建四局0200202101806004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14369</v>
      </c>
      <c r="N78" s="210" t="n">
        <v>1867.97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16236.97</v>
      </c>
      <c r="U78" s="206" t="n"/>
      <c r="V78" s="206" t="n"/>
    </row>
    <row r="79" ht="26" customFormat="1" customHeight="1" s="180">
      <c r="A79" s="206" t="n">
        <v>5</v>
      </c>
      <c r="B79" s="206" t="inlineStr">
        <is>
          <t>100237790</t>
        </is>
      </c>
      <c r="C79" s="207" t="inlineStr">
        <is>
          <t>中建四局0200202101806005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130267</v>
      </c>
      <c r="N79" s="210" t="n">
        <v>16934.71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147201.71</v>
      </c>
      <c r="U79" s="206" t="n"/>
      <c r="V79" s="206" t="n"/>
    </row>
    <row r="80" ht="14" customFormat="1" customHeight="1" s="180">
      <c r="A80" s="206" t="n">
        <v>6</v>
      </c>
      <c r="B80" s="206" t="inlineStr">
        <is>
          <t>100237790</t>
        </is>
      </c>
      <c r="C80" s="207" t="inlineStr">
        <is>
          <t>中建四局0200202101806006</t>
        </is>
      </c>
      <c r="D80" s="207" t="inlineStr">
        <is>
          <t>佛山唐贵五金电器有限公司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2550134.38</v>
      </c>
      <c r="N80" s="210" t="n">
        <v>331517.47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2881651.85</v>
      </c>
      <c r="U80" s="206" t="n"/>
      <c r="V80" s="206" t="n"/>
    </row>
    <row r="81" ht="14" customFormat="1" customHeight="1" s="3">
      <c r="A81" s="206" t="n">
        <v>7</v>
      </c>
      <c r="B81" s="206" t="inlineStr">
        <is>
          <t>100237790</t>
        </is>
      </c>
      <c r="C81" s="207" t="inlineStr">
        <is>
          <t>中建四局0200202101806016</t>
        </is>
      </c>
      <c r="D81" s="207" t="inlineStr">
        <is>
          <t>佛山唐贵五金电器有限公司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2123772.79</v>
      </c>
      <c r="N81" s="210" t="n">
        <v>276090.52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2399863.31</v>
      </c>
      <c r="U81" s="206" t="n"/>
      <c r="V81" s="206" t="n"/>
    </row>
    <row r="82" ht="14" customHeight="1" s="159">
      <c r="A82" s="206" t="n">
        <v>8</v>
      </c>
      <c r="B82" s="206" t="inlineStr">
        <is>
          <t>100146779</t>
        </is>
      </c>
      <c r="C82" s="207" t="inlineStr">
        <is>
          <t>中建四局0200202101806026</t>
        </is>
      </c>
      <c r="D82" s="207" t="inlineStr">
        <is>
          <t>佛山市南海区洪顺水泥构件厂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1006289.65</v>
      </c>
      <c r="N82" s="210" t="n">
        <v>130817.7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1137107.35</v>
      </c>
      <c r="U82" s="206" t="n"/>
      <c r="V82" s="206" t="n"/>
    </row>
    <row r="83" ht="14" customHeight="1" s="159">
      <c r="A83" s="206" t="n">
        <v>9</v>
      </c>
      <c r="B83" s="206" t="inlineStr">
        <is>
          <t>100206907</t>
        </is>
      </c>
      <c r="C83" s="207" t="inlineStr">
        <is>
          <t>中建四局0200202101806014</t>
        </is>
      </c>
      <c r="D83" s="207" t="inlineStr">
        <is>
          <t>佛山市开力电气有限公司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63203</v>
      </c>
      <c r="N83" s="210" t="n">
        <v>8216.389999999999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71419.39</v>
      </c>
      <c r="U83" s="206" t="n"/>
      <c r="V83" s="206" t="n"/>
    </row>
    <row r="84">
      <c r="A84" s="206" t="n">
        <v>10</v>
      </c>
      <c r="B84" s="206" t="inlineStr">
        <is>
          <t>200162951</t>
        </is>
      </c>
      <c r="C84" s="207" t="inlineStr">
        <is>
          <t>中建四局0200202101806036</t>
        </is>
      </c>
      <c r="D84" s="207" t="inlineStr">
        <is>
          <t>佛山市翊德通新型环保科技建材有限公司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4369961.51</v>
      </c>
      <c r="N84" s="210" t="n">
        <v>568095.3199999999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4938056.52</v>
      </c>
      <c r="U84" s="206" t="n"/>
      <c r="V84" s="206" t="n"/>
    </row>
    <row r="85">
      <c r="A85" s="206" t="n">
        <v>11</v>
      </c>
      <c r="B85" s="206" t="inlineStr">
        <is>
          <t>100232795</t>
        </is>
      </c>
      <c r="C85" s="207" t="inlineStr">
        <is>
          <t>中建四局0200202101806001</t>
        </is>
      </c>
      <c r="D85" s="207" t="inlineStr">
        <is>
          <t>佰丽特（厦门）电气科技有限公司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333728</v>
      </c>
      <c r="N85" s="210" t="n">
        <v>43384.64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301690.11</v>
      </c>
      <c r="U85" s="206" t="n"/>
      <c r="V85" s="206" t="n"/>
    </row>
    <row r="86">
      <c r="A86" s="206" t="n">
        <v>12</v>
      </c>
      <c r="B86" s="206" t="inlineStr">
        <is>
          <t>200282611</t>
        </is>
      </c>
      <c r="C86" s="207" t="inlineStr">
        <is>
          <t>中建四局0200202101806009</t>
        </is>
      </c>
      <c r="D86" s="207" t="inlineStr">
        <is>
          <t>平安商贸有限公司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8873935.289999999</v>
      </c>
      <c r="N86" s="210" t="n">
        <v>1153611.59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10027546.88</v>
      </c>
      <c r="U86" s="206" t="n"/>
      <c r="V86" s="206" t="n"/>
    </row>
    <row r="87">
      <c r="A87" s="206" t="n">
        <v>13</v>
      </c>
      <c r="B87" s="206" t="inlineStr">
        <is>
          <t>200609375</t>
        </is>
      </c>
      <c r="C87" s="207" t="inlineStr">
        <is>
          <t>中建四局0200202101806040</t>
        </is>
      </c>
      <c r="D87" s="207" t="inlineStr">
        <is>
          <t>广东富景成环保建材有限公司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385917.65</v>
      </c>
      <c r="N87" s="210" t="n">
        <v>50169.29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436086.94</v>
      </c>
      <c r="U87" s="206" t="n"/>
      <c r="V87" s="206" t="n"/>
    </row>
    <row r="88">
      <c r="A88" s="206" t="n">
        <v>14</v>
      </c>
      <c r="B88" s="206" t="inlineStr">
        <is>
          <t>200589118</t>
        </is>
      </c>
      <c r="C88" s="207" t="inlineStr">
        <is>
          <t>中建四局020020210018060001</t>
        </is>
      </c>
      <c r="D88" s="207" t="inlineStr">
        <is>
          <t>广东广物中南建材集团有限公司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4299184.04</v>
      </c>
      <c r="N88" s="210" t="n">
        <v>558893.95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4858077.99</v>
      </c>
      <c r="U88" s="206" t="n"/>
      <c r="V88" s="206" t="n"/>
    </row>
    <row r="89">
      <c r="A89" s="206" t="n">
        <v>15</v>
      </c>
      <c r="B89" s="206" t="inlineStr">
        <is>
          <t>100218495</t>
        </is>
      </c>
      <c r="C89" s="207" t="inlineStr">
        <is>
          <t>中建四局0200202101806024</t>
        </is>
      </c>
      <c r="D89" s="207" t="inlineStr">
        <is>
          <t>广东广物物资有限公司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52140600.21</v>
      </c>
      <c r="N89" s="210" t="n">
        <v>6778278.02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57634200</v>
      </c>
      <c r="U89" s="206" t="n"/>
      <c r="V89" s="206" t="n"/>
    </row>
    <row r="90">
      <c r="A90" s="206" t="n">
        <v>16</v>
      </c>
      <c r="B90" s="206" t="inlineStr">
        <is>
          <t>100217200</t>
        </is>
      </c>
      <c r="C90" s="207" t="inlineStr">
        <is>
          <t>中建四局0200202101806042</t>
        </is>
      </c>
      <c r="D90" s="207" t="inlineStr">
        <is>
          <t>广东新瑞龙生态建材有限公司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9943627.460000001</v>
      </c>
      <c r="N90" s="210" t="n">
        <v>1292671.55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10199210.04</v>
      </c>
      <c r="U90" s="206" t="n"/>
      <c r="V90" s="206" t="n"/>
    </row>
    <row r="91">
      <c r="A91" s="206" t="n">
        <v>17</v>
      </c>
      <c r="B91" s="206" t="inlineStr">
        <is>
          <t>100217564</t>
        </is>
      </c>
      <c r="C91" s="207" t="inlineStr">
        <is>
          <t>中建四局0200202101806015</t>
        </is>
      </c>
      <c r="D91" s="207" t="inlineStr">
        <is>
          <t>广东顺德雍强贸易有限公司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5074499.2</v>
      </c>
      <c r="N91" s="210" t="n">
        <v>659684.51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5722211.35</v>
      </c>
      <c r="U91" s="206" t="n"/>
      <c r="V91" s="206" t="n"/>
    </row>
    <row r="92">
      <c r="A92" s="206" t="n">
        <v>18</v>
      </c>
      <c r="B92" s="206" t="inlineStr">
        <is>
          <t>200028988</t>
        </is>
      </c>
      <c r="C92" s="207" t="inlineStr">
        <is>
          <t>中建四局0200202101806020</t>
        </is>
      </c>
      <c r="D92" s="207" t="inlineStr">
        <is>
          <t>广州天源混凝土有限公司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82619375.06999999</v>
      </c>
      <c r="N92" s="210" t="n">
        <v>2479172.51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76114127.56</v>
      </c>
      <c r="U92" s="206" t="n"/>
      <c r="V92" s="206" t="n"/>
    </row>
    <row r="93">
      <c r="A93" s="206" t="n">
        <v>19</v>
      </c>
      <c r="B93" s="206" t="inlineStr">
        <is>
          <t>100118018</t>
        </is>
      </c>
      <c r="C93" s="207" t="inlineStr">
        <is>
          <t>中建四局0200202101806023</t>
        </is>
      </c>
      <c r="D93" s="207" t="inlineStr">
        <is>
          <t>广州天达混凝土有限公司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7029897.31</v>
      </c>
      <c r="N93" s="210" t="n">
        <v>210896.97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7240794.28</v>
      </c>
      <c r="U93" s="206" t="n"/>
      <c r="V93" s="206" t="n"/>
    </row>
    <row r="94">
      <c r="A94" s="206" t="n">
        <v>20</v>
      </c>
      <c r="B94" s="206" t="inlineStr">
        <is>
          <t>100217350</t>
        </is>
      </c>
      <c r="C94" s="207" t="inlineStr">
        <is>
          <t>中建四局0200202101806003</t>
        </is>
      </c>
      <c r="D94" s="207" t="inlineStr">
        <is>
          <t>广州市嘉宇金属制品有限公司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416379</v>
      </c>
      <c r="N94" s="210" t="n">
        <v>54129.27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470508.27</v>
      </c>
      <c r="U94" s="206" t="n"/>
      <c r="V94" s="206" t="n"/>
    </row>
    <row r="95">
      <c r="A95" s="206" t="n">
        <v>21</v>
      </c>
      <c r="B95" s="206" t="inlineStr">
        <is>
          <t>100217450</t>
        </is>
      </c>
      <c r="C95" s="207" t="inlineStr">
        <is>
          <t>中建四局0200202101806041</t>
        </is>
      </c>
      <c r="D95" s="207" t="inlineStr">
        <is>
          <t>广州市常宏建材有限公司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32639</v>
      </c>
      <c r="N95" s="210" t="n">
        <v>4243.07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36882.07</v>
      </c>
      <c r="U95" s="206" t="n"/>
      <c r="V95" s="206" t="n"/>
    </row>
    <row r="96">
      <c r="A96" s="206" t="n">
        <v>22</v>
      </c>
      <c r="B96" s="206" t="inlineStr">
        <is>
          <t>100115149</t>
        </is>
      </c>
      <c r="C96" s="207" t="inlineStr">
        <is>
          <t>中建四局0200202101806035</t>
        </is>
      </c>
      <c r="D96" s="207" t="inlineStr">
        <is>
          <t>广州市建邦建材有限公司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7683428.5</v>
      </c>
      <c r="N96" s="210" t="n">
        <v>998845.46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8682273.960000001</v>
      </c>
      <c r="U96" s="206" t="n"/>
      <c r="V96" s="206" t="n"/>
    </row>
    <row r="97">
      <c r="A97" s="206" t="n">
        <v>23</v>
      </c>
      <c r="B97" s="206" t="inlineStr">
        <is>
          <t>100147894</t>
        </is>
      </c>
      <c r="C97" s="207" t="inlineStr">
        <is>
          <t>中建四局0200202101806007</t>
        </is>
      </c>
      <c r="D97" s="207" t="inlineStr">
        <is>
          <t>广州市息县旺建材有限公司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950254.54</v>
      </c>
      <c r="N97" s="210" t="n">
        <v>123533.02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1067146.16</v>
      </c>
      <c r="U97" s="206" t="n"/>
      <c r="V97" s="206" t="n"/>
    </row>
    <row r="98">
      <c r="A98" s="206" t="n">
        <v>24</v>
      </c>
      <c r="B98" s="206" t="inlineStr">
        <is>
          <t>200335317</t>
        </is>
      </c>
      <c r="C98" s="207" t="inlineStr">
        <is>
          <t>中建四局0200202101806029</t>
        </is>
      </c>
      <c r="D98" s="207" t="inlineStr">
        <is>
          <t>广州市汇亿鑫贸易有限公司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274015</v>
      </c>
      <c r="N98" s="210" t="n">
        <v>35621.95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309636.95</v>
      </c>
      <c r="U98" s="206" t="n"/>
      <c r="V98" s="206" t="n"/>
    </row>
    <row r="99">
      <c r="A99" s="206" t="n">
        <v>25</v>
      </c>
      <c r="B99" s="206" t="inlineStr">
        <is>
          <t>100006014</t>
        </is>
      </c>
      <c r="C99" s="207" t="inlineStr">
        <is>
          <t>中建四局0200202101806038</t>
        </is>
      </c>
      <c r="D99" s="207" t="inlineStr">
        <is>
          <t>广州市番禺区石楼镇沙南建材二厂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1561706.28</v>
      </c>
      <c r="N99" s="210" t="n">
        <v>203021.99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1764728.27</v>
      </c>
      <c r="U99" s="206" t="n"/>
      <c r="V99" s="206" t="n"/>
    </row>
    <row r="100">
      <c r="A100" s="206" t="n">
        <v>26</v>
      </c>
      <c r="B100" s="206" t="inlineStr">
        <is>
          <t>100118301</t>
        </is>
      </c>
      <c r="C100" s="207" t="inlineStr">
        <is>
          <t>中建四局0200202101806019</t>
        </is>
      </c>
      <c r="D100" s="207" t="inlineStr">
        <is>
          <t>广州市维意建材有限公司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27146211.76</v>
      </c>
      <c r="N100" s="210" t="n">
        <v>814386.39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27960598.15</v>
      </c>
      <c r="U100" s="206" t="n"/>
      <c r="V100" s="206" t="n"/>
    </row>
    <row r="101">
      <c r="A101" s="206" t="n">
        <v>27</v>
      </c>
      <c r="B101" s="206" t="inlineStr">
        <is>
          <t>100118101</t>
        </is>
      </c>
      <c r="C101" s="207" t="inlineStr">
        <is>
          <t>中建四局0200202101806032</t>
        </is>
      </c>
      <c r="D101" s="207" t="inlineStr">
        <is>
          <t>广州市长兴混凝土有限公司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7126276.05</v>
      </c>
      <c r="N101" s="210" t="n">
        <v>213788.29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7297640.86</v>
      </c>
      <c r="U101" s="206" t="n"/>
      <c r="V101" s="206" t="n"/>
    </row>
    <row r="102">
      <c r="A102" s="206" t="n">
        <v>28</v>
      </c>
      <c r="B102" s="206" t="inlineStr">
        <is>
          <t>100217478</t>
        </is>
      </c>
      <c r="C102" s="207" t="inlineStr">
        <is>
          <t>中建四局0200202101806017</t>
        </is>
      </c>
      <c r="D102" s="207" t="inlineStr">
        <is>
          <t>广州建侯建材有限公司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1538956.12</v>
      </c>
      <c r="N102" s="210" t="n">
        <v>200064.3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1739020.42</v>
      </c>
      <c r="U102" s="206" t="n"/>
      <c r="V102" s="206" t="n"/>
    </row>
    <row r="103">
      <c r="A103" s="206" t="n">
        <v>29</v>
      </c>
      <c r="B103" s="206" t="inlineStr">
        <is>
          <t>100094223</t>
        </is>
      </c>
      <c r="C103" s="207" t="inlineStr">
        <is>
          <t>中建四局0200202101806034</t>
        </is>
      </c>
      <c r="D103" s="207" t="inlineStr">
        <is>
          <t>广州晴泰蓝环保工程有限公司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140000</v>
      </c>
      <c r="N103" s="210" t="n">
        <v>18200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158200</v>
      </c>
      <c r="U103" s="206" t="n"/>
      <c r="V103" s="206" t="n"/>
    </row>
    <row r="104">
      <c r="A104" s="206" t="n">
        <v>30</v>
      </c>
      <c r="B104" s="206" t="inlineStr">
        <is>
          <t>200413088</t>
        </is>
      </c>
      <c r="C104" s="207" t="inlineStr">
        <is>
          <t>中建四局0200202101806021</t>
        </is>
      </c>
      <c r="D104" s="207" t="inlineStr">
        <is>
          <t>广州盒子住宅科技有限公司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13945976.97</v>
      </c>
      <c r="N104" s="210" t="n">
        <v>1793690.33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8652600</v>
      </c>
      <c r="U104" s="206" t="n"/>
      <c r="V104" s="206" t="n"/>
    </row>
    <row r="105">
      <c r="A105" s="206" t="n">
        <v>31</v>
      </c>
      <c r="B105" s="206" t="inlineStr">
        <is>
          <t>200234923</t>
        </is>
      </c>
      <c r="C105" s="207" t="inlineStr">
        <is>
          <t>中建四局0200202101806013</t>
        </is>
      </c>
      <c r="D105" s="207" t="inlineStr">
        <is>
          <t>广州睿越建材有限公司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43710.65</v>
      </c>
      <c r="N105" s="210" t="n">
        <v>5682.39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49393.04</v>
      </c>
      <c r="U105" s="206" t="n"/>
      <c r="V105" s="206" t="n"/>
    </row>
    <row r="106">
      <c r="A106" s="206" t="n">
        <v>32</v>
      </c>
      <c r="B106" s="206" t="inlineStr">
        <is>
          <t>100119801</t>
        </is>
      </c>
      <c r="C106" s="207" t="inlineStr">
        <is>
          <t>中建四局0200202101806037</t>
        </is>
      </c>
      <c r="D106" s="207" t="inlineStr">
        <is>
          <t>广州禄臻贸易有限公司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582161.09</v>
      </c>
      <c r="N106" s="210" t="n">
        <v>75681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657842.08</v>
      </c>
      <c r="U106" s="206" t="n"/>
      <c r="V106" s="206" t="n"/>
    </row>
    <row r="107">
      <c r="A107" s="206" t="n">
        <v>33</v>
      </c>
      <c r="B107" s="206" t="inlineStr">
        <is>
          <t>100217843</t>
        </is>
      </c>
      <c r="C107" s="207" t="inlineStr">
        <is>
          <t>中建四局0200202101806039</t>
        </is>
      </c>
      <c r="D107" s="207" t="inlineStr">
        <is>
          <t>广州绿色金融街投资管理有限公司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30291914.17</v>
      </c>
      <c r="N107" s="210" t="n">
        <v>3937948.82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34229862.99</v>
      </c>
      <c r="U107" s="206" t="n"/>
      <c r="V107" s="206" t="n"/>
    </row>
    <row r="108">
      <c r="A108" s="206" t="n">
        <v>34</v>
      </c>
      <c r="B108" s="206" t="inlineStr">
        <is>
          <t>100217163</t>
        </is>
      </c>
      <c r="C108" s="207" t="inlineStr">
        <is>
          <t>中建四局0200202101806002</t>
        </is>
      </c>
      <c r="D108" s="207" t="inlineStr">
        <is>
          <t>广州辰辰建材租赁有限公司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3566769.49</v>
      </c>
      <c r="N108" s="210" t="n">
        <v>463680.09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4017620.13</v>
      </c>
      <c r="U108" s="206" t="n"/>
      <c r="V108" s="206" t="n"/>
    </row>
    <row r="109">
      <c r="A109" s="206" t="n">
        <v>35</v>
      </c>
      <c r="B109" s="206" t="inlineStr">
        <is>
          <t>200009555</t>
        </is>
      </c>
      <c r="C109" s="207" t="inlineStr">
        <is>
          <t>中建四局0200202101806030</t>
        </is>
      </c>
      <c r="D109" s="207" t="inlineStr">
        <is>
          <t>广联达科技股份有限公司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44247.79</v>
      </c>
      <c r="N109" s="210" t="n">
        <v>5752.21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50000</v>
      </c>
      <c r="U109" s="206" t="n"/>
      <c r="V109" s="206" t="n"/>
    </row>
    <row r="110">
      <c r="A110" s="206" t="n">
        <v>36</v>
      </c>
      <c r="B110" s="206" t="inlineStr">
        <is>
          <t>100170699</t>
        </is>
      </c>
      <c r="C110" s="207" t="inlineStr">
        <is>
          <t>中建四局0200202101806027</t>
        </is>
      </c>
      <c r="D110" s="207" t="inlineStr">
        <is>
          <t>浙商中拓集团（广东）有限公司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697130.35</v>
      </c>
      <c r="N110" s="210" t="n">
        <v>90626.95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787757.3</v>
      </c>
      <c r="U110" s="206" t="n"/>
      <c r="V110" s="206" t="n"/>
    </row>
    <row r="111">
      <c r="A111" s="206" t="n">
        <v>37</v>
      </c>
      <c r="B111" s="206" t="inlineStr">
        <is>
          <t>100198899</t>
        </is>
      </c>
      <c r="C111" s="207" t="inlineStr">
        <is>
          <t>中建四局0200202101806008</t>
        </is>
      </c>
      <c r="D111" s="207" t="inlineStr">
        <is>
          <t>深圳市金仪时代环保产业有限公司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46390</v>
      </c>
      <c r="N111" s="210" t="n">
        <v>6030.7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52420.7</v>
      </c>
      <c r="U111" s="206" t="n"/>
      <c r="V111" s="206" t="n"/>
    </row>
    <row r="112">
      <c r="A112" s="206" t="n">
        <v>38</v>
      </c>
      <c r="B112" s="206" t="inlineStr">
        <is>
          <t>100218623</t>
        </is>
      </c>
      <c r="C112" s="207" t="inlineStr">
        <is>
          <t>中建四局0200202101806043</t>
        </is>
      </c>
      <c r="D112" s="207" t="inlineStr">
        <is>
          <t>深圳市鑫源发陶瓷有限公司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220443.53</v>
      </c>
      <c r="N112" s="210" t="n">
        <v>28657.66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249101.19</v>
      </c>
      <c r="U112" s="206" t="n"/>
      <c r="V112" s="206" t="n"/>
    </row>
    <row r="113">
      <c r="A113" s="206" t="n">
        <v>39</v>
      </c>
      <c r="B113" s="206" t="inlineStr">
        <is>
          <t>100074117</t>
        </is>
      </c>
      <c r="C113" s="207" t="inlineStr">
        <is>
          <t>中建四局0200202101806011</t>
        </is>
      </c>
      <c r="D113" s="207" t="inlineStr">
        <is>
          <t>清远市榕兴新型环保建材有限责任公司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1271717.14</v>
      </c>
      <c r="N113" s="210" t="n">
        <v>165323.22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1437040.36</v>
      </c>
      <c r="U113" s="206" t="n"/>
      <c r="V113" s="206" t="n"/>
    </row>
    <row r="114">
      <c r="A114" s="206" t="n">
        <v>40</v>
      </c>
      <c r="B114" s="206" t="inlineStr">
        <is>
          <t>100114405</t>
        </is>
      </c>
      <c r="C114" s="207" t="inlineStr">
        <is>
          <t>中建四局0200202101806018</t>
        </is>
      </c>
      <c r="D114" s="207" t="inlineStr">
        <is>
          <t>祁东县明达轻质陶粒厂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534785.89</v>
      </c>
      <c r="N114" s="210" t="n">
        <v>16863.59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549855.73</v>
      </c>
      <c r="U114" s="206" t="n"/>
      <c r="V114" s="206" t="n"/>
    </row>
    <row r="115">
      <c r="A115" s="206" t="n">
        <v>41</v>
      </c>
      <c r="B115" s="206" t="inlineStr">
        <is>
          <t>100199057</t>
        </is>
      </c>
      <c r="C115" s="207" t="inlineStr">
        <is>
          <t>中建四局0200202101806010</t>
        </is>
      </c>
      <c r="D115" s="207" t="inlineStr">
        <is>
          <t>福建省莆田市龙兴劳保用品有限公司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509280.38</v>
      </c>
      <c r="N115" s="210" t="n">
        <v>66206.64999999999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575487.03</v>
      </c>
      <c r="U115" s="206" t="n"/>
      <c r="V115" s="206" t="n"/>
    </row>
    <row r="116">
      <c r="A116" s="206" t="n">
        <v>42</v>
      </c>
      <c r="B116" s="206" t="inlineStr">
        <is>
          <t>100199057</t>
        </is>
      </c>
      <c r="C116" s="207" t="inlineStr">
        <is>
          <t>中建四局0200202101806031</t>
        </is>
      </c>
      <c r="D116" s="207" t="inlineStr">
        <is>
          <t>福建省莆田市龙兴劳保用品有限公司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48485.21</v>
      </c>
      <c r="N116" s="210" t="n">
        <v>6303.07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54788.28</v>
      </c>
      <c r="U116" s="206" t="n"/>
      <c r="V116" s="206" t="n"/>
    </row>
    <row r="117">
      <c r="A117" s="206" t="n">
        <v>43</v>
      </c>
      <c r="B117" s="206" t="n"/>
      <c r="C117" s="207" t="n"/>
      <c r="D117" s="207" t="inlineStr">
        <is>
          <t>其他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211578.27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>
        <v>44</v>
      </c>
      <c r="B118" s="206" t="n"/>
      <c r="C118" s="207" t="n"/>
      <c r="D118" s="207" t="inlineStr">
        <is>
          <t>废旧物资处置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206" t="n">
        <v>45</v>
      </c>
      <c r="B119" s="206" t="n"/>
      <c r="C119" s="207" t="n"/>
      <c r="D119" s="207" t="inlineStr">
        <is>
          <t>研发支出-材料费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9" t="n"/>
      <c r="M119" s="210" t="n">
        <v>-25030932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33" t="n">
        <v>46</v>
      </c>
      <c r="B120" s="199" t="n"/>
      <c r="C120" s="199" t="n"/>
      <c r="D120" s="218" t="inlineStr">
        <is>
          <t>材料调入</t>
        </is>
      </c>
      <c r="E120" s="199" t="n"/>
      <c r="F120" s="199" t="n"/>
      <c r="G120" s="199" t="n"/>
      <c r="H120" s="189" t="n"/>
      <c r="I120" s="189" t="n"/>
      <c r="J120" s="189" t="n"/>
      <c r="K120" s="201" t="n"/>
      <c r="L120" s="202" t="n"/>
      <c r="M120" s="223" t="n">
        <v>17996069.15</v>
      </c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189">
        <f>SUM(AA30:AJ30)</f>
        <v/>
      </c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AB30/1.17*0.17+AC30/1.16*0.16+AD30/1.11*0.11+AE30/1.1*0.1+AF30/1.09*0.09+AI30/1.03*0.03</f>
        <v/>
      </c>
      <c r="AL120" s="221" t="n"/>
    </row>
    <row r="121">
      <c r="A121" s="33" t="n">
        <v>47</v>
      </c>
      <c r="B121" s="199" t="n"/>
      <c r="C121" s="199" t="n"/>
      <c r="D121" s="218" t="inlineStr">
        <is>
          <t>材料调出（注：负数填报）</t>
        </is>
      </c>
      <c r="E121" s="224" t="n"/>
      <c r="F121" s="224" t="n"/>
      <c r="G121" s="224" t="n"/>
      <c r="H121" s="225" t="n"/>
      <c r="I121" s="225" t="n"/>
      <c r="J121" s="189" t="n"/>
      <c r="K121" s="201" t="n"/>
      <c r="L121" s="202" t="n"/>
      <c r="M121" s="226" t="n">
        <v>-8003517.42</v>
      </c>
      <c r="N121" s="225" t="n"/>
      <c r="O121" s="189">
        <f>L121-M121</f>
        <v/>
      </c>
      <c r="P121" s="189">
        <f>K121-N121</f>
        <v/>
      </c>
      <c r="Q121" s="189">
        <f>M121+O121</f>
        <v/>
      </c>
      <c r="R121" s="189">
        <f>M121+N121+O121+P121</f>
        <v/>
      </c>
      <c r="S121" s="203">
        <f>SUM(T121:V121)</f>
        <v/>
      </c>
      <c r="T121" s="225" t="n"/>
      <c r="U121" s="225" t="n"/>
      <c r="V121" s="225" t="n"/>
      <c r="W121" s="225" t="n"/>
      <c r="X121" s="225" t="n"/>
      <c r="Y121" s="225" t="n"/>
      <c r="Z121" s="189">
        <f>SUM(AA31:AJ31)</f>
        <v/>
      </c>
      <c r="AA121" s="225" t="n"/>
      <c r="AB121" s="227" t="n"/>
      <c r="AC121" s="227" t="n"/>
      <c r="AD121" s="227" t="n"/>
      <c r="AE121" s="227" t="n"/>
      <c r="AF121" s="227" t="n"/>
      <c r="AG121" s="227" t="n"/>
      <c r="AH121" s="227" t="n"/>
      <c r="AI121" s="227" t="n"/>
      <c r="AJ121" s="227" t="n"/>
      <c r="AK121" s="188">
        <f>AB31/1.17*0.17+AC31/1.16*0.16+AD31/1.11*0.11+AE31/1.1*0.1+AF31/1.09*0.09+AI31/1.03*0.03</f>
        <v/>
      </c>
      <c r="AL121" s="228" t="n"/>
    </row>
    <row r="122">
      <c r="A122" s="33" t="n"/>
      <c r="B122" s="199" t="n"/>
      <c r="C122" s="199" t="n"/>
      <c r="D122" s="218" t="inlineStr">
        <is>
          <t>材料库存（注：项目已结算未使用材料冲减项目成本，负数填报）</t>
        </is>
      </c>
      <c r="E122" s="224" t="n"/>
      <c r="F122" s="224" t="n"/>
      <c r="G122" s="224" t="n"/>
      <c r="H122" s="225" t="n"/>
      <c r="I122" s="225" t="n"/>
      <c r="J122" s="189" t="n"/>
      <c r="K122" s="201" t="n"/>
      <c r="L122" s="202" t="n"/>
      <c r="M122" s="225" t="n"/>
      <c r="N122" s="225" t="n"/>
      <c r="O122" s="189" t="n"/>
      <c r="P122" s="189" t="n"/>
      <c r="Q122" s="189" t="n"/>
      <c r="R122" s="189" t="n"/>
      <c r="S122" s="203" t="n"/>
      <c r="T122" s="225" t="n"/>
      <c r="U122" s="225" t="n"/>
      <c r="V122" s="225" t="n"/>
      <c r="W122" s="225" t="n"/>
      <c r="X122" s="225" t="n"/>
      <c r="Y122" s="225" t="n"/>
      <c r="Z122" s="189" t="n"/>
      <c r="AA122" s="225" t="n"/>
      <c r="AB122" s="227" t="n"/>
      <c r="AC122" s="227" t="n"/>
      <c r="AD122" s="227" t="n"/>
      <c r="AE122" s="227" t="n"/>
      <c r="AF122" s="227" t="n"/>
      <c r="AG122" s="227" t="n"/>
      <c r="AH122" s="227" t="n"/>
      <c r="AI122" s="227" t="n"/>
      <c r="AJ122" s="227" t="n"/>
      <c r="AK122" s="188" t="n"/>
      <c r="AL122" s="228" t="n"/>
    </row>
    <row r="123">
      <c r="A123" s="33" t="n"/>
      <c r="B123" s="199" t="n"/>
      <c r="C123" s="199" t="n"/>
      <c r="D123" s="211" t="inlineStr">
        <is>
          <t>**财务未列部分需增列***</t>
        </is>
      </c>
      <c r="E123" s="219" t="n"/>
      <c r="F123" s="219" t="n"/>
      <c r="G123" s="219" t="n"/>
      <c r="H123" s="189" t="n"/>
      <c r="I123" s="189" t="n"/>
      <c r="J123" s="189" t="n"/>
      <c r="K123" s="201" t="n"/>
      <c r="L123" s="202" t="n"/>
      <c r="M123" s="189" t="n"/>
      <c r="N123" s="189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03" t="n"/>
      <c r="U123" s="203" t="n"/>
      <c r="V123" s="203" t="n"/>
      <c r="W123" s="203" t="n"/>
      <c r="X123" s="203" t="n"/>
      <c r="Y123" s="203" t="n"/>
      <c r="Z123" s="203" t="n"/>
      <c r="AA123" s="203" t="n"/>
      <c r="AB123" s="220" t="n"/>
      <c r="AC123" s="220" t="n"/>
      <c r="AD123" s="220" t="n"/>
      <c r="AE123" s="220" t="n"/>
      <c r="AF123" s="220" t="n"/>
      <c r="AG123" s="220" t="n"/>
      <c r="AH123" s="220" t="n"/>
      <c r="AI123" s="220" t="n"/>
      <c r="AJ123" s="220" t="n"/>
      <c r="AK123" s="188">
        <f>AB33/1.17*0.17+AC33/1.16*0.16+AD33/1.11*0.11+AE33/1.1*0.1+AF33/1.09*0.09+AI33/1.03*0.03</f>
        <v/>
      </c>
      <c r="AL123" s="221" t="n"/>
    </row>
    <row r="124">
      <c r="A124" s="41" t="n"/>
      <c r="B124" s="215" t="n"/>
      <c r="C124" s="215" t="n"/>
      <c r="D124" s="216" t="inlineStr">
        <is>
          <t>材料费小计：</t>
        </is>
      </c>
      <c r="E124" s="217">
        <f>SUM(E69:E123)</f>
        <v/>
      </c>
      <c r="F124" s="217">
        <f>SUM(F69:F123)</f>
        <v/>
      </c>
      <c r="G124" s="217">
        <f>SUM(G69:G123)</f>
        <v/>
      </c>
      <c r="H124" s="217">
        <f>SUM(H69:H123)</f>
        <v/>
      </c>
      <c r="I124" s="217">
        <f>SUM(I69:I123)</f>
        <v/>
      </c>
      <c r="J124" s="217">
        <f>SUM(J69:J123)</f>
        <v/>
      </c>
      <c r="K124" s="217">
        <f>SUM(K69:K123)</f>
        <v/>
      </c>
      <c r="L124" s="217">
        <f>SUM(L69:L123)</f>
        <v/>
      </c>
      <c r="M124" s="217">
        <f>SUM(M69:M123)</f>
        <v/>
      </c>
      <c r="N124" s="217">
        <f>SUM(N69:N123)</f>
        <v/>
      </c>
      <c r="O124" s="217">
        <f>SUM(O69:O123)</f>
        <v/>
      </c>
      <c r="P124" s="217">
        <f>SUM(P69:P123)</f>
        <v/>
      </c>
      <c r="Q124" s="217">
        <f>SUM(Q69:Q123)</f>
        <v/>
      </c>
      <c r="R124" s="217">
        <f>SUM(R69:R123)</f>
        <v/>
      </c>
      <c r="S124" s="217">
        <f>SUM(S69:S123)</f>
        <v/>
      </c>
      <c r="T124" s="217">
        <f>SUM(T69:T123)</f>
        <v/>
      </c>
      <c r="U124" s="217">
        <f>SUM(U69:U123)</f>
        <v/>
      </c>
      <c r="V124" s="217">
        <f>SUM(V69:V123)</f>
        <v/>
      </c>
      <c r="W124" s="217">
        <f>SUM(W69:W123)</f>
        <v/>
      </c>
      <c r="X124" s="217">
        <f>SUM(X69:X123)</f>
        <v/>
      </c>
      <c r="Y124" s="217">
        <f>SUM(Y69:Y123)</f>
        <v/>
      </c>
      <c r="Z124" s="217">
        <f>SUM(Z69:Z123)</f>
        <v/>
      </c>
      <c r="AA124" s="217">
        <f>SUM(AA69:AA123)</f>
        <v/>
      </c>
      <c r="AB124" s="217">
        <f>SUM(AB69:AB123)</f>
        <v/>
      </c>
      <c r="AC124" s="217">
        <f>SUM(AC69:AC123)</f>
        <v/>
      </c>
      <c r="AD124" s="217">
        <f>SUM(AD69:AD123)</f>
        <v/>
      </c>
      <c r="AE124" s="217">
        <f>SUM(AE69:AE123)</f>
        <v/>
      </c>
      <c r="AF124" s="217">
        <f>SUM(AF69:AF123)</f>
        <v/>
      </c>
      <c r="AG124" s="217">
        <f>SUM(AG69:AG123)</f>
        <v/>
      </c>
      <c r="AH124" s="217">
        <f>SUM(AH69:AH123)</f>
        <v/>
      </c>
      <c r="AI124" s="217">
        <f>SUM(AI69:AI123)</f>
        <v/>
      </c>
      <c r="AJ124" s="217">
        <f>SUM(AJ69:AJ123)</f>
        <v/>
      </c>
      <c r="AK124" s="217">
        <f>SUM(AK69:AK123)</f>
        <v/>
      </c>
      <c r="AL124" s="204" t="n"/>
    </row>
    <row r="125">
      <c r="A125" s="33" t="n"/>
      <c r="B125" s="199" t="n"/>
      <c r="C125" s="199" t="n"/>
      <c r="D125" s="218" t="inlineStr">
        <is>
          <t>(四）机械租赁费</t>
        </is>
      </c>
      <c r="E125" s="212" t="n"/>
      <c r="F125" s="212" t="n"/>
      <c r="G125" s="212" t="n"/>
      <c r="H125" s="189" t="n"/>
      <c r="I125" s="189" t="n"/>
      <c r="J125" s="189" t="n"/>
      <c r="K125" s="201" t="n">
        <v>0</v>
      </c>
      <c r="L125" s="202">
        <f>J125-K125</f>
        <v/>
      </c>
      <c r="M125" s="184" t="n"/>
      <c r="N125" s="184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203" t="n"/>
      <c r="AC125" s="203" t="n"/>
      <c r="AD125" s="203" t="n"/>
      <c r="AE125" s="203" t="n"/>
      <c r="AF125" s="203" t="n"/>
      <c r="AG125" s="203" t="n"/>
      <c r="AH125" s="203" t="n"/>
      <c r="AI125" s="203" t="n"/>
      <c r="AJ125" s="203" t="n"/>
      <c r="AK125" s="188">
        <f>AB35/1.17*0.17+AC35/1.16*0.16+AD35/1.11*0.11+AE35/1.1*0.1+AF35/1.09*0.09+AI35/1.03*0.03</f>
        <v/>
      </c>
      <c r="AL125" s="204" t="n"/>
    </row>
    <row r="126">
      <c r="A126" s="206" t="n">
        <v>1</v>
      </c>
      <c r="B126" s="206" t="inlineStr">
        <is>
          <t>100051486</t>
        </is>
      </c>
      <c r="C126" s="207" t="inlineStr">
        <is>
          <t>中建四局0200202101805009</t>
        </is>
      </c>
      <c r="D126" s="207" t="inlineStr">
        <is>
          <t>佛山市赢鑫建筑机械租赁有限公司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5455288.19</v>
      </c>
      <c r="N126" s="210" t="n">
        <v>738597.9399999999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6405720.63</v>
      </c>
      <c r="U126" s="206" t="n"/>
      <c r="V126" s="206" t="n"/>
    </row>
    <row r="127">
      <c r="A127" s="206" t="n">
        <v>2</v>
      </c>
      <c r="B127" s="206" t="inlineStr">
        <is>
          <t>100217442</t>
        </is>
      </c>
      <c r="C127" s="207" t="inlineStr">
        <is>
          <t>中建四局0200202101805001</t>
        </is>
      </c>
      <c r="D127" s="207" t="inlineStr">
        <is>
          <t>任丘市嘉宇运输有限公司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39943.9</v>
      </c>
      <c r="N127" s="210" t="n">
        <v>3594.95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43538.85</v>
      </c>
      <c r="U127" s="206" t="n"/>
      <c r="V127" s="206" t="n"/>
    </row>
    <row r="128">
      <c r="A128" s="206" t="n">
        <v>3</v>
      </c>
      <c r="B128" s="206" t="inlineStr">
        <is>
          <t>200363935</t>
        </is>
      </c>
      <c r="C128" s="207" t="inlineStr">
        <is>
          <t>中建四局0200202101805006</t>
        </is>
      </c>
      <c r="D128" s="207" t="inlineStr">
        <is>
          <t>佛山市雄壮建筑工程有限公司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1197689.75</v>
      </c>
      <c r="N128" s="210" t="n">
        <v>36663.97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1258000</v>
      </c>
      <c r="U128" s="206" t="n"/>
      <c r="V128" s="206" t="n"/>
    </row>
    <row r="129">
      <c r="A129" s="206" t="n">
        <v>4</v>
      </c>
      <c r="B129" s="206" t="inlineStr">
        <is>
          <t>200477323</t>
        </is>
      </c>
      <c r="C129" s="207" t="inlineStr">
        <is>
          <t>中建四局0200202101805011</t>
        </is>
      </c>
      <c r="D129" s="207" t="inlineStr">
        <is>
          <t>佛山市霸伟建筑工程有限公司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947713.86</v>
      </c>
      <c r="N129" s="210" t="n">
        <v>29244.62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999000</v>
      </c>
      <c r="U129" s="206" t="n"/>
      <c r="V129" s="206" t="n"/>
    </row>
    <row r="130">
      <c r="A130" s="206" t="n">
        <v>5</v>
      </c>
      <c r="B130" s="206" t="inlineStr">
        <is>
          <t>100093859</t>
        </is>
      </c>
      <c r="C130" s="207" t="inlineStr">
        <is>
          <t>中建四局0200202101805010</t>
        </is>
      </c>
      <c r="D130" s="207" t="inlineStr">
        <is>
          <t>嘉兴浩锐机械设备有限公司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1387247.1</v>
      </c>
      <c r="N130" s="210" t="n">
        <v>180342.12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1567589.22</v>
      </c>
      <c r="U130" s="206" t="n"/>
      <c r="V130" s="206" t="n"/>
    </row>
    <row r="131">
      <c r="A131" s="206" t="n">
        <v>6</v>
      </c>
      <c r="B131" s="206" t="inlineStr">
        <is>
          <t>100117504</t>
        </is>
      </c>
      <c r="C131" s="207" t="inlineStr">
        <is>
          <t>中建四局0200202101805005</t>
        </is>
      </c>
      <c r="D131" s="207" t="inlineStr">
        <is>
          <t>广州大丰工程机械设备有限公司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1065730.14</v>
      </c>
      <c r="N131" s="210" t="n">
        <v>138544.93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1204275.07</v>
      </c>
      <c r="U131" s="206" t="n"/>
      <c r="V131" s="206" t="n"/>
    </row>
    <row r="132">
      <c r="A132" s="206" t="n">
        <v>7</v>
      </c>
      <c r="B132" s="206" t="inlineStr">
        <is>
          <t>200353812</t>
        </is>
      </c>
      <c r="C132" s="207" t="inlineStr">
        <is>
          <t>中建四局0200202101805007</t>
        </is>
      </c>
      <c r="D132" s="207" t="inlineStr">
        <is>
          <t>广州小老虎建筑机械租赁有限公司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11189319.59</v>
      </c>
      <c r="N132" s="210" t="n">
        <v>1022884.43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12388266.76</v>
      </c>
      <c r="U132" s="206" t="n"/>
      <c r="V132" s="206" t="n"/>
    </row>
    <row r="133">
      <c r="A133" s="206" t="n">
        <v>8</v>
      </c>
      <c r="B133" s="206" t="inlineStr">
        <is>
          <t>200162948</t>
        </is>
      </c>
      <c r="C133" s="207" t="inlineStr">
        <is>
          <t>中建四局0200202101805004</t>
        </is>
      </c>
      <c r="D133" s="207" t="inlineStr">
        <is>
          <t>广州市仁发运输有限公司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183165.02</v>
      </c>
      <c r="N133" s="210" t="n">
        <v>5494.92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188659.94</v>
      </c>
      <c r="U133" s="206" t="n"/>
      <c r="V133" s="206" t="n"/>
    </row>
    <row r="134">
      <c r="A134" s="206" t="n">
        <v>9</v>
      </c>
      <c r="B134" s="206" t="inlineStr">
        <is>
          <t>100217539</t>
        </is>
      </c>
      <c r="C134" s="207" t="inlineStr">
        <is>
          <t>中建四局0200202101805003</t>
        </is>
      </c>
      <c r="D134" s="207" t="inlineStr">
        <is>
          <t>广州易达运输有限公司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213962.98</v>
      </c>
      <c r="N134" s="210" t="n">
        <v>4631.78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218594.76</v>
      </c>
      <c r="U134" s="206" t="n"/>
      <c r="V134" s="206" t="n"/>
    </row>
    <row r="135">
      <c r="A135" s="206" t="n">
        <v>10</v>
      </c>
      <c r="B135" s="206" t="inlineStr">
        <is>
          <t>100217502</t>
        </is>
      </c>
      <c r="C135" s="207" t="inlineStr">
        <is>
          <t>中建四局0200202101805002</t>
        </is>
      </c>
      <c r="D135" s="207" t="inlineStr">
        <is>
          <t>广州湘亿货运代理有限公司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68419.10000000001</v>
      </c>
      <c r="N135" s="210" t="n">
        <v>6157.73</v>
      </c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10" t="n">
        <v>74576.83</v>
      </c>
      <c r="U135" s="206" t="n"/>
      <c r="V135" s="206" t="n"/>
    </row>
    <row r="136">
      <c r="A136" s="206" t="n"/>
      <c r="B136" s="206" t="n"/>
      <c r="C136" s="207" t="n"/>
      <c r="D136" s="207" t="n"/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5438.34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>
        <v>11</v>
      </c>
      <c r="B137" s="206" t="n"/>
      <c r="C137" s="207" t="n"/>
      <c r="D137" s="207" t="inlineStr">
        <is>
          <t>JXZ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30661.52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>
        <v>12</v>
      </c>
      <c r="B138" s="206" t="n"/>
      <c r="C138" s="207" t="n"/>
      <c r="D138" s="207" t="inlineStr">
        <is>
          <t>ZGD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-709.35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>
        <v>13</v>
      </c>
      <c r="B139" s="206" t="inlineStr">
        <is>
          <t>100197784</t>
        </is>
      </c>
      <c r="C139" s="207" t="n"/>
      <c r="D139" s="207" t="inlineStr">
        <is>
          <t>中铁物资集团华南有限公司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0.08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33" t="n"/>
      <c r="B140" s="199" t="n"/>
      <c r="C140" s="199" t="n"/>
      <c r="D140" s="211" t="inlineStr">
        <is>
          <t>**财务未列部分需增列***</t>
        </is>
      </c>
      <c r="E140" s="229" t="n"/>
      <c r="F140" s="229" t="n"/>
      <c r="G140" s="229" t="n"/>
      <c r="H140" s="189" t="n"/>
      <c r="I140" s="189" t="n"/>
      <c r="J140" s="189" t="n"/>
      <c r="K140" s="201" t="n">
        <v>0</v>
      </c>
      <c r="L140" s="202">
        <f>J140-K140</f>
        <v/>
      </c>
      <c r="M140" s="230" t="n"/>
      <c r="N140" s="230" t="n"/>
      <c r="O140" s="189">
        <f>L140-M140</f>
        <v/>
      </c>
      <c r="P140" s="189">
        <f>K140-N140</f>
        <v/>
      </c>
      <c r="Q140" s="189">
        <f>M140+O140</f>
        <v/>
      </c>
      <c r="R140" s="189">
        <f>M140+N140+O140+P140</f>
        <v/>
      </c>
      <c r="S140" s="203">
        <f>SUM(T140:V140)</f>
        <v/>
      </c>
      <c r="T140" s="230" t="n"/>
      <c r="U140" s="230" t="n"/>
      <c r="V140" s="230" t="n"/>
      <c r="W140" s="230" t="n"/>
      <c r="X140" s="230" t="n"/>
      <c r="Y140" s="230" t="n"/>
      <c r="Z140" s="230" t="n"/>
      <c r="AA140" s="203" t="n"/>
      <c r="AB140" s="188" t="n"/>
      <c r="AC140" s="188" t="n"/>
      <c r="AD140" s="188" t="n"/>
      <c r="AE140" s="188" t="n"/>
      <c r="AF140" s="188" t="n"/>
      <c r="AG140" s="188" t="n"/>
      <c r="AH140" s="188" t="n"/>
      <c r="AI140" s="188" t="n"/>
      <c r="AJ140" s="188" t="n"/>
      <c r="AK140" s="188">
        <f>AB37/1.17*0.17+AC37/1.16*0.16+AD37/1.11*0.11+AE37/1.1*0.1+AF37/1.09*0.09+AI37/1.03*0.03</f>
        <v/>
      </c>
      <c r="AL140" s="214" t="n"/>
    </row>
    <row r="141">
      <c r="A141" s="41" t="n"/>
      <c r="B141" s="215" t="n"/>
      <c r="C141" s="215" t="n"/>
      <c r="D141" s="231" t="inlineStr">
        <is>
          <t>机械费小计：</t>
        </is>
      </c>
      <c r="E141" s="232" t="n"/>
      <c r="F141" s="232" t="n"/>
      <c r="G141" s="232" t="n"/>
      <c r="H141" s="217">
        <f>SUM(H125:H140)</f>
        <v/>
      </c>
      <c r="I141" s="217">
        <f>SUM(I125:I140)</f>
        <v/>
      </c>
      <c r="J141" s="217">
        <f>SUM(J125:J140)</f>
        <v/>
      </c>
      <c r="K141" s="217">
        <f>SUM(K125:K140)</f>
        <v/>
      </c>
      <c r="L141" s="233">
        <f>SUM(L125:L140)</f>
        <v/>
      </c>
      <c r="M141" s="217">
        <f>SUM(M125:M140)</f>
        <v/>
      </c>
      <c r="N141" s="217">
        <f>SUM(N125:N140)</f>
        <v/>
      </c>
      <c r="O141" s="217">
        <f>SUM(O125:O140)</f>
        <v/>
      </c>
      <c r="P141" s="217">
        <f>SUM(P125:P140)</f>
        <v/>
      </c>
      <c r="Q141" s="217">
        <f>SUM(Q125:Q140)</f>
        <v/>
      </c>
      <c r="R141" s="217">
        <f>SUM(R125:R140)</f>
        <v/>
      </c>
      <c r="S141" s="217">
        <f>SUM(S125:S140)</f>
        <v/>
      </c>
      <c r="T141" s="217" t="n"/>
      <c r="U141" s="217" t="n"/>
      <c r="V141" s="217" t="n"/>
      <c r="W141" s="217" t="n"/>
      <c r="X141" s="217" t="n"/>
      <c r="Y141" s="217" t="n"/>
      <c r="Z141" s="217">
        <f>SUM(Z125:Z140)</f>
        <v/>
      </c>
      <c r="AA141" s="217">
        <f>SUM(AA125:AA140)</f>
        <v/>
      </c>
      <c r="AB141" s="217" t="n"/>
      <c r="AC141" s="217" t="n"/>
      <c r="AD141" s="217" t="n"/>
      <c r="AE141" s="217" t="n"/>
      <c r="AF141" s="217" t="n"/>
      <c r="AG141" s="217" t="n"/>
      <c r="AH141" s="217" t="n"/>
      <c r="AI141" s="217" t="n"/>
      <c r="AJ141" s="217" t="n"/>
      <c r="AK141" s="217" t="n"/>
      <c r="AL141" s="204" t="n"/>
    </row>
    <row r="142">
      <c r="A142" s="33" t="n"/>
      <c r="B142" s="199" t="n"/>
      <c r="C142" s="199" t="n"/>
      <c r="D142" s="218" t="inlineStr">
        <is>
          <t>（五）其他直接费</t>
        </is>
      </c>
      <c r="E142" s="212" t="n"/>
      <c r="F142" s="212" t="n"/>
      <c r="G142" s="212" t="n"/>
      <c r="H142" s="189" t="n"/>
      <c r="I142" s="189" t="n"/>
      <c r="J142" s="184" t="n">
        <v>0</v>
      </c>
      <c r="K142" s="201" t="n">
        <v>0</v>
      </c>
      <c r="L142" s="202">
        <f>J142-N142-P142</f>
        <v/>
      </c>
      <c r="M142" s="184" t="n"/>
      <c r="N142" s="184" t="n"/>
      <c r="O142" s="189">
        <f>L142-M142</f>
        <v/>
      </c>
      <c r="P142" s="189">
        <f>K142-N142</f>
        <v/>
      </c>
      <c r="Q142" s="189">
        <f>M142+O142</f>
        <v/>
      </c>
      <c r="R142" s="189">
        <f>M142+N142+O142+P142</f>
        <v/>
      </c>
      <c r="S142" s="203">
        <f>SUM(T142:V142)</f>
        <v/>
      </c>
      <c r="T142" s="203" t="n"/>
      <c r="U142" s="203" t="n"/>
      <c r="V142" s="203" t="n"/>
      <c r="W142" s="203" t="n"/>
      <c r="X142" s="203" t="n"/>
      <c r="Y142" s="203" t="n"/>
      <c r="Z142" s="203" t="n"/>
      <c r="AA142" s="203" t="n"/>
      <c r="AB142" s="203" t="n"/>
      <c r="AC142" s="203" t="n"/>
      <c r="AD142" s="203" t="n"/>
      <c r="AE142" s="203" t="n"/>
      <c r="AF142" s="203" t="n"/>
      <c r="AG142" s="203" t="n"/>
      <c r="AH142" s="203" t="n"/>
      <c r="AI142" s="203" t="n"/>
      <c r="AJ142" s="203" t="n"/>
      <c r="AK142" s="188" t="n"/>
      <c r="AL142" s="204" t="n"/>
    </row>
    <row r="143">
      <c r="A143" s="206" t="n"/>
      <c r="B143" s="206" t="n"/>
      <c r="C143" s="207" t="n"/>
      <c r="D143" s="207" t="inlineStr">
        <is>
          <t>保险费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2060794.4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其他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4351039.99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咨询费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1165.05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检验试验费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2298882.29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8300988.65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33" t="n"/>
      <c r="B148" s="199" t="n"/>
      <c r="C148" s="199" t="n"/>
      <c r="D148" s="211" t="inlineStr">
        <is>
          <t>**财务未列部分需增列***</t>
        </is>
      </c>
      <c r="E148" s="212" t="n"/>
      <c r="F148" s="212" t="n"/>
      <c r="G148" s="212" t="n"/>
      <c r="H148" s="189" t="n"/>
      <c r="I148" s="189" t="n"/>
      <c r="J148" s="184" t="n"/>
      <c r="K148" s="201" t="n"/>
      <c r="L148" s="202">
        <f>J148-K148</f>
        <v/>
      </c>
      <c r="M148" s="234" t="n"/>
      <c r="N148" s="234" t="n"/>
      <c r="O148" s="189">
        <f>L148-M148</f>
        <v/>
      </c>
      <c r="P148" s="189">
        <f>K148-N148</f>
        <v/>
      </c>
      <c r="Q148" s="189">
        <f>M148+O148</f>
        <v/>
      </c>
      <c r="R148" s="189">
        <f>M148+N148+O148+P148</f>
        <v/>
      </c>
      <c r="S148" s="203">
        <f>SUM(T148:V148)</f>
        <v/>
      </c>
      <c r="T148" s="234" t="n"/>
      <c r="U148" s="234" t="n"/>
      <c r="V148" s="234" t="n"/>
      <c r="W148" s="234" t="n"/>
      <c r="X148" s="234" t="n"/>
      <c r="Y148" s="234" t="n"/>
      <c r="Z148" s="189">
        <f>SUM(AA45:AJ45)</f>
        <v/>
      </c>
      <c r="AA148" s="203" t="n"/>
      <c r="AB148" s="203" t="n"/>
      <c r="AC148" s="203" t="n"/>
      <c r="AD148" s="203" t="n"/>
      <c r="AE148" s="203" t="n"/>
      <c r="AF148" s="203" t="n"/>
      <c r="AG148" s="203" t="n"/>
      <c r="AH148" s="203" t="n"/>
      <c r="AI148" s="203" t="n"/>
      <c r="AJ148" s="203" t="n"/>
      <c r="AK148" s="188" t="n"/>
      <c r="AL148" s="204" t="n"/>
    </row>
    <row r="149">
      <c r="A149" s="55" t="n"/>
      <c r="B149" s="235" t="n"/>
      <c r="C149" s="235" t="n"/>
      <c r="D149" s="231" t="inlineStr">
        <is>
          <t>其他直接费小计：</t>
        </is>
      </c>
      <c r="E149" s="236" t="n"/>
      <c r="F149" s="236" t="n"/>
      <c r="G149" s="236" t="n"/>
      <c r="H149" s="217">
        <f>SUM(H142:H148)</f>
        <v/>
      </c>
      <c r="I149" s="217">
        <f>SUM(I142:I148)</f>
        <v/>
      </c>
      <c r="J149" s="217">
        <f>SUM(J142:J148)</f>
        <v/>
      </c>
      <c r="K149" s="217">
        <f>SUM(K142:K148)</f>
        <v/>
      </c>
      <c r="L149" s="233">
        <f>SUM(L142:L148)</f>
        <v/>
      </c>
      <c r="M149" s="217">
        <f>SUM(M142:M148)</f>
        <v/>
      </c>
      <c r="N149" s="217">
        <f>SUM(N142:N148)</f>
        <v/>
      </c>
      <c r="O149" s="217">
        <f>L149-M149</f>
        <v/>
      </c>
      <c r="P149" s="217">
        <f>SUM(P142:P148)</f>
        <v/>
      </c>
      <c r="Q149" s="217">
        <f>M149+O149</f>
        <v/>
      </c>
      <c r="R149" s="217">
        <f>SUM(R142:R148)</f>
        <v/>
      </c>
      <c r="S149" s="217">
        <f>SUM(S142:S148)</f>
        <v/>
      </c>
      <c r="T149" s="217" t="n"/>
      <c r="U149" s="217" t="n"/>
      <c r="V149" s="217" t="n"/>
      <c r="W149" s="217" t="n"/>
      <c r="X149" s="217" t="n"/>
      <c r="Y149" s="217" t="n"/>
      <c r="Z149" s="217">
        <f>SUM(Z142:Z148)</f>
        <v/>
      </c>
      <c r="AA149" s="217">
        <f>SUM(AA142:AA148)</f>
        <v/>
      </c>
      <c r="AB149" s="217">
        <f>SUM(AB142:AB148)</f>
        <v/>
      </c>
      <c r="AC149" s="217">
        <f>SUM(AC142:AC148)</f>
        <v/>
      </c>
      <c r="AD149" s="217">
        <f>SUM(AD142:AD148)</f>
        <v/>
      </c>
      <c r="AE149" s="217">
        <f>SUM(AE142:AE148)</f>
        <v/>
      </c>
      <c r="AF149" s="217">
        <f>SUM(AF142:AF148)</f>
        <v/>
      </c>
      <c r="AG149" s="217" t="n"/>
      <c r="AH149" s="217" t="n"/>
      <c r="AI149" s="217">
        <f>SUM(AI142:AI148)</f>
        <v/>
      </c>
      <c r="AJ149" s="217">
        <f>SUM(AJ142:AJ148)</f>
        <v/>
      </c>
      <c r="AK149" s="217">
        <f>SUM(AK142:AK148)</f>
        <v/>
      </c>
      <c r="AL149" s="204" t="n"/>
    </row>
    <row r="150">
      <c r="A150" s="33" t="n"/>
      <c r="B150" s="199" t="n"/>
      <c r="C150" s="199" t="n"/>
      <c r="D150" s="218" t="inlineStr">
        <is>
          <t>（六）间接费</t>
        </is>
      </c>
      <c r="E150" s="212" t="n"/>
      <c r="F150" s="212" t="n"/>
      <c r="G150" s="212" t="n"/>
      <c r="H150" s="184" t="n"/>
      <c r="I150" s="189" t="n"/>
      <c r="J150" s="189" t="n">
        <v>0</v>
      </c>
      <c r="K150" s="201" t="n">
        <v>0</v>
      </c>
      <c r="L150" s="202">
        <f>J150-N150-P150</f>
        <v/>
      </c>
      <c r="M150" s="184" t="n"/>
      <c r="N150" s="184" t="n"/>
      <c r="O150" s="189">
        <f>L150-M150</f>
        <v/>
      </c>
      <c r="P150" s="189">
        <f>K150-N150</f>
        <v/>
      </c>
      <c r="Q150" s="189">
        <f>M150+O150</f>
        <v/>
      </c>
      <c r="R150" s="189">
        <f>M150+N150+O150+P150</f>
        <v/>
      </c>
      <c r="S150" s="203">
        <f>SUM(T150:V150)</f>
        <v/>
      </c>
      <c r="T150" s="203" t="n"/>
      <c r="U150" s="203" t="n"/>
      <c r="V150" s="203" t="n"/>
      <c r="W150" s="203" t="n"/>
      <c r="X150" s="203" t="n"/>
      <c r="Y150" s="203" t="n"/>
      <c r="Z150" s="203" t="n"/>
      <c r="AA150" s="203" t="n"/>
      <c r="AB150" s="203" t="n"/>
      <c r="AC150" s="203" t="n"/>
      <c r="AD150" s="203" t="n"/>
      <c r="AE150" s="203" t="n"/>
      <c r="AF150" s="203" t="n"/>
      <c r="AG150" s="203" t="n"/>
      <c r="AH150" s="203" t="n"/>
      <c r="AI150" s="203" t="n"/>
      <c r="AJ150" s="203" t="n"/>
      <c r="AK150" s="188" t="n"/>
      <c r="AL150" s="204" t="n"/>
    </row>
    <row r="151">
      <c r="A151" s="206" t="n"/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29087.86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266903.49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21036724.24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66169.48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33" t="n"/>
      <c r="B189" s="199" t="n"/>
      <c r="C189" s="199" t="n"/>
      <c r="D189" s="211" t="inlineStr">
        <is>
          <t>**财务未列部分需增列***</t>
        </is>
      </c>
      <c r="E189" s="212" t="n"/>
      <c r="F189" s="212" t="n"/>
      <c r="G189" s="212" t="n"/>
      <c r="H189" s="234" t="n"/>
      <c r="I189" s="189" t="n"/>
      <c r="J189" s="234" t="n"/>
      <c r="K189" s="201" t="n"/>
      <c r="L189" s="202" t="n"/>
      <c r="M189" s="234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4" t="n"/>
      <c r="U189" s="234" t="n"/>
      <c r="V189" s="234" t="n"/>
      <c r="W189" s="234" t="n"/>
      <c r="X189" s="234" t="n"/>
      <c r="Y189" s="234" t="n"/>
      <c r="Z189" s="234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55" t="n"/>
      <c r="B190" s="235" t="n"/>
      <c r="C190" s="235" t="n"/>
      <c r="D190" s="231" t="inlineStr">
        <is>
          <t>间接费小计：</t>
        </is>
      </c>
      <c r="E190" s="236" t="n"/>
      <c r="F190" s="236" t="n"/>
      <c r="G190" s="236" t="n"/>
      <c r="H190" s="217">
        <f>SUM(H150:H189)</f>
        <v/>
      </c>
      <c r="I190" s="217">
        <f>SUM(I150:I189)</f>
        <v/>
      </c>
      <c r="J190" s="217">
        <f>SUM(J150:J189)</f>
        <v/>
      </c>
      <c r="K190" s="217">
        <f>SUM(K150:K189)</f>
        <v/>
      </c>
      <c r="L190" s="233">
        <f>SUM(L150:L189)</f>
        <v/>
      </c>
      <c r="M190" s="233">
        <f>SUM(M150:M189)</f>
        <v/>
      </c>
      <c r="N190" s="233">
        <f>SUM(N150:N189)</f>
        <v/>
      </c>
      <c r="O190" s="233">
        <f>SUM(O150:O189)</f>
        <v/>
      </c>
      <c r="P190" s="233">
        <f>SUM(P150:P189)</f>
        <v/>
      </c>
      <c r="Q190" s="233">
        <f>SUM(Q150:Q189)</f>
        <v/>
      </c>
      <c r="R190" s="233">
        <f>SUM(R150:R189)</f>
        <v/>
      </c>
      <c r="S190" s="233">
        <f>SUM(S150:S189)</f>
        <v/>
      </c>
      <c r="T190" s="233" t="n"/>
      <c r="U190" s="233" t="n"/>
      <c r="V190" s="233" t="n"/>
      <c r="W190" s="233" t="n"/>
      <c r="X190" s="233" t="n"/>
      <c r="Y190" s="233" t="n"/>
      <c r="Z190" s="233">
        <f>SUM(Z150:Z189)</f>
        <v/>
      </c>
      <c r="AA190" s="233">
        <f>SUM(AA150:AA189)</f>
        <v/>
      </c>
      <c r="AB190" s="233">
        <f>SUM(AB150:AB189)</f>
        <v/>
      </c>
      <c r="AC190" s="233">
        <f>SUM(AC150:AC189)</f>
        <v/>
      </c>
      <c r="AD190" s="233">
        <f>SUM(AD150:AD189)</f>
        <v/>
      </c>
      <c r="AE190" s="233">
        <f>SUM(AE150:AE189)</f>
        <v/>
      </c>
      <c r="AF190" s="233">
        <f>SUM(AF150:AF189)</f>
        <v/>
      </c>
      <c r="AG190" s="233" t="n"/>
      <c r="AH190" s="233" t="n"/>
      <c r="AI190" s="233">
        <f>SUM(AI150:AI189)</f>
        <v/>
      </c>
      <c r="AJ190" s="233">
        <f>SUM(AJ150:AJ189)</f>
        <v/>
      </c>
      <c r="AK190" s="233">
        <f>SUM(AK150:AK189)</f>
        <v/>
      </c>
      <c r="AL190" s="214" t="n"/>
    </row>
    <row r="191">
      <c r="A191" s="33" t="n"/>
      <c r="B191" s="199" t="n"/>
      <c r="C191" s="199" t="n"/>
      <c r="D191" s="218" t="inlineStr">
        <is>
          <t>（七）安全费</t>
        </is>
      </c>
      <c r="E191" s="212" t="n"/>
      <c r="F191" s="212" t="n"/>
      <c r="G191" s="212" t="n"/>
      <c r="H191" s="189" t="n"/>
      <c r="I191" s="189" t="n"/>
      <c r="J191" s="184" t="n">
        <v>0</v>
      </c>
      <c r="K191" s="237" t="n"/>
      <c r="L191" s="202">
        <f>J191-N191-P191</f>
        <v/>
      </c>
      <c r="M191" s="189" t="n"/>
      <c r="N191" s="189" t="n"/>
      <c r="O191" s="189">
        <f>L191-M191</f>
        <v/>
      </c>
      <c r="P191" s="189">
        <f>K191-N191</f>
        <v/>
      </c>
      <c r="Q191" s="189">
        <f>M191+O191</f>
        <v/>
      </c>
      <c r="R191" s="189">
        <f>M191+N191+O191+P191</f>
        <v/>
      </c>
      <c r="S191" s="203">
        <f>SUM(T191:V191)</f>
        <v/>
      </c>
      <c r="T191" s="234" t="n"/>
      <c r="U191" s="234" t="n"/>
      <c r="V191" s="234" t="n"/>
      <c r="W191" s="234" t="n"/>
      <c r="X191" s="234" t="n"/>
      <c r="Y191" s="234" t="n"/>
      <c r="Z191" s="230" t="n"/>
      <c r="AA191" s="203" t="n"/>
      <c r="AB191" s="188" t="n"/>
      <c r="AC191" s="188" t="n"/>
      <c r="AD191" s="188" t="n"/>
      <c r="AE191" s="188" t="n"/>
      <c r="AF191" s="188" t="n"/>
      <c r="AG191" s="188" t="n"/>
      <c r="AH191" s="188" t="n"/>
      <c r="AI191" s="188" t="n"/>
      <c r="AJ191" s="188" t="n"/>
      <c r="AK191" s="188" t="n"/>
      <c r="AL191" s="214" t="n"/>
    </row>
    <row r="192">
      <c r="A192" s="206" t="n"/>
      <c r="B192" s="206" t="n"/>
      <c r="C192" s="207" t="n"/>
      <c r="D192" s="207" t="inlineStr">
        <is>
          <t>安全生产-人工费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2852405.63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安全生产-分包工程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12546095.85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安全生产-机械使用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326856.87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206" t="n"/>
      <c r="B195" s="206" t="n"/>
      <c r="C195" s="207" t="n"/>
      <c r="D195" s="207" t="inlineStr">
        <is>
          <t>安全生产费-报销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2066826.1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55" t="n"/>
      <c r="B196" s="235" t="n"/>
      <c r="C196" s="235" t="n"/>
      <c r="D196" s="231" t="inlineStr">
        <is>
          <t>安全费小计：</t>
        </is>
      </c>
      <c r="E196" s="231" t="n"/>
      <c r="F196" s="231" t="n"/>
      <c r="G196" s="231" t="n"/>
      <c r="H196" s="217">
        <f>SUM(H191:H195)</f>
        <v/>
      </c>
      <c r="I196" s="217">
        <f>SUM(I191:I195)</f>
        <v/>
      </c>
      <c r="J196" s="217" t="n">
        <v>0</v>
      </c>
      <c r="K196" s="217" t="n">
        <v>0</v>
      </c>
      <c r="L196" s="202">
        <f>J196-K196</f>
        <v/>
      </c>
      <c r="M196" s="233">
        <f>SUM(M191:M195)</f>
        <v/>
      </c>
      <c r="N196" s="233">
        <f>SUM(N191:N195)</f>
        <v/>
      </c>
      <c r="O196" s="233">
        <f>SUM(O191:O195)</f>
        <v/>
      </c>
      <c r="P196" s="233">
        <f>SUM(P191:P195)</f>
        <v/>
      </c>
      <c r="Q196" s="233">
        <f>SUM(Q191:Q195)</f>
        <v/>
      </c>
      <c r="R196" s="233">
        <f>SUM(R191:R195)</f>
        <v/>
      </c>
      <c r="S196" s="233">
        <f>SUM(S191:S195)</f>
        <v/>
      </c>
      <c r="T196" s="238" t="n"/>
      <c r="U196" s="238" t="n"/>
      <c r="V196" s="238" t="n"/>
      <c r="W196" s="238" t="n"/>
      <c r="X196" s="238" t="n"/>
      <c r="Y196" s="238" t="n"/>
      <c r="Z196" s="238" t="n"/>
      <c r="AA196" s="238">
        <f>SUM(AA191:AA195)</f>
        <v/>
      </c>
      <c r="AB196" s="238">
        <f>SUM(AB191:AB195)</f>
        <v/>
      </c>
      <c r="AC196" s="238">
        <f>SUM(AC191:AC195)</f>
        <v/>
      </c>
      <c r="AD196" s="238">
        <f>SUM(AD191:AD195)</f>
        <v/>
      </c>
      <c r="AE196" s="238">
        <f>SUM(AE191:AE195)</f>
        <v/>
      </c>
      <c r="AF196" s="238">
        <f>SUM(AF191:AF195)</f>
        <v/>
      </c>
      <c r="AG196" s="238" t="n"/>
      <c r="AH196" s="238" t="n"/>
      <c r="AI196" s="238">
        <f>SUM(AI191:AI195)</f>
        <v/>
      </c>
      <c r="AJ196" s="238">
        <f>SUM(AJ191:AJ195)</f>
        <v/>
      </c>
      <c r="AK196" s="238">
        <f>SUM(AK191:AK195)</f>
        <v/>
      </c>
      <c r="AL196" s="239" t="n"/>
    </row>
    <row r="197">
      <c r="A197" s="55" t="n"/>
      <c r="B197" s="235" t="n"/>
      <c r="C197" s="235" t="n"/>
      <c r="D197" s="231" t="inlineStr">
        <is>
          <t>三、成本合计：</t>
        </is>
      </c>
      <c r="E197" s="236" t="n"/>
      <c r="F197" s="236" t="n"/>
      <c r="G197" s="236" t="n"/>
      <c r="H197" s="217">
        <f>H35+H68+H124+H141+H149+H190+H196</f>
        <v/>
      </c>
      <c r="I197" s="217">
        <f>I35+I68+I124+I141+I149+I190+I196</f>
        <v/>
      </c>
      <c r="J197" s="217">
        <f>J35+J68+J124+J141+J149+J190+J196</f>
        <v/>
      </c>
      <c r="K197" s="217">
        <f>K35+K68+K124+K141+K149+K190+K196</f>
        <v/>
      </c>
      <c r="L197" s="233">
        <f>L35+L68+L124+L141+L149+L190+L196</f>
        <v/>
      </c>
      <c r="M197" s="238">
        <f>M35+M68+M124+M141+M149+M190+M196</f>
        <v/>
      </c>
      <c r="N197" s="238">
        <f>N35+N68+N124+N141+N149+N190+N196</f>
        <v/>
      </c>
      <c r="O197" s="238">
        <f>O35+O68+O124+O141+O149+O190+O196</f>
        <v/>
      </c>
      <c r="P197" s="238">
        <f>P35+P68+P124+P141+P149+P190+P196</f>
        <v/>
      </c>
      <c r="Q197" s="238">
        <f>Q35+Q68+Q124+Q141+Q149+Q190+Q196</f>
        <v/>
      </c>
      <c r="R197" s="238">
        <f>R35+R68+R124+R141+R149+R190+R196</f>
        <v/>
      </c>
      <c r="S197" s="238">
        <f>S35+S68+S124+S141+S149+S190+S196</f>
        <v/>
      </c>
      <c r="T197" s="238" t="n"/>
      <c r="U197" s="238" t="n"/>
      <c r="V197" s="238" t="n"/>
      <c r="W197" s="238" t="n"/>
      <c r="X197" s="238" t="n"/>
      <c r="Y197" s="238" t="n"/>
      <c r="Z197" s="238">
        <f>Z35+Z68+Z124+Z141+Z149+Z190+Z196</f>
        <v/>
      </c>
      <c r="AA197" s="238">
        <f>AA35+AA68+AA124+AA141+AA149+AA190+AA196</f>
        <v/>
      </c>
      <c r="AB197" s="238">
        <f>AB35+AB68+AB124+AB141+AB149+AB190+AB196</f>
        <v/>
      </c>
      <c r="AC197" s="238">
        <f>AC35+AC68+AC124+AC141+AC149+AC190+AC196</f>
        <v/>
      </c>
      <c r="AD197" s="238">
        <f>AD35+AD68+AD124+AD141+AD149+AD190+AD196</f>
        <v/>
      </c>
      <c r="AE197" s="238">
        <f>AE35+AE68+AE124+AE141+AE149+AE190+AE196</f>
        <v/>
      </c>
      <c r="AF197" s="238">
        <f>AF35+AF68+AF124+AF141+AF149+AF190+AF196</f>
        <v/>
      </c>
      <c r="AG197" s="238" t="n"/>
      <c r="AH197" s="238" t="n"/>
      <c r="AI197" s="238">
        <f>AI35+AI68+AI124+AI141+AI149+AI190+AI196</f>
        <v/>
      </c>
      <c r="AJ197" s="238">
        <f>AJ35+AJ68+AJ124+AJ141+AJ149+AJ190+AJ196</f>
        <v/>
      </c>
      <c r="AK197" s="238">
        <f>AK35+AK68+AK124+AK141+AK149+AK190+AK196</f>
        <v/>
      </c>
      <c r="AL197" s="239" t="n"/>
    </row>
    <row r="198">
      <c r="A198" s="33" t="n"/>
      <c r="B198" s="199" t="n"/>
      <c r="C198" s="199" t="n"/>
      <c r="D198" s="218" t="inlineStr">
        <is>
          <t>四、计提保修金</t>
        </is>
      </c>
      <c r="E198" s="240" t="inlineStr">
        <is>
          <t>（在建：房建0.6%，其它0.4%；在保修期间的按0.3~0.5%自行确定;保修期结束为0）</t>
        </is>
      </c>
      <c r="F198" s="240" t="n"/>
      <c r="G198" s="240" t="n"/>
      <c r="H198" s="184" t="n"/>
      <c r="I198" s="184" t="n"/>
      <c r="J198" s="184">
        <f>H198+I198</f>
        <v/>
      </c>
      <c r="K198" s="184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>
        <f>Q69-S69</f>
        <v/>
      </c>
      <c r="AB198" s="241" t="n"/>
      <c r="AC198" s="241" t="n"/>
      <c r="AD198" s="241" t="n"/>
      <c r="AE198" s="241" t="n"/>
      <c r="AF198" s="241" t="n"/>
      <c r="AG198" s="241" t="n"/>
      <c r="AH198" s="241" t="n"/>
      <c r="AI198" s="241" t="n"/>
      <c r="AJ198" s="241" t="n"/>
      <c r="AK198" s="188" t="n"/>
      <c r="AL198" s="239" t="n"/>
    </row>
    <row r="199">
      <c r="A199" s="33" t="n"/>
      <c r="B199" s="199" t="n"/>
      <c r="C199" s="199" t="n"/>
      <c r="D199" s="218" t="inlineStr">
        <is>
          <t>五、过程节点奖金</t>
        </is>
      </c>
      <c r="E199" s="212" t="n"/>
      <c r="F199" s="212" t="n"/>
      <c r="G199" s="212" t="n"/>
      <c r="H199" s="184" t="n"/>
      <c r="I199" s="184" t="n"/>
      <c r="J199" s="184">
        <f>H199+I199</f>
        <v/>
      </c>
      <c r="K199" s="184" t="n"/>
      <c r="L199" s="202">
        <f>J199-K199</f>
        <v/>
      </c>
      <c r="M199" s="189" t="n"/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33" t="n"/>
      <c r="B200" s="199" t="n"/>
      <c r="C200" s="199" t="n"/>
      <c r="D200" s="218" t="inlineStr">
        <is>
          <t>六、资金占用费用</t>
        </is>
      </c>
      <c r="E200" s="212" t="n"/>
      <c r="F200" s="212" t="n"/>
      <c r="G200" s="212" t="n"/>
      <c r="H200" s="189" t="n"/>
      <c r="I200" s="189" t="n"/>
      <c r="J200" s="184">
        <f>H200+I200</f>
        <v/>
      </c>
      <c r="K200" s="189" t="n"/>
      <c r="L200" s="202">
        <f>J200-K200</f>
        <v/>
      </c>
      <c r="M200" s="223" t="n">
        <v>6780777.21</v>
      </c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33" t="n"/>
      <c r="B201" s="199" t="n"/>
      <c r="C201" s="199" t="n"/>
      <c r="D201" s="218" t="inlineStr">
        <is>
          <t>七、局投资收益（局投资项目选填）</t>
        </is>
      </c>
      <c r="E201" s="212" t="n"/>
      <c r="F201" s="212" t="n"/>
      <c r="G201" s="212" t="n"/>
      <c r="H201" s="189" t="n"/>
      <c r="I201" s="189" t="n"/>
      <c r="J201" s="184">
        <f>H201+I201</f>
        <v/>
      </c>
      <c r="K201" s="189" t="n"/>
      <c r="L201" s="202">
        <f>J201-K201</f>
        <v/>
      </c>
      <c r="M201" s="189" t="n"/>
      <c r="N201" s="189" t="n"/>
      <c r="O201" s="189">
        <f>L201-M201</f>
        <v/>
      </c>
      <c r="P201" s="189">
        <f>K201-N201</f>
        <v/>
      </c>
      <c r="Q201" s="189">
        <f>M201+O201</f>
        <v/>
      </c>
      <c r="R201" s="189">
        <f>M201+N201+O201+P201</f>
        <v/>
      </c>
      <c r="S201" s="203">
        <f>SUM(T201:V201)</f>
        <v/>
      </c>
      <c r="T201" s="203" t="n"/>
      <c r="U201" s="203" t="n"/>
      <c r="V201" s="203" t="n"/>
      <c r="W201" s="203" t="n"/>
      <c r="X201" s="203" t="n"/>
      <c r="Y201" s="203" t="n"/>
      <c r="Z201" s="203" t="n"/>
      <c r="AA201" s="203" t="n"/>
      <c r="AB201" s="188" t="n"/>
      <c r="AC201" s="188" t="n"/>
      <c r="AD201" s="188" t="n"/>
      <c r="AE201" s="188" t="n"/>
      <c r="AF201" s="188" t="n"/>
      <c r="AG201" s="188" t="n"/>
      <c r="AH201" s="188" t="n"/>
      <c r="AI201" s="188" t="n"/>
      <c r="AJ201" s="188" t="n"/>
      <c r="AK201" s="188" t="n"/>
      <c r="AL201" s="214" t="n"/>
    </row>
    <row r="202">
      <c r="A202" s="55" t="n"/>
      <c r="B202" s="235" t="n"/>
      <c r="C202" s="235" t="n"/>
      <c r="D202" s="231" t="inlineStr">
        <is>
          <t>八、研发费用</t>
        </is>
      </c>
      <c r="E202" s="236" t="n"/>
      <c r="F202" s="236" t="n"/>
      <c r="G202" s="236" t="n"/>
      <c r="H202" s="217" t="n"/>
      <c r="I202" s="217" t="n"/>
      <c r="J202" s="217">
        <f>H202+I202</f>
        <v/>
      </c>
      <c r="K202" s="217" t="n"/>
      <c r="L202" s="233">
        <f>J202-K202</f>
        <v/>
      </c>
      <c r="M202" s="238">
        <f>SUM(M74:M76)</f>
        <v/>
      </c>
      <c r="N202" s="238">
        <f>SUM(N74:N76)</f>
        <v/>
      </c>
      <c r="O202" s="238">
        <f>SUM(O74:O76)</f>
        <v/>
      </c>
      <c r="P202" s="238">
        <f>SUM(P74:P76)</f>
        <v/>
      </c>
      <c r="Q202" s="238">
        <f>SUM(Q74:Q76)</f>
        <v/>
      </c>
      <c r="R202" s="238">
        <f>SUM(R74:R76)</f>
        <v/>
      </c>
      <c r="S202" s="238">
        <f>SUM(S74:S76)</f>
        <v/>
      </c>
      <c r="T202" s="238">
        <f>SUM(T74:T76)</f>
        <v/>
      </c>
      <c r="U202" s="238">
        <f>SUM(U74:U76)</f>
        <v/>
      </c>
      <c r="V202" s="238">
        <f>SUM(V74:V76)</f>
        <v/>
      </c>
      <c r="W202" s="238">
        <f>SUM(W74:W76)</f>
        <v/>
      </c>
      <c r="X202" s="238">
        <f>SUM(X74:X76)</f>
        <v/>
      </c>
      <c r="Y202" s="238">
        <f>SUM(Y74:Y76)</f>
        <v/>
      </c>
      <c r="Z202" s="238">
        <f>SUM(Z74:Z76)</f>
        <v/>
      </c>
      <c r="AA202" s="238">
        <f>SUM(AA74:AA76)</f>
        <v/>
      </c>
      <c r="AB202" s="238">
        <f>SUM(AB74:AB76)</f>
        <v/>
      </c>
      <c r="AC202" s="238">
        <f>SUM(AC74:AC76)</f>
        <v/>
      </c>
      <c r="AD202" s="238">
        <f>SUM(AD74:AD76)</f>
        <v/>
      </c>
      <c r="AE202" s="238">
        <f>SUM(AE74:AE76)</f>
        <v/>
      </c>
      <c r="AF202" s="238">
        <f>SUM(AF74:AF76)</f>
        <v/>
      </c>
      <c r="AG202" s="238">
        <f>SUM(AG74:AG76)</f>
        <v/>
      </c>
      <c r="AH202" s="238">
        <f>SUM(AH74:AH76)</f>
        <v/>
      </c>
      <c r="AI202" s="238">
        <f>SUM(AI74:AI76)</f>
        <v/>
      </c>
      <c r="AJ202" s="238">
        <f>SUM(AJ74:AJ76)</f>
        <v/>
      </c>
      <c r="AK202" s="238">
        <f>SUM(AK74:AK76)</f>
        <v/>
      </c>
      <c r="AL202" s="239" t="n"/>
    </row>
    <row r="203">
      <c r="A203" s="209" t="n"/>
      <c r="B203" s="209" t="n"/>
      <c r="C203" s="242" t="n"/>
      <c r="D203" s="242" t="inlineStr">
        <is>
          <t>人工成本</t>
        </is>
      </c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43" t="n">
        <v>2069939.18</v>
      </c>
      <c r="N203" s="244" t="n"/>
      <c r="O203" s="244">
        <f>L203-M203</f>
        <v/>
      </c>
      <c r="P203" s="244">
        <f>K203-N203</f>
        <v/>
      </c>
      <c r="Q203" s="244">
        <f>M203+O203</f>
        <v/>
      </c>
      <c r="R203" s="244">
        <f>M203+N203+O203+P203</f>
        <v/>
      </c>
      <c r="S203" s="244" t="n"/>
      <c r="T203" s="244" t="n"/>
      <c r="U203" s="244" t="n"/>
      <c r="V203" s="244" t="n"/>
    </row>
    <row r="204">
      <c r="A204" s="209" t="n"/>
      <c r="B204" s="209" t="n"/>
      <c r="C204" s="242" t="n"/>
      <c r="D204" s="242" t="inlineStr">
        <is>
          <t>可用存款</t>
        </is>
      </c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43" t="n">
        <v>2358.5</v>
      </c>
      <c r="N204" s="244" t="n"/>
      <c r="O204" s="244">
        <f>L204-M204</f>
        <v/>
      </c>
      <c r="P204" s="244">
        <f>K204-N204</f>
        <v/>
      </c>
      <c r="Q204" s="244">
        <f>M204+O204</f>
        <v/>
      </c>
      <c r="R204" s="244">
        <f>M204+N204+O204+P204</f>
        <v/>
      </c>
      <c r="S204" s="244" t="n"/>
      <c r="T204" s="244" t="n"/>
      <c r="U204" s="244" t="n"/>
      <c r="V204" s="244" t="n"/>
    </row>
    <row r="205">
      <c r="A205" s="209" t="n"/>
      <c r="B205" s="209" t="n"/>
      <c r="C205" s="242" t="n"/>
      <c r="D205" s="242" t="inlineStr">
        <is>
          <t>折旧</t>
        </is>
      </c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43" t="n">
        <v>6857.02</v>
      </c>
      <c r="N205" s="244" t="n"/>
      <c r="O205" s="244">
        <f>L205-M205</f>
        <v/>
      </c>
      <c r="P205" s="244">
        <f>K205-N205</f>
        <v/>
      </c>
      <c r="Q205" s="244">
        <f>M205+O205</f>
        <v/>
      </c>
      <c r="R205" s="244">
        <f>M205+N205+O205+P205</f>
        <v/>
      </c>
      <c r="S205" s="244" t="n"/>
      <c r="T205" s="244" t="n"/>
      <c r="U205" s="244" t="n"/>
      <c r="V205" s="244" t="n"/>
    </row>
    <row r="206">
      <c r="A206" s="209" t="n"/>
      <c r="B206" s="209" t="n"/>
      <c r="C206" s="242" t="n"/>
      <c r="D206" s="242" t="inlineStr">
        <is>
          <t>机械租赁</t>
        </is>
      </c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43" t="n">
        <v>63495</v>
      </c>
      <c r="N206" s="244" t="n"/>
      <c r="O206" s="244">
        <f>L206-M206</f>
        <v/>
      </c>
      <c r="P206" s="244">
        <f>K206-N206</f>
        <v/>
      </c>
      <c r="Q206" s="244">
        <f>M206+O206</f>
        <v/>
      </c>
      <c r="R206" s="244">
        <f>M206+N206+O206+P206</f>
        <v/>
      </c>
      <c r="S206" s="244" t="n"/>
      <c r="T206" s="244" t="n"/>
      <c r="U206" s="244" t="n"/>
      <c r="V206" s="244" t="n"/>
    </row>
    <row r="207">
      <c r="A207" s="209" t="n"/>
      <c r="B207" s="209" t="n"/>
      <c r="C207" s="242" t="n"/>
      <c r="D207" s="242" t="inlineStr">
        <is>
          <t>材料费</t>
        </is>
      </c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43" t="n">
        <v>25030932</v>
      </c>
      <c r="N207" s="244" t="n"/>
      <c r="O207" s="244">
        <f>L207-M207</f>
        <v/>
      </c>
      <c r="P207" s="244">
        <f>K207-N207</f>
        <v/>
      </c>
      <c r="Q207" s="244">
        <f>M207+O207</f>
        <v/>
      </c>
      <c r="R207" s="244">
        <f>M207+N207+O207+P207</f>
        <v/>
      </c>
      <c r="S207" s="244" t="n"/>
      <c r="T207" s="244" t="n"/>
      <c r="U207" s="244" t="n"/>
      <c r="V207" s="244" t="n"/>
    </row>
    <row r="208">
      <c r="A208" s="33" t="n">
        <v>1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>
        <f>H208+I208</f>
        <v/>
      </c>
      <c r="K208" s="189" t="n"/>
      <c r="L208" s="202">
        <f>J208-K208</f>
        <v/>
      </c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33" t="n">
        <v>2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 t="n"/>
      <c r="K209" s="189" t="n"/>
      <c r="L209" s="202" t="n"/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33" t="n">
        <v>3</v>
      </c>
      <c r="B210" s="199" t="n"/>
      <c r="C210" s="199" t="n"/>
      <c r="D210" s="218" t="n"/>
      <c r="E210" s="212" t="n"/>
      <c r="F210" s="212" t="n"/>
      <c r="G210" s="212" t="n"/>
      <c r="H210" s="189" t="n"/>
      <c r="I210" s="189" t="n"/>
      <c r="J210" s="184" t="n"/>
      <c r="K210" s="189" t="n"/>
      <c r="L210" s="202" t="n"/>
      <c r="M210" s="189" t="n"/>
      <c r="N210" s="189" t="n"/>
      <c r="O210" s="189">
        <f>L210-M210</f>
        <v/>
      </c>
      <c r="P210" s="189">
        <f>K210-N210</f>
        <v/>
      </c>
      <c r="Q210" s="189">
        <f>M210+O210</f>
        <v/>
      </c>
      <c r="R210" s="189">
        <f>M210+N210+O210+P210</f>
        <v/>
      </c>
      <c r="S210" s="203">
        <f>SUM(T210:V210)</f>
        <v/>
      </c>
      <c r="T210" s="203" t="n"/>
      <c r="U210" s="203" t="n"/>
      <c r="V210" s="203" t="n"/>
      <c r="W210" s="203" t="n"/>
      <c r="X210" s="203" t="n"/>
      <c r="Y210" s="203" t="n"/>
      <c r="Z210" s="203" t="n"/>
      <c r="AA210" s="203" t="n"/>
      <c r="AB210" s="188" t="n"/>
      <c r="AC210" s="188" t="n"/>
      <c r="AD210" s="188" t="n"/>
      <c r="AE210" s="188" t="n"/>
      <c r="AF210" s="188" t="n"/>
      <c r="AG210" s="188" t="n"/>
      <c r="AH210" s="188" t="n"/>
      <c r="AI210" s="188" t="n"/>
      <c r="AJ210" s="188" t="n"/>
      <c r="AK210" s="188" t="n"/>
      <c r="AL210" s="214" t="n"/>
    </row>
    <row r="211">
      <c r="A211" s="41" t="n"/>
      <c r="B211" s="215" t="n"/>
      <c r="C211" s="215" t="n"/>
      <c r="D211" s="231" t="inlineStr">
        <is>
          <t>九、成本及费用合计（三+四+五+六+七）</t>
        </is>
      </c>
      <c r="E211" s="232" t="n"/>
      <c r="F211" s="232" t="n"/>
      <c r="G211" s="232" t="n"/>
      <c r="H211" s="217">
        <f>H68+H69+H70+H71+#REF!</f>
        <v/>
      </c>
      <c r="I211" s="217">
        <f>I68+I69+I70+I71+#REF!</f>
        <v/>
      </c>
      <c r="J211" s="245">
        <f>J68+J69+J70+J71+#REF!</f>
        <v/>
      </c>
      <c r="K211" s="217">
        <f>K68+K69+K70+K71+#REF!</f>
        <v/>
      </c>
      <c r="L211" s="246">
        <f>L68+L69+L70+L71+#REF!</f>
        <v/>
      </c>
      <c r="M211" s="246">
        <f>M68+M69+M70+M71</f>
        <v/>
      </c>
      <c r="N211" s="246">
        <f>N68+N69+N70+N71</f>
        <v/>
      </c>
      <c r="O211" s="246">
        <f>O68+O69+O70+O71</f>
        <v/>
      </c>
      <c r="P211" s="246">
        <f>P68+P69+P70+P71</f>
        <v/>
      </c>
      <c r="Q211" s="246">
        <f>Q68+Q69+Q70+Q71</f>
        <v/>
      </c>
      <c r="R211" s="246">
        <f>R68+R69+R70+R71</f>
        <v/>
      </c>
      <c r="S211" s="238">
        <f>S68+S69+S70+S71</f>
        <v/>
      </c>
      <c r="T211" s="238" t="n"/>
      <c r="U211" s="238" t="n"/>
      <c r="V211" s="238" t="n"/>
      <c r="W211" s="238" t="n"/>
      <c r="X211" s="238" t="n"/>
      <c r="Y211" s="238" t="n"/>
      <c r="Z211" s="238">
        <f>Z68+Z69+Z70+Z71</f>
        <v/>
      </c>
      <c r="AA211" s="238">
        <f>AA68+AA69+AA70+AA71</f>
        <v/>
      </c>
      <c r="AB211" s="247" t="n"/>
      <c r="AC211" s="247" t="n"/>
      <c r="AD211" s="247" t="n"/>
      <c r="AE211" s="247" t="n"/>
      <c r="AF211" s="247" t="n"/>
      <c r="AG211" s="247" t="n"/>
      <c r="AH211" s="247" t="n"/>
      <c r="AI211" s="247" t="n"/>
      <c r="AJ211" s="247" t="n"/>
      <c r="AK211" s="248" t="n"/>
      <c r="AL211" s="249" t="n"/>
    </row>
    <row r="212">
      <c r="A212" s="41" t="n"/>
      <c r="B212" s="215" t="n"/>
      <c r="C212" s="215" t="n"/>
      <c r="D212" s="231" t="inlineStr">
        <is>
          <t>十、增值税实际税负（按财务数据）</t>
        </is>
      </c>
      <c r="E212" s="232" t="inlineStr">
        <is>
          <t>根据财务账面实际已缴纳增值税额+尚需缴纳的增值税额</t>
        </is>
      </c>
      <c r="F212" s="232" t="n"/>
      <c r="G212" s="232" t="n"/>
      <c r="H212" s="217" t="n"/>
      <c r="I212" s="217" t="n"/>
      <c r="J212" s="245">
        <f>H78+I78</f>
        <v/>
      </c>
      <c r="K212" s="217" t="inlineStr">
        <is>
          <t>/</t>
        </is>
      </c>
      <c r="L212" s="246" t="inlineStr">
        <is>
          <t>/</t>
        </is>
      </c>
      <c r="M212" s="246" t="n"/>
      <c r="N212" s="246">
        <f>N6-N77</f>
        <v/>
      </c>
      <c r="O212" s="246" t="n"/>
      <c r="P212" s="246" t="n"/>
      <c r="Q212" s="246" t="inlineStr">
        <is>
          <t>/</t>
        </is>
      </c>
      <c r="R212" s="246">
        <f>N78+P78</f>
        <v/>
      </c>
      <c r="S212" s="238" t="n"/>
      <c r="T212" s="238" t="n"/>
      <c r="U212" s="238" t="n"/>
      <c r="V212" s="238" t="n"/>
      <c r="W212" s="238" t="n"/>
      <c r="X212" s="238" t="n"/>
      <c r="Y212" s="238" t="n"/>
      <c r="Z212" s="238" t="n"/>
      <c r="AA212" s="238" t="n"/>
      <c r="AB212" s="247" t="n"/>
      <c r="AC212" s="247" t="n"/>
      <c r="AD212" s="247" t="n"/>
      <c r="AE212" s="247" t="n"/>
      <c r="AF212" s="247" t="n"/>
      <c r="AG212" s="247" t="n"/>
      <c r="AH212" s="247" t="n"/>
      <c r="AI212" s="247" t="n"/>
      <c r="AJ212" s="247" t="n"/>
      <c r="AK212" s="248" t="n"/>
      <c r="AL212" s="249" t="n"/>
    </row>
    <row r="213">
      <c r="A213" s="41" t="n"/>
      <c r="B213" s="215" t="n"/>
      <c r="C213" s="215" t="n"/>
      <c r="D213" s="231" t="inlineStr">
        <is>
          <t>十一、税金及附加（按财务数据）</t>
        </is>
      </c>
      <c r="E213" s="232" t="inlineStr">
        <is>
          <t>根据财务账面实际已缴纳税金及附加+尚需缴纳的税金及附加</t>
        </is>
      </c>
      <c r="F213" s="232" t="n"/>
      <c r="G213" s="232" t="n"/>
      <c r="H213" s="217" t="n"/>
      <c r="I213" s="217" t="n"/>
      <c r="J213" s="245">
        <f>H79+I79</f>
        <v/>
      </c>
      <c r="K213" s="217" t="n"/>
      <c r="L213" s="246">
        <f>J79</f>
        <v/>
      </c>
      <c r="M213" s="250" t="n">
        <v>349670.26</v>
      </c>
      <c r="N213" s="246" t="n"/>
      <c r="O213" s="246">
        <f>L79-M79</f>
        <v/>
      </c>
      <c r="P213" s="246" t="n"/>
      <c r="Q213" s="246">
        <f>M79+O79</f>
        <v/>
      </c>
      <c r="R213" s="246">
        <f>Q79</f>
        <v/>
      </c>
      <c r="S213" s="238" t="n"/>
      <c r="T213" s="238" t="n"/>
      <c r="U213" s="238" t="n"/>
      <c r="V213" s="238" t="n"/>
      <c r="W213" s="238" t="n"/>
      <c r="X213" s="238" t="n"/>
      <c r="Y213" s="238" t="n"/>
      <c r="Z213" s="238" t="n"/>
      <c r="AA213" s="238" t="n"/>
      <c r="AB213" s="247" t="n"/>
      <c r="AC213" s="247" t="n"/>
      <c r="AD213" s="247" t="n"/>
      <c r="AE213" s="247" t="n"/>
      <c r="AF213" s="247" t="n"/>
      <c r="AG213" s="247" t="n"/>
      <c r="AH213" s="247" t="n"/>
      <c r="AI213" s="247" t="n"/>
      <c r="AJ213" s="247" t="n"/>
      <c r="AK213" s="248" t="n"/>
      <c r="AL213" s="249" t="n"/>
    </row>
    <row r="214">
      <c r="A214" s="41" t="n"/>
      <c r="B214" s="215" t="n"/>
      <c r="C214" s="215" t="n"/>
      <c r="D214" s="231" t="inlineStr">
        <is>
          <t>十二、利润</t>
        </is>
      </c>
      <c r="E214" s="232" t="n"/>
      <c r="F214" s="232" t="n"/>
      <c r="G214" s="232" t="n"/>
      <c r="H214" s="217" t="n"/>
      <c r="I214" s="217" t="n"/>
      <c r="J214" s="245">
        <f>J6-J77-J78-J79</f>
        <v/>
      </c>
      <c r="K214" s="217" t="n"/>
      <c r="L214" s="246" t="n"/>
      <c r="M214" s="246" t="n"/>
      <c r="N214" s="246" t="n"/>
      <c r="O214" s="246" t="n"/>
      <c r="P214" s="246" t="n"/>
      <c r="Q214" s="246" t="n"/>
      <c r="R214" s="246" t="n"/>
      <c r="S214" s="238" t="n"/>
      <c r="T214" s="238" t="n"/>
      <c r="U214" s="238" t="n"/>
      <c r="V214" s="238" t="n"/>
      <c r="W214" s="238" t="n"/>
      <c r="X214" s="238" t="n"/>
      <c r="Y214" s="238" t="n"/>
      <c r="Z214" s="238" t="n"/>
      <c r="AA214" s="238" t="n"/>
      <c r="AB214" s="247" t="n"/>
      <c r="AC214" s="247" t="n"/>
      <c r="AD214" s="247" t="n"/>
      <c r="AE214" s="247" t="n"/>
      <c r="AF214" s="247" t="n"/>
      <c r="AG214" s="247" t="n"/>
      <c r="AH214" s="247" t="n"/>
      <c r="AI214" s="247" t="n"/>
      <c r="AJ214" s="247" t="n"/>
      <c r="AK214" s="248" t="n"/>
      <c r="AL214" s="249" t="n"/>
    </row>
    <row r="215">
      <c r="A215" s="105" t="n"/>
      <c r="B215" s="106" t="n"/>
      <c r="C215" s="106" t="n"/>
      <c r="D215" s="107" t="inlineStr">
        <is>
          <t>十三、利润率</t>
        </is>
      </c>
      <c r="E215" s="108" t="n"/>
      <c r="F215" s="108" t="n"/>
      <c r="G215" s="108" t="n"/>
      <c r="H215" s="109" t="n"/>
      <c r="I215" s="109" t="n"/>
      <c r="J215" s="109">
        <f>J80/J6</f>
        <v/>
      </c>
      <c r="K215" s="109" t="n"/>
      <c r="L215" s="127">
        <f>L80/L6</f>
        <v/>
      </c>
      <c r="M215" s="127">
        <f>M80/M6</f>
        <v/>
      </c>
      <c r="N215" s="127" t="n"/>
      <c r="O215" s="127" t="n"/>
      <c r="P215" s="127" t="n"/>
      <c r="Q215" s="127">
        <f>Q80/Q6</f>
        <v/>
      </c>
      <c r="R215" s="127">
        <f>R80/R6</f>
        <v/>
      </c>
      <c r="S215" s="142" t="n"/>
      <c r="T215" s="142" t="n"/>
      <c r="U215" s="142" t="n"/>
      <c r="V215" s="142" t="n"/>
      <c r="W215" s="142" t="n"/>
      <c r="X215" s="142" t="n"/>
      <c r="Y215" s="142" t="n"/>
      <c r="Z215" s="142" t="n"/>
      <c r="AA215" s="142" t="n"/>
      <c r="AB215" s="146" t="n"/>
      <c r="AC215" s="146" t="n"/>
      <c r="AD215" s="146" t="n"/>
      <c r="AE215" s="146" t="n"/>
      <c r="AF215" s="146" t="n"/>
      <c r="AG215" s="146" t="n"/>
      <c r="AH215" s="146" t="n"/>
      <c r="AI215" s="146" t="n"/>
      <c r="AJ215" s="146" t="n"/>
      <c r="AK215" s="154" t="n"/>
      <c r="AL215" s="155" t="n"/>
    </row>
    <row r="216">
      <c r="A216" s="111" t="n"/>
      <c r="B216" s="111" t="n"/>
      <c r="C216" s="111" t="n"/>
      <c r="D216" s="112" t="n"/>
      <c r="E216" s="113" t="n"/>
      <c r="F216" s="113" t="n"/>
      <c r="G216" s="113" t="n"/>
      <c r="H216" s="251" t="n"/>
      <c r="I216" s="251" t="n"/>
      <c r="J216" s="252" t="inlineStr">
        <is>
          <t>含税利润率</t>
        </is>
      </c>
      <c r="K216" s="253" t="n"/>
      <c r="L216" s="254" t="inlineStr">
        <is>
          <t>不含税利润率</t>
        </is>
      </c>
      <c r="M216" s="255" t="n"/>
      <c r="N216" s="255" t="n"/>
      <c r="O216" s="255" t="n"/>
      <c r="P216" s="255" t="n"/>
      <c r="Q216" s="255" t="n"/>
      <c r="R216" s="255" t="n"/>
      <c r="S216" s="255" t="n"/>
      <c r="T216" s="255" t="n"/>
      <c r="U216" s="255" t="n"/>
      <c r="V216" s="255" t="n"/>
      <c r="W216" s="255" t="n"/>
      <c r="X216" s="255" t="n"/>
      <c r="Y216" s="255" t="n"/>
      <c r="Z216" s="256" t="n"/>
      <c r="AA216" s="162" t="n"/>
      <c r="AB216" s="257" t="n"/>
      <c r="AC216" s="257" t="n"/>
      <c r="AD216" s="257" t="n"/>
      <c r="AE216" s="257" t="n"/>
      <c r="AF216" s="257" t="n"/>
      <c r="AG216" s="257" t="n"/>
      <c r="AH216" s="257" t="n"/>
      <c r="AI216" s="257" t="n"/>
      <c r="AJ216" s="257" t="n"/>
      <c r="AK216" s="257" t="n"/>
      <c r="AL216" s="156" t="n"/>
    </row>
    <row r="217">
      <c r="A217" s="111" t="n"/>
      <c r="B217" s="111" t="n"/>
      <c r="C217" s="111" t="n"/>
      <c r="D217" s="112" t="n"/>
      <c r="E217" s="113" t="n"/>
      <c r="F217" s="113" t="n"/>
      <c r="G217" s="113" t="n"/>
      <c r="H217" s="251" t="n"/>
      <c r="I217" s="251" t="n"/>
      <c r="J217" s="258" t="n"/>
      <c r="K217" s="251" t="n"/>
      <c r="L217" s="259" t="n"/>
      <c r="M217" s="255" t="n"/>
      <c r="N217" s="255" t="n"/>
      <c r="O217" s="255" t="n"/>
      <c r="P217" s="255" t="n"/>
      <c r="Q217" s="255" t="n"/>
      <c r="R217" s="255" t="n"/>
      <c r="S217" s="255" t="n"/>
      <c r="T217" s="255" t="n"/>
      <c r="U217" s="255" t="n"/>
      <c r="V217" s="255" t="n"/>
      <c r="W217" s="255" t="n"/>
      <c r="X217" s="255" t="n"/>
      <c r="Y217" s="255" t="n"/>
      <c r="Z217" s="256" t="n"/>
      <c r="AA217" s="162" t="n"/>
      <c r="AB217" s="257" t="n"/>
      <c r="AC217" s="257" t="n"/>
      <c r="AD217" s="257" t="n"/>
      <c r="AE217" s="257" t="n"/>
      <c r="AF217" s="257" t="n"/>
      <c r="AG217" s="257" t="n"/>
      <c r="AH217" s="257" t="n"/>
      <c r="AI217" s="257" t="n"/>
      <c r="AJ217" s="257" t="n"/>
      <c r="AK217" s="257" t="n"/>
      <c r="AL217" s="156" t="n"/>
    </row>
    <row r="218">
      <c r="A218" s="116" t="n"/>
      <c r="B218" s="116" t="n"/>
      <c r="C218" s="116" t="n"/>
      <c r="D218" s="117" t="n"/>
      <c r="E218" s="118" t="n"/>
      <c r="F218" s="118" t="n"/>
      <c r="G218" s="118" t="n"/>
      <c r="H218" s="119" t="n"/>
      <c r="I218" s="119" t="n"/>
      <c r="J218" s="134" t="n"/>
      <c r="K218" s="260" t="n"/>
      <c r="L218" s="260" t="n"/>
      <c r="M218" s="261" t="n"/>
      <c r="N218" s="260" t="n"/>
      <c r="O218" s="260" t="n"/>
      <c r="P218" s="262" t="n"/>
      <c r="Q218" s="262" t="n"/>
      <c r="R218" s="260" t="n"/>
      <c r="S218" s="263" t="n"/>
      <c r="T218" s="263" t="n"/>
      <c r="U218" s="263" t="n"/>
      <c r="V218" s="263" t="n"/>
      <c r="W218" s="263" t="n"/>
      <c r="X218" s="263" t="n"/>
      <c r="Y218" s="263" t="n"/>
      <c r="Z218" s="264" t="n"/>
      <c r="AA218" s="265" t="n"/>
      <c r="AD218" s="266" t="n"/>
      <c r="AE218" s="266" t="n"/>
      <c r="AF218" s="266" t="n"/>
      <c r="AG218" s="266" t="n"/>
      <c r="AH218" s="266" t="n"/>
      <c r="AI218" s="266" t="n"/>
      <c r="AJ218" s="266" t="n"/>
      <c r="AK218" s="266" t="n"/>
      <c r="AL218" s="121" t="n"/>
    </row>
    <row r="219">
      <c r="A219" s="121" t="n"/>
      <c r="B219" s="121" t="n"/>
      <c r="C219" s="121" t="n"/>
      <c r="D219" s="121" t="n"/>
      <c r="E219" s="122" t="n"/>
      <c r="F219" s="122" t="n"/>
      <c r="G219" s="122" t="n"/>
      <c r="H219" s="122" t="n"/>
      <c r="I219" s="122" t="n"/>
      <c r="J219" s="122" t="n"/>
      <c r="K219" s="267" t="n"/>
      <c r="L219" s="122" t="n"/>
      <c r="M219" s="268" t="n"/>
      <c r="N219" s="268" t="n"/>
      <c r="O219" s="268" t="n"/>
      <c r="P219" s="268" t="n"/>
      <c r="Q219" s="268" t="n"/>
      <c r="R219" s="268" t="n"/>
      <c r="S219" s="263" t="n"/>
      <c r="T219" s="263" t="n"/>
      <c r="U219" s="263" t="n"/>
      <c r="V219" s="263" t="n"/>
      <c r="W219" s="263" t="n"/>
      <c r="X219" s="263" t="n"/>
      <c r="Y219" s="263" t="n"/>
      <c r="Z219" s="268" t="n"/>
      <c r="AA219" s="266" t="n"/>
      <c r="AB219" s="266" t="n"/>
      <c r="AC219" s="266" t="n"/>
      <c r="AD219" s="266" t="n"/>
      <c r="AE219" s="266" t="n"/>
      <c r="AF219" s="266" t="n"/>
      <c r="AG219" s="266" t="n"/>
      <c r="AH219" s="266" t="n"/>
      <c r="AI219" s="266" t="n"/>
      <c r="AJ219" s="266" t="n"/>
      <c r="AK219" s="266" t="n"/>
      <c r="AL219" s="121" t="n"/>
    </row>
    <row r="220">
      <c r="A220" s="121" t="n"/>
      <c r="B220" s="121" t="n"/>
      <c r="C220" s="121" t="n"/>
      <c r="D220" s="121" t="n"/>
      <c r="E220" s="122" t="n"/>
      <c r="F220" s="122" t="n"/>
      <c r="G220" s="122" t="n"/>
      <c r="H220" s="122" t="n"/>
      <c r="I220" s="122" t="n"/>
      <c r="J220" s="122" t="n"/>
      <c r="K220" s="267" t="n"/>
      <c r="L220" s="122" t="n"/>
      <c r="M220" s="268" t="n"/>
      <c r="N220" s="268" t="n"/>
      <c r="O220" s="268" t="n"/>
      <c r="P220" s="268" t="n"/>
      <c r="Q220" s="268" t="n"/>
      <c r="R220" s="268" t="n"/>
      <c r="S220" s="263" t="n"/>
      <c r="T220" s="263" t="n"/>
      <c r="U220" s="263" t="n"/>
      <c r="V220" s="263" t="n"/>
      <c r="W220" s="263" t="n"/>
      <c r="X220" s="263" t="n"/>
      <c r="Y220" s="263" t="n"/>
      <c r="Z220" s="268" t="n"/>
      <c r="AA220" s="266" t="n"/>
      <c r="AB220" s="266" t="n"/>
      <c r="AC220" s="266" t="n"/>
      <c r="AD220" s="266" t="n"/>
      <c r="AE220" s="266" t="n"/>
      <c r="AF220" s="266" t="n"/>
      <c r="AG220" s="266" t="n"/>
      <c r="AH220" s="266" t="n"/>
      <c r="AI220" s="266" t="n"/>
      <c r="AJ220" s="266" t="n"/>
      <c r="AK220" s="266" t="n"/>
      <c r="AL220" s="121" t="n"/>
    </row>
    <row r="221">
      <c r="A221" s="121" t="n"/>
      <c r="B221" s="121" t="n"/>
      <c r="C221" s="121" t="n"/>
      <c r="D221" s="121" t="n"/>
      <c r="E221" s="123" t="n"/>
      <c r="F221" s="123" t="n"/>
      <c r="G221" s="123" t="n"/>
      <c r="H221" s="122" t="n"/>
      <c r="I221" s="122" t="n"/>
      <c r="J221" s="122" t="n"/>
      <c r="K221" s="123" t="n"/>
      <c r="L221" s="122" t="n"/>
      <c r="M221" s="268" t="n"/>
      <c r="N221" s="264" t="n"/>
      <c r="O221" s="268" t="n"/>
      <c r="P221" s="268" t="n"/>
      <c r="Q221" s="268" t="n"/>
      <c r="R221" s="260" t="n"/>
      <c r="S221" s="263" t="n"/>
      <c r="T221" s="263" t="n"/>
      <c r="U221" s="263" t="n"/>
      <c r="V221" s="263" t="n"/>
      <c r="W221" s="263" t="n"/>
      <c r="X221" s="263" t="n"/>
      <c r="Y221" s="263" t="n"/>
      <c r="Z221" s="268" t="n"/>
      <c r="AA221" s="266" t="n"/>
      <c r="AB221" s="266" t="n"/>
      <c r="AC221" s="266" t="n"/>
      <c r="AD221" s="266" t="n"/>
      <c r="AE221" s="266" t="n"/>
      <c r="AF221" s="266" t="n"/>
      <c r="AG221" s="266" t="n"/>
      <c r="AH221" s="266" t="n"/>
      <c r="AI221" s="266" t="n"/>
      <c r="AJ221" s="266" t="n"/>
      <c r="AK221" s="266" t="n"/>
      <c r="AL221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2026-04-22T08:42:11Z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