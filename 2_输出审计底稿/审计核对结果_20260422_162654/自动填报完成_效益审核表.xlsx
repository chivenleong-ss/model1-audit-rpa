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8" authorId="1" shapeId="0">
      <text>
        <t xml:space="preserve">**同财务账面合同履约成本/工程施工成本/机械租赁费数据一致**
</t>
      </text>
    </comment>
    <comment ref="M146" authorId="0" shapeId="0">
      <text>
        <t>于:
**同财务账面合同履约成本/工程施工成本其他直接费数据一致**</t>
      </text>
    </comment>
    <comment ref="M187" authorId="1" shapeId="0">
      <text>
        <t>**同财务账面合同履约成本/工程施工成本/间接费数据一致**</t>
      </text>
    </comment>
    <comment ref="D195" authorId="2" shapeId="0">
      <text>
        <t>（在建：房建0.6%，其它0.4%；在保修期间的按0.3~0.5%自行确定;保修期结束为0）</t>
      </text>
    </comment>
    <comment ref="E209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0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8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67151447.97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/>
      <c r="B63" s="206" t="n"/>
      <c r="C63" s="207" t="n"/>
      <c r="D63" s="207" t="n"/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-7872000.25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206" t="n">
        <v>28</v>
      </c>
      <c r="B64" s="206" t="inlineStr">
        <is>
          <t>100197784</t>
        </is>
      </c>
      <c r="C64" s="207" t="n"/>
      <c r="D64" s="207" t="inlineStr">
        <is>
          <t>中铁物资集团华南有限公司</t>
        </is>
      </c>
      <c r="E64" s="206" t="n"/>
      <c r="F64" s="206" t="n"/>
      <c r="G64" s="206" t="n"/>
      <c r="H64" s="206" t="n"/>
      <c r="I64" s="206" t="n"/>
      <c r="J64" s="206" t="n"/>
      <c r="K64" s="208" t="n"/>
      <c r="L64" s="209" t="n"/>
      <c r="M64" s="210" t="n">
        <v>0.01</v>
      </c>
      <c r="N64" s="206" t="n"/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06" t="n"/>
      <c r="U64" s="206" t="n"/>
      <c r="V64" s="206" t="n"/>
    </row>
    <row r="65" ht="14" customFormat="1" customHeight="1" s="180">
      <c r="A65" s="206" t="n">
        <v>29</v>
      </c>
      <c r="B65" s="206" t="inlineStr">
        <is>
          <t>200524589</t>
        </is>
      </c>
      <c r="C65" s="207" t="n"/>
      <c r="D65" s="207" t="inlineStr">
        <is>
          <t>广州新广建设工程有限公司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9" t="n"/>
      <c r="M65" s="210" t="n">
        <v>0.01</v>
      </c>
      <c r="N65" s="210" t="n">
        <v>-0.01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06" t="n"/>
      <c r="U65" s="206" t="n"/>
      <c r="V65" s="206" t="n"/>
    </row>
    <row r="66" ht="14" customFormat="1" customHeight="1" s="180">
      <c r="A66" s="33" t="n"/>
      <c r="B66" s="199" t="n"/>
      <c r="C66" s="199" t="n"/>
      <c r="D66" s="211" t="inlineStr">
        <is>
          <t>**财务未列部分需增列***</t>
        </is>
      </c>
      <c r="E66" s="219" t="n"/>
      <c r="F66" s="219" t="n"/>
      <c r="G66" s="21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189" t="n"/>
      <c r="U66" s="189" t="n"/>
      <c r="V66" s="189" t="n"/>
      <c r="W66" s="189" t="n"/>
      <c r="X66" s="189" t="n"/>
      <c r="Y66" s="189" t="n"/>
      <c r="Z66" s="203" t="n"/>
      <c r="AA66" s="203" t="n"/>
      <c r="AB66" s="188" t="n"/>
      <c r="AC66" s="188" t="n"/>
      <c r="AD66" s="188" t="n"/>
      <c r="AE66" s="188" t="n"/>
      <c r="AF66" s="188" t="n"/>
      <c r="AG66" s="188" t="n"/>
      <c r="AH66" s="188" t="n"/>
      <c r="AI66" s="188" t="n"/>
      <c r="AJ66" s="188" t="n"/>
      <c r="AK66" s="188">
        <f>AB22/1.17*0.17+AC22/1.16*0.16+AD22/1.11*0.11+AE22/1.1*0.1+AF22/1.09*0.09+AI22/1.03*0.03</f>
        <v/>
      </c>
      <c r="AL66" s="214" t="n"/>
    </row>
    <row r="67" ht="14" customFormat="1" customHeight="1" s="180">
      <c r="A67" s="41" t="n"/>
      <c r="B67" s="215" t="n"/>
      <c r="C67" s="215" t="n"/>
      <c r="D67" s="216" t="inlineStr">
        <is>
          <t>分包工程小计：</t>
        </is>
      </c>
      <c r="E67" s="217">
        <f>SUM(E35:E66)</f>
        <v/>
      </c>
      <c r="F67" s="217">
        <f>SUM(F35:F66)</f>
        <v/>
      </c>
      <c r="G67" s="217">
        <f>SUM(G35:G66)</f>
        <v/>
      </c>
      <c r="H67" s="217">
        <f>SUM(H35:H66)</f>
        <v/>
      </c>
      <c r="I67" s="217">
        <f>SUM(I35:I66)</f>
        <v/>
      </c>
      <c r="J67" s="217">
        <f>SUM(J35:J66)</f>
        <v/>
      </c>
      <c r="K67" s="217">
        <f>SUM(K35:K66)</f>
        <v/>
      </c>
      <c r="L67" s="217">
        <f>SUM(L35:L66)</f>
        <v/>
      </c>
      <c r="M67" s="217">
        <f>SUM(M35:M66)</f>
        <v/>
      </c>
      <c r="N67" s="217">
        <f>SUM(N35:N66)</f>
        <v/>
      </c>
      <c r="O67" s="217">
        <f>SUM(O35:O66)</f>
        <v/>
      </c>
      <c r="P67" s="217">
        <f>SUM(P35:P66)</f>
        <v/>
      </c>
      <c r="Q67" s="217">
        <f>SUM(Q35:Q66)</f>
        <v/>
      </c>
      <c r="R67" s="217">
        <f>SUM(R35:R66)</f>
        <v/>
      </c>
      <c r="S67" s="217">
        <f>SUM(S35:S66)</f>
        <v/>
      </c>
      <c r="T67" s="217">
        <f>SUM(T35:T66)</f>
        <v/>
      </c>
      <c r="U67" s="217">
        <f>SUM(U35:U66)</f>
        <v/>
      </c>
      <c r="V67" s="217">
        <f>SUM(V35:V66)</f>
        <v/>
      </c>
      <c r="W67" s="217">
        <f>SUM(W35:W66)</f>
        <v/>
      </c>
      <c r="X67" s="217">
        <f>SUM(X35:X66)</f>
        <v/>
      </c>
      <c r="Y67" s="217">
        <f>SUM(Y35:Y66)</f>
        <v/>
      </c>
      <c r="Z67" s="217">
        <f>SUM(Z35:Z66)</f>
        <v/>
      </c>
      <c r="AA67" s="217">
        <f>SUM(AA35:AA66)</f>
        <v/>
      </c>
      <c r="AB67" s="217">
        <f>SUM(AB35:AB66)</f>
        <v/>
      </c>
      <c r="AC67" s="217">
        <f>SUM(AC35:AC66)</f>
        <v/>
      </c>
      <c r="AD67" s="217">
        <f>SUM(AD35:AD66)</f>
        <v/>
      </c>
      <c r="AE67" s="217">
        <f>SUM(AE35:AE66)</f>
        <v/>
      </c>
      <c r="AF67" s="217">
        <f>SUM(AF35:AF66)</f>
        <v/>
      </c>
      <c r="AG67" s="217">
        <f>SUM(AG35:AG66)</f>
        <v/>
      </c>
      <c r="AH67" s="217">
        <f>SUM(AH35:AH66)</f>
        <v/>
      </c>
      <c r="AI67" s="217">
        <f>SUM(AI35:AI66)</f>
        <v/>
      </c>
      <c r="AJ67" s="217">
        <f>SUM(AJ35:AJ66)</f>
        <v/>
      </c>
      <c r="AK67" s="217">
        <f>SUM(AK35:AK66)</f>
        <v/>
      </c>
      <c r="AL67" s="204" t="n"/>
    </row>
    <row r="68" ht="14" customFormat="1" customHeight="1" s="180">
      <c r="A68" s="33" t="n"/>
      <c r="B68" s="199" t="n"/>
      <c r="C68" s="199" t="n"/>
      <c r="D68" s="218" t="inlineStr">
        <is>
          <t>(三)材料费</t>
        </is>
      </c>
      <c r="E68" s="199" t="n"/>
      <c r="F68" s="199" t="n"/>
      <c r="G68" s="199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203" t="n"/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AB24/1.17*0.17+AC24/1.16*0.16+AD24/1.11*0.11+AE24/1.1*0.1+AF24/1.09*0.09+AI24/1.03*0.03</f>
        <v/>
      </c>
      <c r="AL68" s="221" t="n"/>
    </row>
    <row r="69" ht="39" customFormat="1" customHeight="1" s="180">
      <c r="A69" s="33" t="n"/>
      <c r="B69" s="199" t="n"/>
      <c r="C69" s="199" t="n"/>
      <c r="D69" s="189" t="inlineStr">
        <is>
          <t>（1）集中采购</t>
        </is>
      </c>
      <c r="E69" s="199" t="n"/>
      <c r="F69" s="199" t="n"/>
      <c r="G69" s="199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203" t="n"/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AB25/1.17*0.17+AC25/1.16*0.16+AD25/1.11*0.11+AE25/1.1*0.1+AF25/1.09*0.09+AI25/1.03*0.03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SUM(AA26:AJ26)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AB26/1.17*0.17+AC26/1.16*0.16+AD26/1.11*0.11+AE26/1.1*0.1+AF26/1.09*0.09+AI26/1.03*0.03</f>
        <v/>
      </c>
      <c r="AL70" s="221" t="n"/>
    </row>
    <row r="71" ht="14" customFormat="1" customHeight="1" s="180">
      <c r="A71" s="33" t="n"/>
      <c r="B71" s="199" t="n"/>
      <c r="C71" s="199" t="n"/>
      <c r="D71" s="222" t="n"/>
      <c r="E71" s="213" t="n"/>
      <c r="F71" s="213" t="n"/>
      <c r="G71" s="213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SUM(AA27:AJ27)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AB27/1.17*0.17+AC27/1.16*0.16+AD27/1.11*0.11+AE27/1.1*0.1+AF27/1.09*0.09+AI27/1.03*0.03</f>
        <v/>
      </c>
      <c r="AL71" s="221" t="n"/>
    </row>
    <row r="72" ht="14" customFormat="1" customHeight="1" s="180">
      <c r="A72" s="33" t="n"/>
      <c r="B72" s="199" t="n"/>
      <c r="C72" s="199" t="n"/>
      <c r="D72" s="222" t="n"/>
      <c r="E72" s="213" t="n"/>
      <c r="F72" s="213" t="n"/>
      <c r="G72" s="213" t="n"/>
      <c r="H72" s="189" t="n"/>
      <c r="I72" s="189" t="n"/>
      <c r="J72" s="189" t="n"/>
      <c r="K72" s="201" t="n"/>
      <c r="L72" s="202" t="n"/>
      <c r="M72" s="189" t="n"/>
      <c r="N72" s="189" t="n"/>
      <c r="O72" s="189">
        <f>L72-M72</f>
        <v/>
      </c>
      <c r="P72" s="189">
        <f>K72-N72</f>
        <v/>
      </c>
      <c r="Q72" s="189">
        <f>M72+O72</f>
        <v/>
      </c>
      <c r="R72" s="189">
        <f>M72+N72+O72+P72</f>
        <v/>
      </c>
      <c r="S72" s="203">
        <f>SUM(T72:V72)</f>
        <v/>
      </c>
      <c r="T72" s="203" t="n"/>
      <c r="U72" s="203" t="n"/>
      <c r="V72" s="203" t="n"/>
      <c r="W72" s="203" t="n"/>
      <c r="X72" s="203" t="n"/>
      <c r="Y72" s="203" t="n"/>
      <c r="Z72" s="189">
        <f>SUM(AA28:AJ28)</f>
        <v/>
      </c>
      <c r="AA72" s="203" t="n"/>
      <c r="AB72" s="220" t="n"/>
      <c r="AC72" s="220" t="n"/>
      <c r="AD72" s="220" t="n"/>
      <c r="AE72" s="220" t="n"/>
      <c r="AF72" s="220" t="n"/>
      <c r="AG72" s="220" t="n"/>
      <c r="AH72" s="220" t="n"/>
      <c r="AI72" s="220" t="n"/>
      <c r="AJ72" s="220" t="n"/>
      <c r="AK72" s="188">
        <f>AB28/1.17*0.17+AC28/1.16*0.16+AD28/1.11*0.11+AE28/1.1*0.1+AF28/1.09*0.09+AI28/1.03*0.03</f>
        <v/>
      </c>
      <c r="AL72" s="221" t="n"/>
    </row>
    <row r="73" ht="14" customFormat="1" customHeight="1" s="180">
      <c r="A73" s="33" t="n"/>
      <c r="B73" s="199" t="n"/>
      <c r="C73" s="199" t="n"/>
      <c r="D73" s="189" t="inlineStr">
        <is>
          <t>（2）自行采购</t>
        </is>
      </c>
      <c r="E73" s="219" t="n"/>
      <c r="F73" s="219" t="n"/>
      <c r="G73" s="219" t="n"/>
      <c r="H73" s="189" t="n"/>
      <c r="I73" s="189" t="n"/>
      <c r="J73" s="189" t="n"/>
      <c r="K73" s="201" t="n"/>
      <c r="L73" s="202" t="n"/>
      <c r="M73" s="189" t="n"/>
      <c r="N73" s="189" t="n"/>
      <c r="O73" s="189">
        <f>L73-M73</f>
        <v/>
      </c>
      <c r="P73" s="189">
        <f>K73-N73</f>
        <v/>
      </c>
      <c r="Q73" s="189">
        <f>M73+O73</f>
        <v/>
      </c>
      <c r="R73" s="189">
        <f>M73+N73+O73+P73</f>
        <v/>
      </c>
      <c r="S73" s="203">
        <f>SUM(T73:V73)</f>
        <v/>
      </c>
      <c r="T73" s="203" t="n"/>
      <c r="U73" s="203" t="n"/>
      <c r="V73" s="203" t="n"/>
      <c r="W73" s="203" t="n"/>
      <c r="X73" s="203" t="n"/>
      <c r="Y73" s="203" t="n"/>
      <c r="Z73" s="189">
        <f>SUM(AA29:AJ29)</f>
        <v/>
      </c>
      <c r="AA73" s="203" t="n"/>
      <c r="AB73" s="220" t="n"/>
      <c r="AC73" s="220" t="n"/>
      <c r="AD73" s="220" t="n"/>
      <c r="AE73" s="220" t="n"/>
      <c r="AF73" s="220" t="n"/>
      <c r="AG73" s="220" t="n"/>
      <c r="AH73" s="220" t="n"/>
      <c r="AI73" s="220" t="n"/>
      <c r="AJ73" s="220" t="n"/>
      <c r="AK73" s="188">
        <f>AB29/1.17*0.17+AC29/1.16*0.16+AD29/1.11*0.11+AE29/1.1*0.1+AF29/1.09*0.09+AI29/1.03*0.03</f>
        <v/>
      </c>
      <c r="AL73" s="221" t="n"/>
    </row>
    <row r="74" ht="14" customFormat="1" customHeight="1" s="180">
      <c r="A74" s="206" t="n">
        <v>1</v>
      </c>
      <c r="B74" s="206" t="inlineStr">
        <is>
          <t>200234685</t>
        </is>
      </c>
      <c r="C74" s="207" t="inlineStr">
        <is>
          <t>中建四局0200202101806022</t>
        </is>
      </c>
      <c r="D74" s="207" t="inlineStr">
        <is>
          <t>上海找钢网供应链管理有限公司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2740600.46</v>
      </c>
      <c r="N74" s="210" t="n">
        <v>356278.05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3096878.51</v>
      </c>
      <c r="U74" s="206" t="n"/>
      <c r="V74" s="206" t="n"/>
    </row>
    <row r="75" ht="14" customFormat="1" customHeight="1" s="180">
      <c r="A75" s="206" t="n">
        <v>2</v>
      </c>
      <c r="B75" s="206" t="inlineStr">
        <is>
          <t>2043724</t>
        </is>
      </c>
      <c r="C75" s="207" t="inlineStr">
        <is>
          <t>中建四局020020210018060002</t>
        </is>
      </c>
      <c r="D75" s="207" t="inlineStr">
        <is>
          <t>中建四局绿色建筑科技（广东）有限公司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752363.78</v>
      </c>
      <c r="N75" s="210" t="n">
        <v>97807.23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850171.01</v>
      </c>
      <c r="U75" s="206" t="n"/>
      <c r="V75" s="206" t="n"/>
    </row>
    <row r="76" ht="14" customFormat="1" customHeight="1" s="180">
      <c r="A76" s="206" t="n">
        <v>3</v>
      </c>
      <c r="B76" s="206" t="inlineStr">
        <is>
          <t>100197784</t>
        </is>
      </c>
      <c r="C76" s="207" t="inlineStr">
        <is>
          <t>中建四局0200202101806025</t>
        </is>
      </c>
      <c r="D76" s="207" t="inlineStr">
        <is>
          <t>中铁物资集团华南有限公司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4776307.53</v>
      </c>
      <c r="N76" s="210" t="n">
        <v>620919.97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5397227.5</v>
      </c>
      <c r="U76" s="206" t="n"/>
      <c r="V76" s="206" t="n"/>
    </row>
    <row r="77" ht="14" customFormat="1" customHeight="1" s="180">
      <c r="A77" s="206" t="n">
        <v>4</v>
      </c>
      <c r="B77" s="206" t="inlineStr">
        <is>
          <t>100237790</t>
        </is>
      </c>
      <c r="C77" s="207" t="inlineStr">
        <is>
          <t>中建四局0200202101806004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14369</v>
      </c>
      <c r="N77" s="210" t="n">
        <v>1867.97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16236.97</v>
      </c>
      <c r="U77" s="206" t="n"/>
      <c r="V77" s="206" t="n"/>
    </row>
    <row r="78" ht="26" customFormat="1" customHeight="1" s="180">
      <c r="A78" s="206" t="n">
        <v>5</v>
      </c>
      <c r="B78" s="206" t="inlineStr">
        <is>
          <t>100237790</t>
        </is>
      </c>
      <c r="C78" s="207" t="inlineStr">
        <is>
          <t>中建四局0200202101806005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130267</v>
      </c>
      <c r="N78" s="210" t="n">
        <v>16934.71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147201.71</v>
      </c>
      <c r="U78" s="206" t="n"/>
      <c r="V78" s="206" t="n"/>
    </row>
    <row r="79" ht="26" customFormat="1" customHeight="1" s="180">
      <c r="A79" s="206" t="n">
        <v>6</v>
      </c>
      <c r="B79" s="206" t="inlineStr">
        <is>
          <t>100237790</t>
        </is>
      </c>
      <c r="C79" s="207" t="inlineStr">
        <is>
          <t>中建四局0200202101806006</t>
        </is>
      </c>
      <c r="D79" s="207" t="inlineStr">
        <is>
          <t>佛山唐贵五金电器有限公司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2550134.38</v>
      </c>
      <c r="N79" s="210" t="n">
        <v>331517.47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2881651.85</v>
      </c>
      <c r="U79" s="206" t="n"/>
      <c r="V79" s="206" t="n"/>
    </row>
    <row r="80" ht="14" customFormat="1" customHeight="1" s="180">
      <c r="A80" s="206" t="n">
        <v>7</v>
      </c>
      <c r="B80" s="206" t="inlineStr">
        <is>
          <t>100237790</t>
        </is>
      </c>
      <c r="C80" s="207" t="inlineStr">
        <is>
          <t>中建四局0200202101806016</t>
        </is>
      </c>
      <c r="D80" s="207" t="inlineStr">
        <is>
          <t>佛山唐贵五金电器有限公司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2123772.79</v>
      </c>
      <c r="N80" s="210" t="n">
        <v>276090.52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2399863.31</v>
      </c>
      <c r="U80" s="206" t="n"/>
      <c r="V80" s="206" t="n"/>
    </row>
    <row r="81" ht="14" customFormat="1" customHeight="1" s="3">
      <c r="A81" s="206" t="n">
        <v>8</v>
      </c>
      <c r="B81" s="206" t="inlineStr">
        <is>
          <t>100146779</t>
        </is>
      </c>
      <c r="C81" s="207" t="inlineStr">
        <is>
          <t>中建四局0200202101806026</t>
        </is>
      </c>
      <c r="D81" s="207" t="inlineStr">
        <is>
          <t>佛山市南海区洪顺水泥构件厂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1006289.65</v>
      </c>
      <c r="N81" s="210" t="n">
        <v>130817.7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1137107.35</v>
      </c>
      <c r="U81" s="206" t="n"/>
      <c r="V81" s="206" t="n"/>
    </row>
    <row r="82" ht="14" customHeight="1" s="159">
      <c r="A82" s="206" t="n">
        <v>9</v>
      </c>
      <c r="B82" s="206" t="inlineStr">
        <is>
          <t>100206907</t>
        </is>
      </c>
      <c r="C82" s="207" t="inlineStr">
        <is>
          <t>中建四局0200202101806014</t>
        </is>
      </c>
      <c r="D82" s="207" t="inlineStr">
        <is>
          <t>佛山市开力电气有限公司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63203</v>
      </c>
      <c r="N82" s="210" t="n">
        <v>8216.389999999999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71419.39</v>
      </c>
      <c r="U82" s="206" t="n"/>
      <c r="V82" s="206" t="n"/>
    </row>
    <row r="83" ht="14" customHeight="1" s="159">
      <c r="A83" s="206" t="n">
        <v>10</v>
      </c>
      <c r="B83" s="206" t="inlineStr">
        <is>
          <t>200162951</t>
        </is>
      </c>
      <c r="C83" s="207" t="inlineStr">
        <is>
          <t>中建四局0200202101806036</t>
        </is>
      </c>
      <c r="D83" s="207" t="inlineStr">
        <is>
          <t>佛山市翊德通新型环保科技建材有限公司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4369961.51</v>
      </c>
      <c r="N83" s="210" t="n">
        <v>568095.3199999999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4938056.52</v>
      </c>
      <c r="U83" s="206" t="n"/>
      <c r="V83" s="206" t="n"/>
    </row>
    <row r="84">
      <c r="A84" s="206" t="n">
        <v>11</v>
      </c>
      <c r="B84" s="206" t="inlineStr">
        <is>
          <t>100232795</t>
        </is>
      </c>
      <c r="C84" s="207" t="inlineStr">
        <is>
          <t>中建四局0200202101806001</t>
        </is>
      </c>
      <c r="D84" s="207" t="inlineStr">
        <is>
          <t>佰丽特（厦门）电气科技有限公司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333728</v>
      </c>
      <c r="N84" s="210" t="n">
        <v>43384.64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301690.11</v>
      </c>
      <c r="U84" s="206" t="n"/>
      <c r="V84" s="206" t="n"/>
    </row>
    <row r="85">
      <c r="A85" s="206" t="n">
        <v>12</v>
      </c>
      <c r="B85" s="206" t="inlineStr">
        <is>
          <t>200282611</t>
        </is>
      </c>
      <c r="C85" s="207" t="inlineStr">
        <is>
          <t>中建四局0200202101806009</t>
        </is>
      </c>
      <c r="D85" s="207" t="inlineStr">
        <is>
          <t>平安商贸有限公司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8873935.289999999</v>
      </c>
      <c r="N85" s="210" t="n">
        <v>1153611.59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10027546.88</v>
      </c>
      <c r="U85" s="206" t="n"/>
      <c r="V85" s="206" t="n"/>
    </row>
    <row r="86">
      <c r="A86" s="206" t="n">
        <v>13</v>
      </c>
      <c r="B86" s="206" t="inlineStr">
        <is>
          <t>200609375</t>
        </is>
      </c>
      <c r="C86" s="207" t="inlineStr">
        <is>
          <t>中建四局0200202101806040</t>
        </is>
      </c>
      <c r="D86" s="207" t="inlineStr">
        <is>
          <t>广东富景成环保建材有限公司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385917.65</v>
      </c>
      <c r="N86" s="210" t="n">
        <v>50169.29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436086.94</v>
      </c>
      <c r="U86" s="206" t="n"/>
      <c r="V86" s="206" t="n"/>
    </row>
    <row r="87">
      <c r="A87" s="206" t="n">
        <v>14</v>
      </c>
      <c r="B87" s="206" t="inlineStr">
        <is>
          <t>200589118</t>
        </is>
      </c>
      <c r="C87" s="207" t="inlineStr">
        <is>
          <t>中建四局020020210018060001</t>
        </is>
      </c>
      <c r="D87" s="207" t="inlineStr">
        <is>
          <t>广东广物中南建材集团有限公司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4299184.04</v>
      </c>
      <c r="N87" s="210" t="n">
        <v>558893.95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4858077.99</v>
      </c>
      <c r="U87" s="206" t="n"/>
      <c r="V87" s="206" t="n"/>
    </row>
    <row r="88">
      <c r="A88" s="206" t="n">
        <v>15</v>
      </c>
      <c r="B88" s="206" t="inlineStr">
        <is>
          <t>100218495</t>
        </is>
      </c>
      <c r="C88" s="207" t="inlineStr">
        <is>
          <t>中建四局0200202101806024</t>
        </is>
      </c>
      <c r="D88" s="207" t="inlineStr">
        <is>
          <t>广东广物物资有限公司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52140600.21</v>
      </c>
      <c r="N88" s="210" t="n">
        <v>6778278.02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57634200</v>
      </c>
      <c r="U88" s="206" t="n"/>
      <c r="V88" s="206" t="n"/>
    </row>
    <row r="89">
      <c r="A89" s="206" t="n">
        <v>16</v>
      </c>
      <c r="B89" s="206" t="inlineStr">
        <is>
          <t>100217200</t>
        </is>
      </c>
      <c r="C89" s="207" t="inlineStr">
        <is>
          <t>中建四局0200202101806042</t>
        </is>
      </c>
      <c r="D89" s="207" t="inlineStr">
        <is>
          <t>广东新瑞龙生态建材有限公司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9943627.460000001</v>
      </c>
      <c r="N89" s="210" t="n">
        <v>1292671.55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10199210.04</v>
      </c>
      <c r="U89" s="206" t="n"/>
      <c r="V89" s="206" t="n"/>
    </row>
    <row r="90">
      <c r="A90" s="206" t="n">
        <v>17</v>
      </c>
      <c r="B90" s="206" t="inlineStr">
        <is>
          <t>100217564</t>
        </is>
      </c>
      <c r="C90" s="207" t="inlineStr">
        <is>
          <t>中建四局0200202101806015</t>
        </is>
      </c>
      <c r="D90" s="207" t="inlineStr">
        <is>
          <t>广东顺德雍强贸易有限公司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5074499.2</v>
      </c>
      <c r="N90" s="210" t="n">
        <v>659684.51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5722211.35</v>
      </c>
      <c r="U90" s="206" t="n"/>
      <c r="V90" s="206" t="n"/>
    </row>
    <row r="91">
      <c r="A91" s="206" t="n">
        <v>18</v>
      </c>
      <c r="B91" s="206" t="inlineStr">
        <is>
          <t>200028988</t>
        </is>
      </c>
      <c r="C91" s="207" t="inlineStr">
        <is>
          <t>中建四局0200202101806020</t>
        </is>
      </c>
      <c r="D91" s="207" t="inlineStr">
        <is>
          <t>广州天源混凝土有限公司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82619375.06999999</v>
      </c>
      <c r="N91" s="210" t="n">
        <v>2479172.51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76114127.56</v>
      </c>
      <c r="U91" s="206" t="n"/>
      <c r="V91" s="206" t="n"/>
    </row>
    <row r="92">
      <c r="A92" s="206" t="n">
        <v>19</v>
      </c>
      <c r="B92" s="206" t="inlineStr">
        <is>
          <t>100118018</t>
        </is>
      </c>
      <c r="C92" s="207" t="inlineStr">
        <is>
          <t>中建四局0200202101806023</t>
        </is>
      </c>
      <c r="D92" s="207" t="inlineStr">
        <is>
          <t>广州天达混凝土有限公司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7029897.31</v>
      </c>
      <c r="N92" s="210" t="n">
        <v>210896.97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7240794.28</v>
      </c>
      <c r="U92" s="206" t="n"/>
      <c r="V92" s="206" t="n"/>
    </row>
    <row r="93">
      <c r="A93" s="206" t="n">
        <v>20</v>
      </c>
      <c r="B93" s="206" t="inlineStr">
        <is>
          <t>100217350</t>
        </is>
      </c>
      <c r="C93" s="207" t="inlineStr">
        <is>
          <t>中建四局0200202101806003</t>
        </is>
      </c>
      <c r="D93" s="207" t="inlineStr">
        <is>
          <t>广州市嘉宇金属制品有限公司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416379</v>
      </c>
      <c r="N93" s="210" t="n">
        <v>54129.27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470508.27</v>
      </c>
      <c r="U93" s="206" t="n"/>
      <c r="V93" s="206" t="n"/>
    </row>
    <row r="94">
      <c r="A94" s="206" t="n">
        <v>21</v>
      </c>
      <c r="B94" s="206" t="inlineStr">
        <is>
          <t>100217450</t>
        </is>
      </c>
      <c r="C94" s="207" t="inlineStr">
        <is>
          <t>中建四局0200202101806041</t>
        </is>
      </c>
      <c r="D94" s="207" t="inlineStr">
        <is>
          <t>广州市常宏建材有限公司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32639</v>
      </c>
      <c r="N94" s="210" t="n">
        <v>4243.07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36882.07</v>
      </c>
      <c r="U94" s="206" t="n"/>
      <c r="V94" s="206" t="n"/>
    </row>
    <row r="95">
      <c r="A95" s="206" t="n">
        <v>22</v>
      </c>
      <c r="B95" s="206" t="inlineStr">
        <is>
          <t>100115149</t>
        </is>
      </c>
      <c r="C95" s="207" t="inlineStr">
        <is>
          <t>中建四局0200202101806035</t>
        </is>
      </c>
      <c r="D95" s="207" t="inlineStr">
        <is>
          <t>广州市建邦建材有限公司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7683428.5</v>
      </c>
      <c r="N95" s="210" t="n">
        <v>998845.46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8682273.960000001</v>
      </c>
      <c r="U95" s="206" t="n"/>
      <c r="V95" s="206" t="n"/>
    </row>
    <row r="96">
      <c r="A96" s="206" t="n">
        <v>23</v>
      </c>
      <c r="B96" s="206" t="inlineStr">
        <is>
          <t>100147894</t>
        </is>
      </c>
      <c r="C96" s="207" t="inlineStr">
        <is>
          <t>中建四局0200202101806007</t>
        </is>
      </c>
      <c r="D96" s="207" t="inlineStr">
        <is>
          <t>广州市息县旺建材有限公司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950254.54</v>
      </c>
      <c r="N96" s="210" t="n">
        <v>123533.02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1067146.16</v>
      </c>
      <c r="U96" s="206" t="n"/>
      <c r="V96" s="206" t="n"/>
    </row>
    <row r="97">
      <c r="A97" s="206" t="n">
        <v>24</v>
      </c>
      <c r="B97" s="206" t="inlineStr">
        <is>
          <t>200335317</t>
        </is>
      </c>
      <c r="C97" s="207" t="inlineStr">
        <is>
          <t>中建四局0200202101806029</t>
        </is>
      </c>
      <c r="D97" s="207" t="inlineStr">
        <is>
          <t>广州市汇亿鑫贸易有限公司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274015</v>
      </c>
      <c r="N97" s="210" t="n">
        <v>35621.95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309636.95</v>
      </c>
      <c r="U97" s="206" t="n"/>
      <c r="V97" s="206" t="n"/>
    </row>
    <row r="98">
      <c r="A98" s="206" t="n">
        <v>25</v>
      </c>
      <c r="B98" s="206" t="inlineStr">
        <is>
          <t>100006014</t>
        </is>
      </c>
      <c r="C98" s="207" t="inlineStr">
        <is>
          <t>中建四局0200202101806038</t>
        </is>
      </c>
      <c r="D98" s="207" t="inlineStr">
        <is>
          <t>广州市番禺区石楼镇沙南建材二厂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1561706.28</v>
      </c>
      <c r="N98" s="210" t="n">
        <v>203021.99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1764728.27</v>
      </c>
      <c r="U98" s="206" t="n"/>
      <c r="V98" s="206" t="n"/>
    </row>
    <row r="99">
      <c r="A99" s="206" t="n">
        <v>26</v>
      </c>
      <c r="B99" s="206" t="inlineStr">
        <is>
          <t>100118301</t>
        </is>
      </c>
      <c r="C99" s="207" t="inlineStr">
        <is>
          <t>中建四局0200202101806019</t>
        </is>
      </c>
      <c r="D99" s="207" t="inlineStr">
        <is>
          <t>广州市维意建材有限公司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27146211.76</v>
      </c>
      <c r="N99" s="210" t="n">
        <v>814386.39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27960598.15</v>
      </c>
      <c r="U99" s="206" t="n"/>
      <c r="V99" s="206" t="n"/>
    </row>
    <row r="100">
      <c r="A100" s="206" t="n">
        <v>27</v>
      </c>
      <c r="B100" s="206" t="inlineStr">
        <is>
          <t>100118101</t>
        </is>
      </c>
      <c r="C100" s="207" t="inlineStr">
        <is>
          <t>中建四局0200202101806032</t>
        </is>
      </c>
      <c r="D100" s="207" t="inlineStr">
        <is>
          <t>广州市长兴混凝土有限公司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7126276.05</v>
      </c>
      <c r="N100" s="210" t="n">
        <v>213788.29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7297640.86</v>
      </c>
      <c r="U100" s="206" t="n"/>
      <c r="V100" s="206" t="n"/>
    </row>
    <row r="101">
      <c r="A101" s="206" t="n">
        <v>28</v>
      </c>
      <c r="B101" s="206" t="inlineStr">
        <is>
          <t>100217478</t>
        </is>
      </c>
      <c r="C101" s="207" t="inlineStr">
        <is>
          <t>中建四局0200202101806017</t>
        </is>
      </c>
      <c r="D101" s="207" t="inlineStr">
        <is>
          <t>广州建侯建材有限公司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1538956.12</v>
      </c>
      <c r="N101" s="210" t="n">
        <v>200064.3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1739020.42</v>
      </c>
      <c r="U101" s="206" t="n"/>
      <c r="V101" s="206" t="n"/>
    </row>
    <row r="102">
      <c r="A102" s="206" t="n">
        <v>29</v>
      </c>
      <c r="B102" s="206" t="inlineStr">
        <is>
          <t>100094223</t>
        </is>
      </c>
      <c r="C102" s="207" t="inlineStr">
        <is>
          <t>中建四局0200202101806034</t>
        </is>
      </c>
      <c r="D102" s="207" t="inlineStr">
        <is>
          <t>广州晴泰蓝环保工程有限公司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140000</v>
      </c>
      <c r="N102" s="210" t="n">
        <v>18200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158200</v>
      </c>
      <c r="U102" s="206" t="n"/>
      <c r="V102" s="206" t="n"/>
    </row>
    <row r="103">
      <c r="A103" s="206" t="n">
        <v>30</v>
      </c>
      <c r="B103" s="206" t="inlineStr">
        <is>
          <t>200413088</t>
        </is>
      </c>
      <c r="C103" s="207" t="inlineStr">
        <is>
          <t>中建四局0200202101806021</t>
        </is>
      </c>
      <c r="D103" s="207" t="inlineStr">
        <is>
          <t>广州盒子住宅科技有限公司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13945976.97</v>
      </c>
      <c r="N103" s="210" t="n">
        <v>1793690.33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8652600</v>
      </c>
      <c r="U103" s="206" t="n"/>
      <c r="V103" s="206" t="n"/>
    </row>
    <row r="104">
      <c r="A104" s="206" t="n">
        <v>31</v>
      </c>
      <c r="B104" s="206" t="inlineStr">
        <is>
          <t>200234923</t>
        </is>
      </c>
      <c r="C104" s="207" t="inlineStr">
        <is>
          <t>中建四局0200202101806013</t>
        </is>
      </c>
      <c r="D104" s="207" t="inlineStr">
        <is>
          <t>广州睿越建材有限公司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43710.65</v>
      </c>
      <c r="N104" s="210" t="n">
        <v>5682.39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49393.04</v>
      </c>
      <c r="U104" s="206" t="n"/>
      <c r="V104" s="206" t="n"/>
    </row>
    <row r="105">
      <c r="A105" s="206" t="n">
        <v>32</v>
      </c>
      <c r="B105" s="206" t="inlineStr">
        <is>
          <t>100119801</t>
        </is>
      </c>
      <c r="C105" s="207" t="inlineStr">
        <is>
          <t>中建四局0200202101806037</t>
        </is>
      </c>
      <c r="D105" s="207" t="inlineStr">
        <is>
          <t>广州禄臻贸易有限公司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582161.09</v>
      </c>
      <c r="N105" s="210" t="n">
        <v>75681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657842.08</v>
      </c>
      <c r="U105" s="206" t="n"/>
      <c r="V105" s="206" t="n"/>
    </row>
    <row r="106">
      <c r="A106" s="206" t="n">
        <v>33</v>
      </c>
      <c r="B106" s="206" t="inlineStr">
        <is>
          <t>100217843</t>
        </is>
      </c>
      <c r="C106" s="207" t="inlineStr">
        <is>
          <t>中建四局0200202101806039</t>
        </is>
      </c>
      <c r="D106" s="207" t="inlineStr">
        <is>
          <t>广州绿色金融街投资管理有限公司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30291914.17</v>
      </c>
      <c r="N106" s="210" t="n">
        <v>3937948.82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34229862.99</v>
      </c>
      <c r="U106" s="206" t="n"/>
      <c r="V106" s="206" t="n"/>
    </row>
    <row r="107">
      <c r="A107" s="206" t="n">
        <v>34</v>
      </c>
      <c r="B107" s="206" t="inlineStr">
        <is>
          <t>100217163</t>
        </is>
      </c>
      <c r="C107" s="207" t="inlineStr">
        <is>
          <t>中建四局0200202101806002</t>
        </is>
      </c>
      <c r="D107" s="207" t="inlineStr">
        <is>
          <t>广州辰辰建材租赁有限公司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3566769.49</v>
      </c>
      <c r="N107" s="210" t="n">
        <v>463680.09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4017620.13</v>
      </c>
      <c r="U107" s="206" t="n"/>
      <c r="V107" s="206" t="n"/>
    </row>
    <row r="108">
      <c r="A108" s="206" t="n">
        <v>35</v>
      </c>
      <c r="B108" s="206" t="inlineStr">
        <is>
          <t>200009555</t>
        </is>
      </c>
      <c r="C108" s="207" t="inlineStr">
        <is>
          <t>中建四局0200202101806030</t>
        </is>
      </c>
      <c r="D108" s="207" t="inlineStr">
        <is>
          <t>广联达科技股份有限公司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44247.79</v>
      </c>
      <c r="N108" s="210" t="n">
        <v>5752.21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50000</v>
      </c>
      <c r="U108" s="206" t="n"/>
      <c r="V108" s="206" t="n"/>
    </row>
    <row r="109">
      <c r="A109" s="206" t="n">
        <v>36</v>
      </c>
      <c r="B109" s="206" t="inlineStr">
        <is>
          <t>100170699</t>
        </is>
      </c>
      <c r="C109" s="207" t="inlineStr">
        <is>
          <t>中建四局0200202101806027</t>
        </is>
      </c>
      <c r="D109" s="207" t="inlineStr">
        <is>
          <t>浙商中拓集团（广东）有限公司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697130.35</v>
      </c>
      <c r="N109" s="210" t="n">
        <v>90626.95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787757.3</v>
      </c>
      <c r="U109" s="206" t="n"/>
      <c r="V109" s="206" t="n"/>
    </row>
    <row r="110">
      <c r="A110" s="206" t="n">
        <v>37</v>
      </c>
      <c r="B110" s="206" t="inlineStr">
        <is>
          <t>100198899</t>
        </is>
      </c>
      <c r="C110" s="207" t="inlineStr">
        <is>
          <t>中建四局0200202101806008</t>
        </is>
      </c>
      <c r="D110" s="207" t="inlineStr">
        <is>
          <t>深圳市金仪时代环保产业有限公司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46390</v>
      </c>
      <c r="N110" s="210" t="n">
        <v>6030.7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52420.7</v>
      </c>
      <c r="U110" s="206" t="n"/>
      <c r="V110" s="206" t="n"/>
    </row>
    <row r="111">
      <c r="A111" s="206" t="n">
        <v>38</v>
      </c>
      <c r="B111" s="206" t="inlineStr">
        <is>
          <t>100218623</t>
        </is>
      </c>
      <c r="C111" s="207" t="inlineStr">
        <is>
          <t>中建四局0200202101806043</t>
        </is>
      </c>
      <c r="D111" s="207" t="inlineStr">
        <is>
          <t>深圳市鑫源发陶瓷有限公司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220443.53</v>
      </c>
      <c r="N111" s="210" t="n">
        <v>28657.66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249101.19</v>
      </c>
      <c r="U111" s="206" t="n"/>
      <c r="V111" s="206" t="n"/>
    </row>
    <row r="112">
      <c r="A112" s="206" t="n">
        <v>39</v>
      </c>
      <c r="B112" s="206" t="inlineStr">
        <is>
          <t>100074117</t>
        </is>
      </c>
      <c r="C112" s="207" t="inlineStr">
        <is>
          <t>中建四局0200202101806011</t>
        </is>
      </c>
      <c r="D112" s="207" t="inlineStr">
        <is>
          <t>清远市榕兴新型环保建材有限责任公司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1271717.14</v>
      </c>
      <c r="N112" s="210" t="n">
        <v>165323.22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1437040.36</v>
      </c>
      <c r="U112" s="206" t="n"/>
      <c r="V112" s="206" t="n"/>
    </row>
    <row r="113">
      <c r="A113" s="206" t="n">
        <v>40</v>
      </c>
      <c r="B113" s="206" t="inlineStr">
        <is>
          <t>100114405</t>
        </is>
      </c>
      <c r="C113" s="207" t="inlineStr">
        <is>
          <t>中建四局0200202101806018</t>
        </is>
      </c>
      <c r="D113" s="207" t="inlineStr">
        <is>
          <t>祁东县明达轻质陶粒厂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534785.89</v>
      </c>
      <c r="N113" s="210" t="n">
        <v>16863.59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549855.73</v>
      </c>
      <c r="U113" s="206" t="n"/>
      <c r="V113" s="206" t="n"/>
    </row>
    <row r="114">
      <c r="A114" s="206" t="n">
        <v>41</v>
      </c>
      <c r="B114" s="206" t="inlineStr">
        <is>
          <t>100199057</t>
        </is>
      </c>
      <c r="C114" s="207" t="inlineStr">
        <is>
          <t>中建四局0200202101806010</t>
        </is>
      </c>
      <c r="D114" s="207" t="inlineStr">
        <is>
          <t>福建省莆田市龙兴劳保用品有限公司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509280.38</v>
      </c>
      <c r="N114" s="210" t="n">
        <v>66206.64999999999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575487.03</v>
      </c>
      <c r="U114" s="206" t="n"/>
      <c r="V114" s="206" t="n"/>
    </row>
    <row r="115">
      <c r="A115" s="206" t="n">
        <v>42</v>
      </c>
      <c r="B115" s="206" t="inlineStr">
        <is>
          <t>100199057</t>
        </is>
      </c>
      <c r="C115" s="207" t="inlineStr">
        <is>
          <t>中建四局0200202101806031</t>
        </is>
      </c>
      <c r="D115" s="207" t="inlineStr">
        <is>
          <t>福建省莆田市龙兴劳保用品有限公司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48485.21</v>
      </c>
      <c r="N115" s="210" t="n">
        <v>6303.07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54788.28</v>
      </c>
      <c r="U115" s="206" t="n"/>
      <c r="V115" s="206" t="n"/>
    </row>
    <row r="116">
      <c r="A116" s="206" t="n">
        <v>43</v>
      </c>
      <c r="B116" s="206" t="n"/>
      <c r="C116" s="207" t="n"/>
      <c r="D116" s="207" t="inlineStr">
        <is>
          <t>其他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211578.27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206" t="n">
        <v>44</v>
      </c>
      <c r="B117" s="206" t="n"/>
      <c r="C117" s="207" t="n"/>
      <c r="D117" s="207" t="inlineStr">
        <is>
          <t>废旧物资处置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9" t="n"/>
      <c r="M117" s="210" t="n">
        <v>-1401180.1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</row>
    <row r="118">
      <c r="A118" s="206" t="n">
        <v>45</v>
      </c>
      <c r="B118" s="206" t="n"/>
      <c r="C118" s="207" t="n"/>
      <c r="D118" s="207" t="inlineStr">
        <is>
          <t>研发支出-材料费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9" t="n"/>
      <c r="M118" s="210" t="n">
        <v>-25030932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</row>
    <row r="119">
      <c r="A119" s="33" t="n">
        <v>46</v>
      </c>
      <c r="B119" s="199" t="n"/>
      <c r="C119" s="199" t="n"/>
      <c r="D119" s="218" t="inlineStr">
        <is>
          <t>材料调入</t>
        </is>
      </c>
      <c r="E119" s="199" t="n"/>
      <c r="F119" s="199" t="n"/>
      <c r="G119" s="199" t="n"/>
      <c r="H119" s="189" t="n"/>
      <c r="I119" s="189" t="n"/>
      <c r="J119" s="189" t="n"/>
      <c r="K119" s="201" t="n"/>
      <c r="L119" s="202" t="n"/>
      <c r="M119" s="223" t="n">
        <v>17996069.15</v>
      </c>
      <c r="N119" s="189" t="n"/>
      <c r="O119" s="189">
        <f>L119-M119</f>
        <v/>
      </c>
      <c r="P119" s="189">
        <f>K119-N119</f>
        <v/>
      </c>
      <c r="Q119" s="189">
        <f>M119+O119</f>
        <v/>
      </c>
      <c r="R119" s="189">
        <f>M119+N119+O119+P119</f>
        <v/>
      </c>
      <c r="S119" s="203">
        <f>SUM(T119:V119)</f>
        <v/>
      </c>
      <c r="T119" s="203" t="n"/>
      <c r="U119" s="203" t="n"/>
      <c r="V119" s="203" t="n"/>
      <c r="W119" s="203" t="n"/>
      <c r="X119" s="203" t="n"/>
      <c r="Y119" s="203" t="n"/>
      <c r="Z119" s="189">
        <f>SUM(AA30:AJ30)</f>
        <v/>
      </c>
      <c r="AA119" s="203" t="n"/>
      <c r="AB119" s="220" t="n"/>
      <c r="AC119" s="220" t="n"/>
      <c r="AD119" s="220" t="n"/>
      <c r="AE119" s="220" t="n"/>
      <c r="AF119" s="220" t="n"/>
      <c r="AG119" s="220" t="n"/>
      <c r="AH119" s="220" t="n"/>
      <c r="AI119" s="220" t="n"/>
      <c r="AJ119" s="220" t="n"/>
      <c r="AK119" s="188">
        <f>AB30/1.17*0.17+AC30/1.16*0.16+AD30/1.11*0.11+AE30/1.1*0.1+AF30/1.09*0.09+AI30/1.03*0.03</f>
        <v/>
      </c>
      <c r="AL119" s="221" t="n"/>
    </row>
    <row r="120">
      <c r="A120" s="33" t="n">
        <v>47</v>
      </c>
      <c r="B120" s="199" t="n"/>
      <c r="C120" s="199" t="n"/>
      <c r="D120" s="218" t="inlineStr">
        <is>
          <t>材料调出（注：负数填报）</t>
        </is>
      </c>
      <c r="E120" s="224" t="n"/>
      <c r="F120" s="224" t="n"/>
      <c r="G120" s="224" t="n"/>
      <c r="H120" s="225" t="n"/>
      <c r="I120" s="225" t="n"/>
      <c r="J120" s="189" t="n"/>
      <c r="K120" s="201" t="n"/>
      <c r="L120" s="202" t="n"/>
      <c r="M120" s="226" t="n">
        <v>-8003517.42</v>
      </c>
      <c r="N120" s="225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25" t="n"/>
      <c r="U120" s="225" t="n"/>
      <c r="V120" s="225" t="n"/>
      <c r="W120" s="225" t="n"/>
      <c r="X120" s="225" t="n"/>
      <c r="Y120" s="225" t="n"/>
      <c r="Z120" s="189">
        <f>SUM(AA31:AJ31)</f>
        <v/>
      </c>
      <c r="AA120" s="225" t="n"/>
      <c r="AB120" s="227" t="n"/>
      <c r="AC120" s="227" t="n"/>
      <c r="AD120" s="227" t="n"/>
      <c r="AE120" s="227" t="n"/>
      <c r="AF120" s="227" t="n"/>
      <c r="AG120" s="227" t="n"/>
      <c r="AH120" s="227" t="n"/>
      <c r="AI120" s="227" t="n"/>
      <c r="AJ120" s="227" t="n"/>
      <c r="AK120" s="188">
        <f>AB31/1.17*0.17+AC31/1.16*0.16+AD31/1.11*0.11+AE31/1.1*0.1+AF31/1.09*0.09+AI31/1.03*0.03</f>
        <v/>
      </c>
      <c r="AL120" s="228" t="n"/>
    </row>
    <row r="121">
      <c r="A121" s="33" t="n"/>
      <c r="B121" s="199" t="n"/>
      <c r="C121" s="199" t="n"/>
      <c r="D121" s="218" t="inlineStr">
        <is>
          <t>材料库存（注：项目已结算未使用材料冲减项目成本，负数填报）</t>
        </is>
      </c>
      <c r="E121" s="224" t="n"/>
      <c r="F121" s="224" t="n"/>
      <c r="G121" s="224" t="n"/>
      <c r="H121" s="225" t="n"/>
      <c r="I121" s="225" t="n"/>
      <c r="J121" s="189" t="n"/>
      <c r="K121" s="201" t="n"/>
      <c r="L121" s="202" t="n"/>
      <c r="M121" s="225" t="n"/>
      <c r="N121" s="225" t="n"/>
      <c r="O121" s="189" t="n"/>
      <c r="P121" s="189" t="n"/>
      <c r="Q121" s="189" t="n"/>
      <c r="R121" s="189" t="n"/>
      <c r="S121" s="203" t="n"/>
      <c r="T121" s="225" t="n"/>
      <c r="U121" s="225" t="n"/>
      <c r="V121" s="225" t="n"/>
      <c r="W121" s="225" t="n"/>
      <c r="X121" s="225" t="n"/>
      <c r="Y121" s="225" t="n"/>
      <c r="Z121" s="189" t="n"/>
      <c r="AA121" s="225" t="n"/>
      <c r="AB121" s="227" t="n"/>
      <c r="AC121" s="227" t="n"/>
      <c r="AD121" s="227" t="n"/>
      <c r="AE121" s="227" t="n"/>
      <c r="AF121" s="227" t="n"/>
      <c r="AG121" s="227" t="n"/>
      <c r="AH121" s="227" t="n"/>
      <c r="AI121" s="227" t="n"/>
      <c r="AJ121" s="227" t="n"/>
      <c r="AK121" s="188" t="n"/>
      <c r="AL121" s="228" t="n"/>
    </row>
    <row r="122">
      <c r="A122" s="33" t="n"/>
      <c r="B122" s="199" t="n"/>
      <c r="C122" s="199" t="n"/>
      <c r="D122" s="211" t="inlineStr">
        <is>
          <t>**财务未列部分需增列***</t>
        </is>
      </c>
      <c r="E122" s="219" t="n"/>
      <c r="F122" s="219" t="n"/>
      <c r="G122" s="219" t="n"/>
      <c r="H122" s="189" t="n"/>
      <c r="I122" s="189" t="n"/>
      <c r="J122" s="189" t="n"/>
      <c r="K122" s="201" t="n"/>
      <c r="L122" s="202" t="n"/>
      <c r="M122" s="189" t="n"/>
      <c r="N122" s="189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20" t="n"/>
      <c r="AC122" s="220" t="n"/>
      <c r="AD122" s="220" t="n"/>
      <c r="AE122" s="220" t="n"/>
      <c r="AF122" s="220" t="n"/>
      <c r="AG122" s="220" t="n"/>
      <c r="AH122" s="220" t="n"/>
      <c r="AI122" s="220" t="n"/>
      <c r="AJ122" s="220" t="n"/>
      <c r="AK122" s="188">
        <f>AB33/1.17*0.17+AC33/1.16*0.16+AD33/1.11*0.11+AE33/1.1*0.1+AF33/1.09*0.09+AI33/1.03*0.03</f>
        <v/>
      </c>
      <c r="AL122" s="221" t="n"/>
    </row>
    <row r="123">
      <c r="A123" s="41" t="n"/>
      <c r="B123" s="215" t="n"/>
      <c r="C123" s="215" t="n"/>
      <c r="D123" s="216" t="inlineStr">
        <is>
          <t>材料费小计：</t>
        </is>
      </c>
      <c r="E123" s="217">
        <f>SUM(E68:E122)</f>
        <v/>
      </c>
      <c r="F123" s="217">
        <f>SUM(F68:F122)</f>
        <v/>
      </c>
      <c r="G123" s="217">
        <f>SUM(G68:G122)</f>
        <v/>
      </c>
      <c r="H123" s="217">
        <f>SUM(H68:H122)</f>
        <v/>
      </c>
      <c r="I123" s="217">
        <f>SUM(I68:I122)</f>
        <v/>
      </c>
      <c r="J123" s="217">
        <f>SUM(J68:J122)</f>
        <v/>
      </c>
      <c r="K123" s="217">
        <f>SUM(K68:K122)</f>
        <v/>
      </c>
      <c r="L123" s="217">
        <f>SUM(L68:L122)</f>
        <v/>
      </c>
      <c r="M123" s="217">
        <f>SUM(M68:M122)</f>
        <v/>
      </c>
      <c r="N123" s="217">
        <f>SUM(N68:N122)</f>
        <v/>
      </c>
      <c r="O123" s="217">
        <f>SUM(O68:O122)</f>
        <v/>
      </c>
      <c r="P123" s="217">
        <f>SUM(P68:P122)</f>
        <v/>
      </c>
      <c r="Q123" s="217">
        <f>SUM(Q68:Q122)</f>
        <v/>
      </c>
      <c r="R123" s="217">
        <f>SUM(R68:R122)</f>
        <v/>
      </c>
      <c r="S123" s="217">
        <f>SUM(S68:S122)</f>
        <v/>
      </c>
      <c r="T123" s="217">
        <f>SUM(T68:T122)</f>
        <v/>
      </c>
      <c r="U123" s="217">
        <f>SUM(U68:U122)</f>
        <v/>
      </c>
      <c r="V123" s="217">
        <f>SUM(V68:V122)</f>
        <v/>
      </c>
      <c r="W123" s="217">
        <f>SUM(W68:W122)</f>
        <v/>
      </c>
      <c r="X123" s="217">
        <f>SUM(X68:X122)</f>
        <v/>
      </c>
      <c r="Y123" s="217">
        <f>SUM(Y68:Y122)</f>
        <v/>
      </c>
      <c r="Z123" s="217">
        <f>SUM(Z68:Z122)</f>
        <v/>
      </c>
      <c r="AA123" s="217">
        <f>SUM(AA68:AA122)</f>
        <v/>
      </c>
      <c r="AB123" s="217">
        <f>SUM(AB68:AB122)</f>
        <v/>
      </c>
      <c r="AC123" s="217">
        <f>SUM(AC68:AC122)</f>
        <v/>
      </c>
      <c r="AD123" s="217">
        <f>SUM(AD68:AD122)</f>
        <v/>
      </c>
      <c r="AE123" s="217">
        <f>SUM(AE68:AE122)</f>
        <v/>
      </c>
      <c r="AF123" s="217">
        <f>SUM(AF68:AF122)</f>
        <v/>
      </c>
      <c r="AG123" s="217">
        <f>SUM(AG68:AG122)</f>
        <v/>
      </c>
      <c r="AH123" s="217">
        <f>SUM(AH68:AH122)</f>
        <v/>
      </c>
      <c r="AI123" s="217">
        <f>SUM(AI68:AI122)</f>
        <v/>
      </c>
      <c r="AJ123" s="217">
        <f>SUM(AJ68:AJ122)</f>
        <v/>
      </c>
      <c r="AK123" s="217">
        <f>SUM(AK68:AK122)</f>
        <v/>
      </c>
      <c r="AL123" s="204" t="n"/>
    </row>
    <row r="124">
      <c r="A124" s="33" t="n"/>
      <c r="B124" s="199" t="n"/>
      <c r="C124" s="199" t="n"/>
      <c r="D124" s="218" t="inlineStr">
        <is>
          <t>(四）机械租赁费</t>
        </is>
      </c>
      <c r="E124" s="212" t="n"/>
      <c r="F124" s="212" t="n"/>
      <c r="G124" s="212" t="n"/>
      <c r="H124" s="189" t="n"/>
      <c r="I124" s="189" t="n"/>
      <c r="J124" s="189" t="n"/>
      <c r="K124" s="201" t="n">
        <v>0</v>
      </c>
      <c r="L124" s="202">
        <f>J124-K124</f>
        <v/>
      </c>
      <c r="M124" s="184" t="n"/>
      <c r="N124" s="184" t="n"/>
      <c r="O124" s="189">
        <f>L124-M124</f>
        <v/>
      </c>
      <c r="P124" s="189">
        <f>K124-N124</f>
        <v/>
      </c>
      <c r="Q124" s="189">
        <f>M124+O124</f>
        <v/>
      </c>
      <c r="R124" s="189">
        <f>M124+N124+O124+P124</f>
        <v/>
      </c>
      <c r="S124" s="203">
        <f>SUM(T124:V124)</f>
        <v/>
      </c>
      <c r="T124" s="203" t="n"/>
      <c r="U124" s="203" t="n"/>
      <c r="V124" s="203" t="n"/>
      <c r="W124" s="203" t="n"/>
      <c r="X124" s="203" t="n"/>
      <c r="Y124" s="203" t="n"/>
      <c r="Z124" s="203" t="n"/>
      <c r="AA124" s="203" t="n"/>
      <c r="AB124" s="203" t="n"/>
      <c r="AC124" s="203" t="n"/>
      <c r="AD124" s="203" t="n"/>
      <c r="AE124" s="203" t="n"/>
      <c r="AF124" s="203" t="n"/>
      <c r="AG124" s="203" t="n"/>
      <c r="AH124" s="203" t="n"/>
      <c r="AI124" s="203" t="n"/>
      <c r="AJ124" s="203" t="n"/>
      <c r="AK124" s="188">
        <f>AB35/1.17*0.17+AC35/1.16*0.16+AD35/1.11*0.11+AE35/1.1*0.1+AF35/1.09*0.09+AI35/1.03*0.03</f>
        <v/>
      </c>
      <c r="AL124" s="204" t="n"/>
    </row>
    <row r="125">
      <c r="A125" s="206" t="n">
        <v>1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5455288.19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</row>
    <row r="126">
      <c r="A126" s="206" t="n">
        <v>2</v>
      </c>
      <c r="B126" s="206" t="inlineStr">
        <is>
          <t>100217442</t>
        </is>
      </c>
      <c r="C126" s="207" t="inlineStr">
        <is>
          <t>中建四局0200202101805001</t>
        </is>
      </c>
      <c r="D126" s="207" t="inlineStr">
        <is>
          <t>任丘市嘉宇运输有限公司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39943.9</v>
      </c>
      <c r="N126" s="210" t="n">
        <v>3594.95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43538.85</v>
      </c>
      <c r="U126" s="206" t="n"/>
      <c r="V126" s="206" t="n"/>
    </row>
    <row r="127">
      <c r="A127" s="206" t="n">
        <v>3</v>
      </c>
      <c r="B127" s="206" t="inlineStr">
        <is>
          <t>200363935</t>
        </is>
      </c>
      <c r="C127" s="207" t="inlineStr">
        <is>
          <t>中建四局0200202101805006</t>
        </is>
      </c>
      <c r="D127" s="207" t="inlineStr">
        <is>
          <t>佛山市雄壮建筑工程有限公司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1197689.75</v>
      </c>
      <c r="N127" s="210" t="n">
        <v>36663.97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1258000</v>
      </c>
      <c r="U127" s="206" t="n"/>
      <c r="V127" s="206" t="n"/>
    </row>
    <row r="128">
      <c r="A128" s="206" t="n">
        <v>4</v>
      </c>
      <c r="B128" s="206" t="inlineStr">
        <is>
          <t>200477323</t>
        </is>
      </c>
      <c r="C128" s="207" t="inlineStr">
        <is>
          <t>中建四局0200202101805011</t>
        </is>
      </c>
      <c r="D128" s="207" t="inlineStr">
        <is>
          <t>佛山市霸伟建筑工程有限公司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947713.86</v>
      </c>
      <c r="N128" s="210" t="n">
        <v>29244.62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999000</v>
      </c>
      <c r="U128" s="206" t="n"/>
      <c r="V128" s="206" t="n"/>
    </row>
    <row r="129">
      <c r="A129" s="206" t="n">
        <v>5</v>
      </c>
      <c r="B129" s="206" t="inlineStr">
        <is>
          <t>100093859</t>
        </is>
      </c>
      <c r="C129" s="207" t="inlineStr">
        <is>
          <t>中建四局0200202101805010</t>
        </is>
      </c>
      <c r="D129" s="207" t="inlineStr">
        <is>
          <t>嘉兴浩锐机械设备有限公司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1387247.1</v>
      </c>
      <c r="N129" s="210" t="n">
        <v>180342.12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1567589.22</v>
      </c>
      <c r="U129" s="206" t="n"/>
      <c r="V129" s="206" t="n"/>
    </row>
    <row r="130">
      <c r="A130" s="206" t="n">
        <v>6</v>
      </c>
      <c r="B130" s="206" t="inlineStr">
        <is>
          <t>100117504</t>
        </is>
      </c>
      <c r="C130" s="207" t="inlineStr">
        <is>
          <t>中建四局0200202101805005</t>
        </is>
      </c>
      <c r="D130" s="207" t="inlineStr">
        <is>
          <t>广州大丰工程机械设备有限公司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1065730.14</v>
      </c>
      <c r="N130" s="210" t="n">
        <v>138544.93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1204275.07</v>
      </c>
      <c r="U130" s="206" t="n"/>
      <c r="V130" s="206" t="n"/>
    </row>
    <row r="131">
      <c r="A131" s="206" t="n">
        <v>7</v>
      </c>
      <c r="B131" s="206" t="inlineStr">
        <is>
          <t>200353812</t>
        </is>
      </c>
      <c r="C131" s="207" t="inlineStr">
        <is>
          <t>中建四局0200202101805007</t>
        </is>
      </c>
      <c r="D131" s="207" t="inlineStr">
        <is>
          <t>广州小老虎建筑机械租赁有限公司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11189319.59</v>
      </c>
      <c r="N131" s="210" t="n">
        <v>1022884.43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12388266.76</v>
      </c>
      <c r="U131" s="206" t="n"/>
      <c r="V131" s="206" t="n"/>
    </row>
    <row r="132">
      <c r="A132" s="206" t="n">
        <v>8</v>
      </c>
      <c r="B132" s="206" t="inlineStr">
        <is>
          <t>200162948</t>
        </is>
      </c>
      <c r="C132" s="207" t="inlineStr">
        <is>
          <t>中建四局0200202101805004</t>
        </is>
      </c>
      <c r="D132" s="207" t="inlineStr">
        <is>
          <t>广州市仁发运输有限公司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183165.02</v>
      </c>
      <c r="N132" s="210" t="n">
        <v>5494.92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188659.94</v>
      </c>
      <c r="U132" s="206" t="n"/>
      <c r="V132" s="206" t="n"/>
    </row>
    <row r="133">
      <c r="A133" s="206" t="n">
        <v>9</v>
      </c>
      <c r="B133" s="206" t="inlineStr">
        <is>
          <t>100217539</t>
        </is>
      </c>
      <c r="C133" s="207" t="inlineStr">
        <is>
          <t>中建四局0200202101805003</t>
        </is>
      </c>
      <c r="D133" s="207" t="inlineStr">
        <is>
          <t>广州易达运输有限公司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213962.98</v>
      </c>
      <c r="N133" s="210" t="n">
        <v>4631.78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218594.76</v>
      </c>
      <c r="U133" s="206" t="n"/>
      <c r="V133" s="206" t="n"/>
    </row>
    <row r="134">
      <c r="A134" s="206" t="n">
        <v>10</v>
      </c>
      <c r="B134" s="206" t="inlineStr">
        <is>
          <t>100217502</t>
        </is>
      </c>
      <c r="C134" s="207" t="inlineStr">
        <is>
          <t>中建四局0200202101805002</t>
        </is>
      </c>
      <c r="D134" s="207" t="inlineStr">
        <is>
          <t>广州湘亿货运代理有限公司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68419.10000000001</v>
      </c>
      <c r="N134" s="210" t="n">
        <v>6157.73</v>
      </c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10" t="n">
        <v>74576.83</v>
      </c>
      <c r="U134" s="206" t="n"/>
      <c r="V134" s="206" t="n"/>
    </row>
    <row r="135">
      <c r="A135" s="206" t="n"/>
      <c r="B135" s="206" t="n"/>
      <c r="C135" s="207" t="n"/>
      <c r="D135" s="207" t="n"/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35390.51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>
        <v>11</v>
      </c>
      <c r="B136" s="206" t="inlineStr">
        <is>
          <t>100197784</t>
        </is>
      </c>
      <c r="C136" s="207" t="n"/>
      <c r="D136" s="207" t="inlineStr">
        <is>
          <t>中铁物资集团华南有限公司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0.08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33" t="n"/>
      <c r="B137" s="199" t="n"/>
      <c r="C137" s="199" t="n"/>
      <c r="D137" s="211" t="inlineStr">
        <is>
          <t>**财务未列部分需增列***</t>
        </is>
      </c>
      <c r="E137" s="229" t="n"/>
      <c r="F137" s="229" t="n"/>
      <c r="G137" s="229" t="n"/>
      <c r="H137" s="189" t="n"/>
      <c r="I137" s="189" t="n"/>
      <c r="J137" s="189" t="n"/>
      <c r="K137" s="201" t="n">
        <v>0</v>
      </c>
      <c r="L137" s="202">
        <f>J137-K137</f>
        <v/>
      </c>
      <c r="M137" s="230" t="n"/>
      <c r="N137" s="230" t="n"/>
      <c r="O137" s="189">
        <f>L137-M137</f>
        <v/>
      </c>
      <c r="P137" s="189">
        <f>K137-N137</f>
        <v/>
      </c>
      <c r="Q137" s="189">
        <f>M137+O137</f>
        <v/>
      </c>
      <c r="R137" s="189">
        <f>M137+N137+O137+P137</f>
        <v/>
      </c>
      <c r="S137" s="203">
        <f>SUM(T137:V137)</f>
        <v/>
      </c>
      <c r="T137" s="230" t="n"/>
      <c r="U137" s="230" t="n"/>
      <c r="V137" s="230" t="n"/>
      <c r="W137" s="230" t="n"/>
      <c r="X137" s="230" t="n"/>
      <c r="Y137" s="230" t="n"/>
      <c r="Z137" s="230" t="n"/>
      <c r="AA137" s="203" t="n"/>
      <c r="AB137" s="188" t="n"/>
      <c r="AC137" s="188" t="n"/>
      <c r="AD137" s="188" t="n"/>
      <c r="AE137" s="188" t="n"/>
      <c r="AF137" s="188" t="n"/>
      <c r="AG137" s="188" t="n"/>
      <c r="AH137" s="188" t="n"/>
      <c r="AI137" s="188" t="n"/>
      <c r="AJ137" s="188" t="n"/>
      <c r="AK137" s="188">
        <f>AB37/1.17*0.17+AC37/1.16*0.16+AD37/1.11*0.11+AE37/1.1*0.1+AF37/1.09*0.09+AI37/1.03*0.03</f>
        <v/>
      </c>
      <c r="AL137" s="214" t="n"/>
    </row>
    <row r="138">
      <c r="A138" s="41" t="n"/>
      <c r="B138" s="215" t="n"/>
      <c r="C138" s="215" t="n"/>
      <c r="D138" s="231" t="inlineStr">
        <is>
          <t>机械费小计：</t>
        </is>
      </c>
      <c r="E138" s="232" t="n"/>
      <c r="F138" s="232" t="n"/>
      <c r="G138" s="232" t="n"/>
      <c r="H138" s="217">
        <f>SUM(H124:H137)</f>
        <v/>
      </c>
      <c r="I138" s="217">
        <f>SUM(I124:I137)</f>
        <v/>
      </c>
      <c r="J138" s="217">
        <f>SUM(J124:J137)</f>
        <v/>
      </c>
      <c r="K138" s="217">
        <f>SUM(K124:K137)</f>
        <v/>
      </c>
      <c r="L138" s="233">
        <f>SUM(L124:L137)</f>
        <v/>
      </c>
      <c r="M138" s="217">
        <f>SUM(M124:M137)</f>
        <v/>
      </c>
      <c r="N138" s="217">
        <f>SUM(N124:N137)</f>
        <v/>
      </c>
      <c r="O138" s="217">
        <f>SUM(O124:O137)</f>
        <v/>
      </c>
      <c r="P138" s="217">
        <f>SUM(P124:P137)</f>
        <v/>
      </c>
      <c r="Q138" s="217">
        <f>SUM(Q124:Q137)</f>
        <v/>
      </c>
      <c r="R138" s="217">
        <f>SUM(R124:R137)</f>
        <v/>
      </c>
      <c r="S138" s="217">
        <f>SUM(S124:S137)</f>
        <v/>
      </c>
      <c r="T138" s="217" t="n"/>
      <c r="U138" s="217" t="n"/>
      <c r="V138" s="217" t="n"/>
      <c r="W138" s="217" t="n"/>
      <c r="X138" s="217" t="n"/>
      <c r="Y138" s="217" t="n"/>
      <c r="Z138" s="217">
        <f>SUM(Z124:Z137)</f>
        <v/>
      </c>
      <c r="AA138" s="217">
        <f>SUM(AA124:AA137)</f>
        <v/>
      </c>
      <c r="AB138" s="217" t="n"/>
      <c r="AC138" s="217" t="n"/>
      <c r="AD138" s="217" t="n"/>
      <c r="AE138" s="217" t="n"/>
      <c r="AF138" s="217" t="n"/>
      <c r="AG138" s="217" t="n"/>
      <c r="AH138" s="217" t="n"/>
      <c r="AI138" s="217" t="n"/>
      <c r="AJ138" s="217" t="n"/>
      <c r="AK138" s="217" t="n"/>
      <c r="AL138" s="204" t="n"/>
    </row>
    <row r="139">
      <c r="A139" s="33" t="n"/>
      <c r="B139" s="199" t="n"/>
      <c r="C139" s="199" t="n"/>
      <c r="D139" s="218" t="inlineStr">
        <is>
          <t>（五）其他直接费</t>
        </is>
      </c>
      <c r="E139" s="212" t="n"/>
      <c r="F139" s="212" t="n"/>
      <c r="G139" s="212" t="n"/>
      <c r="H139" s="189" t="n"/>
      <c r="I139" s="189" t="n"/>
      <c r="J139" s="184" t="n">
        <v>0</v>
      </c>
      <c r="K139" s="201" t="n">
        <v>0</v>
      </c>
      <c r="L139" s="202">
        <f>J139-N139-P139</f>
        <v/>
      </c>
      <c r="M139" s="184" t="n"/>
      <c r="N139" s="184" t="n"/>
      <c r="O139" s="189">
        <f>L139-M139</f>
        <v/>
      </c>
      <c r="P139" s="189">
        <f>K139-N139</f>
        <v/>
      </c>
      <c r="Q139" s="189">
        <f>M139+O139</f>
        <v/>
      </c>
      <c r="R139" s="189">
        <f>M139+N139+O139+P139</f>
        <v/>
      </c>
      <c r="S139" s="203">
        <f>SUM(T139:V139)</f>
        <v/>
      </c>
      <c r="T139" s="203" t="n"/>
      <c r="U139" s="203" t="n"/>
      <c r="V139" s="203" t="n"/>
      <c r="W139" s="203" t="n"/>
      <c r="X139" s="203" t="n"/>
      <c r="Y139" s="203" t="n"/>
      <c r="Z139" s="203" t="n"/>
      <c r="AA139" s="203" t="n"/>
      <c r="AB139" s="203" t="n"/>
      <c r="AC139" s="203" t="n"/>
      <c r="AD139" s="203" t="n"/>
      <c r="AE139" s="203" t="n"/>
      <c r="AF139" s="203" t="n"/>
      <c r="AG139" s="203" t="n"/>
      <c r="AH139" s="203" t="n"/>
      <c r="AI139" s="203" t="n"/>
      <c r="AJ139" s="203" t="n"/>
      <c r="AK139" s="188" t="n"/>
      <c r="AL139" s="204" t="n"/>
    </row>
    <row r="140">
      <c r="A140" s="206" t="n"/>
      <c r="B140" s="206" t="n"/>
      <c r="C140" s="207" t="n"/>
      <c r="D140" s="207" t="inlineStr">
        <is>
          <t>保险费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2060794.4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其他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4351039.99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咨询费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1165.05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检验试验费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2298882.29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水电费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8300988.65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33" t="n"/>
      <c r="B145" s="199" t="n"/>
      <c r="C145" s="199" t="n"/>
      <c r="D145" s="211" t="inlineStr">
        <is>
          <t>**财务未列部分需增列***</t>
        </is>
      </c>
      <c r="E145" s="212" t="n"/>
      <c r="F145" s="212" t="n"/>
      <c r="G145" s="212" t="n"/>
      <c r="H145" s="189" t="n"/>
      <c r="I145" s="189" t="n"/>
      <c r="J145" s="184" t="n"/>
      <c r="K145" s="201" t="n"/>
      <c r="L145" s="202">
        <f>J145-K145</f>
        <v/>
      </c>
      <c r="M145" s="234" t="n"/>
      <c r="N145" s="234" t="n"/>
      <c r="O145" s="189">
        <f>L145-M145</f>
        <v/>
      </c>
      <c r="P145" s="189">
        <f>K145-N145</f>
        <v/>
      </c>
      <c r="Q145" s="189">
        <f>M145+O145</f>
        <v/>
      </c>
      <c r="R145" s="189">
        <f>M145+N145+O145+P145</f>
        <v/>
      </c>
      <c r="S145" s="203">
        <f>SUM(T145:V145)</f>
        <v/>
      </c>
      <c r="T145" s="234" t="n"/>
      <c r="U145" s="234" t="n"/>
      <c r="V145" s="234" t="n"/>
      <c r="W145" s="234" t="n"/>
      <c r="X145" s="234" t="n"/>
      <c r="Y145" s="234" t="n"/>
      <c r="Z145" s="189">
        <f>SUM(AA45:AJ45)</f>
        <v/>
      </c>
      <c r="AA145" s="203" t="n"/>
      <c r="AB145" s="203" t="n"/>
      <c r="AC145" s="203" t="n"/>
      <c r="AD145" s="203" t="n"/>
      <c r="AE145" s="203" t="n"/>
      <c r="AF145" s="203" t="n"/>
      <c r="AG145" s="203" t="n"/>
      <c r="AH145" s="203" t="n"/>
      <c r="AI145" s="203" t="n"/>
      <c r="AJ145" s="203" t="n"/>
      <c r="AK145" s="188" t="n"/>
      <c r="AL145" s="204" t="n"/>
    </row>
    <row r="146">
      <c r="A146" s="55" t="n"/>
      <c r="B146" s="235" t="n"/>
      <c r="C146" s="235" t="n"/>
      <c r="D146" s="231" t="inlineStr">
        <is>
          <t>其他直接费小计：</t>
        </is>
      </c>
      <c r="E146" s="236" t="n"/>
      <c r="F146" s="236" t="n"/>
      <c r="G146" s="236" t="n"/>
      <c r="H146" s="217">
        <f>SUM(H139:H145)</f>
        <v/>
      </c>
      <c r="I146" s="217">
        <f>SUM(I139:I145)</f>
        <v/>
      </c>
      <c r="J146" s="217">
        <f>SUM(J139:J145)</f>
        <v/>
      </c>
      <c r="K146" s="217">
        <f>SUM(K139:K145)</f>
        <v/>
      </c>
      <c r="L146" s="233">
        <f>SUM(L139:L145)</f>
        <v/>
      </c>
      <c r="M146" s="217">
        <f>SUM(M139:M145)</f>
        <v/>
      </c>
      <c r="N146" s="217">
        <f>SUM(N139:N145)</f>
        <v/>
      </c>
      <c r="O146" s="217">
        <f>L146-M146</f>
        <v/>
      </c>
      <c r="P146" s="217">
        <f>SUM(P139:P145)</f>
        <v/>
      </c>
      <c r="Q146" s="217">
        <f>M146+O146</f>
        <v/>
      </c>
      <c r="R146" s="217">
        <f>SUM(R139:R145)</f>
        <v/>
      </c>
      <c r="S146" s="217">
        <f>SUM(S139:S145)</f>
        <v/>
      </c>
      <c r="T146" s="217" t="n"/>
      <c r="U146" s="217" t="n"/>
      <c r="V146" s="217" t="n"/>
      <c r="W146" s="217" t="n"/>
      <c r="X146" s="217" t="n"/>
      <c r="Y146" s="217" t="n"/>
      <c r="Z146" s="217">
        <f>SUM(Z139:Z145)</f>
        <v/>
      </c>
      <c r="AA146" s="217">
        <f>SUM(AA139:AA145)</f>
        <v/>
      </c>
      <c r="AB146" s="217">
        <f>SUM(AB139:AB145)</f>
        <v/>
      </c>
      <c r="AC146" s="217">
        <f>SUM(AC139:AC145)</f>
        <v/>
      </c>
      <c r="AD146" s="217">
        <f>SUM(AD139:AD145)</f>
        <v/>
      </c>
      <c r="AE146" s="217">
        <f>SUM(AE139:AE145)</f>
        <v/>
      </c>
      <c r="AF146" s="217">
        <f>SUM(AF139:AF145)</f>
        <v/>
      </c>
      <c r="AG146" s="217" t="n"/>
      <c r="AH146" s="217" t="n"/>
      <c r="AI146" s="217">
        <f>SUM(AI139:AI145)</f>
        <v/>
      </c>
      <c r="AJ146" s="217">
        <f>SUM(AJ139:AJ145)</f>
        <v/>
      </c>
      <c r="AK146" s="217">
        <f>SUM(AK139:AK145)</f>
        <v/>
      </c>
      <c r="AL146" s="204" t="n"/>
    </row>
    <row r="147">
      <c r="A147" s="33" t="n"/>
      <c r="B147" s="199" t="n"/>
      <c r="C147" s="199" t="n"/>
      <c r="D147" s="218" t="inlineStr">
        <is>
          <t>（六）间接费</t>
        </is>
      </c>
      <c r="E147" s="212" t="n"/>
      <c r="F147" s="212" t="n"/>
      <c r="G147" s="212" t="n"/>
      <c r="H147" s="184" t="n"/>
      <c r="I147" s="189" t="n"/>
      <c r="J147" s="189" t="n">
        <v>0</v>
      </c>
      <c r="K147" s="201" t="n">
        <v>0</v>
      </c>
      <c r="L147" s="202">
        <f>J147-N147-P147</f>
        <v/>
      </c>
      <c r="M147" s="184" t="n"/>
      <c r="N147" s="184" t="n"/>
      <c r="O147" s="189">
        <f>L147-M147</f>
        <v/>
      </c>
      <c r="P147" s="189">
        <f>K147-N147</f>
        <v/>
      </c>
      <c r="Q147" s="189">
        <f>M147+O147</f>
        <v/>
      </c>
      <c r="R147" s="189">
        <f>M147+N147+O147+P147</f>
        <v/>
      </c>
      <c r="S147" s="203">
        <f>SUM(T147:V147)</f>
        <v/>
      </c>
      <c r="T147" s="203" t="n"/>
      <c r="U147" s="203" t="n"/>
      <c r="V147" s="203" t="n"/>
      <c r="W147" s="203" t="n"/>
      <c r="X147" s="203" t="n"/>
      <c r="Y147" s="203" t="n"/>
      <c r="Z147" s="203" t="n"/>
      <c r="AA147" s="203" t="n"/>
      <c r="AB147" s="203" t="n"/>
      <c r="AC147" s="203" t="n"/>
      <c r="AD147" s="203" t="n"/>
      <c r="AE147" s="203" t="n"/>
      <c r="AF147" s="203" t="n"/>
      <c r="AG147" s="203" t="n"/>
      <c r="AH147" s="203" t="n"/>
      <c r="AI147" s="203" t="n"/>
      <c r="AJ147" s="203" t="n"/>
      <c r="AK147" s="188" t="n"/>
      <c r="AL147" s="204" t="n"/>
    </row>
    <row r="148">
      <c r="A148" s="206" t="n"/>
      <c r="B148" s="206" t="n"/>
      <c r="C148" s="207" t="n"/>
      <c r="D148" s="207" t="inlineStr">
        <is>
          <t>书报资料费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220.88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企业年金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186548.56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会议费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5867.37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住房公积金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921583.74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保险费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4245.28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修理费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27769.38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其他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445466.64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其他补充保险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87.84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冲晒印刷费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112428.15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办公用品费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607692.39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医疗保险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453554.98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基本养老保险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1111816.95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境内差旅费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29087.86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失业保险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45975.32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工会经费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266903.49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工伤保险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43560.14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工资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21036724.24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市内交通费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5663.74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律师费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14327.83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折旧费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66169.48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水电费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1915223.39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燃油费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210747.51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物业租赁费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223298.47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物业管理费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463287.94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物料消耗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4059.41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生育保险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4798.28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社保及公积金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1410339.33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租车费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429894.83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维修保养费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34521.89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网络使用费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114830.51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职工教育经费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135820.32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职工福利费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824342.88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补充医疗保险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7322.89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诉讼费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36638.87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路桥及停车费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78817.39999999999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软件费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209326.47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通信费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192969.09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邮寄费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1030.72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33" t="n"/>
      <c r="B186" s="199" t="n"/>
      <c r="C186" s="199" t="n"/>
      <c r="D186" s="211" t="inlineStr">
        <is>
          <t>**财务未列部分需增列***</t>
        </is>
      </c>
      <c r="E186" s="212" t="n"/>
      <c r="F186" s="212" t="n"/>
      <c r="G186" s="212" t="n"/>
      <c r="H186" s="234" t="n"/>
      <c r="I186" s="189" t="n"/>
      <c r="J186" s="234" t="n"/>
      <c r="K186" s="201" t="n"/>
      <c r="L186" s="202" t="n"/>
      <c r="M186" s="234" t="n"/>
      <c r="N186" s="189" t="n"/>
      <c r="O186" s="189">
        <f>L186-M186</f>
        <v/>
      </c>
      <c r="P186" s="189">
        <f>K186-N186</f>
        <v/>
      </c>
      <c r="Q186" s="189">
        <f>M186+O186</f>
        <v/>
      </c>
      <c r="R186" s="189">
        <f>M186+N186+O186+P186</f>
        <v/>
      </c>
      <c r="S186" s="203">
        <f>SUM(T186:V186)</f>
        <v/>
      </c>
      <c r="T186" s="234" t="n"/>
      <c r="U186" s="234" t="n"/>
      <c r="V186" s="234" t="n"/>
      <c r="W186" s="234" t="n"/>
      <c r="X186" s="234" t="n"/>
      <c r="Y186" s="234" t="n"/>
      <c r="Z186" s="234" t="n"/>
      <c r="AA186" s="203" t="n"/>
      <c r="AB186" s="188" t="n"/>
      <c r="AC186" s="188" t="n"/>
      <c r="AD186" s="188" t="n"/>
      <c r="AE186" s="188" t="n"/>
      <c r="AF186" s="188" t="n"/>
      <c r="AG186" s="188" t="n"/>
      <c r="AH186" s="188" t="n"/>
      <c r="AI186" s="188" t="n"/>
      <c r="AJ186" s="188" t="n"/>
      <c r="AK186" s="188" t="n"/>
      <c r="AL186" s="214" t="n"/>
    </row>
    <row r="187">
      <c r="A187" s="55" t="n"/>
      <c r="B187" s="235" t="n"/>
      <c r="C187" s="235" t="n"/>
      <c r="D187" s="231" t="inlineStr">
        <is>
          <t>间接费小计：</t>
        </is>
      </c>
      <c r="E187" s="236" t="n"/>
      <c r="F187" s="236" t="n"/>
      <c r="G187" s="236" t="n"/>
      <c r="H187" s="217">
        <f>SUM(H147:H186)</f>
        <v/>
      </c>
      <c r="I187" s="217">
        <f>SUM(I147:I186)</f>
        <v/>
      </c>
      <c r="J187" s="217">
        <f>SUM(J147:J186)</f>
        <v/>
      </c>
      <c r="K187" s="217">
        <f>SUM(K147:K186)</f>
        <v/>
      </c>
      <c r="L187" s="233">
        <f>SUM(L147:L186)</f>
        <v/>
      </c>
      <c r="M187" s="233">
        <f>SUM(M147:M186)</f>
        <v/>
      </c>
      <c r="N187" s="233">
        <f>SUM(N147:N186)</f>
        <v/>
      </c>
      <c r="O187" s="233">
        <f>SUM(O147:O186)</f>
        <v/>
      </c>
      <c r="P187" s="233">
        <f>SUM(P147:P186)</f>
        <v/>
      </c>
      <c r="Q187" s="233">
        <f>SUM(Q147:Q186)</f>
        <v/>
      </c>
      <c r="R187" s="233">
        <f>SUM(R147:R186)</f>
        <v/>
      </c>
      <c r="S187" s="233">
        <f>SUM(S147:S186)</f>
        <v/>
      </c>
      <c r="T187" s="233" t="n"/>
      <c r="U187" s="233" t="n"/>
      <c r="V187" s="233" t="n"/>
      <c r="W187" s="233" t="n"/>
      <c r="X187" s="233" t="n"/>
      <c r="Y187" s="233" t="n"/>
      <c r="Z187" s="233">
        <f>SUM(Z147:Z186)</f>
        <v/>
      </c>
      <c r="AA187" s="233">
        <f>SUM(AA147:AA186)</f>
        <v/>
      </c>
      <c r="AB187" s="233">
        <f>SUM(AB147:AB186)</f>
        <v/>
      </c>
      <c r="AC187" s="233">
        <f>SUM(AC147:AC186)</f>
        <v/>
      </c>
      <c r="AD187" s="233">
        <f>SUM(AD147:AD186)</f>
        <v/>
      </c>
      <c r="AE187" s="233">
        <f>SUM(AE147:AE186)</f>
        <v/>
      </c>
      <c r="AF187" s="233">
        <f>SUM(AF147:AF186)</f>
        <v/>
      </c>
      <c r="AG187" s="233" t="n"/>
      <c r="AH187" s="233" t="n"/>
      <c r="AI187" s="233">
        <f>SUM(AI147:AI186)</f>
        <v/>
      </c>
      <c r="AJ187" s="233">
        <f>SUM(AJ147:AJ186)</f>
        <v/>
      </c>
      <c r="AK187" s="233">
        <f>SUM(AK147:AK186)</f>
        <v/>
      </c>
      <c r="AL187" s="214" t="n"/>
    </row>
    <row r="188">
      <c r="A188" s="33" t="n"/>
      <c r="B188" s="199" t="n"/>
      <c r="C188" s="199" t="n"/>
      <c r="D188" s="218" t="inlineStr">
        <is>
          <t>（七）安全费</t>
        </is>
      </c>
      <c r="E188" s="212" t="n"/>
      <c r="F188" s="212" t="n"/>
      <c r="G188" s="212" t="n"/>
      <c r="H188" s="189" t="n"/>
      <c r="I188" s="189" t="n"/>
      <c r="J188" s="184" t="n">
        <v>0</v>
      </c>
      <c r="K188" s="237" t="n"/>
      <c r="L188" s="202">
        <f>J188-N188-P188</f>
        <v/>
      </c>
      <c r="M188" s="189" t="n"/>
      <c r="N188" s="189" t="n"/>
      <c r="O188" s="189">
        <f>L188-M188</f>
        <v/>
      </c>
      <c r="P188" s="189">
        <f>K188-N188</f>
        <v/>
      </c>
      <c r="Q188" s="189">
        <f>M188+O188</f>
        <v/>
      </c>
      <c r="R188" s="189">
        <f>M188+N188+O188+P188</f>
        <v/>
      </c>
      <c r="S188" s="203">
        <f>SUM(T188:V188)</f>
        <v/>
      </c>
      <c r="T188" s="234" t="n"/>
      <c r="U188" s="234" t="n"/>
      <c r="V188" s="234" t="n"/>
      <c r="W188" s="234" t="n"/>
      <c r="X188" s="234" t="n"/>
      <c r="Y188" s="234" t="n"/>
      <c r="Z188" s="230" t="n"/>
      <c r="AA188" s="203" t="n"/>
      <c r="AB188" s="188" t="n"/>
      <c r="AC188" s="188" t="n"/>
      <c r="AD188" s="188" t="n"/>
      <c r="AE188" s="188" t="n"/>
      <c r="AF188" s="188" t="n"/>
      <c r="AG188" s="188" t="n"/>
      <c r="AH188" s="188" t="n"/>
      <c r="AI188" s="188" t="n"/>
      <c r="AJ188" s="188" t="n"/>
      <c r="AK188" s="188" t="n"/>
      <c r="AL188" s="214" t="n"/>
    </row>
    <row r="189">
      <c r="A189" s="206" t="n"/>
      <c r="B189" s="206" t="n"/>
      <c r="C189" s="207" t="n"/>
      <c r="D189" s="207" t="inlineStr">
        <is>
          <t>安全生产-人工费</t>
        </is>
      </c>
      <c r="E189" s="206" t="n"/>
      <c r="F189" s="206" t="n"/>
      <c r="G189" s="206" t="n"/>
      <c r="H189" s="206" t="n"/>
      <c r="I189" s="206" t="n"/>
      <c r="J189" s="206">
        <f>H189+I189</f>
        <v/>
      </c>
      <c r="K189" s="208" t="n"/>
      <c r="L189" s="209">
        <f>J189-K189</f>
        <v/>
      </c>
      <c r="M189" s="210" t="n">
        <v>2852405.63</v>
      </c>
      <c r="N189" s="206" t="n"/>
      <c r="O189" s="206">
        <f>L189-M189</f>
        <v/>
      </c>
      <c r="P189" s="206">
        <f>K189-N189</f>
        <v/>
      </c>
      <c r="Q189" s="206">
        <f>M189+O189</f>
        <v/>
      </c>
      <c r="R189" s="206">
        <f>M189+N189+O189+P189</f>
        <v/>
      </c>
      <c r="S189" s="206" t="n"/>
      <c r="T189" s="206" t="n"/>
      <c r="U189" s="206" t="n"/>
      <c r="V189" s="206" t="n"/>
    </row>
    <row r="190">
      <c r="A190" s="206" t="n"/>
      <c r="B190" s="206" t="n"/>
      <c r="C190" s="207" t="n"/>
      <c r="D190" s="207" t="inlineStr">
        <is>
          <t>安全生产-分包工程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9">
        <f>J190-K190</f>
        <v/>
      </c>
      <c r="M190" s="210" t="n">
        <v>12546095.85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</row>
    <row r="191">
      <c r="A191" s="206" t="n"/>
      <c r="B191" s="206" t="n"/>
      <c r="C191" s="207" t="n"/>
      <c r="D191" s="207" t="inlineStr">
        <is>
          <t>安全生产-机械使用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9">
        <f>J191-K191</f>
        <v/>
      </c>
      <c r="M191" s="210" t="n">
        <v>326856.87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</row>
    <row r="192">
      <c r="A192" s="206" t="n"/>
      <c r="B192" s="206" t="n"/>
      <c r="C192" s="207" t="n"/>
      <c r="D192" s="207" t="inlineStr">
        <is>
          <t>安全生产费-报销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2066826.1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55" t="n"/>
      <c r="B193" s="235" t="n"/>
      <c r="C193" s="235" t="n"/>
      <c r="D193" s="231" t="inlineStr">
        <is>
          <t>安全费小计：</t>
        </is>
      </c>
      <c r="E193" s="231" t="n"/>
      <c r="F193" s="231" t="n"/>
      <c r="G193" s="231" t="n"/>
      <c r="H193" s="217">
        <f>SUM(H188:H192)</f>
        <v/>
      </c>
      <c r="I193" s="217">
        <f>SUM(I188:I192)</f>
        <v/>
      </c>
      <c r="J193" s="217" t="n">
        <v>0</v>
      </c>
      <c r="K193" s="217" t="n">
        <v>0</v>
      </c>
      <c r="L193" s="202">
        <f>J193-K193</f>
        <v/>
      </c>
      <c r="M193" s="233">
        <f>SUM(M188:M192)</f>
        <v/>
      </c>
      <c r="N193" s="233">
        <f>SUM(N188:N192)</f>
        <v/>
      </c>
      <c r="O193" s="233">
        <f>SUM(O188:O192)</f>
        <v/>
      </c>
      <c r="P193" s="233">
        <f>SUM(P188:P192)</f>
        <v/>
      </c>
      <c r="Q193" s="233">
        <f>SUM(Q188:Q192)</f>
        <v/>
      </c>
      <c r="R193" s="233">
        <f>SUM(R188:R192)</f>
        <v/>
      </c>
      <c r="S193" s="233">
        <f>SUM(S188:S192)</f>
        <v/>
      </c>
      <c r="T193" s="238" t="n"/>
      <c r="U193" s="238" t="n"/>
      <c r="V193" s="238" t="n"/>
      <c r="W193" s="238" t="n"/>
      <c r="X193" s="238" t="n"/>
      <c r="Y193" s="238" t="n"/>
      <c r="Z193" s="238" t="n"/>
      <c r="AA193" s="238">
        <f>SUM(AA188:AA192)</f>
        <v/>
      </c>
      <c r="AB193" s="238">
        <f>SUM(AB188:AB192)</f>
        <v/>
      </c>
      <c r="AC193" s="238">
        <f>SUM(AC188:AC192)</f>
        <v/>
      </c>
      <c r="AD193" s="238">
        <f>SUM(AD188:AD192)</f>
        <v/>
      </c>
      <c r="AE193" s="238">
        <f>SUM(AE188:AE192)</f>
        <v/>
      </c>
      <c r="AF193" s="238">
        <f>SUM(AF188:AF192)</f>
        <v/>
      </c>
      <c r="AG193" s="238" t="n"/>
      <c r="AH193" s="238" t="n"/>
      <c r="AI193" s="238">
        <f>SUM(AI188:AI192)</f>
        <v/>
      </c>
      <c r="AJ193" s="238">
        <f>SUM(AJ188:AJ192)</f>
        <v/>
      </c>
      <c r="AK193" s="238">
        <f>SUM(AK188:AK192)</f>
        <v/>
      </c>
      <c r="AL193" s="239" t="n"/>
    </row>
    <row r="194">
      <c r="A194" s="55" t="n"/>
      <c r="B194" s="235" t="n"/>
      <c r="C194" s="235" t="n"/>
      <c r="D194" s="231" t="inlineStr">
        <is>
          <t>三、成本合计：</t>
        </is>
      </c>
      <c r="E194" s="236" t="n"/>
      <c r="F194" s="236" t="n"/>
      <c r="G194" s="236" t="n"/>
      <c r="H194" s="217">
        <f>H34+H67+H123+H138+H146+H187+H193</f>
        <v/>
      </c>
      <c r="I194" s="217">
        <f>I34+I67+I123+I138+I146+I187+I193</f>
        <v/>
      </c>
      <c r="J194" s="217">
        <f>J34+J67+J123+J138+J146+J187+J193</f>
        <v/>
      </c>
      <c r="K194" s="217">
        <f>K34+K67+K123+K138+K146+K187+K193</f>
        <v/>
      </c>
      <c r="L194" s="233">
        <f>L34+L67+L123+L138+L146+L187+L193</f>
        <v/>
      </c>
      <c r="M194" s="238">
        <f>M34+M67+M123+M138+M146+M187+M193</f>
        <v/>
      </c>
      <c r="N194" s="238">
        <f>N34+N67+N123+N138+N146+N187+N193</f>
        <v/>
      </c>
      <c r="O194" s="238">
        <f>O34+O67+O123+O138+O146+O187+O193</f>
        <v/>
      </c>
      <c r="P194" s="238">
        <f>P34+P67+P123+P138+P146+P187+P193</f>
        <v/>
      </c>
      <c r="Q194" s="238">
        <f>Q34+Q67+Q123+Q138+Q146+Q187+Q193</f>
        <v/>
      </c>
      <c r="R194" s="238">
        <f>R34+R67+R123+R138+R146+R187+R193</f>
        <v/>
      </c>
      <c r="S194" s="238">
        <f>S34+S67+S123+S138+S146+S187+S193</f>
        <v/>
      </c>
      <c r="T194" s="238" t="n"/>
      <c r="U194" s="238" t="n"/>
      <c r="V194" s="238" t="n"/>
      <c r="W194" s="238" t="n"/>
      <c r="X194" s="238" t="n"/>
      <c r="Y194" s="238" t="n"/>
      <c r="Z194" s="238">
        <f>Z34+Z67+Z123+Z138+Z146+Z187+Z193</f>
        <v/>
      </c>
      <c r="AA194" s="238">
        <f>AA34+AA67+AA123+AA138+AA146+AA187+AA193</f>
        <v/>
      </c>
      <c r="AB194" s="238">
        <f>AB34+AB67+AB123+AB138+AB146+AB187+AB193</f>
        <v/>
      </c>
      <c r="AC194" s="238">
        <f>AC34+AC67+AC123+AC138+AC146+AC187+AC193</f>
        <v/>
      </c>
      <c r="AD194" s="238">
        <f>AD34+AD67+AD123+AD138+AD146+AD187+AD193</f>
        <v/>
      </c>
      <c r="AE194" s="238">
        <f>AE34+AE67+AE123+AE138+AE146+AE187+AE193</f>
        <v/>
      </c>
      <c r="AF194" s="238">
        <f>AF34+AF67+AF123+AF138+AF146+AF187+AF193</f>
        <v/>
      </c>
      <c r="AG194" s="238" t="n"/>
      <c r="AH194" s="238" t="n"/>
      <c r="AI194" s="238">
        <f>AI34+AI67+AI123+AI138+AI146+AI187+AI193</f>
        <v/>
      </c>
      <c r="AJ194" s="238">
        <f>AJ34+AJ67+AJ123+AJ138+AJ146+AJ187+AJ193</f>
        <v/>
      </c>
      <c r="AK194" s="238">
        <f>AK34+AK67+AK123+AK138+AK146+AK187+AK193</f>
        <v/>
      </c>
      <c r="AL194" s="239" t="n"/>
    </row>
    <row r="195">
      <c r="A195" s="33" t="n"/>
      <c r="B195" s="199" t="n"/>
      <c r="C195" s="199" t="n"/>
      <c r="D195" s="218" t="inlineStr">
        <is>
          <t>四、计提保修金</t>
        </is>
      </c>
      <c r="E195" s="240" t="inlineStr">
        <is>
          <t>（在建：房建0.6%，其它0.4%；在保修期间的按0.3~0.5%自行确定;保修期结束为0）</t>
        </is>
      </c>
      <c r="F195" s="240" t="n"/>
      <c r="G195" s="240" t="n"/>
      <c r="H195" s="184" t="n"/>
      <c r="I195" s="184" t="n"/>
      <c r="J195" s="184">
        <f>H195+I195</f>
        <v/>
      </c>
      <c r="K195" s="184" t="n"/>
      <c r="L195" s="202">
        <f>J195-K195</f>
        <v/>
      </c>
      <c r="M195" s="189" t="n"/>
      <c r="N195" s="189" t="n"/>
      <c r="O195" s="189">
        <f>L195-M195</f>
        <v/>
      </c>
      <c r="P195" s="189">
        <f>K195-N195</f>
        <v/>
      </c>
      <c r="Q195" s="189">
        <f>M195+O195</f>
        <v/>
      </c>
      <c r="R195" s="189">
        <f>M195+N195+O195+P195</f>
        <v/>
      </c>
      <c r="S195" s="203">
        <f>SUM(T195:V195)</f>
        <v/>
      </c>
      <c r="T195" s="203" t="n"/>
      <c r="U195" s="203" t="n"/>
      <c r="V195" s="203" t="n"/>
      <c r="W195" s="203" t="n"/>
      <c r="X195" s="203" t="n"/>
      <c r="Y195" s="203" t="n"/>
      <c r="Z195" s="203" t="n"/>
      <c r="AA195" s="203">
        <f>Q69-S69</f>
        <v/>
      </c>
      <c r="AB195" s="241" t="n"/>
      <c r="AC195" s="241" t="n"/>
      <c r="AD195" s="241" t="n"/>
      <c r="AE195" s="241" t="n"/>
      <c r="AF195" s="241" t="n"/>
      <c r="AG195" s="241" t="n"/>
      <c r="AH195" s="241" t="n"/>
      <c r="AI195" s="241" t="n"/>
      <c r="AJ195" s="241" t="n"/>
      <c r="AK195" s="188" t="n"/>
      <c r="AL195" s="239" t="n"/>
    </row>
    <row r="196">
      <c r="A196" s="33" t="n"/>
      <c r="B196" s="199" t="n"/>
      <c r="C196" s="199" t="n"/>
      <c r="D196" s="218" t="inlineStr">
        <is>
          <t>五、过程节点奖金</t>
        </is>
      </c>
      <c r="E196" s="212" t="n"/>
      <c r="F196" s="212" t="n"/>
      <c r="G196" s="212" t="n"/>
      <c r="H196" s="184" t="n"/>
      <c r="I196" s="184" t="n"/>
      <c r="J196" s="184">
        <f>H196+I196</f>
        <v/>
      </c>
      <c r="K196" s="184" t="n"/>
      <c r="L196" s="202">
        <f>J196-K196</f>
        <v/>
      </c>
      <c r="M196" s="189" t="n"/>
      <c r="N196" s="189" t="n"/>
      <c r="O196" s="189">
        <f>L196-M196</f>
        <v/>
      </c>
      <c r="P196" s="189">
        <f>K196-N196</f>
        <v/>
      </c>
      <c r="Q196" s="189">
        <f>M196+O196</f>
        <v/>
      </c>
      <c r="R196" s="189">
        <f>M196+N196+O196+P196</f>
        <v/>
      </c>
      <c r="S196" s="203">
        <f>SUM(T196:V196)</f>
        <v/>
      </c>
      <c r="T196" s="203" t="n"/>
      <c r="U196" s="203" t="n"/>
      <c r="V196" s="203" t="n"/>
      <c r="W196" s="203" t="n"/>
      <c r="X196" s="203" t="n"/>
      <c r="Y196" s="203" t="n"/>
      <c r="Z196" s="203" t="n"/>
      <c r="AA196" s="203" t="n"/>
      <c r="AB196" s="188" t="n"/>
      <c r="AC196" s="188" t="n"/>
      <c r="AD196" s="188" t="n"/>
      <c r="AE196" s="188" t="n"/>
      <c r="AF196" s="188" t="n"/>
      <c r="AG196" s="188" t="n"/>
      <c r="AH196" s="188" t="n"/>
      <c r="AI196" s="188" t="n"/>
      <c r="AJ196" s="188" t="n"/>
      <c r="AK196" s="188" t="n"/>
      <c r="AL196" s="214" t="n"/>
    </row>
    <row r="197">
      <c r="A197" s="33" t="n"/>
      <c r="B197" s="199" t="n"/>
      <c r="C197" s="199" t="n"/>
      <c r="D197" s="218" t="inlineStr">
        <is>
          <t>六、资金占用费用</t>
        </is>
      </c>
      <c r="E197" s="212" t="n"/>
      <c r="F197" s="212" t="n"/>
      <c r="G197" s="212" t="n"/>
      <c r="H197" s="189" t="n"/>
      <c r="I197" s="189" t="n"/>
      <c r="J197" s="184">
        <f>H197+I197</f>
        <v/>
      </c>
      <c r="K197" s="189" t="n"/>
      <c r="L197" s="202">
        <f>J197-K197</f>
        <v/>
      </c>
      <c r="M197" s="223" t="n">
        <v>6780777.21</v>
      </c>
      <c r="N197" s="189" t="n"/>
      <c r="O197" s="189">
        <f>L197-M197</f>
        <v/>
      </c>
      <c r="P197" s="189">
        <f>K197-N197</f>
        <v/>
      </c>
      <c r="Q197" s="189">
        <f>M197+O197</f>
        <v/>
      </c>
      <c r="R197" s="189">
        <f>M197+N197+O197+P197</f>
        <v/>
      </c>
      <c r="S197" s="203">
        <f>SUM(T197:V197)</f>
        <v/>
      </c>
      <c r="T197" s="203" t="n"/>
      <c r="U197" s="203" t="n"/>
      <c r="V197" s="203" t="n"/>
      <c r="W197" s="203" t="n"/>
      <c r="X197" s="203" t="n"/>
      <c r="Y197" s="203" t="n"/>
      <c r="Z197" s="203" t="n"/>
      <c r="AA197" s="203" t="n"/>
      <c r="AB197" s="188" t="n"/>
      <c r="AC197" s="188" t="n"/>
      <c r="AD197" s="188" t="n"/>
      <c r="AE197" s="188" t="n"/>
      <c r="AF197" s="188" t="n"/>
      <c r="AG197" s="188" t="n"/>
      <c r="AH197" s="188" t="n"/>
      <c r="AI197" s="188" t="n"/>
      <c r="AJ197" s="188" t="n"/>
      <c r="AK197" s="188" t="n"/>
      <c r="AL197" s="214" t="n"/>
    </row>
    <row r="198">
      <c r="A198" s="33" t="n"/>
      <c r="B198" s="199" t="n"/>
      <c r="C198" s="199" t="n"/>
      <c r="D198" s="218" t="inlineStr">
        <is>
          <t>七、局投资收益（局投资项目选填）</t>
        </is>
      </c>
      <c r="E198" s="212" t="n"/>
      <c r="F198" s="212" t="n"/>
      <c r="G198" s="212" t="n"/>
      <c r="H198" s="189" t="n"/>
      <c r="I198" s="189" t="n"/>
      <c r="J198" s="184">
        <f>H198+I198</f>
        <v/>
      </c>
      <c r="K198" s="189" t="n"/>
      <c r="L198" s="202">
        <f>J198-K198</f>
        <v/>
      </c>
      <c r="M198" s="189" t="n"/>
      <c r="N198" s="189" t="n"/>
      <c r="O198" s="189">
        <f>L198-M198</f>
        <v/>
      </c>
      <c r="P198" s="189">
        <f>K198-N198</f>
        <v/>
      </c>
      <c r="Q198" s="189">
        <f>M198+O198</f>
        <v/>
      </c>
      <c r="R198" s="189">
        <f>M198+N198+O198+P198</f>
        <v/>
      </c>
      <c r="S198" s="203">
        <f>SUM(T198:V198)</f>
        <v/>
      </c>
      <c r="T198" s="203" t="n"/>
      <c r="U198" s="203" t="n"/>
      <c r="V198" s="203" t="n"/>
      <c r="W198" s="203" t="n"/>
      <c r="X198" s="203" t="n"/>
      <c r="Y198" s="203" t="n"/>
      <c r="Z198" s="203" t="n"/>
      <c r="AA198" s="203" t="n"/>
      <c r="AB198" s="188" t="n"/>
      <c r="AC198" s="188" t="n"/>
      <c r="AD198" s="188" t="n"/>
      <c r="AE198" s="188" t="n"/>
      <c r="AF198" s="188" t="n"/>
      <c r="AG198" s="188" t="n"/>
      <c r="AH198" s="188" t="n"/>
      <c r="AI198" s="188" t="n"/>
      <c r="AJ198" s="188" t="n"/>
      <c r="AK198" s="188" t="n"/>
      <c r="AL198" s="214" t="n"/>
    </row>
    <row r="199">
      <c r="A199" s="55" t="n"/>
      <c r="B199" s="235" t="n"/>
      <c r="C199" s="235" t="n"/>
      <c r="D199" s="231" t="inlineStr">
        <is>
          <t>八、研发费用</t>
        </is>
      </c>
      <c r="E199" s="236" t="n"/>
      <c r="F199" s="236" t="n"/>
      <c r="G199" s="236" t="n"/>
      <c r="H199" s="217" t="n"/>
      <c r="I199" s="217" t="n"/>
      <c r="J199" s="217">
        <f>H199+I199</f>
        <v/>
      </c>
      <c r="K199" s="217" t="n"/>
      <c r="L199" s="233">
        <f>J199-K199</f>
        <v/>
      </c>
      <c r="M199" s="238">
        <f>SUM(M74:M76)</f>
        <v/>
      </c>
      <c r="N199" s="238">
        <f>SUM(N74:N76)</f>
        <v/>
      </c>
      <c r="O199" s="238">
        <f>SUM(O74:O76)</f>
        <v/>
      </c>
      <c r="P199" s="238">
        <f>SUM(P74:P76)</f>
        <v/>
      </c>
      <c r="Q199" s="238">
        <f>SUM(Q74:Q76)</f>
        <v/>
      </c>
      <c r="R199" s="238">
        <f>SUM(R74:R76)</f>
        <v/>
      </c>
      <c r="S199" s="238">
        <f>SUM(S74:S76)</f>
        <v/>
      </c>
      <c r="T199" s="238">
        <f>SUM(T74:T76)</f>
        <v/>
      </c>
      <c r="U199" s="238">
        <f>SUM(U74:U76)</f>
        <v/>
      </c>
      <c r="V199" s="238">
        <f>SUM(V74:V76)</f>
        <v/>
      </c>
      <c r="W199" s="238">
        <f>SUM(W74:W76)</f>
        <v/>
      </c>
      <c r="X199" s="238">
        <f>SUM(X74:X76)</f>
        <v/>
      </c>
      <c r="Y199" s="238">
        <f>SUM(Y74:Y76)</f>
        <v/>
      </c>
      <c r="Z199" s="238">
        <f>SUM(Z74:Z76)</f>
        <v/>
      </c>
      <c r="AA199" s="238">
        <f>SUM(AA74:AA76)</f>
        <v/>
      </c>
      <c r="AB199" s="238">
        <f>SUM(AB74:AB76)</f>
        <v/>
      </c>
      <c r="AC199" s="238">
        <f>SUM(AC74:AC76)</f>
        <v/>
      </c>
      <c r="AD199" s="238">
        <f>SUM(AD74:AD76)</f>
        <v/>
      </c>
      <c r="AE199" s="238">
        <f>SUM(AE74:AE76)</f>
        <v/>
      </c>
      <c r="AF199" s="238">
        <f>SUM(AF74:AF76)</f>
        <v/>
      </c>
      <c r="AG199" s="238">
        <f>SUM(AG74:AG76)</f>
        <v/>
      </c>
      <c r="AH199" s="238">
        <f>SUM(AH74:AH76)</f>
        <v/>
      </c>
      <c r="AI199" s="238">
        <f>SUM(AI74:AI76)</f>
        <v/>
      </c>
      <c r="AJ199" s="238">
        <f>SUM(AJ74:AJ76)</f>
        <v/>
      </c>
      <c r="AK199" s="238">
        <f>SUM(AK74:AK76)</f>
        <v/>
      </c>
      <c r="AL199" s="239" t="n"/>
    </row>
    <row r="200">
      <c r="A200" s="209" t="n"/>
      <c r="B200" s="209" t="n"/>
      <c r="C200" s="242" t="n"/>
      <c r="D200" s="242" t="inlineStr">
        <is>
          <t>人工成本</t>
        </is>
      </c>
      <c r="E200" s="209" t="n"/>
      <c r="F200" s="209" t="n"/>
      <c r="G200" s="209" t="n"/>
      <c r="H200" s="209" t="n"/>
      <c r="I200" s="209" t="n"/>
      <c r="J200" s="209" t="n"/>
      <c r="K200" s="209" t="n"/>
      <c r="L200" s="209" t="n"/>
      <c r="M200" s="243" t="n">
        <v>2069939.18</v>
      </c>
      <c r="N200" s="244" t="n"/>
      <c r="O200" s="244">
        <f>L200-M200</f>
        <v/>
      </c>
      <c r="P200" s="244">
        <f>K200-N200</f>
        <v/>
      </c>
      <c r="Q200" s="244">
        <f>M200+O200</f>
        <v/>
      </c>
      <c r="R200" s="244">
        <f>M200+N200+O200+P200</f>
        <v/>
      </c>
      <c r="S200" s="244" t="n"/>
      <c r="T200" s="244" t="n"/>
      <c r="U200" s="244" t="n"/>
      <c r="V200" s="244" t="n"/>
    </row>
    <row r="201">
      <c r="A201" s="209" t="n"/>
      <c r="B201" s="209" t="n"/>
      <c r="C201" s="242" t="n"/>
      <c r="D201" s="242" t="inlineStr">
        <is>
          <t>可用存款</t>
        </is>
      </c>
      <c r="E201" s="209" t="n"/>
      <c r="F201" s="209" t="n"/>
      <c r="G201" s="209" t="n"/>
      <c r="H201" s="209" t="n"/>
      <c r="I201" s="209" t="n"/>
      <c r="J201" s="209" t="n"/>
      <c r="K201" s="209" t="n"/>
      <c r="L201" s="209" t="n"/>
      <c r="M201" s="243" t="n">
        <v>2358.5</v>
      </c>
      <c r="N201" s="244" t="n"/>
      <c r="O201" s="244">
        <f>L201-M201</f>
        <v/>
      </c>
      <c r="P201" s="244">
        <f>K201-N201</f>
        <v/>
      </c>
      <c r="Q201" s="244">
        <f>M201+O201</f>
        <v/>
      </c>
      <c r="R201" s="244">
        <f>M201+N201+O201+P201</f>
        <v/>
      </c>
      <c r="S201" s="244" t="n"/>
      <c r="T201" s="244" t="n"/>
      <c r="U201" s="244" t="n"/>
      <c r="V201" s="244" t="n"/>
    </row>
    <row r="202">
      <c r="A202" s="209" t="n"/>
      <c r="B202" s="209" t="n"/>
      <c r="C202" s="242" t="n"/>
      <c r="D202" s="242" t="inlineStr">
        <is>
          <t>折旧</t>
        </is>
      </c>
      <c r="E202" s="209" t="n"/>
      <c r="F202" s="209" t="n"/>
      <c r="G202" s="209" t="n"/>
      <c r="H202" s="209" t="n"/>
      <c r="I202" s="209" t="n"/>
      <c r="J202" s="209" t="n"/>
      <c r="K202" s="209" t="n"/>
      <c r="L202" s="209" t="n"/>
      <c r="M202" s="243" t="n">
        <v>6857.02</v>
      </c>
      <c r="N202" s="244" t="n"/>
      <c r="O202" s="244">
        <f>L202-M202</f>
        <v/>
      </c>
      <c r="P202" s="244">
        <f>K202-N202</f>
        <v/>
      </c>
      <c r="Q202" s="244">
        <f>M202+O202</f>
        <v/>
      </c>
      <c r="R202" s="244">
        <f>M202+N202+O202+P202</f>
        <v/>
      </c>
      <c r="S202" s="244" t="n"/>
      <c r="T202" s="244" t="n"/>
      <c r="U202" s="244" t="n"/>
      <c r="V202" s="244" t="n"/>
    </row>
    <row r="203">
      <c r="A203" s="209" t="n"/>
      <c r="B203" s="209" t="n"/>
      <c r="C203" s="242" t="n"/>
      <c r="D203" s="242" t="inlineStr">
        <is>
          <t>机械租赁</t>
        </is>
      </c>
      <c r="E203" s="209" t="n"/>
      <c r="F203" s="209" t="n"/>
      <c r="G203" s="209" t="n"/>
      <c r="H203" s="209" t="n"/>
      <c r="I203" s="209" t="n"/>
      <c r="J203" s="209" t="n"/>
      <c r="K203" s="209" t="n"/>
      <c r="L203" s="209" t="n"/>
      <c r="M203" s="243" t="n">
        <v>63495</v>
      </c>
      <c r="N203" s="244" t="n"/>
      <c r="O203" s="244">
        <f>L203-M203</f>
        <v/>
      </c>
      <c r="P203" s="244">
        <f>K203-N203</f>
        <v/>
      </c>
      <c r="Q203" s="244">
        <f>M203+O203</f>
        <v/>
      </c>
      <c r="R203" s="244">
        <f>M203+N203+O203+P203</f>
        <v/>
      </c>
      <c r="S203" s="244" t="n"/>
      <c r="T203" s="244" t="n"/>
      <c r="U203" s="244" t="n"/>
      <c r="V203" s="244" t="n"/>
    </row>
    <row r="204">
      <c r="A204" s="209" t="n"/>
      <c r="B204" s="209" t="n"/>
      <c r="C204" s="242" t="n"/>
      <c r="D204" s="242" t="inlineStr">
        <is>
          <t>材料费</t>
        </is>
      </c>
      <c r="E204" s="209" t="n"/>
      <c r="F204" s="209" t="n"/>
      <c r="G204" s="209" t="n"/>
      <c r="H204" s="209" t="n"/>
      <c r="I204" s="209" t="n"/>
      <c r="J204" s="209" t="n"/>
      <c r="K204" s="209" t="n"/>
      <c r="L204" s="209" t="n"/>
      <c r="M204" s="243" t="n">
        <v>25030932</v>
      </c>
      <c r="N204" s="244" t="n"/>
      <c r="O204" s="244">
        <f>L204-M204</f>
        <v/>
      </c>
      <c r="P204" s="244">
        <f>K204-N204</f>
        <v/>
      </c>
      <c r="Q204" s="244">
        <f>M204+O204</f>
        <v/>
      </c>
      <c r="R204" s="244">
        <f>M204+N204+O204+P204</f>
        <v/>
      </c>
      <c r="S204" s="244" t="n"/>
      <c r="T204" s="244" t="n"/>
      <c r="U204" s="244" t="n"/>
      <c r="V204" s="244" t="n"/>
    </row>
    <row r="205">
      <c r="A205" s="33" t="n">
        <v>1</v>
      </c>
      <c r="B205" s="199" t="n"/>
      <c r="C205" s="199" t="n"/>
      <c r="D205" s="218" t="n"/>
      <c r="E205" s="212" t="n"/>
      <c r="F205" s="212" t="n"/>
      <c r="G205" s="212" t="n"/>
      <c r="H205" s="189" t="n"/>
      <c r="I205" s="189" t="n"/>
      <c r="J205" s="184">
        <f>H205+I205</f>
        <v/>
      </c>
      <c r="K205" s="189" t="n"/>
      <c r="L205" s="202">
        <f>J205-K205</f>
        <v/>
      </c>
      <c r="M205" s="189" t="n"/>
      <c r="N205" s="189" t="n"/>
      <c r="O205" s="189">
        <f>L205-M205</f>
        <v/>
      </c>
      <c r="P205" s="189">
        <f>K205-N205</f>
        <v/>
      </c>
      <c r="Q205" s="189">
        <f>M205+O205</f>
        <v/>
      </c>
      <c r="R205" s="189">
        <f>M205+N205+O205+P205</f>
        <v/>
      </c>
      <c r="S205" s="203">
        <f>SUM(T205:V205)</f>
        <v/>
      </c>
      <c r="T205" s="203" t="n"/>
      <c r="U205" s="203" t="n"/>
      <c r="V205" s="203" t="n"/>
      <c r="W205" s="203" t="n"/>
      <c r="X205" s="203" t="n"/>
      <c r="Y205" s="203" t="n"/>
      <c r="Z205" s="203" t="n"/>
      <c r="AA205" s="203" t="n"/>
      <c r="AB205" s="188" t="n"/>
      <c r="AC205" s="188" t="n"/>
      <c r="AD205" s="188" t="n"/>
      <c r="AE205" s="188" t="n"/>
      <c r="AF205" s="188" t="n"/>
      <c r="AG205" s="188" t="n"/>
      <c r="AH205" s="188" t="n"/>
      <c r="AI205" s="188" t="n"/>
      <c r="AJ205" s="188" t="n"/>
      <c r="AK205" s="188" t="n"/>
      <c r="AL205" s="214" t="n"/>
    </row>
    <row r="206">
      <c r="A206" s="33" t="n">
        <v>2</v>
      </c>
      <c r="B206" s="199" t="n"/>
      <c r="C206" s="199" t="n"/>
      <c r="D206" s="218" t="n"/>
      <c r="E206" s="212" t="n"/>
      <c r="F206" s="212" t="n"/>
      <c r="G206" s="212" t="n"/>
      <c r="H206" s="189" t="n"/>
      <c r="I206" s="189" t="n"/>
      <c r="J206" s="184" t="n"/>
      <c r="K206" s="189" t="n"/>
      <c r="L206" s="202" t="n"/>
      <c r="M206" s="189" t="n"/>
      <c r="N206" s="189" t="n"/>
      <c r="O206" s="189">
        <f>L206-M206</f>
        <v/>
      </c>
      <c r="P206" s="189">
        <f>K206-N206</f>
        <v/>
      </c>
      <c r="Q206" s="189">
        <f>M206+O206</f>
        <v/>
      </c>
      <c r="R206" s="189">
        <f>M206+N206+O206+P206</f>
        <v/>
      </c>
      <c r="S206" s="203">
        <f>SUM(T206:V206)</f>
        <v/>
      </c>
      <c r="T206" s="203" t="n"/>
      <c r="U206" s="203" t="n"/>
      <c r="V206" s="203" t="n"/>
      <c r="W206" s="203" t="n"/>
      <c r="X206" s="203" t="n"/>
      <c r="Y206" s="203" t="n"/>
      <c r="Z206" s="203" t="n"/>
      <c r="AA206" s="203" t="n"/>
      <c r="AB206" s="188" t="n"/>
      <c r="AC206" s="188" t="n"/>
      <c r="AD206" s="188" t="n"/>
      <c r="AE206" s="188" t="n"/>
      <c r="AF206" s="188" t="n"/>
      <c r="AG206" s="188" t="n"/>
      <c r="AH206" s="188" t="n"/>
      <c r="AI206" s="188" t="n"/>
      <c r="AJ206" s="188" t="n"/>
      <c r="AK206" s="188" t="n"/>
      <c r="AL206" s="214" t="n"/>
    </row>
    <row r="207">
      <c r="A207" s="33" t="n">
        <v>3</v>
      </c>
      <c r="B207" s="199" t="n"/>
      <c r="C207" s="199" t="n"/>
      <c r="D207" s="218" t="n"/>
      <c r="E207" s="212" t="n"/>
      <c r="F207" s="212" t="n"/>
      <c r="G207" s="212" t="n"/>
      <c r="H207" s="189" t="n"/>
      <c r="I207" s="189" t="n"/>
      <c r="J207" s="184" t="n"/>
      <c r="K207" s="189" t="n"/>
      <c r="L207" s="202" t="n"/>
      <c r="M207" s="189" t="n"/>
      <c r="N207" s="189" t="n"/>
      <c r="O207" s="189">
        <f>L207-M207</f>
        <v/>
      </c>
      <c r="P207" s="189">
        <f>K207-N207</f>
        <v/>
      </c>
      <c r="Q207" s="189">
        <f>M207+O207</f>
        <v/>
      </c>
      <c r="R207" s="189">
        <f>M207+N207+O207+P207</f>
        <v/>
      </c>
      <c r="S207" s="203">
        <f>SUM(T207:V207)</f>
        <v/>
      </c>
      <c r="T207" s="203" t="n"/>
      <c r="U207" s="203" t="n"/>
      <c r="V207" s="203" t="n"/>
      <c r="W207" s="203" t="n"/>
      <c r="X207" s="203" t="n"/>
      <c r="Y207" s="203" t="n"/>
      <c r="Z207" s="203" t="n"/>
      <c r="AA207" s="203" t="n"/>
      <c r="AB207" s="188" t="n"/>
      <c r="AC207" s="188" t="n"/>
      <c r="AD207" s="188" t="n"/>
      <c r="AE207" s="188" t="n"/>
      <c r="AF207" s="188" t="n"/>
      <c r="AG207" s="188" t="n"/>
      <c r="AH207" s="188" t="n"/>
      <c r="AI207" s="188" t="n"/>
      <c r="AJ207" s="188" t="n"/>
      <c r="AK207" s="188" t="n"/>
      <c r="AL207" s="214" t="n"/>
    </row>
    <row r="208">
      <c r="A208" s="41" t="n"/>
      <c r="B208" s="215" t="n"/>
      <c r="C208" s="215" t="n"/>
      <c r="D208" s="231" t="inlineStr">
        <is>
          <t>九、成本及费用合计（三+四+五+六+七）</t>
        </is>
      </c>
      <c r="E208" s="232" t="n"/>
      <c r="F208" s="232" t="n"/>
      <c r="G208" s="232" t="n"/>
      <c r="H208" s="217">
        <f>H68+H69+H70+H71+#REF!</f>
        <v/>
      </c>
      <c r="I208" s="217">
        <f>I68+I69+I70+I71+#REF!</f>
        <v/>
      </c>
      <c r="J208" s="245">
        <f>J68+J69+J70+J71+#REF!</f>
        <v/>
      </c>
      <c r="K208" s="217">
        <f>K68+K69+K70+K71+#REF!</f>
        <v/>
      </c>
      <c r="L208" s="246">
        <f>L68+L69+L70+L71+#REF!</f>
        <v/>
      </c>
      <c r="M208" s="246">
        <f>M68+M69+M70+M71</f>
        <v/>
      </c>
      <c r="N208" s="246">
        <f>N68+N69+N70+N71</f>
        <v/>
      </c>
      <c r="O208" s="246">
        <f>O68+O69+O70+O71</f>
        <v/>
      </c>
      <c r="P208" s="246">
        <f>P68+P69+P70+P71</f>
        <v/>
      </c>
      <c r="Q208" s="246">
        <f>Q68+Q69+Q70+Q71</f>
        <v/>
      </c>
      <c r="R208" s="246">
        <f>R68+R69+R70+R71</f>
        <v/>
      </c>
      <c r="S208" s="238">
        <f>S68+S69+S70+S71</f>
        <v/>
      </c>
      <c r="T208" s="238" t="n"/>
      <c r="U208" s="238" t="n"/>
      <c r="V208" s="238" t="n"/>
      <c r="W208" s="238" t="n"/>
      <c r="X208" s="238" t="n"/>
      <c r="Y208" s="238" t="n"/>
      <c r="Z208" s="238">
        <f>Z68+Z69+Z70+Z71</f>
        <v/>
      </c>
      <c r="AA208" s="238">
        <f>AA68+AA69+AA70+AA71</f>
        <v/>
      </c>
      <c r="AB208" s="247" t="n"/>
      <c r="AC208" s="247" t="n"/>
      <c r="AD208" s="247" t="n"/>
      <c r="AE208" s="247" t="n"/>
      <c r="AF208" s="247" t="n"/>
      <c r="AG208" s="247" t="n"/>
      <c r="AH208" s="247" t="n"/>
      <c r="AI208" s="247" t="n"/>
      <c r="AJ208" s="247" t="n"/>
      <c r="AK208" s="248" t="n"/>
      <c r="AL208" s="249" t="n"/>
    </row>
    <row r="209">
      <c r="A209" s="41" t="n"/>
      <c r="B209" s="215" t="n"/>
      <c r="C209" s="215" t="n"/>
      <c r="D209" s="231" t="inlineStr">
        <is>
          <t>十、增值税实际税负（按财务数据）</t>
        </is>
      </c>
      <c r="E209" s="232" t="inlineStr">
        <is>
          <t>根据财务账面实际已缴纳增值税额+尚需缴纳的增值税额</t>
        </is>
      </c>
      <c r="F209" s="232" t="n"/>
      <c r="G209" s="232" t="n"/>
      <c r="H209" s="217" t="n"/>
      <c r="I209" s="217" t="n"/>
      <c r="J209" s="245">
        <f>H78+I78</f>
        <v/>
      </c>
      <c r="K209" s="217" t="inlineStr">
        <is>
          <t>/</t>
        </is>
      </c>
      <c r="L209" s="246" t="inlineStr">
        <is>
          <t>/</t>
        </is>
      </c>
      <c r="M209" s="246" t="n"/>
      <c r="N209" s="246">
        <f>N6-N77</f>
        <v/>
      </c>
      <c r="O209" s="246" t="n"/>
      <c r="P209" s="246" t="n"/>
      <c r="Q209" s="246" t="inlineStr">
        <is>
          <t>/</t>
        </is>
      </c>
      <c r="R209" s="246">
        <f>N78+P78</f>
        <v/>
      </c>
      <c r="S209" s="238" t="n"/>
      <c r="T209" s="238" t="n"/>
      <c r="U209" s="238" t="n"/>
      <c r="V209" s="238" t="n"/>
      <c r="W209" s="238" t="n"/>
      <c r="X209" s="238" t="n"/>
      <c r="Y209" s="238" t="n"/>
      <c r="Z209" s="238" t="n"/>
      <c r="AA209" s="238" t="n"/>
      <c r="AB209" s="247" t="n"/>
      <c r="AC209" s="247" t="n"/>
      <c r="AD209" s="247" t="n"/>
      <c r="AE209" s="247" t="n"/>
      <c r="AF209" s="247" t="n"/>
      <c r="AG209" s="247" t="n"/>
      <c r="AH209" s="247" t="n"/>
      <c r="AI209" s="247" t="n"/>
      <c r="AJ209" s="247" t="n"/>
      <c r="AK209" s="248" t="n"/>
      <c r="AL209" s="249" t="n"/>
    </row>
    <row r="210">
      <c r="A210" s="41" t="n"/>
      <c r="B210" s="215" t="n"/>
      <c r="C210" s="215" t="n"/>
      <c r="D210" s="231" t="inlineStr">
        <is>
          <t>十一、税金及附加（按财务数据）</t>
        </is>
      </c>
      <c r="E210" s="232" t="inlineStr">
        <is>
          <t>根据财务账面实际已缴纳税金及附加+尚需缴纳的税金及附加</t>
        </is>
      </c>
      <c r="F210" s="232" t="n"/>
      <c r="G210" s="232" t="n"/>
      <c r="H210" s="217" t="n"/>
      <c r="I210" s="217" t="n"/>
      <c r="J210" s="245">
        <f>H79+I79</f>
        <v/>
      </c>
      <c r="K210" s="217" t="n"/>
      <c r="L210" s="246">
        <f>J79</f>
        <v/>
      </c>
      <c r="M210" s="250" t="n">
        <v>349670.26</v>
      </c>
      <c r="N210" s="246" t="n"/>
      <c r="O210" s="246">
        <f>L79-M79</f>
        <v/>
      </c>
      <c r="P210" s="246" t="n"/>
      <c r="Q210" s="246">
        <f>M79+O79</f>
        <v/>
      </c>
      <c r="R210" s="246">
        <f>Q79</f>
        <v/>
      </c>
      <c r="S210" s="238" t="n"/>
      <c r="T210" s="238" t="n"/>
      <c r="U210" s="238" t="n"/>
      <c r="V210" s="238" t="n"/>
      <c r="W210" s="238" t="n"/>
      <c r="X210" s="238" t="n"/>
      <c r="Y210" s="238" t="n"/>
      <c r="Z210" s="238" t="n"/>
      <c r="AA210" s="238" t="n"/>
      <c r="AB210" s="247" t="n"/>
      <c r="AC210" s="247" t="n"/>
      <c r="AD210" s="247" t="n"/>
      <c r="AE210" s="247" t="n"/>
      <c r="AF210" s="247" t="n"/>
      <c r="AG210" s="247" t="n"/>
      <c r="AH210" s="247" t="n"/>
      <c r="AI210" s="247" t="n"/>
      <c r="AJ210" s="247" t="n"/>
      <c r="AK210" s="248" t="n"/>
      <c r="AL210" s="249" t="n"/>
    </row>
    <row r="211">
      <c r="A211" s="41" t="n"/>
      <c r="B211" s="215" t="n"/>
      <c r="C211" s="215" t="n"/>
      <c r="D211" s="231" t="inlineStr">
        <is>
          <t>十二、利润</t>
        </is>
      </c>
      <c r="E211" s="232" t="n"/>
      <c r="F211" s="232" t="n"/>
      <c r="G211" s="232" t="n"/>
      <c r="H211" s="217" t="n"/>
      <c r="I211" s="217" t="n"/>
      <c r="J211" s="245">
        <f>J6-J77-J78-J79</f>
        <v/>
      </c>
      <c r="K211" s="217" t="n"/>
      <c r="L211" s="246" t="n"/>
      <c r="M211" s="246" t="n"/>
      <c r="N211" s="246" t="n"/>
      <c r="O211" s="246" t="n"/>
      <c r="P211" s="246" t="n"/>
      <c r="Q211" s="246" t="n"/>
      <c r="R211" s="246" t="n"/>
      <c r="S211" s="238" t="n"/>
      <c r="T211" s="238" t="n"/>
      <c r="U211" s="238" t="n"/>
      <c r="V211" s="238" t="n"/>
      <c r="W211" s="238" t="n"/>
      <c r="X211" s="238" t="n"/>
      <c r="Y211" s="238" t="n"/>
      <c r="Z211" s="238" t="n"/>
      <c r="AA211" s="238" t="n"/>
      <c r="AB211" s="247" t="n"/>
      <c r="AC211" s="247" t="n"/>
      <c r="AD211" s="247" t="n"/>
      <c r="AE211" s="247" t="n"/>
      <c r="AF211" s="247" t="n"/>
      <c r="AG211" s="247" t="n"/>
      <c r="AH211" s="247" t="n"/>
      <c r="AI211" s="247" t="n"/>
      <c r="AJ211" s="247" t="n"/>
      <c r="AK211" s="248" t="n"/>
      <c r="AL211" s="249" t="n"/>
    </row>
    <row r="212">
      <c r="A212" s="105" t="n"/>
      <c r="B212" s="106" t="n"/>
      <c r="C212" s="106" t="n"/>
      <c r="D212" s="107" t="inlineStr">
        <is>
          <t>十三、利润率</t>
        </is>
      </c>
      <c r="E212" s="108" t="n"/>
      <c r="F212" s="108" t="n"/>
      <c r="G212" s="108" t="n"/>
      <c r="H212" s="109" t="n"/>
      <c r="I212" s="109" t="n"/>
      <c r="J212" s="109">
        <f>J80/J6</f>
        <v/>
      </c>
      <c r="K212" s="109" t="n"/>
      <c r="L212" s="127">
        <f>L80/L6</f>
        <v/>
      </c>
      <c r="M212" s="127">
        <f>M80/M6</f>
        <v/>
      </c>
      <c r="N212" s="127" t="n"/>
      <c r="O212" s="127" t="n"/>
      <c r="P212" s="127" t="n"/>
      <c r="Q212" s="127">
        <f>Q80/Q6</f>
        <v/>
      </c>
      <c r="R212" s="127">
        <f>R80/R6</f>
        <v/>
      </c>
      <c r="S212" s="142" t="n"/>
      <c r="T212" s="142" t="n"/>
      <c r="U212" s="142" t="n"/>
      <c r="V212" s="142" t="n"/>
      <c r="W212" s="142" t="n"/>
      <c r="X212" s="142" t="n"/>
      <c r="Y212" s="142" t="n"/>
      <c r="Z212" s="142" t="n"/>
      <c r="AA212" s="142" t="n"/>
      <c r="AB212" s="146" t="n"/>
      <c r="AC212" s="146" t="n"/>
      <c r="AD212" s="146" t="n"/>
      <c r="AE212" s="146" t="n"/>
      <c r="AF212" s="146" t="n"/>
      <c r="AG212" s="146" t="n"/>
      <c r="AH212" s="146" t="n"/>
      <c r="AI212" s="146" t="n"/>
      <c r="AJ212" s="146" t="n"/>
      <c r="AK212" s="154" t="n"/>
      <c r="AL212" s="155" t="n"/>
    </row>
    <row r="213">
      <c r="A213" s="111" t="n"/>
      <c r="B213" s="111" t="n"/>
      <c r="C213" s="111" t="n"/>
      <c r="D213" s="112" t="n"/>
      <c r="E213" s="113" t="n"/>
      <c r="F213" s="113" t="n"/>
      <c r="G213" s="113" t="n"/>
      <c r="H213" s="251" t="n"/>
      <c r="I213" s="251" t="n"/>
      <c r="J213" s="252" t="inlineStr">
        <is>
          <t>含税利润率</t>
        </is>
      </c>
      <c r="K213" s="253" t="n"/>
      <c r="L213" s="254" t="inlineStr">
        <is>
          <t>不含税利润率</t>
        </is>
      </c>
      <c r="M213" s="255" t="n"/>
      <c r="N213" s="255" t="n"/>
      <c r="O213" s="255" t="n"/>
      <c r="P213" s="255" t="n"/>
      <c r="Q213" s="255" t="n"/>
      <c r="R213" s="255" t="n"/>
      <c r="S213" s="255" t="n"/>
      <c r="T213" s="255" t="n"/>
      <c r="U213" s="255" t="n"/>
      <c r="V213" s="255" t="n"/>
      <c r="W213" s="255" t="n"/>
      <c r="X213" s="255" t="n"/>
      <c r="Y213" s="255" t="n"/>
      <c r="Z213" s="256" t="n"/>
      <c r="AA213" s="162" t="n"/>
      <c r="AB213" s="257" t="n"/>
      <c r="AC213" s="257" t="n"/>
      <c r="AD213" s="257" t="n"/>
      <c r="AE213" s="257" t="n"/>
      <c r="AF213" s="257" t="n"/>
      <c r="AG213" s="257" t="n"/>
      <c r="AH213" s="257" t="n"/>
      <c r="AI213" s="257" t="n"/>
      <c r="AJ213" s="257" t="n"/>
      <c r="AK213" s="257" t="n"/>
      <c r="AL213" s="156" t="n"/>
    </row>
    <row r="214">
      <c r="A214" s="111" t="n"/>
      <c r="B214" s="111" t="n"/>
      <c r="C214" s="111" t="n"/>
      <c r="D214" s="112" t="n"/>
      <c r="E214" s="113" t="n"/>
      <c r="F214" s="113" t="n"/>
      <c r="G214" s="113" t="n"/>
      <c r="H214" s="251" t="n"/>
      <c r="I214" s="251" t="n"/>
      <c r="J214" s="258" t="n"/>
      <c r="K214" s="251" t="n"/>
      <c r="L214" s="259" t="n"/>
      <c r="M214" s="255" t="n"/>
      <c r="N214" s="255" t="n"/>
      <c r="O214" s="255" t="n"/>
      <c r="P214" s="255" t="n"/>
      <c r="Q214" s="255" t="n"/>
      <c r="R214" s="255" t="n"/>
      <c r="S214" s="255" t="n"/>
      <c r="T214" s="255" t="n"/>
      <c r="U214" s="255" t="n"/>
      <c r="V214" s="255" t="n"/>
      <c r="W214" s="255" t="n"/>
      <c r="X214" s="255" t="n"/>
      <c r="Y214" s="255" t="n"/>
      <c r="Z214" s="256" t="n"/>
      <c r="AA214" s="162" t="n"/>
      <c r="AB214" s="257" t="n"/>
      <c r="AC214" s="257" t="n"/>
      <c r="AD214" s="257" t="n"/>
      <c r="AE214" s="257" t="n"/>
      <c r="AF214" s="257" t="n"/>
      <c r="AG214" s="257" t="n"/>
      <c r="AH214" s="257" t="n"/>
      <c r="AI214" s="257" t="n"/>
      <c r="AJ214" s="257" t="n"/>
      <c r="AK214" s="257" t="n"/>
      <c r="AL214" s="156" t="n"/>
    </row>
    <row r="215">
      <c r="A215" s="116" t="n"/>
      <c r="B215" s="116" t="n"/>
      <c r="C215" s="116" t="n"/>
      <c r="D215" s="117" t="n"/>
      <c r="E215" s="118" t="n"/>
      <c r="F215" s="118" t="n"/>
      <c r="G215" s="118" t="n"/>
      <c r="H215" s="119" t="n"/>
      <c r="I215" s="119" t="n"/>
      <c r="J215" s="134" t="n"/>
      <c r="K215" s="260" t="n"/>
      <c r="L215" s="260" t="n"/>
      <c r="M215" s="261" t="n"/>
      <c r="N215" s="260" t="n"/>
      <c r="O215" s="260" t="n"/>
      <c r="P215" s="262" t="n"/>
      <c r="Q215" s="262" t="n"/>
      <c r="R215" s="260" t="n"/>
      <c r="S215" s="263" t="n"/>
      <c r="T215" s="263" t="n"/>
      <c r="U215" s="263" t="n"/>
      <c r="V215" s="263" t="n"/>
      <c r="W215" s="263" t="n"/>
      <c r="X215" s="263" t="n"/>
      <c r="Y215" s="263" t="n"/>
      <c r="Z215" s="264" t="n"/>
      <c r="AA215" s="265" t="n"/>
      <c r="AD215" s="266" t="n"/>
      <c r="AE215" s="266" t="n"/>
      <c r="AF215" s="266" t="n"/>
      <c r="AG215" s="266" t="n"/>
      <c r="AH215" s="266" t="n"/>
      <c r="AI215" s="266" t="n"/>
      <c r="AJ215" s="266" t="n"/>
      <c r="AK215" s="266" t="n"/>
      <c r="AL215" s="121" t="n"/>
    </row>
    <row r="216">
      <c r="A216" s="121" t="n"/>
      <c r="B216" s="121" t="n"/>
      <c r="C216" s="121" t="n"/>
      <c r="D216" s="121" t="n"/>
      <c r="E216" s="122" t="n"/>
      <c r="F216" s="122" t="n"/>
      <c r="G216" s="122" t="n"/>
      <c r="H216" s="122" t="n"/>
      <c r="I216" s="122" t="n"/>
      <c r="J216" s="122" t="n"/>
      <c r="K216" s="267" t="n"/>
      <c r="L216" s="122" t="n"/>
      <c r="M216" s="268" t="n"/>
      <c r="N216" s="268" t="n"/>
      <c r="O216" s="268" t="n"/>
      <c r="P216" s="268" t="n"/>
      <c r="Q216" s="268" t="n"/>
      <c r="R216" s="268" t="n"/>
      <c r="S216" s="263" t="n"/>
      <c r="T216" s="263" t="n"/>
      <c r="U216" s="263" t="n"/>
      <c r="V216" s="263" t="n"/>
      <c r="W216" s="263" t="n"/>
      <c r="X216" s="263" t="n"/>
      <c r="Y216" s="263" t="n"/>
      <c r="Z216" s="268" t="n"/>
      <c r="AA216" s="266" t="n"/>
      <c r="AB216" s="266" t="n"/>
      <c r="AC216" s="266" t="n"/>
      <c r="AD216" s="266" t="n"/>
      <c r="AE216" s="266" t="n"/>
      <c r="AF216" s="266" t="n"/>
      <c r="AG216" s="266" t="n"/>
      <c r="AH216" s="266" t="n"/>
      <c r="AI216" s="266" t="n"/>
      <c r="AJ216" s="266" t="n"/>
      <c r="AK216" s="266" t="n"/>
      <c r="AL216" s="121" t="n"/>
    </row>
    <row r="217">
      <c r="A217" s="121" t="n"/>
      <c r="B217" s="121" t="n"/>
      <c r="C217" s="121" t="n"/>
      <c r="D217" s="121" t="n"/>
      <c r="E217" s="122" t="n"/>
      <c r="F217" s="122" t="n"/>
      <c r="G217" s="122" t="n"/>
      <c r="H217" s="122" t="n"/>
      <c r="I217" s="122" t="n"/>
      <c r="J217" s="122" t="n"/>
      <c r="K217" s="267" t="n"/>
      <c r="L217" s="122" t="n"/>
      <c r="M217" s="268" t="n"/>
      <c r="N217" s="268" t="n"/>
      <c r="O217" s="268" t="n"/>
      <c r="P217" s="268" t="n"/>
      <c r="Q217" s="268" t="n"/>
      <c r="R217" s="268" t="n"/>
      <c r="S217" s="263" t="n"/>
      <c r="T217" s="263" t="n"/>
      <c r="U217" s="263" t="n"/>
      <c r="V217" s="263" t="n"/>
      <c r="W217" s="263" t="n"/>
      <c r="X217" s="263" t="n"/>
      <c r="Y217" s="263" t="n"/>
      <c r="Z217" s="268" t="n"/>
      <c r="AA217" s="266" t="n"/>
      <c r="AB217" s="266" t="n"/>
      <c r="AC217" s="266" t="n"/>
      <c r="AD217" s="266" t="n"/>
      <c r="AE217" s="266" t="n"/>
      <c r="AF217" s="266" t="n"/>
      <c r="AG217" s="266" t="n"/>
      <c r="AH217" s="266" t="n"/>
      <c r="AI217" s="266" t="n"/>
      <c r="AJ217" s="266" t="n"/>
      <c r="AK217" s="266" t="n"/>
      <c r="AL217" s="121" t="n"/>
    </row>
    <row r="218">
      <c r="A218" s="121" t="n"/>
      <c r="B218" s="121" t="n"/>
      <c r="C218" s="121" t="n"/>
      <c r="D218" s="121" t="n"/>
      <c r="E218" s="123" t="n"/>
      <c r="F218" s="123" t="n"/>
      <c r="G218" s="123" t="n"/>
      <c r="H218" s="122" t="n"/>
      <c r="I218" s="122" t="n"/>
      <c r="J218" s="122" t="n"/>
      <c r="K218" s="123" t="n"/>
      <c r="L218" s="122" t="n"/>
      <c r="M218" s="268" t="n"/>
      <c r="N218" s="264" t="n"/>
      <c r="O218" s="268" t="n"/>
      <c r="P218" s="268" t="n"/>
      <c r="Q218" s="268" t="n"/>
      <c r="R218" s="260" t="n"/>
      <c r="S218" s="263" t="n"/>
      <c r="T218" s="263" t="n"/>
      <c r="U218" s="263" t="n"/>
      <c r="V218" s="263" t="n"/>
      <c r="W218" s="263" t="n"/>
      <c r="X218" s="263" t="n"/>
      <c r="Y218" s="263" t="n"/>
      <c r="Z218" s="268" t="n"/>
      <c r="AA218" s="266" t="n"/>
      <c r="AB218" s="266" t="n"/>
      <c r="AC218" s="266" t="n"/>
      <c r="AD218" s="266" t="n"/>
      <c r="AE218" s="266" t="n"/>
      <c r="AF218" s="266" t="n"/>
      <c r="AG218" s="266" t="n"/>
      <c r="AH218" s="266" t="n"/>
      <c r="AI218" s="266" t="n"/>
      <c r="AJ218" s="266" t="n"/>
      <c r="AK218" s="266" t="n"/>
      <c r="AL218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2026-04-22T08:29:23Z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