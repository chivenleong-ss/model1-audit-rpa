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5" authorId="2" shapeId="0">
      <text>
        <t>（在建：房建0.6%，其它0.4%；在保修期间的按0.3~0.5%自行确定;保修期结束为0）</t>
      </text>
    </comment>
    <comment ref="E206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7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82" t="n"/>
      <c r="B33" s="283" t="n"/>
      <c r="C33" s="283" t="n"/>
      <c r="D33" s="294" t="inlineStr">
        <is>
          <t>**财务未列部分需增列***</t>
        </is>
      </c>
      <c r="E33" s="295" t="n"/>
      <c r="F33" s="295" t="n"/>
      <c r="G33" s="295" t="n"/>
      <c r="H33" s="285" t="n"/>
      <c r="I33" s="285" t="n"/>
      <c r="J33" s="285" t="n"/>
      <c r="K33" s="286" t="n"/>
      <c r="L33" s="287" t="n"/>
      <c r="M33" s="285" t="n"/>
      <c r="N33" s="285" t="n"/>
      <c r="O33" s="285">
        <f>L33-M33</f>
        <v/>
      </c>
      <c r="P33" s="285">
        <f>K33-N33</f>
        <v/>
      </c>
      <c r="Q33" s="285">
        <f>M33+O33</f>
        <v/>
      </c>
      <c r="R33" s="285">
        <f>M33+N33+O33+P33</f>
        <v/>
      </c>
      <c r="S33" s="289">
        <f>SUM(T33:V33)</f>
        <v/>
      </c>
      <c r="T33" s="285" t="n"/>
      <c r="U33" s="285" t="n"/>
      <c r="V33" s="285" t="n"/>
      <c r="W33" s="285" t="n"/>
      <c r="X33" s="285" t="n"/>
      <c r="Y33" s="285" t="n"/>
      <c r="Z33" s="285">
        <f>SUM(AA16:AJ16)</f>
        <v/>
      </c>
      <c r="AA33" s="296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>
        <f>AB16/1.17*0.17+AC16/1.16*0.16+AD16/1.11*0.11+AE16/1.1*0.1+AF16/1.09*0.09+AI16/1.03*0.03</f>
        <v/>
      </c>
      <c r="AL33" s="297" t="n"/>
    </row>
    <row r="34" ht="14" customFormat="1" customHeight="1" s="180">
      <c r="A34" s="298" t="n"/>
      <c r="B34" s="299" t="n"/>
      <c r="C34" s="299" t="n"/>
      <c r="D34" s="300" t="inlineStr">
        <is>
          <t>人工费小计：</t>
        </is>
      </c>
      <c r="E34" s="301">
        <f>SUM(E12:E33)</f>
        <v/>
      </c>
      <c r="F34" s="301">
        <f>SUM(F12:F33)</f>
        <v/>
      </c>
      <c r="G34" s="301">
        <f>SUM(G12:G33)</f>
        <v/>
      </c>
      <c r="H34" s="301">
        <f>SUM(H12:H33)</f>
        <v/>
      </c>
      <c r="I34" s="301">
        <f>SUM(I12:I33)</f>
        <v/>
      </c>
      <c r="J34" s="301">
        <f>SUM(J12:J33)</f>
        <v/>
      </c>
      <c r="K34" s="301">
        <f>SUM(K12:K33)</f>
        <v/>
      </c>
      <c r="L34" s="301">
        <f>SUM(L12:L33)</f>
        <v/>
      </c>
      <c r="M34" s="301">
        <f>SUM(M12:M33)</f>
        <v/>
      </c>
      <c r="N34" s="301">
        <f>SUM(N12:N33)</f>
        <v/>
      </c>
      <c r="O34" s="301">
        <f>SUM(O12:O33)</f>
        <v/>
      </c>
      <c r="P34" s="301">
        <f>SUM(P12:P33)</f>
        <v/>
      </c>
      <c r="Q34" s="301">
        <f>SUM(Q12:Q33)</f>
        <v/>
      </c>
      <c r="R34" s="301">
        <f>SUM(R12:R33)</f>
        <v/>
      </c>
      <c r="S34" s="301">
        <f>SUM(S12:S33)</f>
        <v/>
      </c>
      <c r="T34" s="301">
        <f>SUM(T12:T33)</f>
        <v/>
      </c>
      <c r="U34" s="301">
        <f>SUM(U12:U33)</f>
        <v/>
      </c>
      <c r="V34" s="301">
        <f>SUM(V12:V33)</f>
        <v/>
      </c>
      <c r="W34" s="301">
        <f>SUM(W12:W33)</f>
        <v/>
      </c>
      <c r="X34" s="301">
        <f>SUM(X12:X33)</f>
        <v/>
      </c>
      <c r="Y34" s="301">
        <f>SUM(Y12:Y33)</f>
        <v/>
      </c>
      <c r="Z34" s="301">
        <f>SUM(Z12:Z33)</f>
        <v/>
      </c>
      <c r="AA34" s="301">
        <f>SUM(AA12:AA33)</f>
        <v/>
      </c>
      <c r="AB34" s="301">
        <f>SUM(AB12:AB33)</f>
        <v/>
      </c>
      <c r="AC34" s="301">
        <f>SUM(AC12:AC33)</f>
        <v/>
      </c>
      <c r="AD34" s="301">
        <f>SUM(AD12:AD33)</f>
        <v/>
      </c>
      <c r="AE34" s="301">
        <f>SUM(AE12:AE33)</f>
        <v/>
      </c>
      <c r="AF34" s="301">
        <f>SUM(AF12:AF33)</f>
        <v/>
      </c>
      <c r="AG34" s="301">
        <f>SUM(AG12:AG33)</f>
        <v/>
      </c>
      <c r="AH34" s="301">
        <f>SUM(AH12:AH33)</f>
        <v/>
      </c>
      <c r="AI34" s="301">
        <f>SUM(AI12:AI33)</f>
        <v/>
      </c>
      <c r="AJ34" s="301">
        <f>SUM(AJ12:AJ33)</f>
        <v/>
      </c>
      <c r="AK34" s="301">
        <f>SUM(AK12:AK33)</f>
        <v/>
      </c>
      <c r="AL34" s="291" t="n"/>
    </row>
    <row r="35" ht="14" customFormat="1" customHeight="1" s="180">
      <c r="A35" s="282" t="n"/>
      <c r="B35" s="283" t="n"/>
      <c r="C35" s="283" t="n"/>
      <c r="D35" s="302" t="inlineStr">
        <is>
          <t>（二）分包工程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289" t="n"/>
      <c r="AC35" s="289" t="n"/>
      <c r="AD35" s="289" t="n"/>
      <c r="AE35" s="289" t="n"/>
      <c r="AF35" s="289" t="n"/>
      <c r="AG35" s="289" t="n"/>
      <c r="AH35" s="289" t="n"/>
      <c r="AI35" s="289" t="n"/>
      <c r="AJ35" s="289" t="n"/>
      <c r="AK35" s="290">
        <f>AB18/1.17*0.17+AC18/1.16*0.16+AD18/1.11*0.11+AE18/1.1*0.1+AF18/1.09*0.09+AI18/1.03*0.03</f>
        <v/>
      </c>
      <c r="AL35" s="291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/>
      <c r="B63" s="206" t="n"/>
      <c r="C63" s="207" t="n"/>
      <c r="D63" s="207" t="n"/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-7872000.25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28</v>
      </c>
      <c r="B64" s="206" t="inlineStr">
        <is>
          <t>100197784</t>
        </is>
      </c>
      <c r="C64" s="207" t="n"/>
      <c r="D64" s="207" t="inlineStr">
        <is>
          <t>中铁物资集团华南有限公司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6" t="n"/>
      <c r="M64" s="210" t="n">
        <v>0.01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29</v>
      </c>
      <c r="B65" s="206" t="inlineStr">
        <is>
          <t>200524589</t>
        </is>
      </c>
      <c r="C65" s="207" t="n"/>
      <c r="D65" s="207" t="inlineStr">
        <is>
          <t>广州新广建设工程有限公司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0.01</v>
      </c>
      <c r="N65" s="210" t="n">
        <v>-0.01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82" t="n"/>
      <c r="B66" s="283" t="n"/>
      <c r="C66" s="283" t="n"/>
      <c r="D66" s="294" t="inlineStr">
        <is>
          <t>**财务未列部分需增列***</t>
        </is>
      </c>
      <c r="E66" s="303" t="n"/>
      <c r="F66" s="303" t="n"/>
      <c r="G66" s="303" t="n"/>
      <c r="H66" s="285" t="n"/>
      <c r="I66" s="285" t="n"/>
      <c r="J66" s="285" t="n"/>
      <c r="K66" s="286" t="n"/>
      <c r="L66" s="287" t="n"/>
      <c r="M66" s="285" t="n"/>
      <c r="N66" s="285" t="n"/>
      <c r="O66" s="285">
        <f>L66-M66</f>
        <v/>
      </c>
      <c r="P66" s="285">
        <f>K66-N66</f>
        <v/>
      </c>
      <c r="Q66" s="285">
        <f>M66+O66</f>
        <v/>
      </c>
      <c r="R66" s="285">
        <f>M66+N66+O66+P66</f>
        <v/>
      </c>
      <c r="S66" s="289">
        <f>SUM(T66:V66)</f>
        <v/>
      </c>
      <c r="T66" s="285" t="n"/>
      <c r="U66" s="285" t="n"/>
      <c r="V66" s="285" t="n"/>
      <c r="W66" s="285" t="n"/>
      <c r="X66" s="285" t="n"/>
      <c r="Y66" s="285" t="n"/>
      <c r="Z66" s="289" t="n"/>
      <c r="AA66" s="289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>
        <f>AB22/1.17*0.17+AC22/1.16*0.16+AD22/1.11*0.11+AE22/1.1*0.1+AF22/1.09*0.09+AI22/1.03*0.03</f>
        <v/>
      </c>
      <c r="AL66" s="297" t="n"/>
    </row>
    <row r="67" ht="14" customFormat="1" customHeight="1" s="180">
      <c r="A67" s="298" t="n"/>
      <c r="B67" s="299" t="n"/>
      <c r="C67" s="299" t="n"/>
      <c r="D67" s="300" t="inlineStr">
        <is>
          <t>分包工程小计：</t>
        </is>
      </c>
      <c r="E67" s="301">
        <f>SUM(E35:E66)</f>
        <v/>
      </c>
      <c r="F67" s="301">
        <f>SUM(F35:F66)</f>
        <v/>
      </c>
      <c r="G67" s="301">
        <f>SUM(G35:G66)</f>
        <v/>
      </c>
      <c r="H67" s="301">
        <f>SUM(H35:H66)</f>
        <v/>
      </c>
      <c r="I67" s="301">
        <f>SUM(I35:I66)</f>
        <v/>
      </c>
      <c r="J67" s="301">
        <f>SUM(J35:J66)</f>
        <v/>
      </c>
      <c r="K67" s="301">
        <f>SUM(K35:K66)</f>
        <v/>
      </c>
      <c r="L67" s="301">
        <f>SUM(L35:L66)</f>
        <v/>
      </c>
      <c r="M67" s="301">
        <f>SUM(M35:M66)</f>
        <v/>
      </c>
      <c r="N67" s="301">
        <f>SUM(N35:N66)</f>
        <v/>
      </c>
      <c r="O67" s="301">
        <f>SUM(O35:O66)</f>
        <v/>
      </c>
      <c r="P67" s="301">
        <f>SUM(P35:P66)</f>
        <v/>
      </c>
      <c r="Q67" s="301">
        <f>SUM(Q35:Q66)</f>
        <v/>
      </c>
      <c r="R67" s="301">
        <f>SUM(R35:R66)</f>
        <v/>
      </c>
      <c r="S67" s="301">
        <f>SUM(S35:S66)</f>
        <v/>
      </c>
      <c r="T67" s="301">
        <f>SUM(T35:T66)</f>
        <v/>
      </c>
      <c r="U67" s="301">
        <f>SUM(U35:U66)</f>
        <v/>
      </c>
      <c r="V67" s="301">
        <f>SUM(V35:V66)</f>
        <v/>
      </c>
      <c r="W67" s="301">
        <f>SUM(W35:W66)</f>
        <v/>
      </c>
      <c r="X67" s="301">
        <f>SUM(X35:X66)</f>
        <v/>
      </c>
      <c r="Y67" s="301">
        <f>SUM(Y35:Y66)</f>
        <v/>
      </c>
      <c r="Z67" s="301">
        <f>SUM(Z35:Z66)</f>
        <v/>
      </c>
      <c r="AA67" s="301">
        <f>SUM(AA35:AA66)</f>
        <v/>
      </c>
      <c r="AB67" s="301">
        <f>SUM(AB35:AB66)</f>
        <v/>
      </c>
      <c r="AC67" s="301">
        <f>SUM(AC35:AC66)</f>
        <v/>
      </c>
      <c r="AD67" s="301">
        <f>SUM(AD35:AD66)</f>
        <v/>
      </c>
      <c r="AE67" s="301">
        <f>SUM(AE35:AE66)</f>
        <v/>
      </c>
      <c r="AF67" s="301">
        <f>SUM(AF35:AF66)</f>
        <v/>
      </c>
      <c r="AG67" s="301">
        <f>SUM(AG35:AG66)</f>
        <v/>
      </c>
      <c r="AH67" s="301">
        <f>SUM(AH35:AH66)</f>
        <v/>
      </c>
      <c r="AI67" s="301">
        <f>SUM(AI35:AI66)</f>
        <v/>
      </c>
      <c r="AJ67" s="301">
        <f>SUM(AJ35:AJ66)</f>
        <v/>
      </c>
      <c r="AK67" s="301">
        <f>SUM(AK35:AK66)</f>
        <v/>
      </c>
      <c r="AL67" s="291" t="n"/>
    </row>
    <row r="68" ht="14" customFormat="1" customHeight="1" s="180">
      <c r="A68" s="282" t="n"/>
      <c r="B68" s="283" t="n"/>
      <c r="C68" s="283" t="n"/>
      <c r="D68" s="302" t="inlineStr">
        <is>
          <t>(三)材料费</t>
        </is>
      </c>
      <c r="E68" s="283" t="n"/>
      <c r="F68" s="283" t="n"/>
      <c r="G68" s="283" t="n"/>
      <c r="H68" s="285" t="n"/>
      <c r="I68" s="285" t="n"/>
      <c r="J68" s="285" t="n"/>
      <c r="K68" s="286" t="n"/>
      <c r="L68" s="287" t="n"/>
      <c r="M68" s="285" t="n"/>
      <c r="N68" s="285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289" t="n"/>
      <c r="U68" s="289" t="n"/>
      <c r="V68" s="289" t="n"/>
      <c r="W68" s="289" t="n"/>
      <c r="X68" s="289" t="n"/>
      <c r="Y68" s="289" t="n"/>
      <c r="Z68" s="289" t="n"/>
      <c r="AA68" s="289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290">
        <f>AB24/1.17*0.17+AC24/1.16*0.16+AD24/1.11*0.11+AE24/1.1*0.1+AF24/1.09*0.09+AI24/1.03*0.03</f>
        <v/>
      </c>
      <c r="AL68" s="305" t="n"/>
    </row>
    <row r="69" ht="39" customFormat="1" customHeight="1" s="180">
      <c r="A69" s="282" t="n"/>
      <c r="B69" s="283" t="n"/>
      <c r="C69" s="283" t="n"/>
      <c r="D69" s="285" t="inlineStr">
        <is>
          <t>（1）集中采购</t>
        </is>
      </c>
      <c r="E69" s="283" t="n"/>
      <c r="F69" s="283" t="n"/>
      <c r="G69" s="283" t="n"/>
      <c r="H69" s="285" t="n"/>
      <c r="I69" s="285" t="n"/>
      <c r="J69" s="285" t="n"/>
      <c r="K69" s="286" t="n"/>
      <c r="L69" s="287" t="n"/>
      <c r="M69" s="285" t="n"/>
      <c r="N69" s="285" t="n"/>
      <c r="O69" s="285">
        <f>L69-M69</f>
        <v/>
      </c>
      <c r="P69" s="285">
        <f>K69-N69</f>
        <v/>
      </c>
      <c r="Q69" s="285">
        <f>M69+O69</f>
        <v/>
      </c>
      <c r="R69" s="285">
        <f>M69+N69+O69+P69</f>
        <v/>
      </c>
      <c r="S69" s="289">
        <f>SUM(T69:V69)</f>
        <v/>
      </c>
      <c r="T69" s="289" t="n"/>
      <c r="U69" s="289" t="n"/>
      <c r="V69" s="289" t="n"/>
      <c r="W69" s="289" t="n"/>
      <c r="X69" s="289" t="n"/>
      <c r="Y69" s="289" t="n"/>
      <c r="Z69" s="289" t="n"/>
      <c r="AA69" s="289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290">
        <f>AB25/1.17*0.17+AC25/1.16*0.16+AD25/1.11*0.11+AE25/1.1*0.1+AF25/1.09*0.09+AI25/1.03*0.03</f>
        <v/>
      </c>
      <c r="AL69" s="305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6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SUM(AA26:AJ26)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AB26/1.17*0.17+AC26/1.16*0.16+AD26/1.11*0.11+AE26/1.1*0.1+AF26/1.09*0.09+AI26/1.03*0.03</f>
        <v/>
      </c>
      <c r="AL70" s="221" t="n"/>
    </row>
    <row r="71" ht="14" customFormat="1" customHeight="1" s="180">
      <c r="A71" s="33" t="n"/>
      <c r="B71" s="199" t="n"/>
      <c r="C71" s="199" t="n"/>
      <c r="D71" s="222" t="n"/>
      <c r="E71" s="213" t="n"/>
      <c r="F71" s="213" t="n"/>
      <c r="G71" s="213" t="n"/>
      <c r="H71" s="189" t="n"/>
      <c r="I71" s="189" t="n"/>
      <c r="J71" s="189" t="n"/>
      <c r="K71" s="201" t="n"/>
      <c r="L71" s="306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SUM(AA27:AJ27)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AB27/1.17*0.17+AC27/1.16*0.16+AD27/1.11*0.11+AE27/1.1*0.1+AF27/1.09*0.09+AI27/1.03*0.03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306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SUM(AA28:AJ28)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AB28/1.17*0.17+AC28/1.16*0.16+AD28/1.11*0.11+AE28/1.1*0.1+AF28/1.09*0.09+AI28/1.03*0.03</f>
        <v/>
      </c>
      <c r="AL72" s="221" t="n"/>
    </row>
    <row r="73" ht="14" customFormat="1" customHeight="1" s="180">
      <c r="A73" s="282" t="n"/>
      <c r="B73" s="283" t="n"/>
      <c r="C73" s="283" t="n"/>
      <c r="D73" s="285" t="inlineStr">
        <is>
          <t>（2）自行采购</t>
        </is>
      </c>
      <c r="E73" s="303" t="n"/>
      <c r="F73" s="303" t="n"/>
      <c r="G73" s="303" t="n"/>
      <c r="H73" s="285" t="n"/>
      <c r="I73" s="285" t="n"/>
      <c r="J73" s="285" t="n"/>
      <c r="K73" s="286" t="n"/>
      <c r="L73" s="287" t="n"/>
      <c r="M73" s="285" t="n"/>
      <c r="N73" s="285" t="n"/>
      <c r="O73" s="285">
        <f>L73-M73</f>
        <v/>
      </c>
      <c r="P73" s="285">
        <f>K73-N73</f>
        <v/>
      </c>
      <c r="Q73" s="285">
        <f>M73+O73</f>
        <v/>
      </c>
      <c r="R73" s="285">
        <f>M73+N73+O73+P73</f>
        <v/>
      </c>
      <c r="S73" s="289">
        <f>SUM(T73:V73)</f>
        <v/>
      </c>
      <c r="T73" s="289" t="n"/>
      <c r="U73" s="289" t="n"/>
      <c r="V73" s="289" t="n"/>
      <c r="W73" s="289" t="n"/>
      <c r="X73" s="289" t="n"/>
      <c r="Y73" s="289" t="n"/>
      <c r="Z73" s="285">
        <f>SUM(AA29:AJ29)</f>
        <v/>
      </c>
      <c r="AA73" s="289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290">
        <f>AB29/1.17*0.17+AC29/1.16*0.16+AD29/1.11*0.11+AE29/1.1*0.1+AF29/1.09*0.09+AI29/1.03*0.03</f>
        <v/>
      </c>
      <c r="AL73" s="305" t="n"/>
    </row>
    <row r="74" ht="14" customFormat="1" customHeight="1" s="180">
      <c r="A74" s="206" t="n">
        <v>1</v>
      </c>
      <c r="B74" s="206" t="inlineStr">
        <is>
          <t>200234685</t>
        </is>
      </c>
      <c r="C74" s="207" t="inlineStr">
        <is>
          <t>中建四局0200202101806022</t>
        </is>
      </c>
      <c r="D74" s="207" t="inlineStr">
        <is>
          <t>上海找钢网供应链管理有限公司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2740600.46</v>
      </c>
      <c r="N74" s="210" t="n">
        <v>356278.05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3096878.51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2</v>
      </c>
      <c r="B75" s="206" t="inlineStr">
        <is>
          <t>2043724</t>
        </is>
      </c>
      <c r="C75" s="207" t="inlineStr">
        <is>
          <t>中建四局020020210018060002</t>
        </is>
      </c>
      <c r="D75" s="207" t="inlineStr">
        <is>
          <t>中建四局绿色建筑科技（广东）有限公司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752363.78</v>
      </c>
      <c r="N75" s="210" t="n">
        <v>97807.23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850171.01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06" t="n">
        <v>3</v>
      </c>
      <c r="B76" s="206" t="inlineStr">
        <is>
          <t>100197784</t>
        </is>
      </c>
      <c r="C76" s="207" t="inlineStr">
        <is>
          <t>中建四局0200202101806025</t>
        </is>
      </c>
      <c r="D76" s="207" t="inlineStr">
        <is>
          <t>中铁物资集团华南有限公司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4776307.53</v>
      </c>
      <c r="N76" s="210" t="n">
        <v>620919.97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5397227.5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4</v>
      </c>
      <c r="B77" s="206" t="inlineStr">
        <is>
          <t>100237790</t>
        </is>
      </c>
      <c r="C77" s="207" t="inlineStr">
        <is>
          <t>中建四局0200202101806004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14369</v>
      </c>
      <c r="N77" s="210" t="n">
        <v>1867.97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16236.97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5</v>
      </c>
      <c r="B78" s="206" t="inlineStr">
        <is>
          <t>100237790</t>
        </is>
      </c>
      <c r="C78" s="207" t="inlineStr">
        <is>
          <t>中建四局0200202101806005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130267</v>
      </c>
      <c r="N78" s="210" t="n">
        <v>16934.71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147201.71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>
        <v>6</v>
      </c>
      <c r="B79" s="206" t="inlineStr">
        <is>
          <t>100237790</t>
        </is>
      </c>
      <c r="C79" s="207" t="inlineStr">
        <is>
          <t>中建四局0200202101806006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2550134.38</v>
      </c>
      <c r="N79" s="210" t="n">
        <v>331517.47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2881651.85</v>
      </c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>
        <v>7</v>
      </c>
      <c r="B80" s="206" t="inlineStr">
        <is>
          <t>100237790</t>
        </is>
      </c>
      <c r="C80" s="207" t="inlineStr">
        <is>
          <t>中建四局0200202101806016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2123772.79</v>
      </c>
      <c r="N80" s="210" t="n">
        <v>276090.52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2399863.31</v>
      </c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>
        <v>8</v>
      </c>
      <c r="B81" s="206" t="inlineStr">
        <is>
          <t>100146779</t>
        </is>
      </c>
      <c r="C81" s="207" t="inlineStr">
        <is>
          <t>中建四局0200202101806026</t>
        </is>
      </c>
      <c r="D81" s="207" t="inlineStr">
        <is>
          <t>佛山市南海区洪顺水泥构件厂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1006289.65</v>
      </c>
      <c r="N81" s="210" t="n">
        <v>130817.7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1137107.35</v>
      </c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>
        <v>9</v>
      </c>
      <c r="B82" s="206" t="inlineStr">
        <is>
          <t>100206907</t>
        </is>
      </c>
      <c r="C82" s="207" t="inlineStr">
        <is>
          <t>中建四局0200202101806014</t>
        </is>
      </c>
      <c r="D82" s="207" t="inlineStr">
        <is>
          <t>佛山市开力电气有限公司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63203</v>
      </c>
      <c r="N82" s="210" t="n">
        <v>8216.389999999999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71419.39</v>
      </c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>
        <v>10</v>
      </c>
      <c r="B83" s="206" t="inlineStr">
        <is>
          <t>200162951</t>
        </is>
      </c>
      <c r="C83" s="207" t="inlineStr">
        <is>
          <t>中建四局0200202101806036</t>
        </is>
      </c>
      <c r="D83" s="207" t="inlineStr">
        <is>
          <t>佛山市翊德通新型环保科技建材有限公司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4369961.51</v>
      </c>
      <c r="N83" s="210" t="n">
        <v>568095.3199999999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4938056.52</v>
      </c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>
        <v>11</v>
      </c>
      <c r="B84" s="206" t="inlineStr">
        <is>
          <t>100232795</t>
        </is>
      </c>
      <c r="C84" s="207" t="inlineStr">
        <is>
          <t>中建四局0200202101806001</t>
        </is>
      </c>
      <c r="D84" s="207" t="inlineStr">
        <is>
          <t>佰丽特（厦门）电气科技有限公司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333728</v>
      </c>
      <c r="N84" s="210" t="n">
        <v>43384.64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301690.11</v>
      </c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>
        <v>12</v>
      </c>
      <c r="B85" s="206" t="inlineStr">
        <is>
          <t>200282611</t>
        </is>
      </c>
      <c r="C85" s="207" t="inlineStr">
        <is>
          <t>中建四局0200202101806009</t>
        </is>
      </c>
      <c r="D85" s="207" t="inlineStr">
        <is>
          <t>平安商贸有限公司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8873935.289999999</v>
      </c>
      <c r="N85" s="210" t="n">
        <v>1153611.59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10027546.88</v>
      </c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>
        <v>13</v>
      </c>
      <c r="B86" s="206" t="inlineStr">
        <is>
          <t>200609375</t>
        </is>
      </c>
      <c r="C86" s="207" t="inlineStr">
        <is>
          <t>中建四局0200202101806040</t>
        </is>
      </c>
      <c r="D86" s="207" t="inlineStr">
        <is>
          <t>广东富景成环保建材有限公司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385917.65</v>
      </c>
      <c r="N86" s="210" t="n">
        <v>50169.29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436086.94</v>
      </c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>
        <v>14</v>
      </c>
      <c r="B87" s="206" t="inlineStr">
        <is>
          <t>200589118</t>
        </is>
      </c>
      <c r="C87" s="207" t="inlineStr">
        <is>
          <t>中建四局020020210018060001</t>
        </is>
      </c>
      <c r="D87" s="207" t="inlineStr">
        <is>
          <t>广东广物中南建材集团有限公司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4299184.04</v>
      </c>
      <c r="N87" s="210" t="n">
        <v>558893.95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4858077.99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15</v>
      </c>
      <c r="B88" s="206" t="inlineStr">
        <is>
          <t>100218495</t>
        </is>
      </c>
      <c r="C88" s="207" t="inlineStr">
        <is>
          <t>中建四局0200202101806024</t>
        </is>
      </c>
      <c r="D88" s="207" t="inlineStr">
        <is>
          <t>广东广物物资有限公司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52140600.21</v>
      </c>
      <c r="N88" s="210" t="n">
        <v>6778278.02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57634200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16</v>
      </c>
      <c r="B89" s="206" t="inlineStr">
        <is>
          <t>100217200</t>
        </is>
      </c>
      <c r="C89" s="207" t="inlineStr">
        <is>
          <t>中建四局0200202101806042</t>
        </is>
      </c>
      <c r="D89" s="207" t="inlineStr">
        <is>
          <t>广东新瑞龙生态建材有限公司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9943627.460000001</v>
      </c>
      <c r="N89" s="210" t="n">
        <v>1292671.55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10199210.04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17</v>
      </c>
      <c r="B90" s="206" t="inlineStr">
        <is>
          <t>100217564</t>
        </is>
      </c>
      <c r="C90" s="207" t="inlineStr">
        <is>
          <t>中建四局0200202101806015</t>
        </is>
      </c>
      <c r="D90" s="207" t="inlineStr">
        <is>
          <t>广东顺德雍强贸易有限公司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5074499.2</v>
      </c>
      <c r="N90" s="210" t="n">
        <v>659684.51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5722211.35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18</v>
      </c>
      <c r="B91" s="206" t="inlineStr">
        <is>
          <t>200028988</t>
        </is>
      </c>
      <c r="C91" s="207" t="inlineStr">
        <is>
          <t>中建四局0200202101806020</t>
        </is>
      </c>
      <c r="D91" s="207" t="inlineStr">
        <is>
          <t>广州天源混凝土有限公司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82619375.06999999</v>
      </c>
      <c r="N91" s="210" t="n">
        <v>2479172.51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76114127.56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19</v>
      </c>
      <c r="B92" s="206" t="inlineStr">
        <is>
          <t>100118018</t>
        </is>
      </c>
      <c r="C92" s="207" t="inlineStr">
        <is>
          <t>中建四局0200202101806023</t>
        </is>
      </c>
      <c r="D92" s="207" t="inlineStr">
        <is>
          <t>广州天达混凝土有限公司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7029897.31</v>
      </c>
      <c r="N92" s="210" t="n">
        <v>210896.97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7240794.28</v>
      </c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20</v>
      </c>
      <c r="B93" s="206" t="inlineStr">
        <is>
          <t>100217350</t>
        </is>
      </c>
      <c r="C93" s="207" t="inlineStr">
        <is>
          <t>中建四局0200202101806003</t>
        </is>
      </c>
      <c r="D93" s="207" t="inlineStr">
        <is>
          <t>广州市嘉宇金属制品有限公司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416379</v>
      </c>
      <c r="N93" s="210" t="n">
        <v>54129.27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470508.27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21</v>
      </c>
      <c r="B94" s="206" t="inlineStr">
        <is>
          <t>100217450</t>
        </is>
      </c>
      <c r="C94" s="207" t="inlineStr">
        <is>
          <t>中建四局0200202101806041</t>
        </is>
      </c>
      <c r="D94" s="207" t="inlineStr">
        <is>
          <t>广州市常宏建材有限公司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32639</v>
      </c>
      <c r="N94" s="210" t="n">
        <v>4243.07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36882.07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22</v>
      </c>
      <c r="B95" s="206" t="inlineStr">
        <is>
          <t>100115149</t>
        </is>
      </c>
      <c r="C95" s="207" t="inlineStr">
        <is>
          <t>中建四局0200202101806035</t>
        </is>
      </c>
      <c r="D95" s="207" t="inlineStr">
        <is>
          <t>广州市建邦建材有限公司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7683428.5</v>
      </c>
      <c r="N95" s="210" t="n">
        <v>998845.46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8682273.960000001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23</v>
      </c>
      <c r="B96" s="206" t="inlineStr">
        <is>
          <t>100147894</t>
        </is>
      </c>
      <c r="C96" s="207" t="inlineStr">
        <is>
          <t>中建四局0200202101806007</t>
        </is>
      </c>
      <c r="D96" s="207" t="inlineStr">
        <is>
          <t>广州市息县旺建材有限公司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950254.54</v>
      </c>
      <c r="N96" s="210" t="n">
        <v>123533.02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1067146.16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24</v>
      </c>
      <c r="B97" s="206" t="inlineStr">
        <is>
          <t>200335317</t>
        </is>
      </c>
      <c r="C97" s="207" t="inlineStr">
        <is>
          <t>中建四局0200202101806029</t>
        </is>
      </c>
      <c r="D97" s="207" t="inlineStr">
        <is>
          <t>广州市汇亿鑫贸易有限公司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274015</v>
      </c>
      <c r="N97" s="210" t="n">
        <v>35621.95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309636.95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25</v>
      </c>
      <c r="B98" s="206" t="inlineStr">
        <is>
          <t>100006014</t>
        </is>
      </c>
      <c r="C98" s="207" t="inlineStr">
        <is>
          <t>中建四局0200202101806038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1561706.28</v>
      </c>
      <c r="N98" s="210" t="n">
        <v>203021.99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1764728.27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26</v>
      </c>
      <c r="B99" s="206" t="inlineStr">
        <is>
          <t>100118301</t>
        </is>
      </c>
      <c r="C99" s="207" t="inlineStr">
        <is>
          <t>中建四局0200202101806019</t>
        </is>
      </c>
      <c r="D99" s="207" t="inlineStr">
        <is>
          <t>广州市维意建材有限公司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27146211.76</v>
      </c>
      <c r="N99" s="210" t="n">
        <v>814386.39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27960598.15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27</v>
      </c>
      <c r="B100" s="206" t="inlineStr">
        <is>
          <t>100118101</t>
        </is>
      </c>
      <c r="C100" s="207" t="inlineStr">
        <is>
          <t>中建四局0200202101806032</t>
        </is>
      </c>
      <c r="D100" s="207" t="inlineStr">
        <is>
          <t>广州市长兴混凝土有限公司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7126276.05</v>
      </c>
      <c r="N100" s="210" t="n">
        <v>213788.29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7297640.86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28</v>
      </c>
      <c r="B101" s="206" t="inlineStr">
        <is>
          <t>100217478</t>
        </is>
      </c>
      <c r="C101" s="207" t="inlineStr">
        <is>
          <t>中建四局0200202101806017</t>
        </is>
      </c>
      <c r="D101" s="207" t="inlineStr">
        <is>
          <t>广州建侯建材有限公司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1538956.12</v>
      </c>
      <c r="N101" s="210" t="n">
        <v>200064.3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1739020.42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29</v>
      </c>
      <c r="B102" s="206" t="inlineStr">
        <is>
          <t>100094223</t>
        </is>
      </c>
      <c r="C102" s="207" t="inlineStr">
        <is>
          <t>中建四局0200202101806034</t>
        </is>
      </c>
      <c r="D102" s="207" t="inlineStr">
        <is>
          <t>广州晴泰蓝环保工程有限公司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140000</v>
      </c>
      <c r="N102" s="210" t="n">
        <v>18200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158200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30</v>
      </c>
      <c r="B103" s="206" t="inlineStr">
        <is>
          <t>200413088</t>
        </is>
      </c>
      <c r="C103" s="207" t="inlineStr">
        <is>
          <t>中建四局0200202101806021</t>
        </is>
      </c>
      <c r="D103" s="207" t="inlineStr">
        <is>
          <t>广州盒子住宅科技有限公司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13945976.97</v>
      </c>
      <c r="N103" s="210" t="n">
        <v>1793690.33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8652600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31</v>
      </c>
      <c r="B104" s="206" t="inlineStr">
        <is>
          <t>200234923</t>
        </is>
      </c>
      <c r="C104" s="207" t="inlineStr">
        <is>
          <t>中建四局0200202101806013</t>
        </is>
      </c>
      <c r="D104" s="207" t="inlineStr">
        <is>
          <t>广州睿越建材有限公司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43710.65</v>
      </c>
      <c r="N104" s="210" t="n">
        <v>5682.39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49393.04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32</v>
      </c>
      <c r="B105" s="206" t="inlineStr">
        <is>
          <t>100119801</t>
        </is>
      </c>
      <c r="C105" s="207" t="inlineStr">
        <is>
          <t>中建四局0200202101806037</t>
        </is>
      </c>
      <c r="D105" s="207" t="inlineStr">
        <is>
          <t>广州禄臻贸易有限公司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582161.09</v>
      </c>
      <c r="N105" s="210" t="n">
        <v>75681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657842.08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33</v>
      </c>
      <c r="B106" s="206" t="inlineStr">
        <is>
          <t>100217843</t>
        </is>
      </c>
      <c r="C106" s="207" t="inlineStr">
        <is>
          <t>中建四局0200202101806039</t>
        </is>
      </c>
      <c r="D106" s="207" t="inlineStr">
        <is>
          <t>广州绿色金融街投资管理有限公司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30291914.17</v>
      </c>
      <c r="N106" s="210" t="n">
        <v>3937948.82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34229862.99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34</v>
      </c>
      <c r="B107" s="206" t="inlineStr">
        <is>
          <t>100217163</t>
        </is>
      </c>
      <c r="C107" s="207" t="inlineStr">
        <is>
          <t>中建四局0200202101806002</t>
        </is>
      </c>
      <c r="D107" s="207" t="inlineStr">
        <is>
          <t>广州辰辰建材租赁有限公司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3566769.49</v>
      </c>
      <c r="N107" s="210" t="n">
        <v>463680.09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4017620.13</v>
      </c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35</v>
      </c>
      <c r="B108" s="206" t="inlineStr">
        <is>
          <t>200009555</t>
        </is>
      </c>
      <c r="C108" s="207" t="inlineStr">
        <is>
          <t>中建四局0200202101806030</t>
        </is>
      </c>
      <c r="D108" s="207" t="inlineStr">
        <is>
          <t>广联达科技股份有限公司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44247.79</v>
      </c>
      <c r="N108" s="210" t="n">
        <v>5752.21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50000</v>
      </c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36</v>
      </c>
      <c r="B109" s="206" t="inlineStr">
        <is>
          <t>100170699</t>
        </is>
      </c>
      <c r="C109" s="207" t="inlineStr">
        <is>
          <t>中建四局0200202101806027</t>
        </is>
      </c>
      <c r="D109" s="207" t="inlineStr">
        <is>
          <t>浙商中拓集团（广东）有限公司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697130.35</v>
      </c>
      <c r="N109" s="210" t="n">
        <v>90626.95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787757.3</v>
      </c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37</v>
      </c>
      <c r="B110" s="206" t="inlineStr">
        <is>
          <t>100198899</t>
        </is>
      </c>
      <c r="C110" s="207" t="inlineStr">
        <is>
          <t>中建四局0200202101806008</t>
        </is>
      </c>
      <c r="D110" s="207" t="inlineStr">
        <is>
          <t>深圳市金仪时代环保产业有限公司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46390</v>
      </c>
      <c r="N110" s="210" t="n">
        <v>6030.7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52420.7</v>
      </c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38</v>
      </c>
      <c r="B111" s="206" t="inlineStr">
        <is>
          <t>100218623</t>
        </is>
      </c>
      <c r="C111" s="207" t="inlineStr">
        <is>
          <t>中建四局0200202101806043</t>
        </is>
      </c>
      <c r="D111" s="207" t="inlineStr">
        <is>
          <t>深圳市鑫源发陶瓷有限公司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220443.53</v>
      </c>
      <c r="N111" s="210" t="n">
        <v>28657.66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249101.19</v>
      </c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06" t="n">
        <v>39</v>
      </c>
      <c r="B112" s="206" t="inlineStr">
        <is>
          <t>100074117</t>
        </is>
      </c>
      <c r="C112" s="207" t="inlineStr">
        <is>
          <t>中建四局0200202101806011</t>
        </is>
      </c>
      <c r="D112" s="207" t="inlineStr">
        <is>
          <t>清远市榕兴新型环保建材有限责任公司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1271717.14</v>
      </c>
      <c r="N112" s="210" t="n">
        <v>165323.22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1437040.36</v>
      </c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>
        <v>40</v>
      </c>
      <c r="B113" s="206" t="inlineStr">
        <is>
          <t>100114405</t>
        </is>
      </c>
      <c r="C113" s="207" t="inlineStr">
        <is>
          <t>中建四局0200202101806018</t>
        </is>
      </c>
      <c r="D113" s="207" t="inlineStr">
        <is>
          <t>祁东县明达轻质陶粒厂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534785.89</v>
      </c>
      <c r="N113" s="210" t="n">
        <v>16863.59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549855.73</v>
      </c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>
        <v>41</v>
      </c>
      <c r="B114" s="206" t="inlineStr">
        <is>
          <t>100199057</t>
        </is>
      </c>
      <c r="C114" s="207" t="inlineStr">
        <is>
          <t>中建四局0200202101806010</t>
        </is>
      </c>
      <c r="D114" s="207" t="inlineStr">
        <is>
          <t>福建省莆田市龙兴劳保用品有限公司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509280.38</v>
      </c>
      <c r="N114" s="210" t="n">
        <v>66206.64999999999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575487.03</v>
      </c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206" t="n">
        <v>42</v>
      </c>
      <c r="B115" s="206" t="inlineStr">
        <is>
          <t>100199057</t>
        </is>
      </c>
      <c r="C115" s="207" t="inlineStr">
        <is>
          <t>中建四局0200202101806031</t>
        </is>
      </c>
      <c r="D115" s="207" t="inlineStr">
        <is>
          <t>福建省莆田市龙兴劳保用品有限公司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48485.21</v>
      </c>
      <c r="N115" s="210" t="n">
        <v>6303.07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54788.28</v>
      </c>
      <c r="U115" s="206" t="n"/>
      <c r="V115" s="206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  <c r="AI115" s="293" t="n"/>
      <c r="AJ115" s="293" t="n"/>
      <c r="AK115" s="293" t="n"/>
      <c r="AL115" s="293" t="n"/>
    </row>
    <row r="116">
      <c r="A116" s="206" t="n">
        <v>43</v>
      </c>
      <c r="B116" s="206" t="n"/>
      <c r="C116" s="207" t="n"/>
      <c r="D116" s="207" t="inlineStr">
        <is>
          <t>其他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211578.27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  <c r="AI116" s="293" t="n"/>
      <c r="AJ116" s="293" t="n"/>
      <c r="AK116" s="293" t="n"/>
      <c r="AL116" s="293" t="n"/>
    </row>
    <row r="117">
      <c r="A117" s="206" t="n">
        <v>44</v>
      </c>
      <c r="B117" s="206" t="n"/>
      <c r="C117" s="207" t="n"/>
      <c r="D117" s="207" t="inlineStr">
        <is>
          <t>废旧物资处置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-1401180.1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  <c r="AI117" s="293" t="n"/>
      <c r="AJ117" s="293" t="n"/>
      <c r="AK117" s="293" t="n"/>
      <c r="AL117" s="293" t="n"/>
    </row>
    <row r="118">
      <c r="A118" s="206" t="n">
        <v>45</v>
      </c>
      <c r="B118" s="206" t="n"/>
      <c r="C118" s="207" t="n"/>
      <c r="D118" s="207" t="inlineStr">
        <is>
          <t>研发支出-材料费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-25030932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82" t="n">
        <v>46</v>
      </c>
      <c r="B119" s="283" t="n"/>
      <c r="C119" s="283" t="n"/>
      <c r="D119" s="302" t="inlineStr">
        <is>
          <t>材料调入</t>
        </is>
      </c>
      <c r="E119" s="283" t="n"/>
      <c r="F119" s="283" t="n"/>
      <c r="G119" s="283" t="n"/>
      <c r="H119" s="285" t="n"/>
      <c r="I119" s="285" t="n"/>
      <c r="J119" s="285" t="n"/>
      <c r="K119" s="286" t="n"/>
      <c r="L119" s="287" t="n"/>
      <c r="M119" s="307" t="n">
        <v>17996069.15</v>
      </c>
      <c r="N119" s="285" t="n"/>
      <c r="O119" s="285">
        <f>L119-M119</f>
        <v/>
      </c>
      <c r="P119" s="285">
        <f>K119-N119</f>
        <v/>
      </c>
      <c r="Q119" s="285">
        <f>M119+O119</f>
        <v/>
      </c>
      <c r="R119" s="285">
        <f>M119+N119+O119+P119</f>
        <v/>
      </c>
      <c r="S119" s="289">
        <f>SUM(T119:V119)</f>
        <v/>
      </c>
      <c r="T119" s="289" t="n"/>
      <c r="U119" s="289" t="n"/>
      <c r="V119" s="289" t="n"/>
      <c r="W119" s="289" t="n"/>
      <c r="X119" s="289" t="n"/>
      <c r="Y119" s="289" t="n"/>
      <c r="Z119" s="285">
        <f>SUM(AA30:AJ30)</f>
        <v/>
      </c>
      <c r="AA119" s="289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290">
        <f>AB30/1.17*0.17+AC30/1.16*0.16+AD30/1.11*0.11+AE30/1.1*0.1+AF30/1.09*0.09+AI30/1.03*0.03</f>
        <v/>
      </c>
      <c r="AL119" s="305" t="n"/>
    </row>
    <row r="120">
      <c r="A120" s="282" t="n">
        <v>47</v>
      </c>
      <c r="B120" s="283" t="n"/>
      <c r="C120" s="283" t="n"/>
      <c r="D120" s="302" t="inlineStr">
        <is>
          <t>材料调出（注：负数填报）</t>
        </is>
      </c>
      <c r="E120" s="308" t="n"/>
      <c r="F120" s="308" t="n"/>
      <c r="G120" s="308" t="n"/>
      <c r="H120" s="309" t="n"/>
      <c r="I120" s="309" t="n"/>
      <c r="J120" s="285" t="n"/>
      <c r="K120" s="286" t="n"/>
      <c r="L120" s="287" t="n"/>
      <c r="M120" s="310" t="n">
        <v>-8003517.42</v>
      </c>
      <c r="N120" s="309" t="n"/>
      <c r="O120" s="285">
        <f>L120-M120</f>
        <v/>
      </c>
      <c r="P120" s="285">
        <f>K120-N120</f>
        <v/>
      </c>
      <c r="Q120" s="285">
        <f>M120+O120</f>
        <v/>
      </c>
      <c r="R120" s="285">
        <f>M120+N120+O120+P120</f>
        <v/>
      </c>
      <c r="S120" s="289">
        <f>SUM(T120:V120)</f>
        <v/>
      </c>
      <c r="T120" s="309" t="n"/>
      <c r="U120" s="309" t="n"/>
      <c r="V120" s="309" t="n"/>
      <c r="W120" s="309" t="n"/>
      <c r="X120" s="309" t="n"/>
      <c r="Y120" s="309" t="n"/>
      <c r="Z120" s="285">
        <f>SUM(AA31:AJ31)</f>
        <v/>
      </c>
      <c r="AA120" s="309" t="n"/>
      <c r="AB120" s="311" t="n"/>
      <c r="AC120" s="311" t="n"/>
      <c r="AD120" s="311" t="n"/>
      <c r="AE120" s="311" t="n"/>
      <c r="AF120" s="311" t="n"/>
      <c r="AG120" s="311" t="n"/>
      <c r="AH120" s="311" t="n"/>
      <c r="AI120" s="311" t="n"/>
      <c r="AJ120" s="311" t="n"/>
      <c r="AK120" s="290">
        <f>AB31/1.17*0.17+AC31/1.16*0.16+AD31/1.11*0.11+AE31/1.1*0.1+AF31/1.09*0.09+AI31/1.03*0.03</f>
        <v/>
      </c>
      <c r="AL120" s="312" t="n"/>
    </row>
    <row r="121">
      <c r="A121" s="282" t="n"/>
      <c r="B121" s="283" t="n"/>
      <c r="C121" s="283" t="n"/>
      <c r="D121" s="302" t="inlineStr">
        <is>
          <t>材料库存（注：项目已结算未使用材料冲减项目成本，负数填报）</t>
        </is>
      </c>
      <c r="E121" s="308" t="n"/>
      <c r="F121" s="308" t="n"/>
      <c r="G121" s="308" t="n"/>
      <c r="H121" s="309" t="n"/>
      <c r="I121" s="309" t="n"/>
      <c r="J121" s="285" t="n"/>
      <c r="K121" s="286" t="n"/>
      <c r="L121" s="287" t="n"/>
      <c r="M121" s="309" t="n"/>
      <c r="N121" s="309" t="n"/>
      <c r="O121" s="285" t="n"/>
      <c r="P121" s="285" t="n"/>
      <c r="Q121" s="285" t="n"/>
      <c r="R121" s="285" t="n"/>
      <c r="S121" s="289" t="n"/>
      <c r="T121" s="309" t="n"/>
      <c r="U121" s="309" t="n"/>
      <c r="V121" s="309" t="n"/>
      <c r="W121" s="309" t="n"/>
      <c r="X121" s="309" t="n"/>
      <c r="Y121" s="309" t="n"/>
      <c r="Z121" s="285" t="n"/>
      <c r="AA121" s="309" t="n"/>
      <c r="AB121" s="311" t="n"/>
      <c r="AC121" s="311" t="n"/>
      <c r="AD121" s="311" t="n"/>
      <c r="AE121" s="311" t="n"/>
      <c r="AF121" s="311" t="n"/>
      <c r="AG121" s="311" t="n"/>
      <c r="AH121" s="311" t="n"/>
      <c r="AI121" s="311" t="n"/>
      <c r="AJ121" s="311" t="n"/>
      <c r="AK121" s="290" t="n"/>
      <c r="AL121" s="312" t="n"/>
    </row>
    <row r="122">
      <c r="A122" s="282" t="n"/>
      <c r="B122" s="283" t="n"/>
      <c r="C122" s="283" t="n"/>
      <c r="D122" s="294" t="inlineStr">
        <is>
          <t>**财务未列部分需增列***</t>
        </is>
      </c>
      <c r="E122" s="303" t="n"/>
      <c r="F122" s="303" t="n"/>
      <c r="G122" s="303" t="n"/>
      <c r="H122" s="285" t="n"/>
      <c r="I122" s="285" t="n"/>
      <c r="J122" s="285" t="n"/>
      <c r="K122" s="286" t="n"/>
      <c r="L122" s="287" t="n"/>
      <c r="M122" s="285" t="n"/>
      <c r="N122" s="285" t="n"/>
      <c r="O122" s="285">
        <f>L122-M122</f>
        <v/>
      </c>
      <c r="P122" s="285">
        <f>K122-N122</f>
        <v/>
      </c>
      <c r="Q122" s="285">
        <f>M122+O122</f>
        <v/>
      </c>
      <c r="R122" s="285">
        <f>M122+N122+O122+P122</f>
        <v/>
      </c>
      <c r="S122" s="289">
        <f>SUM(T122:V122)</f>
        <v/>
      </c>
      <c r="T122" s="289" t="n"/>
      <c r="U122" s="289" t="n"/>
      <c r="V122" s="289" t="n"/>
      <c r="W122" s="289" t="n"/>
      <c r="X122" s="289" t="n"/>
      <c r="Y122" s="289" t="n"/>
      <c r="Z122" s="289" t="n"/>
      <c r="AA122" s="289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290">
        <f>AB33/1.17*0.17+AC33/1.16*0.16+AD33/1.11*0.11+AE33/1.1*0.1+AF33/1.09*0.09+AI33/1.03*0.03</f>
        <v/>
      </c>
      <c r="AL122" s="305" t="n"/>
    </row>
    <row r="123">
      <c r="A123" s="298" t="n"/>
      <c r="B123" s="299" t="n"/>
      <c r="C123" s="299" t="n"/>
      <c r="D123" s="300" t="inlineStr">
        <is>
          <t>材料费小计：</t>
        </is>
      </c>
      <c r="E123" s="301">
        <f>SUM(E68:E122)</f>
        <v/>
      </c>
      <c r="F123" s="301">
        <f>SUM(F68:F122)</f>
        <v/>
      </c>
      <c r="G123" s="301">
        <f>SUM(G68:G122)</f>
        <v/>
      </c>
      <c r="H123" s="301">
        <f>SUM(H68:H122)</f>
        <v/>
      </c>
      <c r="I123" s="301">
        <f>SUM(I68:I122)</f>
        <v/>
      </c>
      <c r="J123" s="301">
        <f>SUM(J68:J122)</f>
        <v/>
      </c>
      <c r="K123" s="301">
        <f>SUM(K68:K122)</f>
        <v/>
      </c>
      <c r="L123" s="301">
        <f>SUM(L68:L122)</f>
        <v/>
      </c>
      <c r="M123" s="301">
        <f>SUM(M68:M122)</f>
        <v/>
      </c>
      <c r="N123" s="301">
        <f>SUM(N68:N122)</f>
        <v/>
      </c>
      <c r="O123" s="301">
        <f>SUM(O68:O122)</f>
        <v/>
      </c>
      <c r="P123" s="301">
        <f>SUM(P68:P122)</f>
        <v/>
      </c>
      <c r="Q123" s="301">
        <f>SUM(Q68:Q122)</f>
        <v/>
      </c>
      <c r="R123" s="301">
        <f>SUM(R68:R122)</f>
        <v/>
      </c>
      <c r="S123" s="301">
        <f>SUM(S68:S122)</f>
        <v/>
      </c>
      <c r="T123" s="301">
        <f>SUM(T68:T122)</f>
        <v/>
      </c>
      <c r="U123" s="301">
        <f>SUM(U68:U122)</f>
        <v/>
      </c>
      <c r="V123" s="301">
        <f>SUM(V68:V122)</f>
        <v/>
      </c>
      <c r="W123" s="301">
        <f>SUM(W68:W122)</f>
        <v/>
      </c>
      <c r="X123" s="301">
        <f>SUM(X68:X122)</f>
        <v/>
      </c>
      <c r="Y123" s="301">
        <f>SUM(Y68:Y122)</f>
        <v/>
      </c>
      <c r="Z123" s="301">
        <f>SUM(Z68:Z122)</f>
        <v/>
      </c>
      <c r="AA123" s="301">
        <f>SUM(AA68:AA122)</f>
        <v/>
      </c>
      <c r="AB123" s="301">
        <f>SUM(AB68:AB122)</f>
        <v/>
      </c>
      <c r="AC123" s="301">
        <f>SUM(AC68:AC122)</f>
        <v/>
      </c>
      <c r="AD123" s="301">
        <f>SUM(AD68:AD122)</f>
        <v/>
      </c>
      <c r="AE123" s="301">
        <f>SUM(AE68:AE122)</f>
        <v/>
      </c>
      <c r="AF123" s="301">
        <f>SUM(AF68:AF122)</f>
        <v/>
      </c>
      <c r="AG123" s="301">
        <f>SUM(AG68:AG122)</f>
        <v/>
      </c>
      <c r="AH123" s="301">
        <f>SUM(AH68:AH122)</f>
        <v/>
      </c>
      <c r="AI123" s="301">
        <f>SUM(AI68:AI122)</f>
        <v/>
      </c>
      <c r="AJ123" s="301">
        <f>SUM(AJ68:AJ122)</f>
        <v/>
      </c>
      <c r="AK123" s="301">
        <f>SUM(AK68:AK122)</f>
        <v/>
      </c>
      <c r="AL123" s="291" t="n"/>
    </row>
    <row r="124">
      <c r="A124" s="282" t="n"/>
      <c r="B124" s="283" t="n"/>
      <c r="C124" s="283" t="n"/>
      <c r="D124" s="302" t="inlineStr">
        <is>
          <t>(四）机械租赁费</t>
        </is>
      </c>
      <c r="E124" s="295" t="n"/>
      <c r="F124" s="295" t="n"/>
      <c r="G124" s="295" t="n"/>
      <c r="H124" s="285" t="n"/>
      <c r="I124" s="285" t="n"/>
      <c r="J124" s="285" t="n"/>
      <c r="K124" s="286" t="n">
        <v>0</v>
      </c>
      <c r="L124" s="287">
        <f>J124-K124</f>
        <v/>
      </c>
      <c r="M124" s="288" t="n"/>
      <c r="N124" s="288" t="n"/>
      <c r="O124" s="285">
        <f>L124-M124</f>
        <v/>
      </c>
      <c r="P124" s="285">
        <f>K124-N124</f>
        <v/>
      </c>
      <c r="Q124" s="285">
        <f>M124+O124</f>
        <v/>
      </c>
      <c r="R124" s="285">
        <f>M124+N124+O124+P124</f>
        <v/>
      </c>
      <c r="S124" s="289">
        <f>SUM(T124:V124)</f>
        <v/>
      </c>
      <c r="T124" s="289" t="n"/>
      <c r="U124" s="289" t="n"/>
      <c r="V124" s="289" t="n"/>
      <c r="W124" s="289" t="n"/>
      <c r="X124" s="289" t="n"/>
      <c r="Y124" s="289" t="n"/>
      <c r="Z124" s="289" t="n"/>
      <c r="AA124" s="289" t="n"/>
      <c r="AB124" s="289" t="n"/>
      <c r="AC124" s="289" t="n"/>
      <c r="AD124" s="289" t="n"/>
      <c r="AE124" s="289" t="n"/>
      <c r="AF124" s="289" t="n"/>
      <c r="AG124" s="289" t="n"/>
      <c r="AH124" s="289" t="n"/>
      <c r="AI124" s="289" t="n"/>
      <c r="AJ124" s="289" t="n"/>
      <c r="AK124" s="290">
        <f>AB35/1.17*0.17+AC35/1.16*0.16+AD35/1.11*0.11+AE35/1.1*0.1+AF35/1.09*0.09+AI35/1.03*0.03</f>
        <v/>
      </c>
      <c r="AL124" s="291" t="n"/>
    </row>
    <row r="125">
      <c r="A125" s="206" t="n">
        <v>1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5455288.19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  <c r="AI125" s="293" t="n"/>
      <c r="AJ125" s="293" t="n"/>
      <c r="AK125" s="293" t="n"/>
      <c r="AL125" s="293" t="n"/>
    </row>
    <row r="126">
      <c r="A126" s="206" t="n">
        <v>2</v>
      </c>
      <c r="B126" s="206" t="inlineStr">
        <is>
          <t>100217442</t>
        </is>
      </c>
      <c r="C126" s="207" t="inlineStr">
        <is>
          <t>中建四局0200202101805001</t>
        </is>
      </c>
      <c r="D126" s="207" t="inlineStr">
        <is>
          <t>任丘市嘉宇运输有限公司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39943.9</v>
      </c>
      <c r="N126" s="210" t="n">
        <v>3594.95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43538.85</v>
      </c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3</v>
      </c>
      <c r="B127" s="206" t="inlineStr">
        <is>
          <t>200363935</t>
        </is>
      </c>
      <c r="C127" s="207" t="inlineStr">
        <is>
          <t>中建四局0200202101805006</t>
        </is>
      </c>
      <c r="D127" s="207" t="inlineStr">
        <is>
          <t>佛山市雄壮建筑工程有限公司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1197689.75</v>
      </c>
      <c r="N127" s="210" t="n">
        <v>36663.97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1258000</v>
      </c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4</v>
      </c>
      <c r="B128" s="206" t="inlineStr">
        <is>
          <t>200477323</t>
        </is>
      </c>
      <c r="C128" s="207" t="inlineStr">
        <is>
          <t>中建四局0200202101805011</t>
        </is>
      </c>
      <c r="D128" s="207" t="inlineStr">
        <is>
          <t>佛山市霸伟建筑工程有限公司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947713.86</v>
      </c>
      <c r="N128" s="210" t="n">
        <v>29244.62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999000</v>
      </c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5</v>
      </c>
      <c r="B129" s="206" t="inlineStr">
        <is>
          <t>100093859</t>
        </is>
      </c>
      <c r="C129" s="207" t="inlineStr">
        <is>
          <t>中建四局0200202101805010</t>
        </is>
      </c>
      <c r="D129" s="207" t="inlineStr">
        <is>
          <t>嘉兴浩锐机械设备有限公司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1387247.1</v>
      </c>
      <c r="N129" s="210" t="n">
        <v>180342.12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1567589.22</v>
      </c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6</v>
      </c>
      <c r="B130" s="206" t="inlineStr">
        <is>
          <t>100117504</t>
        </is>
      </c>
      <c r="C130" s="207" t="inlineStr">
        <is>
          <t>中建四局0200202101805005</t>
        </is>
      </c>
      <c r="D130" s="207" t="inlineStr">
        <is>
          <t>广州大丰工程机械设备有限公司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1065730.14</v>
      </c>
      <c r="N130" s="210" t="n">
        <v>138544.93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1204275.07</v>
      </c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7</v>
      </c>
      <c r="B131" s="206" t="inlineStr">
        <is>
          <t>200353812</t>
        </is>
      </c>
      <c r="C131" s="207" t="inlineStr">
        <is>
          <t>中建四局0200202101805007</t>
        </is>
      </c>
      <c r="D131" s="207" t="inlineStr">
        <is>
          <t>广州小老虎建筑机械租赁有限公司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11189319.59</v>
      </c>
      <c r="N131" s="210" t="n">
        <v>1022884.43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12388266.76</v>
      </c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06" t="n">
        <v>8</v>
      </c>
      <c r="B132" s="206" t="inlineStr">
        <is>
          <t>200162948</t>
        </is>
      </c>
      <c r="C132" s="207" t="inlineStr">
        <is>
          <t>中建四局0200202101805004</t>
        </is>
      </c>
      <c r="D132" s="207" t="inlineStr">
        <is>
          <t>广州市仁发运输有限公司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183165.02</v>
      </c>
      <c r="N132" s="210" t="n">
        <v>5494.92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188659.94</v>
      </c>
      <c r="U132" s="206" t="n"/>
      <c r="V132" s="206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  <c r="AI132" s="293" t="n"/>
      <c r="AJ132" s="293" t="n"/>
      <c r="AK132" s="293" t="n"/>
      <c r="AL132" s="293" t="n"/>
    </row>
    <row r="133">
      <c r="A133" s="206" t="n">
        <v>9</v>
      </c>
      <c r="B133" s="206" t="inlineStr">
        <is>
          <t>100217539</t>
        </is>
      </c>
      <c r="C133" s="207" t="inlineStr">
        <is>
          <t>中建四局0200202101805003</t>
        </is>
      </c>
      <c r="D133" s="207" t="inlineStr">
        <is>
          <t>广州易达运输有限公司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213962.98</v>
      </c>
      <c r="N133" s="210" t="n">
        <v>4631.78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218594.76</v>
      </c>
      <c r="U133" s="206" t="n"/>
      <c r="V133" s="206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  <c r="AI133" s="293" t="n"/>
      <c r="AJ133" s="293" t="n"/>
      <c r="AK133" s="293" t="n"/>
      <c r="AL133" s="293" t="n"/>
    </row>
    <row r="134">
      <c r="A134" s="206" t="n">
        <v>10</v>
      </c>
      <c r="B134" s="206" t="inlineStr">
        <is>
          <t>100217502</t>
        </is>
      </c>
      <c r="C134" s="207" t="inlineStr">
        <is>
          <t>中建四局0200202101805002</t>
        </is>
      </c>
      <c r="D134" s="207" t="inlineStr">
        <is>
          <t>广州湘亿货运代理有限公司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68419.10000000001</v>
      </c>
      <c r="N134" s="210" t="n">
        <v>6157.73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74576.83</v>
      </c>
      <c r="U134" s="206" t="n"/>
      <c r="V134" s="206" t="n"/>
      <c r="W134" s="293" t="n"/>
      <c r="X134" s="293" t="n"/>
      <c r="Y134" s="293" t="n"/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  <c r="AI134" s="293" t="n"/>
      <c r="AJ134" s="293" t="n"/>
      <c r="AK134" s="293" t="n"/>
      <c r="AL134" s="293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35390.51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11</v>
      </c>
      <c r="B136" s="206" t="inlineStr">
        <is>
          <t>100197784</t>
        </is>
      </c>
      <c r="C136" s="207" t="n"/>
      <c r="D136" s="207" t="inlineStr">
        <is>
          <t>中铁物资集团华南有限公司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0.08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82" t="n"/>
      <c r="B137" s="283" t="n"/>
      <c r="C137" s="283" t="n"/>
      <c r="D137" s="294" t="inlineStr">
        <is>
          <t>**财务未列部分需增列***</t>
        </is>
      </c>
      <c r="E137" s="313" t="n"/>
      <c r="F137" s="313" t="n"/>
      <c r="G137" s="313" t="n"/>
      <c r="H137" s="285" t="n"/>
      <c r="I137" s="285" t="n"/>
      <c r="J137" s="285" t="n"/>
      <c r="K137" s="286" t="n">
        <v>0</v>
      </c>
      <c r="L137" s="287">
        <f>J137-K137</f>
        <v/>
      </c>
      <c r="M137" s="314" t="n"/>
      <c r="N137" s="314" t="n"/>
      <c r="O137" s="285">
        <f>L137-M137</f>
        <v/>
      </c>
      <c r="P137" s="285">
        <f>K137-N137</f>
        <v/>
      </c>
      <c r="Q137" s="285">
        <f>M137+O137</f>
        <v/>
      </c>
      <c r="R137" s="285">
        <f>M137+N137+O137+P137</f>
        <v/>
      </c>
      <c r="S137" s="289">
        <f>SUM(T137:V137)</f>
        <v/>
      </c>
      <c r="T137" s="314" t="n"/>
      <c r="U137" s="314" t="n"/>
      <c r="V137" s="314" t="n"/>
      <c r="W137" s="314" t="n"/>
      <c r="X137" s="314" t="n"/>
      <c r="Y137" s="314" t="n"/>
      <c r="Z137" s="314" t="n"/>
      <c r="AA137" s="289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>
        <f>AB37/1.17*0.17+AC37/1.16*0.16+AD37/1.11*0.11+AE37/1.1*0.1+AF37/1.09*0.09+AI37/1.03*0.03</f>
        <v/>
      </c>
      <c r="AL137" s="297" t="n"/>
    </row>
    <row r="138">
      <c r="A138" s="298" t="n"/>
      <c r="B138" s="299" t="n"/>
      <c r="C138" s="299" t="n"/>
      <c r="D138" s="315" t="inlineStr">
        <is>
          <t>机械费小计：</t>
        </is>
      </c>
      <c r="E138" s="316" t="n"/>
      <c r="F138" s="316" t="n"/>
      <c r="G138" s="316" t="n"/>
      <c r="H138" s="301">
        <f>SUM(H124:H137)</f>
        <v/>
      </c>
      <c r="I138" s="301">
        <f>SUM(I124:I137)</f>
        <v/>
      </c>
      <c r="J138" s="301">
        <f>SUM(J124:J137)</f>
        <v/>
      </c>
      <c r="K138" s="301">
        <f>SUM(K124:K137)</f>
        <v/>
      </c>
      <c r="L138" s="317">
        <f>SUM(L124:L137)</f>
        <v/>
      </c>
      <c r="M138" s="301">
        <f>SUM(M124:M137)</f>
        <v/>
      </c>
      <c r="N138" s="301">
        <f>SUM(N124:N137)</f>
        <v/>
      </c>
      <c r="O138" s="301">
        <f>SUM(O124:O137)</f>
        <v/>
      </c>
      <c r="P138" s="301">
        <f>SUM(P124:P137)</f>
        <v/>
      </c>
      <c r="Q138" s="301">
        <f>SUM(Q124:Q137)</f>
        <v/>
      </c>
      <c r="R138" s="301">
        <f>SUM(R124:R137)</f>
        <v/>
      </c>
      <c r="S138" s="301">
        <f>SUM(S124:S137)</f>
        <v/>
      </c>
      <c r="T138" s="301" t="n"/>
      <c r="U138" s="301" t="n"/>
      <c r="V138" s="301" t="n"/>
      <c r="W138" s="301" t="n"/>
      <c r="X138" s="301" t="n"/>
      <c r="Y138" s="301" t="n"/>
      <c r="Z138" s="301">
        <f>SUM(Z124:Z137)</f>
        <v/>
      </c>
      <c r="AA138" s="301">
        <f>SUM(AA124:AA137)</f>
        <v/>
      </c>
      <c r="AB138" s="301" t="n"/>
      <c r="AC138" s="301" t="n"/>
      <c r="AD138" s="301" t="n"/>
      <c r="AE138" s="301" t="n"/>
      <c r="AF138" s="301" t="n"/>
      <c r="AG138" s="301" t="n"/>
      <c r="AH138" s="301" t="n"/>
      <c r="AI138" s="301" t="n"/>
      <c r="AJ138" s="301" t="n"/>
      <c r="AK138" s="301" t="n"/>
      <c r="AL138" s="291" t="n"/>
    </row>
    <row r="139">
      <c r="A139" s="282" t="n"/>
      <c r="B139" s="283" t="n"/>
      <c r="C139" s="283" t="n"/>
      <c r="D139" s="302" t="inlineStr">
        <is>
          <t>（五）其他直接费</t>
        </is>
      </c>
      <c r="E139" s="295" t="n"/>
      <c r="F139" s="295" t="n"/>
      <c r="G139" s="295" t="n"/>
      <c r="H139" s="285" t="n"/>
      <c r="I139" s="285" t="n"/>
      <c r="J139" s="288" t="n">
        <v>0</v>
      </c>
      <c r="K139" s="286" t="n">
        <v>0</v>
      </c>
      <c r="L139" s="287">
        <f>J139-N139-P139</f>
        <v/>
      </c>
      <c r="M139" s="288" t="n"/>
      <c r="N139" s="288" t="n"/>
      <c r="O139" s="285">
        <f>L139-M139</f>
        <v/>
      </c>
      <c r="P139" s="285">
        <f>K139-N139</f>
        <v/>
      </c>
      <c r="Q139" s="285">
        <f>M139+O139</f>
        <v/>
      </c>
      <c r="R139" s="285">
        <f>M139+N139+O139+P139</f>
        <v/>
      </c>
      <c r="S139" s="289">
        <f>SUM(T139:V139)</f>
        <v/>
      </c>
      <c r="T139" s="289" t="n"/>
      <c r="U139" s="289" t="n"/>
      <c r="V139" s="289" t="n"/>
      <c r="W139" s="289" t="n"/>
      <c r="X139" s="289" t="n"/>
      <c r="Y139" s="289" t="n"/>
      <c r="Z139" s="289" t="n"/>
      <c r="AA139" s="289" t="n"/>
      <c r="AB139" s="289" t="n"/>
      <c r="AC139" s="289" t="n"/>
      <c r="AD139" s="289" t="n"/>
      <c r="AE139" s="289" t="n"/>
      <c r="AF139" s="289" t="n"/>
      <c r="AG139" s="289" t="n"/>
      <c r="AH139" s="289" t="n"/>
      <c r="AI139" s="289" t="n"/>
      <c r="AJ139" s="289" t="n"/>
      <c r="AK139" s="290" t="n"/>
      <c r="AL139" s="291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82" t="n"/>
      <c r="B145" s="283" t="n"/>
      <c r="C145" s="283" t="n"/>
      <c r="D145" s="294" t="inlineStr">
        <is>
          <t>**财务未列部分需增列***</t>
        </is>
      </c>
      <c r="E145" s="295" t="n"/>
      <c r="F145" s="295" t="n"/>
      <c r="G145" s="295" t="n"/>
      <c r="H145" s="285" t="n"/>
      <c r="I145" s="285" t="n"/>
      <c r="J145" s="288" t="n"/>
      <c r="K145" s="286" t="n"/>
      <c r="L145" s="287">
        <f>J145-K145</f>
        <v/>
      </c>
      <c r="M145" s="318" t="n"/>
      <c r="N145" s="318" t="n"/>
      <c r="O145" s="285">
        <f>L145-M145</f>
        <v/>
      </c>
      <c r="P145" s="285">
        <f>K145-N145</f>
        <v/>
      </c>
      <c r="Q145" s="285">
        <f>M145+O145</f>
        <v/>
      </c>
      <c r="R145" s="285">
        <f>M145+N145+O145+P145</f>
        <v/>
      </c>
      <c r="S145" s="289">
        <f>SUM(T145:V145)</f>
        <v/>
      </c>
      <c r="T145" s="318" t="n"/>
      <c r="U145" s="318" t="n"/>
      <c r="V145" s="318" t="n"/>
      <c r="W145" s="318" t="n"/>
      <c r="X145" s="318" t="n"/>
      <c r="Y145" s="318" t="n"/>
      <c r="Z145" s="285">
        <f>SUM(AA45:AJ45)</f>
        <v/>
      </c>
      <c r="AA145" s="289" t="n"/>
      <c r="AB145" s="289" t="n"/>
      <c r="AC145" s="289" t="n"/>
      <c r="AD145" s="289" t="n"/>
      <c r="AE145" s="289" t="n"/>
      <c r="AF145" s="289" t="n"/>
      <c r="AG145" s="289" t="n"/>
      <c r="AH145" s="289" t="n"/>
      <c r="AI145" s="289" t="n"/>
      <c r="AJ145" s="289" t="n"/>
      <c r="AK145" s="290" t="n"/>
      <c r="AL145" s="291" t="n"/>
    </row>
    <row r="146">
      <c r="A146" s="319" t="n"/>
      <c r="B146" s="320" t="n"/>
      <c r="C146" s="320" t="n"/>
      <c r="D146" s="315" t="inlineStr">
        <is>
          <t>其他直接费小计：</t>
        </is>
      </c>
      <c r="E146" s="321" t="n"/>
      <c r="F146" s="321" t="n"/>
      <c r="G146" s="321" t="n"/>
      <c r="H146" s="301">
        <f>SUM(H139:H145)</f>
        <v/>
      </c>
      <c r="I146" s="301">
        <f>SUM(I139:I145)</f>
        <v/>
      </c>
      <c r="J146" s="301">
        <f>SUM(J139:J145)</f>
        <v/>
      </c>
      <c r="K146" s="301">
        <f>SUM(K139:K145)</f>
        <v/>
      </c>
      <c r="L146" s="317">
        <f>SUM(L139:L145)</f>
        <v/>
      </c>
      <c r="M146" s="301">
        <f>SUM(M139:M145)</f>
        <v/>
      </c>
      <c r="N146" s="301">
        <f>SUM(N139:N145)</f>
        <v/>
      </c>
      <c r="O146" s="301">
        <f>L146-M146</f>
        <v/>
      </c>
      <c r="P146" s="301">
        <f>SUM(P139:P145)</f>
        <v/>
      </c>
      <c r="Q146" s="301">
        <f>M146+O146</f>
        <v/>
      </c>
      <c r="R146" s="301">
        <f>SUM(R139:R145)</f>
        <v/>
      </c>
      <c r="S146" s="301">
        <f>SUM(S139:S145)</f>
        <v/>
      </c>
      <c r="T146" s="301" t="n"/>
      <c r="U146" s="301" t="n"/>
      <c r="V146" s="301" t="n"/>
      <c r="W146" s="301" t="n"/>
      <c r="X146" s="301" t="n"/>
      <c r="Y146" s="301" t="n"/>
      <c r="Z146" s="301">
        <f>SUM(Z139:Z145)</f>
        <v/>
      </c>
      <c r="AA146" s="301">
        <f>SUM(AA139:AA145)</f>
        <v/>
      </c>
      <c r="AB146" s="301">
        <f>SUM(AB139:AB145)</f>
        <v/>
      </c>
      <c r="AC146" s="301">
        <f>SUM(AC139:AC145)</f>
        <v/>
      </c>
      <c r="AD146" s="301">
        <f>SUM(AD139:AD145)</f>
        <v/>
      </c>
      <c r="AE146" s="301">
        <f>SUM(AE139:AE145)</f>
        <v/>
      </c>
      <c r="AF146" s="301">
        <f>SUM(AF139:AF145)</f>
        <v/>
      </c>
      <c r="AG146" s="301" t="n"/>
      <c r="AH146" s="301" t="n"/>
      <c r="AI146" s="301">
        <f>SUM(AI139:AI145)</f>
        <v/>
      </c>
      <c r="AJ146" s="301">
        <f>SUM(AJ139:AJ145)</f>
        <v/>
      </c>
      <c r="AK146" s="301">
        <f>SUM(AK139:AK145)</f>
        <v/>
      </c>
      <c r="AL146" s="291" t="n"/>
    </row>
    <row r="147">
      <c r="A147" s="282" t="n"/>
      <c r="B147" s="283" t="n"/>
      <c r="C147" s="283" t="n"/>
      <c r="D147" s="302" t="inlineStr">
        <is>
          <t>（六）间接费</t>
        </is>
      </c>
      <c r="E147" s="295" t="n"/>
      <c r="F147" s="295" t="n"/>
      <c r="G147" s="295" t="n"/>
      <c r="H147" s="288" t="n"/>
      <c r="I147" s="285" t="n"/>
      <c r="J147" s="285" t="n">
        <v>0</v>
      </c>
      <c r="K147" s="286" t="n">
        <v>0</v>
      </c>
      <c r="L147" s="287">
        <f>J147-N147-P147</f>
        <v/>
      </c>
      <c r="M147" s="288" t="n"/>
      <c r="N147" s="288" t="n"/>
      <c r="O147" s="285">
        <f>L147-M147</f>
        <v/>
      </c>
      <c r="P147" s="285">
        <f>K147-N147</f>
        <v/>
      </c>
      <c r="Q147" s="285">
        <f>M147+O147</f>
        <v/>
      </c>
      <c r="R147" s="285">
        <f>M147+N147+O147+P147</f>
        <v/>
      </c>
      <c r="S147" s="289">
        <f>SUM(T147:V147)</f>
        <v/>
      </c>
      <c r="T147" s="289" t="n"/>
      <c r="U147" s="289" t="n"/>
      <c r="V147" s="289" t="n"/>
      <c r="W147" s="289" t="n"/>
      <c r="X147" s="289" t="n"/>
      <c r="Y147" s="289" t="n"/>
      <c r="Z147" s="289" t="n"/>
      <c r="AA147" s="289" t="n"/>
      <c r="AB147" s="289" t="n"/>
      <c r="AC147" s="289" t="n"/>
      <c r="AD147" s="289" t="n"/>
      <c r="AE147" s="289" t="n"/>
      <c r="AF147" s="289" t="n"/>
      <c r="AG147" s="289" t="n"/>
      <c r="AH147" s="289" t="n"/>
      <c r="AI147" s="289" t="n"/>
      <c r="AJ147" s="289" t="n"/>
      <c r="AK147" s="290" t="n"/>
      <c r="AL147" s="291" t="n"/>
    </row>
    <row r="148">
      <c r="A148" s="206" t="n">
        <v>1</v>
      </c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220.88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2</v>
      </c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186548.56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3</v>
      </c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5867.37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4</v>
      </c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921583.74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5</v>
      </c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4245.28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6</v>
      </c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27769.38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7</v>
      </c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445466.64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8</v>
      </c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87.84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9</v>
      </c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112428.15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10</v>
      </c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607692.39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11</v>
      </c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453554.98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12</v>
      </c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1111816.95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13</v>
      </c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29087.86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14</v>
      </c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45975.32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15</v>
      </c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266903.49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06" t="n">
        <v>16</v>
      </c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43560.14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3" t="n"/>
      <c r="X163" s="293" t="n"/>
      <c r="Y163" s="293" t="n"/>
      <c r="Z163" s="293" t="n"/>
      <c r="AA163" s="293" t="n"/>
      <c r="AB163" s="293" t="n"/>
      <c r="AC163" s="293" t="n"/>
      <c r="AD163" s="293" t="n"/>
      <c r="AE163" s="293" t="n"/>
      <c r="AF163" s="293" t="n"/>
      <c r="AG163" s="293" t="n"/>
      <c r="AH163" s="293" t="n"/>
      <c r="AI163" s="293" t="n"/>
      <c r="AJ163" s="293" t="n"/>
      <c r="AK163" s="293" t="n"/>
      <c r="AL163" s="293" t="n"/>
    </row>
    <row r="164">
      <c r="A164" s="206" t="n">
        <v>17</v>
      </c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21036724.24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3" t="n"/>
      <c r="X164" s="293" t="n"/>
      <c r="Y164" s="293" t="n"/>
      <c r="Z164" s="293" t="n"/>
      <c r="AA164" s="293" t="n"/>
      <c r="AB164" s="293" t="n"/>
      <c r="AC164" s="293" t="n"/>
      <c r="AD164" s="293" t="n"/>
      <c r="AE164" s="293" t="n"/>
      <c r="AF164" s="293" t="n"/>
      <c r="AG164" s="293" t="n"/>
      <c r="AH164" s="293" t="n"/>
      <c r="AI164" s="293" t="n"/>
      <c r="AJ164" s="293" t="n"/>
      <c r="AK164" s="293" t="n"/>
      <c r="AL164" s="293" t="n"/>
    </row>
    <row r="165">
      <c r="A165" s="206" t="n">
        <v>18</v>
      </c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5663.74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06" t="n">
        <v>19</v>
      </c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14327.83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3" t="n"/>
      <c r="X166" s="293" t="n"/>
      <c r="Y166" s="293" t="n"/>
      <c r="Z166" s="293" t="n"/>
      <c r="AA166" s="293" t="n"/>
      <c r="AB166" s="293" t="n"/>
      <c r="AC166" s="293" t="n"/>
      <c r="AD166" s="293" t="n"/>
      <c r="AE166" s="293" t="n"/>
      <c r="AF166" s="293" t="n"/>
      <c r="AG166" s="293" t="n"/>
      <c r="AH166" s="293" t="n"/>
      <c r="AI166" s="293" t="n"/>
      <c r="AJ166" s="293" t="n"/>
      <c r="AK166" s="293" t="n"/>
      <c r="AL166" s="293" t="n"/>
    </row>
    <row r="167">
      <c r="A167" s="206" t="n">
        <v>20</v>
      </c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66169.48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3" t="n"/>
      <c r="X167" s="293" t="n"/>
      <c r="Y167" s="293" t="n"/>
      <c r="Z167" s="293" t="n"/>
      <c r="AA167" s="293" t="n"/>
      <c r="AB167" s="293" t="n"/>
      <c r="AC167" s="293" t="n"/>
      <c r="AD167" s="293" t="n"/>
      <c r="AE167" s="293" t="n"/>
      <c r="AF167" s="293" t="n"/>
      <c r="AG167" s="293" t="n"/>
      <c r="AH167" s="293" t="n"/>
      <c r="AI167" s="293" t="n"/>
      <c r="AJ167" s="293" t="n"/>
      <c r="AK167" s="293" t="n"/>
      <c r="AL167" s="293" t="n"/>
    </row>
    <row r="168">
      <c r="A168" s="206" t="n">
        <v>21</v>
      </c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1915223.39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3" t="n"/>
      <c r="X168" s="293" t="n"/>
      <c r="Y168" s="293" t="n"/>
      <c r="Z168" s="293" t="n"/>
      <c r="AA168" s="293" t="n"/>
      <c r="AB168" s="293" t="n"/>
      <c r="AC168" s="293" t="n"/>
      <c r="AD168" s="293" t="n"/>
      <c r="AE168" s="293" t="n"/>
      <c r="AF168" s="293" t="n"/>
      <c r="AG168" s="293" t="n"/>
      <c r="AH168" s="293" t="n"/>
      <c r="AI168" s="293" t="n"/>
      <c r="AJ168" s="293" t="n"/>
      <c r="AK168" s="293" t="n"/>
      <c r="AL168" s="293" t="n"/>
    </row>
    <row r="169">
      <c r="A169" s="206" t="n">
        <v>22</v>
      </c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210747.51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06" t="n">
        <v>23</v>
      </c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223298.47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3" t="n"/>
      <c r="X170" s="293" t="n"/>
      <c r="Y170" s="293" t="n"/>
      <c r="Z170" s="293" t="n"/>
      <c r="AA170" s="293" t="n"/>
      <c r="AB170" s="293" t="n"/>
      <c r="AC170" s="293" t="n"/>
      <c r="AD170" s="293" t="n"/>
      <c r="AE170" s="293" t="n"/>
      <c r="AF170" s="293" t="n"/>
      <c r="AG170" s="293" t="n"/>
      <c r="AH170" s="293" t="n"/>
      <c r="AI170" s="293" t="n"/>
      <c r="AJ170" s="293" t="n"/>
      <c r="AK170" s="293" t="n"/>
      <c r="AL170" s="293" t="n"/>
    </row>
    <row r="171">
      <c r="A171" s="206" t="n">
        <v>24</v>
      </c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463287.94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3" t="n"/>
      <c r="X171" s="293" t="n"/>
      <c r="Y171" s="293" t="n"/>
      <c r="Z171" s="293" t="n"/>
      <c r="AA171" s="293" t="n"/>
      <c r="AB171" s="293" t="n"/>
      <c r="AC171" s="293" t="n"/>
      <c r="AD171" s="293" t="n"/>
      <c r="AE171" s="293" t="n"/>
      <c r="AF171" s="293" t="n"/>
      <c r="AG171" s="293" t="n"/>
      <c r="AH171" s="293" t="n"/>
      <c r="AI171" s="293" t="n"/>
      <c r="AJ171" s="293" t="n"/>
      <c r="AK171" s="293" t="n"/>
      <c r="AL171" s="293" t="n"/>
    </row>
    <row r="172">
      <c r="A172" s="206" t="n">
        <v>25</v>
      </c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4059.41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3" t="n"/>
      <c r="X172" s="293" t="n"/>
      <c r="Y172" s="293" t="n"/>
      <c r="Z172" s="293" t="n"/>
      <c r="AA172" s="293" t="n"/>
      <c r="AB172" s="293" t="n"/>
      <c r="AC172" s="293" t="n"/>
      <c r="AD172" s="293" t="n"/>
      <c r="AE172" s="293" t="n"/>
      <c r="AF172" s="293" t="n"/>
      <c r="AG172" s="293" t="n"/>
      <c r="AH172" s="293" t="n"/>
      <c r="AI172" s="293" t="n"/>
      <c r="AJ172" s="293" t="n"/>
      <c r="AK172" s="293" t="n"/>
      <c r="AL172" s="293" t="n"/>
    </row>
    <row r="173">
      <c r="A173" s="206" t="n">
        <v>26</v>
      </c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4798.28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3" t="n"/>
      <c r="X173" s="293" t="n"/>
      <c r="Y173" s="293" t="n"/>
      <c r="Z173" s="293" t="n"/>
      <c r="AA173" s="293" t="n"/>
      <c r="AB173" s="293" t="n"/>
      <c r="AC173" s="293" t="n"/>
      <c r="AD173" s="293" t="n"/>
      <c r="AE173" s="293" t="n"/>
      <c r="AF173" s="293" t="n"/>
      <c r="AG173" s="293" t="n"/>
      <c r="AH173" s="293" t="n"/>
      <c r="AI173" s="293" t="n"/>
      <c r="AJ173" s="293" t="n"/>
      <c r="AK173" s="293" t="n"/>
      <c r="AL173" s="293" t="n"/>
    </row>
    <row r="174">
      <c r="A174" s="206" t="n">
        <v>27</v>
      </c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1410339.33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3" t="n"/>
      <c r="X174" s="293" t="n"/>
      <c r="Y174" s="293" t="n"/>
      <c r="Z174" s="293" t="n"/>
      <c r="AA174" s="293" t="n"/>
      <c r="AB174" s="293" t="n"/>
      <c r="AC174" s="293" t="n"/>
      <c r="AD174" s="293" t="n"/>
      <c r="AE174" s="293" t="n"/>
      <c r="AF174" s="293" t="n"/>
      <c r="AG174" s="293" t="n"/>
      <c r="AH174" s="293" t="n"/>
      <c r="AI174" s="293" t="n"/>
      <c r="AJ174" s="293" t="n"/>
      <c r="AK174" s="293" t="n"/>
      <c r="AL174" s="293" t="n"/>
    </row>
    <row r="175">
      <c r="A175" s="206" t="n">
        <v>28</v>
      </c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429894.83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3" t="n"/>
      <c r="X175" s="293" t="n"/>
      <c r="Y175" s="293" t="n"/>
      <c r="Z175" s="293" t="n"/>
      <c r="AA175" s="293" t="n"/>
      <c r="AB175" s="293" t="n"/>
      <c r="AC175" s="293" t="n"/>
      <c r="AD175" s="293" t="n"/>
      <c r="AE175" s="293" t="n"/>
      <c r="AF175" s="293" t="n"/>
      <c r="AG175" s="293" t="n"/>
      <c r="AH175" s="293" t="n"/>
      <c r="AI175" s="293" t="n"/>
      <c r="AJ175" s="293" t="n"/>
      <c r="AK175" s="293" t="n"/>
      <c r="AL175" s="293" t="n"/>
    </row>
    <row r="176">
      <c r="A176" s="206" t="n">
        <v>29</v>
      </c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34521.89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3" t="n"/>
      <c r="X176" s="293" t="n"/>
      <c r="Y176" s="293" t="n"/>
      <c r="Z176" s="293" t="n"/>
      <c r="AA176" s="293" t="n"/>
      <c r="AB176" s="293" t="n"/>
      <c r="AC176" s="293" t="n"/>
      <c r="AD176" s="293" t="n"/>
      <c r="AE176" s="293" t="n"/>
      <c r="AF176" s="293" t="n"/>
      <c r="AG176" s="293" t="n"/>
      <c r="AH176" s="293" t="n"/>
      <c r="AI176" s="293" t="n"/>
      <c r="AJ176" s="293" t="n"/>
      <c r="AK176" s="293" t="n"/>
      <c r="AL176" s="293" t="n"/>
    </row>
    <row r="177">
      <c r="A177" s="206" t="n">
        <v>30</v>
      </c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114830.51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3" t="n"/>
      <c r="X177" s="293" t="n"/>
      <c r="Y177" s="293" t="n"/>
      <c r="Z177" s="293" t="n"/>
      <c r="AA177" s="293" t="n"/>
      <c r="AB177" s="293" t="n"/>
      <c r="AC177" s="293" t="n"/>
      <c r="AD177" s="293" t="n"/>
      <c r="AE177" s="293" t="n"/>
      <c r="AF177" s="293" t="n"/>
      <c r="AG177" s="293" t="n"/>
      <c r="AH177" s="293" t="n"/>
      <c r="AI177" s="293" t="n"/>
      <c r="AJ177" s="293" t="n"/>
      <c r="AK177" s="293" t="n"/>
      <c r="AL177" s="293" t="n"/>
    </row>
    <row r="178">
      <c r="A178" s="206" t="n">
        <v>31</v>
      </c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135820.32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3" t="n"/>
      <c r="X178" s="293" t="n"/>
      <c r="Y178" s="293" t="n"/>
      <c r="Z178" s="293" t="n"/>
      <c r="AA178" s="293" t="n"/>
      <c r="AB178" s="293" t="n"/>
      <c r="AC178" s="293" t="n"/>
      <c r="AD178" s="293" t="n"/>
      <c r="AE178" s="293" t="n"/>
      <c r="AF178" s="293" t="n"/>
      <c r="AG178" s="293" t="n"/>
      <c r="AH178" s="293" t="n"/>
      <c r="AI178" s="293" t="n"/>
      <c r="AJ178" s="293" t="n"/>
      <c r="AK178" s="293" t="n"/>
      <c r="AL178" s="293" t="n"/>
    </row>
    <row r="179">
      <c r="A179" s="206" t="n">
        <v>32</v>
      </c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824342.88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3" t="n"/>
      <c r="X179" s="293" t="n"/>
      <c r="Y179" s="293" t="n"/>
      <c r="Z179" s="293" t="n"/>
      <c r="AA179" s="293" t="n"/>
      <c r="AB179" s="293" t="n"/>
      <c r="AC179" s="293" t="n"/>
      <c r="AD179" s="293" t="n"/>
      <c r="AE179" s="293" t="n"/>
      <c r="AF179" s="293" t="n"/>
      <c r="AG179" s="293" t="n"/>
      <c r="AH179" s="293" t="n"/>
      <c r="AI179" s="293" t="n"/>
      <c r="AJ179" s="293" t="n"/>
      <c r="AK179" s="293" t="n"/>
      <c r="AL179" s="293" t="n"/>
    </row>
    <row r="180">
      <c r="A180" s="206" t="n">
        <v>33</v>
      </c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7322.89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6" t="n">
        <v>34</v>
      </c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36638.87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6" t="n">
        <v>35</v>
      </c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78817.39999999999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06" t="n">
        <v>36</v>
      </c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209326.47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3" t="n"/>
      <c r="X183" s="293" t="n"/>
      <c r="Y183" s="293" t="n"/>
      <c r="Z183" s="293" t="n"/>
      <c r="AA183" s="293" t="n"/>
      <c r="AB183" s="293" t="n"/>
      <c r="AC183" s="293" t="n"/>
      <c r="AD183" s="293" t="n"/>
      <c r="AE183" s="293" t="n"/>
      <c r="AF183" s="293" t="n"/>
      <c r="AG183" s="293" t="n"/>
      <c r="AH183" s="293" t="n"/>
      <c r="AI183" s="293" t="n"/>
      <c r="AJ183" s="293" t="n"/>
      <c r="AK183" s="293" t="n"/>
      <c r="AL183" s="293" t="n"/>
    </row>
    <row r="184">
      <c r="A184" s="206" t="n">
        <v>37</v>
      </c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192969.09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3" t="n"/>
      <c r="X184" s="293" t="n"/>
      <c r="Y184" s="293" t="n"/>
      <c r="Z184" s="293" t="n"/>
      <c r="AA184" s="293" t="n"/>
      <c r="AB184" s="293" t="n"/>
      <c r="AC184" s="293" t="n"/>
      <c r="AD184" s="293" t="n"/>
      <c r="AE184" s="293" t="n"/>
      <c r="AF184" s="293" t="n"/>
      <c r="AG184" s="293" t="n"/>
      <c r="AH184" s="293" t="n"/>
      <c r="AI184" s="293" t="n"/>
      <c r="AJ184" s="293" t="n"/>
      <c r="AK184" s="293" t="n"/>
      <c r="AL184" s="293" t="n"/>
    </row>
    <row r="185">
      <c r="A185" s="206" t="n">
        <v>38</v>
      </c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1030.72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3" t="n"/>
      <c r="X185" s="293" t="n"/>
      <c r="Y185" s="293" t="n"/>
      <c r="Z185" s="293" t="n"/>
      <c r="AA185" s="293" t="n"/>
      <c r="AB185" s="293" t="n"/>
      <c r="AC185" s="293" t="n"/>
      <c r="AD185" s="293" t="n"/>
      <c r="AE185" s="293" t="n"/>
      <c r="AF185" s="293" t="n"/>
      <c r="AG185" s="293" t="n"/>
      <c r="AH185" s="293" t="n"/>
      <c r="AI185" s="293" t="n"/>
      <c r="AJ185" s="293" t="n"/>
      <c r="AK185" s="293" t="n"/>
      <c r="AL185" s="293" t="n"/>
    </row>
    <row r="186">
      <c r="A186" s="282" t="n"/>
      <c r="B186" s="283" t="n"/>
      <c r="C186" s="283" t="n"/>
      <c r="D186" s="294" t="inlineStr">
        <is>
          <t>**财务未列部分需增列***</t>
        </is>
      </c>
      <c r="E186" s="295" t="n"/>
      <c r="F186" s="295" t="n"/>
      <c r="G186" s="295" t="n"/>
      <c r="H186" s="318" t="n"/>
      <c r="I186" s="285" t="n"/>
      <c r="J186" s="318" t="n"/>
      <c r="K186" s="286" t="n"/>
      <c r="L186" s="287" t="n"/>
      <c r="M186" s="318" t="n"/>
      <c r="N186" s="285" t="n"/>
      <c r="O186" s="285">
        <f>L186-M186</f>
        <v/>
      </c>
      <c r="P186" s="285">
        <f>K186-N186</f>
        <v/>
      </c>
      <c r="Q186" s="285">
        <f>M186+O186</f>
        <v/>
      </c>
      <c r="R186" s="285">
        <f>M186+N186+O186+P186</f>
        <v/>
      </c>
      <c r="S186" s="289">
        <f>SUM(T186:V186)</f>
        <v/>
      </c>
      <c r="T186" s="318" t="n"/>
      <c r="U186" s="318" t="n"/>
      <c r="V186" s="318" t="n"/>
      <c r="W186" s="318" t="n"/>
      <c r="X186" s="318" t="n"/>
      <c r="Y186" s="318" t="n"/>
      <c r="Z186" s="318" t="n"/>
      <c r="AA186" s="289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7" t="n"/>
    </row>
    <row r="187">
      <c r="A187" s="319" t="n"/>
      <c r="B187" s="320" t="n"/>
      <c r="C187" s="320" t="n"/>
      <c r="D187" s="315" t="inlineStr">
        <is>
          <t>间接费小计：</t>
        </is>
      </c>
      <c r="E187" s="321" t="n"/>
      <c r="F187" s="321" t="n"/>
      <c r="G187" s="321" t="n"/>
      <c r="H187" s="301">
        <f>SUM(H147:H186)</f>
        <v/>
      </c>
      <c r="I187" s="301">
        <f>SUM(I147:I186)</f>
        <v/>
      </c>
      <c r="J187" s="301">
        <f>SUM(J147:J186)</f>
        <v/>
      </c>
      <c r="K187" s="301">
        <f>SUM(K147:K186)</f>
        <v/>
      </c>
      <c r="L187" s="317">
        <f>SUM(L147:L186)</f>
        <v/>
      </c>
      <c r="M187" s="317">
        <f>SUM(M147:M186)</f>
        <v/>
      </c>
      <c r="N187" s="317">
        <f>SUM(N147:N186)</f>
        <v/>
      </c>
      <c r="O187" s="317">
        <f>SUM(O147:O186)</f>
        <v/>
      </c>
      <c r="P187" s="317">
        <f>SUM(P147:P186)</f>
        <v/>
      </c>
      <c r="Q187" s="317">
        <f>SUM(Q147:Q186)</f>
        <v/>
      </c>
      <c r="R187" s="317">
        <f>SUM(R147:R186)</f>
        <v/>
      </c>
      <c r="S187" s="317">
        <f>SUM(S147:S186)</f>
        <v/>
      </c>
      <c r="T187" s="317" t="n"/>
      <c r="U187" s="317" t="n"/>
      <c r="V187" s="317" t="n"/>
      <c r="W187" s="317" t="n"/>
      <c r="X187" s="317" t="n"/>
      <c r="Y187" s="317" t="n"/>
      <c r="Z187" s="317">
        <f>SUM(Z147:Z186)</f>
        <v/>
      </c>
      <c r="AA187" s="317">
        <f>SUM(AA147:AA186)</f>
        <v/>
      </c>
      <c r="AB187" s="317">
        <f>SUM(AB147:AB186)</f>
        <v/>
      </c>
      <c r="AC187" s="317">
        <f>SUM(AC147:AC186)</f>
        <v/>
      </c>
      <c r="AD187" s="317">
        <f>SUM(AD147:AD186)</f>
        <v/>
      </c>
      <c r="AE187" s="317">
        <f>SUM(AE147:AE186)</f>
        <v/>
      </c>
      <c r="AF187" s="317">
        <f>SUM(AF147:AF186)</f>
        <v/>
      </c>
      <c r="AG187" s="317" t="n"/>
      <c r="AH187" s="317" t="n"/>
      <c r="AI187" s="317">
        <f>SUM(AI147:AI186)</f>
        <v/>
      </c>
      <c r="AJ187" s="317">
        <f>SUM(AJ147:AJ186)</f>
        <v/>
      </c>
      <c r="AK187" s="317">
        <f>SUM(AK147:AK186)</f>
        <v/>
      </c>
      <c r="AL187" s="297" t="n"/>
    </row>
    <row r="188">
      <c r="A188" s="282" t="n"/>
      <c r="B188" s="283" t="n"/>
      <c r="C188" s="283" t="n"/>
      <c r="D188" s="302" t="inlineStr">
        <is>
          <t>（七）安全费</t>
        </is>
      </c>
      <c r="E188" s="295" t="n"/>
      <c r="F188" s="295" t="n"/>
      <c r="G188" s="295" t="n"/>
      <c r="H188" s="285" t="n"/>
      <c r="I188" s="285" t="n"/>
      <c r="J188" s="288" t="n">
        <v>0</v>
      </c>
      <c r="K188" s="322" t="n"/>
      <c r="L188" s="287">
        <f>J188-N188-P188</f>
        <v/>
      </c>
      <c r="M188" s="285" t="n"/>
      <c r="N188" s="285" t="n"/>
      <c r="O188" s="285">
        <f>L188-M188</f>
        <v/>
      </c>
      <c r="P188" s="285">
        <f>K188-N188</f>
        <v/>
      </c>
      <c r="Q188" s="285">
        <f>M188+O188</f>
        <v/>
      </c>
      <c r="R188" s="285">
        <f>M188+N188+O188+P188</f>
        <v/>
      </c>
      <c r="S188" s="289">
        <f>SUM(T188:V188)</f>
        <v/>
      </c>
      <c r="T188" s="318" t="n"/>
      <c r="U188" s="318" t="n"/>
      <c r="V188" s="318" t="n"/>
      <c r="W188" s="318" t="n"/>
      <c r="X188" s="318" t="n"/>
      <c r="Y188" s="318" t="n"/>
      <c r="Z188" s="314" t="n"/>
      <c r="AA188" s="289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7" t="n"/>
    </row>
    <row r="189">
      <c r="A189" s="206" t="n">
        <v>1</v>
      </c>
      <c r="B189" s="206" t="n"/>
      <c r="C189" s="207" t="n"/>
      <c r="D189" s="207" t="inlineStr">
        <is>
          <t>安全生产-人工费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2852405.63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3" t="n"/>
      <c r="X189" s="293" t="n"/>
      <c r="Y189" s="293" t="n"/>
      <c r="Z189" s="293" t="n"/>
      <c r="AA189" s="293" t="n"/>
      <c r="AB189" s="293" t="n"/>
      <c r="AC189" s="293" t="n"/>
      <c r="AD189" s="293" t="n"/>
      <c r="AE189" s="293" t="n"/>
      <c r="AF189" s="293" t="n"/>
      <c r="AG189" s="293" t="n"/>
      <c r="AH189" s="293" t="n"/>
      <c r="AI189" s="293" t="n"/>
      <c r="AJ189" s="293" t="n"/>
      <c r="AK189" s="293" t="n"/>
      <c r="AL189" s="293" t="n"/>
    </row>
    <row r="190">
      <c r="A190" s="206" t="n">
        <v>2</v>
      </c>
      <c r="B190" s="206" t="n"/>
      <c r="C190" s="207" t="n"/>
      <c r="D190" s="207" t="inlineStr">
        <is>
          <t>安全生产-分包工程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12546095.85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3" t="n"/>
      <c r="X190" s="293" t="n"/>
      <c r="Y190" s="293" t="n"/>
      <c r="Z190" s="293" t="n"/>
      <c r="AA190" s="293" t="n"/>
      <c r="AB190" s="293" t="n"/>
      <c r="AC190" s="293" t="n"/>
      <c r="AD190" s="293" t="n"/>
      <c r="AE190" s="293" t="n"/>
      <c r="AF190" s="293" t="n"/>
      <c r="AG190" s="293" t="n"/>
      <c r="AH190" s="293" t="n"/>
      <c r="AI190" s="293" t="n"/>
      <c r="AJ190" s="293" t="n"/>
      <c r="AK190" s="293" t="n"/>
      <c r="AL190" s="293" t="n"/>
    </row>
    <row r="191">
      <c r="A191" s="206" t="n">
        <v>3</v>
      </c>
      <c r="B191" s="206" t="n"/>
      <c r="C191" s="207" t="n"/>
      <c r="D191" s="207" t="inlineStr">
        <is>
          <t>安全生产-机械使用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326856.87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3" t="n"/>
      <c r="X191" s="293" t="n"/>
      <c r="Y191" s="293" t="n"/>
      <c r="Z191" s="293" t="n"/>
      <c r="AA191" s="293" t="n"/>
      <c r="AB191" s="293" t="n"/>
      <c r="AC191" s="293" t="n"/>
      <c r="AD191" s="293" t="n"/>
      <c r="AE191" s="293" t="n"/>
      <c r="AF191" s="293" t="n"/>
      <c r="AG191" s="293" t="n"/>
      <c r="AH191" s="293" t="n"/>
      <c r="AI191" s="293" t="n"/>
      <c r="AJ191" s="293" t="n"/>
      <c r="AK191" s="293" t="n"/>
      <c r="AL191" s="293" t="n"/>
    </row>
    <row r="192">
      <c r="A192" s="206" t="n">
        <v>4</v>
      </c>
      <c r="B192" s="206" t="n"/>
      <c r="C192" s="207" t="n"/>
      <c r="D192" s="207" t="inlineStr">
        <is>
          <t>安全生产费-报销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2066826.1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3" t="n"/>
      <c r="X192" s="293" t="n"/>
      <c r="Y192" s="293" t="n"/>
      <c r="Z192" s="293" t="n"/>
      <c r="AA192" s="293" t="n"/>
      <c r="AB192" s="293" t="n"/>
      <c r="AC192" s="293" t="n"/>
      <c r="AD192" s="293" t="n"/>
      <c r="AE192" s="293" t="n"/>
      <c r="AF192" s="293" t="n"/>
      <c r="AG192" s="293" t="n"/>
      <c r="AH192" s="293" t="n"/>
      <c r="AI192" s="293" t="n"/>
      <c r="AJ192" s="293" t="n"/>
      <c r="AK192" s="293" t="n"/>
      <c r="AL192" s="293" t="n"/>
    </row>
    <row r="193">
      <c r="A193" s="319" t="n"/>
      <c r="B193" s="320" t="n"/>
      <c r="C193" s="320" t="n"/>
      <c r="D193" s="315" t="inlineStr">
        <is>
          <t>安全费小计：</t>
        </is>
      </c>
      <c r="E193" s="315" t="n"/>
      <c r="F193" s="315" t="n"/>
      <c r="G193" s="315" t="n"/>
      <c r="H193" s="301">
        <f>SUM(H188:H192)</f>
        <v/>
      </c>
      <c r="I193" s="301">
        <f>SUM(I188:I192)</f>
        <v/>
      </c>
      <c r="J193" s="301" t="n">
        <v>0</v>
      </c>
      <c r="K193" s="301" t="n">
        <v>0</v>
      </c>
      <c r="L193" s="323">
        <f>J193-K193</f>
        <v/>
      </c>
      <c r="M193" s="317">
        <f>SUM(M188:M192)</f>
        <v/>
      </c>
      <c r="N193" s="317">
        <f>SUM(N188:N192)</f>
        <v/>
      </c>
      <c r="O193" s="317">
        <f>SUM(O188:O192)</f>
        <v/>
      </c>
      <c r="P193" s="317">
        <f>SUM(P188:P192)</f>
        <v/>
      </c>
      <c r="Q193" s="317">
        <f>SUM(Q188:Q192)</f>
        <v/>
      </c>
      <c r="R193" s="317">
        <f>SUM(R188:R192)</f>
        <v/>
      </c>
      <c r="S193" s="317">
        <f>SUM(S188:S192)</f>
        <v/>
      </c>
      <c r="T193" s="324" t="n"/>
      <c r="U193" s="324" t="n"/>
      <c r="V193" s="324" t="n"/>
      <c r="W193" s="324" t="n"/>
      <c r="X193" s="324" t="n"/>
      <c r="Y193" s="324" t="n"/>
      <c r="Z193" s="324" t="n"/>
      <c r="AA193" s="324">
        <f>SUM(AA188:AA192)</f>
        <v/>
      </c>
      <c r="AB193" s="324">
        <f>SUM(AB188:AB192)</f>
        <v/>
      </c>
      <c r="AC193" s="324">
        <f>SUM(AC188:AC192)</f>
        <v/>
      </c>
      <c r="AD193" s="324">
        <f>SUM(AD188:AD192)</f>
        <v/>
      </c>
      <c r="AE193" s="324">
        <f>SUM(AE188:AE192)</f>
        <v/>
      </c>
      <c r="AF193" s="324">
        <f>SUM(AF188:AF192)</f>
        <v/>
      </c>
      <c r="AG193" s="324" t="n"/>
      <c r="AH193" s="324" t="n"/>
      <c r="AI193" s="324">
        <f>SUM(AI188:AI192)</f>
        <v/>
      </c>
      <c r="AJ193" s="324">
        <f>SUM(AJ188:AJ192)</f>
        <v/>
      </c>
      <c r="AK193" s="324">
        <f>SUM(AK188:AK192)</f>
        <v/>
      </c>
      <c r="AL193" s="325" t="n"/>
    </row>
    <row r="194">
      <c r="A194" s="319" t="n"/>
      <c r="B194" s="320" t="n"/>
      <c r="C194" s="320" t="n"/>
      <c r="D194" s="315" t="inlineStr">
        <is>
          <t>三、成本合计：</t>
        </is>
      </c>
      <c r="E194" s="321" t="n"/>
      <c r="F194" s="321" t="n"/>
      <c r="G194" s="321" t="n"/>
      <c r="H194" s="301">
        <f>H34+H67+H123+H138+H146+H187+H193</f>
        <v/>
      </c>
      <c r="I194" s="301">
        <f>I34+I67+I123+I138+I146+I187+I193</f>
        <v/>
      </c>
      <c r="J194" s="301">
        <f>J34+J67+J123+J138+J146+J187+J193</f>
        <v/>
      </c>
      <c r="K194" s="301">
        <f>K34+K67+K123+K138+K146+K187+K193</f>
        <v/>
      </c>
      <c r="L194" s="317">
        <f>L34+L67+L123+L138+L146+L187+L193</f>
        <v/>
      </c>
      <c r="M194" s="324">
        <f>M34+M67+M123+M138+M146+M187+M193</f>
        <v/>
      </c>
      <c r="N194" s="324">
        <f>N34+N67+N123+N138+N146+N187+N193</f>
        <v/>
      </c>
      <c r="O194" s="324">
        <f>O34+O67+O123+O138+O146+O187+O193</f>
        <v/>
      </c>
      <c r="P194" s="324">
        <f>P34+P67+P123+P138+P146+P187+P193</f>
        <v/>
      </c>
      <c r="Q194" s="324">
        <f>Q34+Q67+Q123+Q138+Q146+Q187+Q193</f>
        <v/>
      </c>
      <c r="R194" s="324">
        <f>R34+R67+R123+R138+R146+R187+R193</f>
        <v/>
      </c>
      <c r="S194" s="324">
        <f>S34+S67+S123+S138+S146+S187+S193</f>
        <v/>
      </c>
      <c r="T194" s="324" t="n"/>
      <c r="U194" s="324" t="n"/>
      <c r="V194" s="324" t="n"/>
      <c r="W194" s="324" t="n"/>
      <c r="X194" s="324" t="n"/>
      <c r="Y194" s="324" t="n"/>
      <c r="Z194" s="324">
        <f>Z34+Z67+Z123+Z138+Z146+Z187+Z193</f>
        <v/>
      </c>
      <c r="AA194" s="324">
        <f>AA34+AA67+AA123+AA138+AA146+AA187+AA193</f>
        <v/>
      </c>
      <c r="AB194" s="324">
        <f>AB34+AB67+AB123+AB138+AB146+AB187+AB193</f>
        <v/>
      </c>
      <c r="AC194" s="324">
        <f>AC34+AC67+AC123+AC138+AC146+AC187+AC193</f>
        <v/>
      </c>
      <c r="AD194" s="324">
        <f>AD34+AD67+AD123+AD138+AD146+AD187+AD193</f>
        <v/>
      </c>
      <c r="AE194" s="324">
        <f>AE34+AE67+AE123+AE138+AE146+AE187+AE193</f>
        <v/>
      </c>
      <c r="AF194" s="324">
        <f>AF34+AF67+AF123+AF138+AF146+AF187+AF193</f>
        <v/>
      </c>
      <c r="AG194" s="324" t="n"/>
      <c r="AH194" s="324" t="n"/>
      <c r="AI194" s="324">
        <f>AI34+AI67+AI123+AI138+AI146+AI187+AI193</f>
        <v/>
      </c>
      <c r="AJ194" s="324">
        <f>AJ34+AJ67+AJ123+AJ138+AJ146+AJ187+AJ193</f>
        <v/>
      </c>
      <c r="AK194" s="324">
        <f>AK34+AK67+AK123+AK138+AK146+AK187+AK193</f>
        <v/>
      </c>
      <c r="AL194" s="325" t="n"/>
    </row>
    <row r="195">
      <c r="A195" s="319" t="n"/>
      <c r="B195" s="320" t="n"/>
      <c r="C195" s="320" t="n"/>
      <c r="D195" s="315" t="inlineStr">
        <is>
          <t>四、计提保修金</t>
        </is>
      </c>
      <c r="E195" s="321" t="inlineStr">
        <is>
          <t>（在建：房建0.6%，其它0.4%；在保修期间的按0.3~0.5%自行确定;保修期结束为0）</t>
        </is>
      </c>
      <c r="F195" s="321" t="n"/>
      <c r="G195" s="321" t="n"/>
      <c r="H195" s="301" t="n"/>
      <c r="I195" s="301" t="n"/>
      <c r="J195" s="301">
        <f>H195+I195</f>
        <v/>
      </c>
      <c r="K195" s="301" t="n"/>
      <c r="L195" s="317">
        <f>J195-K195</f>
        <v/>
      </c>
      <c r="M195" s="324" t="n"/>
      <c r="N195" s="324" t="n"/>
      <c r="O195" s="324">
        <f>L195-M195</f>
        <v/>
      </c>
      <c r="P195" s="324">
        <f>K195-N195</f>
        <v/>
      </c>
      <c r="Q195" s="324">
        <f>M195+O195</f>
        <v/>
      </c>
      <c r="R195" s="324">
        <f>M195+N195+O195+P195</f>
        <v/>
      </c>
      <c r="S195" s="324">
        <f>SUM(T195:V195)</f>
        <v/>
      </c>
      <c r="T195" s="324" t="n"/>
      <c r="U195" s="324" t="n"/>
      <c r="V195" s="324" t="n"/>
      <c r="W195" s="324" t="n"/>
      <c r="X195" s="324" t="n"/>
      <c r="Y195" s="324" t="n"/>
      <c r="Z195" s="324" t="n"/>
      <c r="AA195" s="324">
        <f>Q69-S69</f>
        <v/>
      </c>
      <c r="AB195" s="324" t="n"/>
      <c r="AC195" s="324" t="n"/>
      <c r="AD195" s="324" t="n"/>
      <c r="AE195" s="324" t="n"/>
      <c r="AF195" s="324" t="n"/>
      <c r="AG195" s="324" t="n"/>
      <c r="AH195" s="324" t="n"/>
      <c r="AI195" s="324" t="n"/>
      <c r="AJ195" s="324" t="n"/>
      <c r="AK195" s="324" t="n"/>
      <c r="AL195" s="325" t="n"/>
    </row>
    <row r="196">
      <c r="A196" s="319" t="n"/>
      <c r="B196" s="320" t="n"/>
      <c r="C196" s="320" t="n"/>
      <c r="D196" s="315" t="inlineStr">
        <is>
          <t>五、过程节点奖金</t>
        </is>
      </c>
      <c r="E196" s="321" t="n"/>
      <c r="F196" s="321" t="n"/>
      <c r="G196" s="321" t="n"/>
      <c r="H196" s="301" t="n"/>
      <c r="I196" s="301" t="n"/>
      <c r="J196" s="301">
        <f>H196+I196</f>
        <v/>
      </c>
      <c r="K196" s="301" t="n"/>
      <c r="L196" s="317">
        <f>J196-K196</f>
        <v/>
      </c>
      <c r="M196" s="324" t="n"/>
      <c r="N196" s="324" t="n"/>
      <c r="O196" s="324">
        <f>L196-M196</f>
        <v/>
      </c>
      <c r="P196" s="324">
        <f>K196-N196</f>
        <v/>
      </c>
      <c r="Q196" s="324">
        <f>M196+O196</f>
        <v/>
      </c>
      <c r="R196" s="324">
        <f>M196+N196+O196+P196</f>
        <v/>
      </c>
      <c r="S196" s="324">
        <f>SUM(T196:V196)</f>
        <v/>
      </c>
      <c r="T196" s="324" t="n"/>
      <c r="U196" s="324" t="n"/>
      <c r="V196" s="324" t="n"/>
      <c r="W196" s="324" t="n"/>
      <c r="X196" s="324" t="n"/>
      <c r="Y196" s="324" t="n"/>
      <c r="Z196" s="324" t="n"/>
      <c r="AA196" s="324" t="n"/>
      <c r="AB196" s="324" t="n"/>
      <c r="AC196" s="324" t="n"/>
      <c r="AD196" s="324" t="n"/>
      <c r="AE196" s="324" t="n"/>
      <c r="AF196" s="324" t="n"/>
      <c r="AG196" s="324" t="n"/>
      <c r="AH196" s="324" t="n"/>
      <c r="AI196" s="324" t="n"/>
      <c r="AJ196" s="324" t="n"/>
      <c r="AK196" s="324" t="n"/>
      <c r="AL196" s="325" t="n"/>
    </row>
    <row r="197">
      <c r="A197" s="319" t="n"/>
      <c r="B197" s="320" t="n"/>
      <c r="C197" s="320" t="n"/>
      <c r="D197" s="315" t="inlineStr">
        <is>
          <t>六、资金占用费用</t>
        </is>
      </c>
      <c r="E197" s="321" t="n"/>
      <c r="F197" s="321" t="n"/>
      <c r="G197" s="321" t="n"/>
      <c r="H197" s="301" t="n"/>
      <c r="I197" s="301" t="n"/>
      <c r="J197" s="301">
        <f>H197+I197</f>
        <v/>
      </c>
      <c r="K197" s="301" t="n"/>
      <c r="L197" s="317">
        <f>J197-K197</f>
        <v/>
      </c>
      <c r="M197" s="326" t="n">
        <v>6780777.21</v>
      </c>
      <c r="N197" s="324" t="n"/>
      <c r="O197" s="324">
        <f>L197-M197</f>
        <v/>
      </c>
      <c r="P197" s="324">
        <f>K197-N197</f>
        <v/>
      </c>
      <c r="Q197" s="324">
        <f>M197+O197</f>
        <v/>
      </c>
      <c r="R197" s="324">
        <f>M197+N197+O197+P197</f>
        <v/>
      </c>
      <c r="S197" s="324">
        <f>SUM(T197:V197)</f>
        <v/>
      </c>
      <c r="T197" s="324" t="n"/>
      <c r="U197" s="324" t="n"/>
      <c r="V197" s="324" t="n"/>
      <c r="W197" s="324" t="n"/>
      <c r="X197" s="324" t="n"/>
      <c r="Y197" s="324" t="n"/>
      <c r="Z197" s="324" t="n"/>
      <c r="AA197" s="324" t="n"/>
      <c r="AB197" s="324" t="n"/>
      <c r="AC197" s="324" t="n"/>
      <c r="AD197" s="324" t="n"/>
      <c r="AE197" s="324" t="n"/>
      <c r="AF197" s="324" t="n"/>
      <c r="AG197" s="324" t="n"/>
      <c r="AH197" s="324" t="n"/>
      <c r="AI197" s="324" t="n"/>
      <c r="AJ197" s="324" t="n"/>
      <c r="AK197" s="324" t="n"/>
      <c r="AL197" s="325" t="n"/>
    </row>
    <row r="198">
      <c r="A198" s="319" t="n"/>
      <c r="B198" s="320" t="n"/>
      <c r="C198" s="320" t="n"/>
      <c r="D198" s="315" t="inlineStr">
        <is>
          <t>七、局投资收益（局投资项目选填）</t>
        </is>
      </c>
      <c r="E198" s="321" t="n"/>
      <c r="F198" s="321" t="n"/>
      <c r="G198" s="321" t="n"/>
      <c r="H198" s="301" t="n"/>
      <c r="I198" s="301" t="n"/>
      <c r="J198" s="301">
        <f>H198+I198</f>
        <v/>
      </c>
      <c r="K198" s="301" t="n"/>
      <c r="L198" s="317">
        <f>J198-K198</f>
        <v/>
      </c>
      <c r="M198" s="324" t="n"/>
      <c r="N198" s="324" t="n"/>
      <c r="O198" s="324">
        <f>L198-M198</f>
        <v/>
      </c>
      <c r="P198" s="324">
        <f>K198-N198</f>
        <v/>
      </c>
      <c r="Q198" s="324">
        <f>M198+O198</f>
        <v/>
      </c>
      <c r="R198" s="324">
        <f>M198+N198+O198+P198</f>
        <v/>
      </c>
      <c r="S198" s="324">
        <f>SUM(T198:V198)</f>
        <v/>
      </c>
      <c r="T198" s="324" t="n"/>
      <c r="U198" s="324" t="n"/>
      <c r="V198" s="324" t="n"/>
      <c r="W198" s="324" t="n"/>
      <c r="X198" s="324" t="n"/>
      <c r="Y198" s="324" t="n"/>
      <c r="Z198" s="324" t="n"/>
      <c r="AA198" s="324" t="n"/>
      <c r="AB198" s="324" t="n"/>
      <c r="AC198" s="324" t="n"/>
      <c r="AD198" s="324" t="n"/>
      <c r="AE198" s="324" t="n"/>
      <c r="AF198" s="324" t="n"/>
      <c r="AG198" s="324" t="n"/>
      <c r="AH198" s="324" t="n"/>
      <c r="AI198" s="324" t="n"/>
      <c r="AJ198" s="324" t="n"/>
      <c r="AK198" s="324" t="n"/>
      <c r="AL198" s="325" t="n"/>
    </row>
    <row r="199">
      <c r="A199" s="319" t="n"/>
      <c r="B199" s="320" t="n"/>
      <c r="C199" s="320" t="n"/>
      <c r="D199" s="315" t="inlineStr">
        <is>
          <t>八、研发费用</t>
        </is>
      </c>
      <c r="E199" s="321" t="n"/>
      <c r="F199" s="321" t="n"/>
      <c r="G199" s="321" t="n"/>
      <c r="H199" s="301" t="n"/>
      <c r="I199" s="301" t="n"/>
      <c r="J199" s="301">
        <f>H199+I199</f>
        <v/>
      </c>
      <c r="K199" s="301" t="n"/>
      <c r="L199" s="317">
        <f>J199-K199</f>
        <v/>
      </c>
      <c r="M199" s="324">
        <f>SUM(M200:M204)</f>
        <v/>
      </c>
      <c r="N199" s="324">
        <f>SUM(N200:N204)</f>
        <v/>
      </c>
      <c r="O199" s="324">
        <f>SUM(O200:O204)</f>
        <v/>
      </c>
      <c r="P199" s="324">
        <f>SUM(P200:P204)</f>
        <v/>
      </c>
      <c r="Q199" s="324">
        <f>SUM(Q200:Q204)</f>
        <v/>
      </c>
      <c r="R199" s="324">
        <f>SUM(R200:R204)</f>
        <v/>
      </c>
      <c r="S199" s="324">
        <f>SUM(S200:S204)</f>
        <v/>
      </c>
      <c r="T199" s="324">
        <f>SUM(T200:T204)</f>
        <v/>
      </c>
      <c r="U199" s="324">
        <f>SUM(U200:U204)</f>
        <v/>
      </c>
      <c r="V199" s="324">
        <f>SUM(V200:V204)</f>
        <v/>
      </c>
      <c r="W199" s="324">
        <f>SUM(W200:W204)</f>
        <v/>
      </c>
      <c r="X199" s="324">
        <f>SUM(X200:X204)</f>
        <v/>
      </c>
      <c r="Y199" s="324">
        <f>SUM(Y200:Y204)</f>
        <v/>
      </c>
      <c r="Z199" s="324">
        <f>SUM(Z200:Z204)</f>
        <v/>
      </c>
      <c r="AA199" s="324">
        <f>SUM(AA200:AA204)</f>
        <v/>
      </c>
      <c r="AB199" s="324">
        <f>SUM(AB200:AB204)</f>
        <v/>
      </c>
      <c r="AC199" s="324">
        <f>SUM(AC200:AC204)</f>
        <v/>
      </c>
      <c r="AD199" s="324">
        <f>SUM(AD200:AD204)</f>
        <v/>
      </c>
      <c r="AE199" s="324">
        <f>SUM(AE200:AE204)</f>
        <v/>
      </c>
      <c r="AF199" s="324">
        <f>SUM(AF200:AF204)</f>
        <v/>
      </c>
      <c r="AG199" s="324">
        <f>SUM(AG200:AG204)</f>
        <v/>
      </c>
      <c r="AH199" s="324">
        <f>SUM(AH200:AH204)</f>
        <v/>
      </c>
      <c r="AI199" s="324">
        <f>SUM(AI200:AI204)</f>
        <v/>
      </c>
      <c r="AJ199" s="324">
        <f>SUM(AJ200:AJ204)</f>
        <v/>
      </c>
      <c r="AK199" s="324">
        <f>SUM(AK200:AK204)</f>
        <v/>
      </c>
      <c r="AL199" s="325" t="n"/>
    </row>
    <row r="200">
      <c r="A200" s="209" t="n">
        <v>1</v>
      </c>
      <c r="B200" s="209" t="n"/>
      <c r="C200" s="242" t="n"/>
      <c r="D200" s="242" t="inlineStr">
        <is>
          <t>人工成本</t>
        </is>
      </c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43" t="n">
        <v>2069939.18</v>
      </c>
      <c r="N200" s="244" t="n"/>
      <c r="O200" s="244">
        <f>L200-M200</f>
        <v/>
      </c>
      <c r="P200" s="244">
        <f>K200-N200</f>
        <v/>
      </c>
      <c r="Q200" s="244">
        <f>M200+O200</f>
        <v/>
      </c>
      <c r="R200" s="244">
        <f>M200+N200+O200+P200</f>
        <v/>
      </c>
      <c r="S200" s="206" t="n"/>
      <c r="T200" s="244" t="n"/>
      <c r="U200" s="244" t="n"/>
      <c r="V200" s="244" t="n"/>
      <c r="W200" s="293" t="n"/>
      <c r="X200" s="293" t="n"/>
      <c r="Y200" s="293" t="n"/>
      <c r="Z200" s="293" t="n"/>
      <c r="AA200" s="293" t="n"/>
      <c r="AB200" s="293" t="n"/>
      <c r="AC200" s="293" t="n"/>
      <c r="AD200" s="293" t="n"/>
      <c r="AE200" s="293" t="n"/>
      <c r="AF200" s="293" t="n"/>
      <c r="AG200" s="293" t="n"/>
      <c r="AH200" s="293" t="n"/>
      <c r="AI200" s="293" t="n"/>
      <c r="AJ200" s="293" t="n"/>
      <c r="AK200" s="293" t="n"/>
      <c r="AL200" s="293" t="n"/>
    </row>
    <row r="201">
      <c r="A201" s="209" t="n">
        <v>2</v>
      </c>
      <c r="B201" s="209" t="n"/>
      <c r="C201" s="242" t="n"/>
      <c r="D201" s="242" t="inlineStr">
        <is>
          <t>可用存款</t>
        </is>
      </c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43" t="n">
        <v>2358.5</v>
      </c>
      <c r="N201" s="244" t="n"/>
      <c r="O201" s="244">
        <f>L201-M201</f>
        <v/>
      </c>
      <c r="P201" s="244">
        <f>K201-N201</f>
        <v/>
      </c>
      <c r="Q201" s="244">
        <f>M201+O201</f>
        <v/>
      </c>
      <c r="R201" s="244">
        <f>M201+N201+O201+P201</f>
        <v/>
      </c>
      <c r="S201" s="206" t="n"/>
      <c r="T201" s="244" t="n"/>
      <c r="U201" s="244" t="n"/>
      <c r="V201" s="244" t="n"/>
      <c r="W201" s="293" t="n"/>
      <c r="X201" s="293" t="n"/>
      <c r="Y201" s="293" t="n"/>
      <c r="Z201" s="293" t="n"/>
      <c r="AA201" s="293" t="n"/>
      <c r="AB201" s="293" t="n"/>
      <c r="AC201" s="293" t="n"/>
      <c r="AD201" s="293" t="n"/>
      <c r="AE201" s="293" t="n"/>
      <c r="AF201" s="293" t="n"/>
      <c r="AG201" s="293" t="n"/>
      <c r="AH201" s="293" t="n"/>
      <c r="AI201" s="293" t="n"/>
      <c r="AJ201" s="293" t="n"/>
      <c r="AK201" s="293" t="n"/>
      <c r="AL201" s="293" t="n"/>
    </row>
    <row r="202">
      <c r="A202" s="209" t="n">
        <v>3</v>
      </c>
      <c r="B202" s="209" t="n"/>
      <c r="C202" s="242" t="n"/>
      <c r="D202" s="242" t="inlineStr">
        <is>
          <t>折旧</t>
        </is>
      </c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43" t="n">
        <v>6857.02</v>
      </c>
      <c r="N202" s="244" t="n"/>
      <c r="O202" s="244">
        <f>L202-M202</f>
        <v/>
      </c>
      <c r="P202" s="244">
        <f>K202-N202</f>
        <v/>
      </c>
      <c r="Q202" s="244">
        <f>M202+O202</f>
        <v/>
      </c>
      <c r="R202" s="244">
        <f>M202+N202+O202+P202</f>
        <v/>
      </c>
      <c r="S202" s="206" t="n"/>
      <c r="T202" s="244" t="n"/>
      <c r="U202" s="244" t="n"/>
      <c r="V202" s="244" t="n"/>
      <c r="W202" s="293" t="n"/>
      <c r="X202" s="293" t="n"/>
      <c r="Y202" s="293" t="n"/>
      <c r="Z202" s="293" t="n"/>
      <c r="AA202" s="293" t="n"/>
      <c r="AB202" s="293" t="n"/>
      <c r="AC202" s="293" t="n"/>
      <c r="AD202" s="293" t="n"/>
      <c r="AE202" s="293" t="n"/>
      <c r="AF202" s="293" t="n"/>
      <c r="AG202" s="293" t="n"/>
      <c r="AH202" s="293" t="n"/>
      <c r="AI202" s="293" t="n"/>
      <c r="AJ202" s="293" t="n"/>
      <c r="AK202" s="293" t="n"/>
      <c r="AL202" s="293" t="n"/>
    </row>
    <row r="203">
      <c r="A203" s="209" t="n">
        <v>4</v>
      </c>
      <c r="B203" s="209" t="n"/>
      <c r="C203" s="242" t="n"/>
      <c r="D203" s="242" t="inlineStr">
        <is>
          <t>机械租赁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63495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06" t="n"/>
      <c r="T203" s="244" t="n"/>
      <c r="U203" s="244" t="n"/>
      <c r="V203" s="244" t="n"/>
      <c r="W203" s="293" t="n"/>
      <c r="X203" s="293" t="n"/>
      <c r="Y203" s="293" t="n"/>
      <c r="Z203" s="293" t="n"/>
      <c r="AA203" s="293" t="n"/>
      <c r="AB203" s="293" t="n"/>
      <c r="AC203" s="293" t="n"/>
      <c r="AD203" s="293" t="n"/>
      <c r="AE203" s="293" t="n"/>
      <c r="AF203" s="293" t="n"/>
      <c r="AG203" s="293" t="n"/>
      <c r="AH203" s="293" t="n"/>
      <c r="AI203" s="293" t="n"/>
      <c r="AJ203" s="293" t="n"/>
      <c r="AK203" s="293" t="n"/>
      <c r="AL203" s="293" t="n"/>
    </row>
    <row r="204">
      <c r="A204" s="209" t="n">
        <v>5</v>
      </c>
      <c r="B204" s="209" t="n"/>
      <c r="C204" s="242" t="n"/>
      <c r="D204" s="242" t="inlineStr">
        <is>
          <t>材料费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25030932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06" t="n"/>
      <c r="T204" s="244" t="n"/>
      <c r="U204" s="244" t="n"/>
      <c r="V204" s="244" t="n"/>
      <c r="W204" s="293" t="n"/>
      <c r="X204" s="293" t="n"/>
      <c r="Y204" s="293" t="n"/>
      <c r="Z204" s="293" t="n"/>
      <c r="AA204" s="293" t="n"/>
      <c r="AB204" s="293" t="n"/>
      <c r="AC204" s="293" t="n"/>
      <c r="AD204" s="293" t="n"/>
      <c r="AE204" s="293" t="n"/>
      <c r="AF204" s="293" t="n"/>
      <c r="AG204" s="293" t="n"/>
      <c r="AH204" s="293" t="n"/>
      <c r="AI204" s="293" t="n"/>
      <c r="AJ204" s="293" t="n"/>
      <c r="AK204" s="293" t="n"/>
      <c r="AL204" s="293" t="n"/>
    </row>
    <row r="205">
      <c r="A205" s="298" t="n"/>
      <c r="B205" s="299" t="n"/>
      <c r="C205" s="299" t="n"/>
      <c r="D205" s="315" t="inlineStr">
        <is>
          <t>九、成本及费用合计（三+四+五+六+七）</t>
        </is>
      </c>
      <c r="E205" s="316" t="n"/>
      <c r="F205" s="316" t="n"/>
      <c r="G205" s="316" t="n"/>
      <c r="H205" s="301">
        <f>H194+H195+H196+H197+H198+H199</f>
        <v/>
      </c>
      <c r="I205" s="301">
        <f>I194+I195+I196+I197+I198+I199</f>
        <v/>
      </c>
      <c r="J205" s="327">
        <f>J194+J195+J196+J197+J198+J199</f>
        <v/>
      </c>
      <c r="K205" s="301">
        <f>K194+K195+K196+K197+K198+K199</f>
        <v/>
      </c>
      <c r="L205" s="328">
        <f>L194+L195+L196+L197+L198+L199</f>
        <v/>
      </c>
      <c r="M205" s="328">
        <f>M194+M195+M196+M197+M198+M199</f>
        <v/>
      </c>
      <c r="N205" s="328">
        <f>N194+N195+N196+N197+N198+N199</f>
        <v/>
      </c>
      <c r="O205" s="328">
        <f>O194+O195+O196+O197+O198+O199</f>
        <v/>
      </c>
      <c r="P205" s="328">
        <f>P194+P195+P196+P197+P198+P199</f>
        <v/>
      </c>
      <c r="Q205" s="328">
        <f>Q194+Q195+Q196+Q197+Q198+Q199</f>
        <v/>
      </c>
      <c r="R205" s="328">
        <f>R194+R195+R196+R197+R198+R199</f>
        <v/>
      </c>
      <c r="S205" s="324">
        <f>S194+S195+S196+S197+S198+S199</f>
        <v/>
      </c>
      <c r="T205" s="324" t="n"/>
      <c r="U205" s="324" t="n"/>
      <c r="V205" s="324" t="n"/>
      <c r="W205" s="324" t="n"/>
      <c r="X205" s="324" t="n"/>
      <c r="Y205" s="324" t="n"/>
      <c r="Z205" s="324">
        <f>Z194+Z195+Z196+Z197+Z198+Z199</f>
        <v/>
      </c>
      <c r="AA205" s="324">
        <f>AA194+AA195+AA196+AA197+AA198+AA199</f>
        <v/>
      </c>
      <c r="AB205" s="329" t="n"/>
      <c r="AC205" s="329" t="n"/>
      <c r="AD205" s="329" t="n"/>
      <c r="AE205" s="329" t="n"/>
      <c r="AF205" s="329" t="n"/>
      <c r="AG205" s="329" t="n"/>
      <c r="AH205" s="329" t="n"/>
      <c r="AI205" s="329" t="n"/>
      <c r="AJ205" s="329" t="n"/>
      <c r="AK205" s="330" t="n"/>
      <c r="AL205" s="331" t="n"/>
    </row>
    <row r="206">
      <c r="A206" s="298" t="n"/>
      <c r="B206" s="299" t="n"/>
      <c r="C206" s="299" t="n"/>
      <c r="D206" s="315" t="inlineStr">
        <is>
          <t>十、增值税实际税负（按财务数据）</t>
        </is>
      </c>
      <c r="E206" s="316" t="inlineStr">
        <is>
          <t>根据财务账面实际已缴纳增值税额+尚需缴纳的增值税额</t>
        </is>
      </c>
      <c r="F206" s="316" t="n"/>
      <c r="G206" s="316" t="n"/>
      <c r="H206" s="301" t="n"/>
      <c r="I206" s="301" t="n"/>
      <c r="J206" s="327">
        <f>H78+I78</f>
        <v/>
      </c>
      <c r="K206" s="301" t="inlineStr">
        <is>
          <t>/</t>
        </is>
      </c>
      <c r="L206" s="328" t="inlineStr">
        <is>
          <t>/</t>
        </is>
      </c>
      <c r="M206" s="328" t="n"/>
      <c r="N206" s="328">
        <f>N6-N77</f>
        <v/>
      </c>
      <c r="O206" s="328" t="n"/>
      <c r="P206" s="328" t="n"/>
      <c r="Q206" s="328" t="inlineStr">
        <is>
          <t>/</t>
        </is>
      </c>
      <c r="R206" s="328">
        <f>N78+P78</f>
        <v/>
      </c>
      <c r="S206" s="324" t="n"/>
      <c r="T206" s="324" t="n"/>
      <c r="U206" s="324" t="n"/>
      <c r="V206" s="324" t="n"/>
      <c r="W206" s="324" t="n"/>
      <c r="X206" s="324" t="n"/>
      <c r="Y206" s="324" t="n"/>
      <c r="Z206" s="324" t="n"/>
      <c r="AA206" s="324" t="n"/>
      <c r="AB206" s="329" t="n"/>
      <c r="AC206" s="329" t="n"/>
      <c r="AD206" s="329" t="n"/>
      <c r="AE206" s="329" t="n"/>
      <c r="AF206" s="329" t="n"/>
      <c r="AG206" s="329" t="n"/>
      <c r="AH206" s="329" t="n"/>
      <c r="AI206" s="329" t="n"/>
      <c r="AJ206" s="329" t="n"/>
      <c r="AK206" s="330" t="n"/>
      <c r="AL206" s="331" t="n"/>
    </row>
    <row r="207">
      <c r="A207" s="298" t="n"/>
      <c r="B207" s="299" t="n"/>
      <c r="C207" s="299" t="n"/>
      <c r="D207" s="315" t="inlineStr">
        <is>
          <t>十一、税金及附加（按财务数据）</t>
        </is>
      </c>
      <c r="E207" s="316" t="inlineStr">
        <is>
          <t>根据财务账面实际已缴纳税金及附加+尚需缴纳的税金及附加</t>
        </is>
      </c>
      <c r="F207" s="316" t="n"/>
      <c r="G207" s="316" t="n"/>
      <c r="H207" s="301" t="n"/>
      <c r="I207" s="301" t="n"/>
      <c r="J207" s="327">
        <f>H79+I79</f>
        <v/>
      </c>
      <c r="K207" s="301" t="n"/>
      <c r="L207" s="328">
        <f>J79</f>
        <v/>
      </c>
      <c r="M207" s="332" t="n">
        <v>349670.26</v>
      </c>
      <c r="N207" s="328" t="n"/>
      <c r="O207" s="328">
        <f>L79-M79</f>
        <v/>
      </c>
      <c r="P207" s="328" t="n"/>
      <c r="Q207" s="328">
        <f>M79+O79</f>
        <v/>
      </c>
      <c r="R207" s="328">
        <f>Q79</f>
        <v/>
      </c>
      <c r="S207" s="324" t="n"/>
      <c r="T207" s="324" t="n"/>
      <c r="U207" s="324" t="n"/>
      <c r="V207" s="324" t="n"/>
      <c r="W207" s="324" t="n"/>
      <c r="X207" s="324" t="n"/>
      <c r="Y207" s="324" t="n"/>
      <c r="Z207" s="324" t="n"/>
      <c r="AA207" s="324" t="n"/>
      <c r="AB207" s="329" t="n"/>
      <c r="AC207" s="329" t="n"/>
      <c r="AD207" s="329" t="n"/>
      <c r="AE207" s="329" t="n"/>
      <c r="AF207" s="329" t="n"/>
      <c r="AG207" s="329" t="n"/>
      <c r="AH207" s="329" t="n"/>
      <c r="AI207" s="329" t="n"/>
      <c r="AJ207" s="329" t="n"/>
      <c r="AK207" s="330" t="n"/>
      <c r="AL207" s="331" t="n"/>
    </row>
    <row r="208">
      <c r="A208" s="298" t="n"/>
      <c r="B208" s="299" t="n"/>
      <c r="C208" s="299" t="n"/>
      <c r="D208" s="315" t="inlineStr">
        <is>
          <t>十二、利润</t>
        </is>
      </c>
      <c r="E208" s="316" t="n"/>
      <c r="F208" s="316" t="n"/>
      <c r="G208" s="316" t="n"/>
      <c r="H208" s="301" t="n"/>
      <c r="I208" s="301" t="n"/>
      <c r="J208" s="327">
        <f>J6-J205-J206-J207</f>
        <v/>
      </c>
      <c r="K208" s="301" t="n"/>
      <c r="L208" s="328" t="n"/>
      <c r="M208" s="328" t="n"/>
      <c r="N208" s="328" t="n"/>
      <c r="O208" s="328" t="n"/>
      <c r="P208" s="328" t="n"/>
      <c r="Q208" s="328" t="n"/>
      <c r="R208" s="328" t="n"/>
      <c r="S208" s="324" t="n"/>
      <c r="T208" s="324" t="n"/>
      <c r="U208" s="324" t="n"/>
      <c r="V208" s="324" t="n"/>
      <c r="W208" s="324" t="n"/>
      <c r="X208" s="324" t="n"/>
      <c r="Y208" s="324" t="n"/>
      <c r="Z208" s="324" t="n"/>
      <c r="AA208" s="324" t="n"/>
      <c r="AB208" s="329" t="n"/>
      <c r="AC208" s="329" t="n"/>
      <c r="AD208" s="329" t="n"/>
      <c r="AE208" s="329" t="n"/>
      <c r="AF208" s="329" t="n"/>
      <c r="AG208" s="329" t="n"/>
      <c r="AH208" s="329" t="n"/>
      <c r="AI208" s="329" t="n"/>
      <c r="AJ208" s="329" t="n"/>
      <c r="AK208" s="330" t="n"/>
      <c r="AL208" s="331" t="n"/>
    </row>
    <row r="209">
      <c r="A209" s="333" t="n"/>
      <c r="B209" s="334" t="n"/>
      <c r="C209" s="334" t="n"/>
      <c r="D209" s="335" t="inlineStr">
        <is>
          <t>十三、利润率</t>
        </is>
      </c>
      <c r="E209" s="336" t="n"/>
      <c r="F209" s="336" t="n"/>
      <c r="G209" s="336" t="n"/>
      <c r="H209" s="337" t="n"/>
      <c r="I209" s="337" t="n"/>
      <c r="J209" s="337">
        <f>J208/J6</f>
        <v/>
      </c>
      <c r="K209" s="337" t="n"/>
      <c r="L209" s="338">
        <f>L208/L6</f>
        <v/>
      </c>
      <c r="M209" s="338">
        <f>M208/M6</f>
        <v/>
      </c>
      <c r="N209" s="338" t="n"/>
      <c r="O209" s="338" t="n"/>
      <c r="P209" s="338" t="n"/>
      <c r="Q209" s="338">
        <f>Q208/Q6</f>
        <v/>
      </c>
      <c r="R209" s="338">
        <f>R208/R6</f>
        <v/>
      </c>
      <c r="S209" s="339" t="n"/>
      <c r="T209" s="339" t="n"/>
      <c r="U209" s="339" t="n"/>
      <c r="V209" s="339" t="n"/>
      <c r="W209" s="339" t="n"/>
      <c r="X209" s="339" t="n"/>
      <c r="Y209" s="339" t="n"/>
      <c r="Z209" s="339" t="n"/>
      <c r="AA209" s="339" t="n"/>
      <c r="AB209" s="340" t="n"/>
      <c r="AC209" s="340" t="n"/>
      <c r="AD209" s="340" t="n"/>
      <c r="AE209" s="340" t="n"/>
      <c r="AF209" s="340" t="n"/>
      <c r="AG209" s="340" t="n"/>
      <c r="AH209" s="340" t="n"/>
      <c r="AI209" s="340" t="n"/>
      <c r="AJ209" s="340" t="n"/>
      <c r="AK209" s="341" t="n"/>
      <c r="AL209" s="342" t="n"/>
    </row>
    <row r="210">
      <c r="A210" s="111" t="n"/>
      <c r="B210" s="111" t="n"/>
      <c r="C210" s="111" t="n"/>
      <c r="D210" s="112" t="n"/>
      <c r="E210" s="113" t="n"/>
      <c r="F210" s="113" t="n"/>
      <c r="G210" s="113" t="n"/>
      <c r="H210" s="251" t="n"/>
      <c r="I210" s="251" t="n"/>
      <c r="J210" s="252" t="inlineStr">
        <is>
          <t>含税利润率</t>
        </is>
      </c>
      <c r="K210" s="253" t="n"/>
      <c r="L210" s="254" t="inlineStr">
        <is>
          <t>不含税利润率</t>
        </is>
      </c>
      <c r="M210" s="255" t="n"/>
      <c r="N210" s="255" t="n"/>
      <c r="O210" s="255" t="n"/>
      <c r="P210" s="255" t="n"/>
      <c r="Q210" s="255" t="n"/>
      <c r="R210" s="255" t="n"/>
      <c r="S210" s="255" t="n"/>
      <c r="T210" s="255" t="n"/>
      <c r="U210" s="255" t="n"/>
      <c r="V210" s="255" t="n"/>
      <c r="W210" s="255" t="n"/>
      <c r="X210" s="255" t="n"/>
      <c r="Y210" s="255" t="n"/>
      <c r="Z210" s="256" t="n"/>
      <c r="AA210" s="162" t="n"/>
      <c r="AB210" s="257" t="n"/>
      <c r="AC210" s="257" t="n"/>
      <c r="AD210" s="257" t="n"/>
      <c r="AE210" s="257" t="n"/>
      <c r="AF210" s="257" t="n"/>
      <c r="AG210" s="257" t="n"/>
      <c r="AH210" s="257" t="n"/>
      <c r="AI210" s="257" t="n"/>
      <c r="AJ210" s="257" t="n"/>
      <c r="AK210" s="257" t="n"/>
      <c r="AL210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2026-04-22T08:29:24Z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