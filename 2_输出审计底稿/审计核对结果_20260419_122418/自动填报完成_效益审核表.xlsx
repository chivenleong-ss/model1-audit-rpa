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146" t="n"/>
      <c r="B7" s="10" t="inlineStr">
        <is>
          <t>客商编码</t>
        </is>
      </c>
      <c r="C7" s="10" t="inlineStr">
        <is>
          <t>合同编码</t>
        </is>
      </c>
      <c r="D7" s="11" t="inlineStr">
        <is>
          <t>客商名称</t>
        </is>
      </c>
      <c r="E7" s="13" t="inlineStr">
        <is>
          <t>主要工作内容</t>
        </is>
      </c>
      <c r="F7" s="13" t="inlineStr">
        <is>
          <t>是否办理最终结算</t>
        </is>
      </c>
      <c r="G7" s="14" t="inlineStr">
        <is>
          <t>最终结算时间</t>
        </is>
      </c>
      <c r="H7" s="167" t="inlineStr">
        <is>
          <t>商务、物资确认</t>
        </is>
      </c>
      <c r="I7" s="148" t="n"/>
      <c r="J7" s="148" t="n"/>
      <c r="K7" s="148" t="n"/>
      <c r="L7" s="149" t="n"/>
      <c r="M7" s="150" t="inlineStr">
        <is>
          <t>财务确认</t>
        </is>
      </c>
      <c r="N7" s="148" t="n"/>
      <c r="O7" s="148" t="n"/>
      <c r="P7" s="148" t="n"/>
      <c r="Q7" s="148" t="n"/>
      <c r="R7" s="149" t="n"/>
      <c r="S7" s="151" t="inlineStr">
        <is>
          <t>债务情况</t>
        </is>
      </c>
      <c r="T7" s="148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146" t="n"/>
      <c r="B8" s="146" t="n"/>
      <c r="C8" s="146" t="n"/>
      <c r="D8" s="146" t="n"/>
      <c r="E8" s="146" t="n"/>
      <c r="F8" s="146" t="n"/>
      <c r="G8" s="146" t="n"/>
      <c r="H8" s="167" t="inlineStr">
        <is>
          <t>商务已结(含税)</t>
        </is>
      </c>
      <c r="I8" s="167" t="inlineStr">
        <is>
          <t>截止目前应结未结(含税)</t>
        </is>
      </c>
      <c r="J8" s="167" t="inlineStr">
        <is>
          <t>实际诶计成本(含税)</t>
        </is>
      </c>
      <c r="K8" s="168" t="inlineStr">
        <is>
          <t>累计成本可抵扣增值税税金</t>
        </is>
      </c>
      <c r="L8" s="169" t="inlineStr">
        <is>
          <t>实际累计成本
（不含可抵扣税金）</t>
        </is>
      </c>
      <c r="M8" s="157" t="inlineStr">
        <is>
          <t>截止目前财务已入账成本（不含增值税）
**同财务账面合同履约成本/工程施工成本一致**</t>
        </is>
      </c>
      <c r="N8" s="157" t="inlineStr">
        <is>
          <t>已价税分离的增值税金
（财务账面数据）</t>
        </is>
      </c>
      <c r="O8" s="157" t="inlineStr">
        <is>
          <t>应入未入账成本（不含增值税）</t>
        </is>
      </c>
      <c r="P8" s="157" t="inlineStr">
        <is>
          <t>尚未价税分离的增值税金</t>
        </is>
      </c>
      <c r="Q8" s="157" t="inlineStr">
        <is>
          <t>实际成本
（不含增值税）</t>
        </is>
      </c>
      <c r="R8" s="157" t="inlineStr">
        <is>
          <t>实际成本
（含增值税）</t>
        </is>
      </c>
      <c r="S8" s="158" t="inlineStr">
        <is>
          <t>累计付款</t>
        </is>
      </c>
      <c r="T8" s="158" t="inlineStr">
        <is>
          <t>其中：财务账面已列报付款</t>
        </is>
      </c>
      <c r="U8" s="158" t="inlineStr">
        <is>
          <t>其中：已办理供应链或票据背书未入账付款</t>
        </is>
      </c>
      <c r="V8" s="158" t="inlineStr">
        <is>
          <t>其中：其他未入账付款</t>
        </is>
      </c>
      <c r="W8" s="158" t="inlineStr">
        <is>
          <t>债务总额</t>
        </is>
      </c>
      <c r="X8" s="158" t="inlineStr">
        <is>
          <t>其中：应付总额</t>
        </is>
      </c>
      <c r="Y8" s="158" t="inlineStr">
        <is>
          <t>是否已取得对账单
（以取得双方用印对账单为准）</t>
        </is>
      </c>
      <c r="Z8" s="159" t="inlineStr">
        <is>
          <t>累计已收取发票（含税）</t>
        </is>
      </c>
      <c r="AA8" s="159" t="inlineStr">
        <is>
          <t>其中：累计已收取营业税发票额</t>
        </is>
      </c>
      <c r="AB8" s="159" t="inlineStr">
        <is>
          <t>其中：累计已收取增值税发票额</t>
        </is>
      </c>
      <c r="AC8" s="159" t="inlineStr">
        <is>
          <t>其中：营业税及增值税预缴时已抵扣发票额</t>
        </is>
      </c>
      <c r="AD8" s="159" t="inlineStr">
        <is>
          <t>已收取增值税发票对应税额</t>
        </is>
      </c>
      <c r="AE8" s="159" t="inlineStr">
        <is>
          <t>其中：已认证税额</t>
        </is>
      </c>
      <c r="AF8" s="159" t="inlineStr">
        <is>
          <t>已收取待认证税额</t>
        </is>
      </c>
      <c r="AG8" s="159" t="n"/>
      <c r="AH8" s="159" t="inlineStr">
        <is>
          <t>按结算未收取发票额</t>
        </is>
      </c>
      <c r="AI8" s="159" t="inlineStr">
        <is>
          <t>按付款未收取发票额</t>
        </is>
      </c>
      <c r="AJ8" s="159" t="inlineStr">
        <is>
          <t>当前适用税率</t>
        </is>
      </c>
      <c r="AK8" s="159" t="inlineStr">
        <is>
          <t>其他应收-待扣减税额</t>
        </is>
      </c>
      <c r="AL8" s="146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41" t="n"/>
      <c r="B10" s="41" t="n">
        <v>1</v>
      </c>
      <c r="C10" s="41" t="n">
        <v>2</v>
      </c>
      <c r="D10" s="41" t="n">
        <v>3</v>
      </c>
      <c r="E10" s="41" t="n">
        <v>4</v>
      </c>
      <c r="F10" s="41" t="n">
        <v>5</v>
      </c>
      <c r="G10" s="41" t="n">
        <v>6</v>
      </c>
      <c r="H10" s="41" t="n">
        <v>7</v>
      </c>
      <c r="I10" s="41" t="n">
        <v>8</v>
      </c>
      <c r="J10" s="41" t="inlineStr">
        <is>
          <t>9=7+8</t>
        </is>
      </c>
      <c r="K10" s="41" t="n">
        <v>10</v>
      </c>
      <c r="L10" s="41" t="inlineStr">
        <is>
          <t>11=9-10</t>
        </is>
      </c>
      <c r="M10" s="41" t="n">
        <v>12</v>
      </c>
      <c r="N10" s="41" t="n">
        <v>13</v>
      </c>
      <c r="O10" s="41" t="inlineStr">
        <is>
          <t>14=11-12</t>
        </is>
      </c>
      <c r="P10" s="41" t="inlineStr">
        <is>
          <t>15=10-13</t>
        </is>
      </c>
      <c r="Q10" s="41" t="inlineStr">
        <is>
          <t>16=12+14</t>
        </is>
      </c>
      <c r="R10" s="41" t="inlineStr">
        <is>
          <t>17=12+13+14+15</t>
        </is>
      </c>
      <c r="S10" s="41" t="n">
        <v>18</v>
      </c>
      <c r="T10" s="41" t="n">
        <v>19</v>
      </c>
      <c r="U10" s="41" t="n">
        <v>20</v>
      </c>
      <c r="V10" s="41" t="n">
        <v>21</v>
      </c>
      <c r="W10" s="41" t="n">
        <v>22</v>
      </c>
      <c r="X10" s="41" t="n">
        <v>23</v>
      </c>
      <c r="Y10" s="41" t="n">
        <v>24</v>
      </c>
      <c r="Z10" s="41" t="n">
        <v>25</v>
      </c>
      <c r="AA10" s="41" t="n">
        <v>26</v>
      </c>
      <c r="AB10" s="41" t="n">
        <v>27</v>
      </c>
      <c r="AC10" s="41" t="n">
        <v>28</v>
      </c>
      <c r="AD10" s="41" t="n">
        <v>29</v>
      </c>
      <c r="AE10" s="41" t="n">
        <v>30</v>
      </c>
      <c r="AF10" s="41" t="n">
        <v>31</v>
      </c>
      <c r="AG10" s="41" t="n">
        <v>32</v>
      </c>
      <c r="AH10" s="41" t="n">
        <v>33</v>
      </c>
      <c r="AI10" s="41" t="n">
        <v>34</v>
      </c>
      <c r="AJ10" s="41" t="n">
        <v>35</v>
      </c>
      <c r="AK10" s="41" t="n">
        <v>36</v>
      </c>
      <c r="AL10" s="154" t="n"/>
    </row>
    <row r="11" ht="14" customHeight="1" s="139">
      <c r="A11" s="21" t="n"/>
      <c r="B11" s="21" t="n"/>
      <c r="C11" s="21" t="n"/>
      <c r="D11" s="22" t="inlineStr">
        <is>
          <t>二、成本</t>
        </is>
      </c>
      <c r="E11" s="21" t="n"/>
      <c r="F11" s="21" t="n"/>
      <c r="G11" s="21" t="n"/>
      <c r="H11" s="166" t="n"/>
      <c r="I11" s="166" t="n"/>
      <c r="J11" s="166" t="n"/>
      <c r="K11" s="170" t="n"/>
      <c r="L11" s="171" t="n"/>
      <c r="M11" s="161" t="n"/>
      <c r="N11" s="161" t="n"/>
      <c r="O11" s="166">
        <f>L11-M11</f>
        <v/>
      </c>
      <c r="P11" s="166">
        <f>K11-N11</f>
        <v/>
      </c>
      <c r="Q11" s="166">
        <f>M11+O11</f>
        <v/>
      </c>
      <c r="R11" s="166">
        <f>M11+N11+O11+P11</f>
        <v/>
      </c>
      <c r="S11" s="172">
        <f>SUM(T11:V11)</f>
        <v/>
      </c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65">
        <f>AB11/1.17*0.17+AC11/1.16*0.16+AD11/1.11*0.11+AE11/1.1*0.1+AF11/1.09*0.09+AI11/1.03*0.03</f>
        <v/>
      </c>
      <c r="AL11" s="92" t="n"/>
    </row>
    <row r="12" ht="14" customHeight="1" s="139">
      <c r="A12" s="21" t="n"/>
      <c r="B12" s="21" t="n"/>
      <c r="C12" s="21" t="n"/>
      <c r="D12" s="24" t="inlineStr">
        <is>
          <t>（一）人工费</t>
        </is>
      </c>
      <c r="E12" s="21" t="n"/>
      <c r="F12" s="21" t="n"/>
      <c r="G12" s="21" t="n"/>
      <c r="H12" s="166" t="n"/>
      <c r="I12" s="166" t="n"/>
      <c r="J12" s="166" t="n"/>
      <c r="K12" s="170" t="n"/>
      <c r="L12" s="171" t="n"/>
      <c r="M12" s="161" t="n"/>
      <c r="N12" s="161" t="n"/>
      <c r="O12" s="166">
        <f>L12-M12</f>
        <v/>
      </c>
      <c r="P12" s="166">
        <f>K12-N12</f>
        <v/>
      </c>
      <c r="Q12" s="166">
        <f>M12+O12</f>
        <v/>
      </c>
      <c r="R12" s="166">
        <f>M12+N12+O12+P12</f>
        <v/>
      </c>
      <c r="S12" s="172">
        <f>SUM(T12:V12)</f>
        <v/>
      </c>
      <c r="T12" s="165" t="n"/>
      <c r="U12" s="165" t="n"/>
      <c r="V12" s="165" t="n"/>
      <c r="W12" s="165" t="n"/>
      <c r="X12" s="165" t="n"/>
      <c r="Y12" s="165" t="n"/>
      <c r="Z12" s="165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65">
        <f>AB12/1.17*0.17+AC12/1.16*0.16+AD12/1.11*0.11+AE12/1.1*0.1+AF12/1.09*0.09+AI12/1.03*0.03</f>
        <v/>
      </c>
      <c r="AL12" s="92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39139848.98</v>
      </c>
      <c r="N13" s="177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3" t="n"/>
      <c r="T13" s="177" t="n">
        <v>42134082.34</v>
      </c>
      <c r="U13" s="173" t="n"/>
      <c r="V13" s="173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149405.03</v>
      </c>
      <c r="N14" s="177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1277824.57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75440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59500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5" t="n"/>
      <c r="L18" s="176" t="n"/>
      <c r="M18" s="177" t="n">
        <v>71338.33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5" t="n"/>
      <c r="L19" s="176" t="n"/>
      <c r="M19" s="177" t="n">
        <v>74013.34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</row>
    <row r="20" ht="14" customHeight="1" s="139">
      <c r="A20" s="21" t="n"/>
      <c r="B20" s="21" t="n"/>
      <c r="C20" s="21" t="n"/>
      <c r="D20" s="26" t="inlineStr">
        <is>
          <t>**财务未列部分需增列***</t>
        </is>
      </c>
      <c r="E20" s="27" t="n"/>
      <c r="F20" s="27" t="n"/>
      <c r="G20" s="27" t="n"/>
      <c r="H20" s="166" t="n"/>
      <c r="I20" s="166" t="n"/>
      <c r="J20" s="166" t="n"/>
      <c r="K20" s="170" t="n"/>
      <c r="L20" s="178" t="n"/>
      <c r="M20" s="166" t="n"/>
      <c r="N20" s="166" t="n"/>
      <c r="O20" s="166">
        <f>L20-M20</f>
        <v/>
      </c>
      <c r="P20" s="166">
        <f>K20-N20</f>
        <v/>
      </c>
      <c r="Q20" s="166">
        <f>M20+O20</f>
        <v/>
      </c>
      <c r="R20" s="166">
        <f>M20+N20+O20+P20</f>
        <v/>
      </c>
      <c r="S20" s="172">
        <f>SUM(T20:V20)</f>
        <v/>
      </c>
      <c r="T20" s="166" t="n"/>
      <c r="U20" s="166" t="n"/>
      <c r="V20" s="166" t="n"/>
      <c r="W20" s="166" t="n"/>
      <c r="X20" s="166" t="n"/>
      <c r="Y20" s="166" t="n"/>
      <c r="Z20" s="166">
        <f>SUM(AA16:AJ16)</f>
        <v/>
      </c>
      <c r="AA20" s="179" t="n"/>
      <c r="AB20" s="165" t="n"/>
      <c r="AC20" s="165" t="n"/>
      <c r="AD20" s="165" t="n"/>
      <c r="AE20" s="165" t="n"/>
      <c r="AF20" s="165" t="n"/>
      <c r="AG20" s="165" t="n"/>
      <c r="AH20" s="165" t="n"/>
      <c r="AI20" s="165" t="n"/>
      <c r="AJ20" s="165" t="n"/>
      <c r="AK20" s="165">
        <f>AB16/1.17*0.17+AC16/1.16*0.16+AD16/1.11*0.11+AE16/1.1*0.1+AF16/1.09*0.09+AI16/1.03*0.03</f>
        <v/>
      </c>
      <c r="AL20" s="93" t="n"/>
    </row>
    <row r="21" ht="14" customHeight="1" s="139">
      <c r="A21" s="28" t="n"/>
      <c r="B21" s="28" t="n"/>
      <c r="C21" s="28" t="n"/>
      <c r="D21" s="29" t="inlineStr">
        <is>
          <t>人工费小计：</t>
        </is>
      </c>
      <c r="E21" s="180">
        <f>SUM(E12:E20)</f>
        <v/>
      </c>
      <c r="F21" s="180">
        <f>SUM(F12:F20)</f>
        <v/>
      </c>
      <c r="G21" s="180">
        <f>SUM(G12:G20)</f>
        <v/>
      </c>
      <c r="H21" s="180">
        <f>SUM(H12:H20)</f>
        <v/>
      </c>
      <c r="I21" s="180">
        <f>SUM(I12:I20)</f>
        <v/>
      </c>
      <c r="J21" s="180">
        <f>SUM(J12:J20)</f>
        <v/>
      </c>
      <c r="K21" s="180">
        <f>SUM(K12:K20)</f>
        <v/>
      </c>
      <c r="L21" s="180">
        <f>SUM(L12:L20)</f>
        <v/>
      </c>
      <c r="M21" s="180">
        <f>SUM(M12:M20)</f>
        <v/>
      </c>
      <c r="N21" s="180">
        <f>SUM(N12:N20)</f>
        <v/>
      </c>
      <c r="O21" s="180">
        <f>SUM(O12:O20)</f>
        <v/>
      </c>
      <c r="P21" s="180">
        <f>SUM(P12:P20)</f>
        <v/>
      </c>
      <c r="Q21" s="180">
        <f>SUM(Q12:Q20)</f>
        <v/>
      </c>
      <c r="R21" s="180">
        <f>SUM(R12:R20)</f>
        <v/>
      </c>
      <c r="S21" s="180">
        <f>SUM(S12:S20)</f>
        <v/>
      </c>
      <c r="T21" s="180">
        <f>SUM(T12:T20)</f>
        <v/>
      </c>
      <c r="U21" s="180">
        <f>SUM(U12:U20)</f>
        <v/>
      </c>
      <c r="V21" s="180">
        <f>SUM(V12:V20)</f>
        <v/>
      </c>
      <c r="W21" s="180">
        <f>SUM(W12:W20)</f>
        <v/>
      </c>
      <c r="X21" s="180">
        <f>SUM(X12:X20)</f>
        <v/>
      </c>
      <c r="Y21" s="180">
        <f>SUM(Y12:Y20)</f>
        <v/>
      </c>
      <c r="Z21" s="180">
        <f>SUM(Z12:Z20)</f>
        <v/>
      </c>
      <c r="AA21" s="180">
        <f>SUM(AA12:AA20)</f>
        <v/>
      </c>
      <c r="AB21" s="180">
        <f>SUM(AB12:AB20)</f>
        <v/>
      </c>
      <c r="AC21" s="180">
        <f>SUM(AC12:AC20)</f>
        <v/>
      </c>
      <c r="AD21" s="180">
        <f>SUM(AD12:AD20)</f>
        <v/>
      </c>
      <c r="AE21" s="180">
        <f>SUM(AE12:AE20)</f>
        <v/>
      </c>
      <c r="AF21" s="180">
        <f>SUM(AF12:AF20)</f>
        <v/>
      </c>
      <c r="AG21" s="180">
        <f>SUM(AG12:AG20)</f>
        <v/>
      </c>
      <c r="AH21" s="180">
        <f>SUM(AH12:AH20)</f>
        <v/>
      </c>
      <c r="AI21" s="180">
        <f>SUM(AI12:AI20)</f>
        <v/>
      </c>
      <c r="AJ21" s="180">
        <f>SUM(AJ12:AJ20)</f>
        <v/>
      </c>
      <c r="AK21" s="180">
        <f>SUM(AK12:AK20)</f>
        <v/>
      </c>
      <c r="AL21" s="92" t="n"/>
    </row>
    <row r="22" ht="14" customHeight="1" s="139">
      <c r="A22" s="21" t="n"/>
      <c r="B22" s="21" t="n"/>
      <c r="C22" s="21" t="n"/>
      <c r="D22" s="31" t="inlineStr">
        <is>
          <t>（二）分包工程</t>
        </is>
      </c>
      <c r="E22" s="21" t="n"/>
      <c r="F22" s="21" t="n"/>
      <c r="G22" s="21" t="n"/>
      <c r="H22" s="166" t="n"/>
      <c r="I22" s="166" t="n"/>
      <c r="J22" s="166" t="n"/>
      <c r="K22" s="170" t="n"/>
      <c r="L22" s="178" t="n"/>
      <c r="M22" s="166" t="n"/>
      <c r="N22" s="166" t="n"/>
      <c r="O22" s="166">
        <f>L22-M22</f>
        <v/>
      </c>
      <c r="P22" s="166">
        <f>K22-N22</f>
        <v/>
      </c>
      <c r="Q22" s="166">
        <f>M22+O22</f>
        <v/>
      </c>
      <c r="R22" s="166">
        <f>M22+N22+O22+P22</f>
        <v/>
      </c>
      <c r="S22" s="172">
        <f>SUM(T22:V22)</f>
        <v/>
      </c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65">
        <f>AB18/1.17*0.17+AC18/1.16*0.16+AD18/1.11*0.11+AE18/1.1*0.1+AF18/1.09*0.09+AI18/1.03*0.03</f>
        <v/>
      </c>
      <c r="AL22" s="92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7542836.89</v>
      </c>
      <c r="N23" s="177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3" t="n"/>
      <c r="T23" s="177" t="n">
        <v>5850000</v>
      </c>
      <c r="U23" s="173" t="n"/>
      <c r="V23" s="173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1429064.55</v>
      </c>
      <c r="N24" s="177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3" t="n"/>
      <c r="T24" s="177" t="n">
        <v>1479432.19</v>
      </c>
      <c r="U24" s="173" t="n"/>
      <c r="V24" s="173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1322968.79</v>
      </c>
      <c r="N25" s="177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3" t="n"/>
      <c r="T25" s="177" t="n">
        <v>1525464.01</v>
      </c>
      <c r="U25" s="173" t="n"/>
      <c r="V25" s="173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6462444.78</v>
      </c>
      <c r="N26" s="177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3" t="n"/>
      <c r="T26" s="177" t="n">
        <v>7339874</v>
      </c>
      <c r="U26" s="173" t="n"/>
      <c r="V26" s="173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16033034.52</v>
      </c>
      <c r="N27" s="177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3" t="n"/>
      <c r="T27" s="177" t="n">
        <v>11460000</v>
      </c>
      <c r="U27" s="173" t="n"/>
      <c r="V27" s="173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3141650.02</v>
      </c>
      <c r="N28" s="177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3" t="n"/>
      <c r="T28" s="177" t="n">
        <v>1885000</v>
      </c>
      <c r="U28" s="173" t="n"/>
      <c r="V28" s="173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39456446.11</v>
      </c>
      <c r="N29" s="177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3" t="n"/>
      <c r="T29" s="177" t="n">
        <v>39939542.03</v>
      </c>
      <c r="U29" s="173" t="n"/>
      <c r="V29" s="173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5" t="n"/>
      <c r="L30" s="176" t="n"/>
      <c r="M30" s="177" t="n">
        <v>-5809818.35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5" t="n"/>
      <c r="L31" s="176" t="n"/>
      <c r="M31" s="177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</row>
    <row r="32" ht="14" customHeight="1" s="139">
      <c r="A32" s="21" t="n"/>
      <c r="B32" s="21" t="n"/>
      <c r="C32" s="21" t="n"/>
      <c r="D32" s="26" t="inlineStr">
        <is>
          <t>**财务未列部分需增列***</t>
        </is>
      </c>
      <c r="E32" s="181" t="n"/>
      <c r="F32" s="181" t="n"/>
      <c r="G32" s="181" t="n"/>
      <c r="H32" s="166" t="n"/>
      <c r="I32" s="166" t="n"/>
      <c r="J32" s="166" t="n"/>
      <c r="K32" s="170" t="n"/>
      <c r="L32" s="178" t="n"/>
      <c r="M32" s="166" t="n"/>
      <c r="N32" s="166" t="n"/>
      <c r="O32" s="166">
        <f>L32-M32</f>
        <v/>
      </c>
      <c r="P32" s="166">
        <f>K32-N32</f>
        <v/>
      </c>
      <c r="Q32" s="166">
        <f>M32+O32</f>
        <v/>
      </c>
      <c r="R32" s="166">
        <f>M32+N32+O32+P32</f>
        <v/>
      </c>
      <c r="S32" s="172">
        <f>SUM(T32:V32)</f>
        <v/>
      </c>
      <c r="T32" s="166" t="n"/>
      <c r="U32" s="166" t="n"/>
      <c r="V32" s="166" t="n"/>
      <c r="W32" s="166" t="n"/>
      <c r="X32" s="166" t="n"/>
      <c r="Y32" s="166" t="n"/>
      <c r="Z32" s="172" t="n"/>
      <c r="AA32" s="172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>
        <f>AB22/1.17*0.17+AC22/1.16*0.16+AD22/1.11*0.11+AE22/1.1*0.1+AF22/1.09*0.09+AI22/1.03*0.03</f>
        <v/>
      </c>
      <c r="AL32" s="93" t="n"/>
    </row>
    <row r="33" ht="14" customHeight="1" s="139">
      <c r="A33" s="28" t="n"/>
      <c r="B33" s="28" t="n"/>
      <c r="C33" s="28" t="n"/>
      <c r="D33" s="29" t="inlineStr">
        <is>
          <t>分包工程小计：</t>
        </is>
      </c>
      <c r="E33" s="180">
        <f>SUM(E22:E32)</f>
        <v/>
      </c>
      <c r="F33" s="180">
        <f>SUM(F22:F32)</f>
        <v/>
      </c>
      <c r="G33" s="180">
        <f>SUM(G22:G32)</f>
        <v/>
      </c>
      <c r="H33" s="180">
        <f>SUM(H22:H32)</f>
        <v/>
      </c>
      <c r="I33" s="180">
        <f>SUM(I22:I32)</f>
        <v/>
      </c>
      <c r="J33" s="180">
        <f>SUM(J22:J32)</f>
        <v/>
      </c>
      <c r="K33" s="180">
        <f>SUM(K22:K32)</f>
        <v/>
      </c>
      <c r="L33" s="180">
        <f>SUM(L22:L32)</f>
        <v/>
      </c>
      <c r="M33" s="180">
        <f>SUM(M22:M32)</f>
        <v/>
      </c>
      <c r="N33" s="180">
        <f>SUM(N22:N32)</f>
        <v/>
      </c>
      <c r="O33" s="180">
        <f>SUM(O22:O32)</f>
        <v/>
      </c>
      <c r="P33" s="180">
        <f>SUM(P22:P32)</f>
        <v/>
      </c>
      <c r="Q33" s="180">
        <f>SUM(Q22:Q32)</f>
        <v/>
      </c>
      <c r="R33" s="180">
        <f>SUM(R22:R32)</f>
        <v/>
      </c>
      <c r="S33" s="180">
        <f>SUM(S22:S32)</f>
        <v/>
      </c>
      <c r="T33" s="180">
        <f>SUM(T22:T32)</f>
        <v/>
      </c>
      <c r="U33" s="180">
        <f>SUM(U22:U32)</f>
        <v/>
      </c>
      <c r="V33" s="180">
        <f>SUM(V22:V32)</f>
        <v/>
      </c>
      <c r="W33" s="180">
        <f>SUM(W22:W32)</f>
        <v/>
      </c>
      <c r="X33" s="180">
        <f>SUM(X22:X32)</f>
        <v/>
      </c>
      <c r="Y33" s="180">
        <f>SUM(Y22:Y32)</f>
        <v/>
      </c>
      <c r="Z33" s="180">
        <f>SUM(Z22:Z32)</f>
        <v/>
      </c>
      <c r="AA33" s="180">
        <f>SUM(AA22:AA32)</f>
        <v/>
      </c>
      <c r="AB33" s="180">
        <f>SUM(AB22:AB32)</f>
        <v/>
      </c>
      <c r="AC33" s="180">
        <f>SUM(AC22:AC32)</f>
        <v/>
      </c>
      <c r="AD33" s="180">
        <f>SUM(AD22:AD32)</f>
        <v/>
      </c>
      <c r="AE33" s="180">
        <f>SUM(AE22:AE32)</f>
        <v/>
      </c>
      <c r="AF33" s="180">
        <f>SUM(AF22:AF32)</f>
        <v/>
      </c>
      <c r="AG33" s="180">
        <f>SUM(AG22:AG32)</f>
        <v/>
      </c>
      <c r="AH33" s="180">
        <f>SUM(AH22:AH32)</f>
        <v/>
      </c>
      <c r="AI33" s="180">
        <f>SUM(AI22:AI32)</f>
        <v/>
      </c>
      <c r="AJ33" s="180">
        <f>SUM(AJ22:AJ32)</f>
        <v/>
      </c>
      <c r="AK33" s="180">
        <f>SUM(AK22:AK32)</f>
        <v/>
      </c>
      <c r="AL33" s="92" t="n"/>
    </row>
    <row r="34" ht="14" customHeight="1" s="139">
      <c r="A34" s="21" t="n"/>
      <c r="B34" s="21" t="n"/>
      <c r="C34" s="21" t="n"/>
      <c r="D34" s="31" t="inlineStr">
        <is>
          <t>(三)材料费</t>
        </is>
      </c>
      <c r="E34" s="21" t="n"/>
      <c r="F34" s="21" t="n"/>
      <c r="G34" s="21" t="n"/>
      <c r="H34" s="166" t="n"/>
      <c r="I34" s="166" t="n"/>
      <c r="J34" s="166" t="n"/>
      <c r="K34" s="170" t="n"/>
      <c r="L34" s="178" t="n"/>
      <c r="M34" s="166" t="n"/>
      <c r="N34" s="166" t="n"/>
      <c r="O34" s="166">
        <f>L34-M34</f>
        <v/>
      </c>
      <c r="P34" s="166">
        <f>K34-N34</f>
        <v/>
      </c>
      <c r="Q34" s="166">
        <f>M34+O34</f>
        <v/>
      </c>
      <c r="R34" s="166">
        <f>M34+N34+O34+P34</f>
        <v/>
      </c>
      <c r="S34" s="172">
        <f>SUM(T34:V34)</f>
        <v/>
      </c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65">
        <f>AB24/1.17*0.17+AC24/1.16*0.16+AD24/1.11*0.11+AE24/1.1*0.1+AF24/1.09*0.09+AI24/1.03*0.03</f>
        <v/>
      </c>
      <c r="AL34" s="94" t="n"/>
    </row>
    <row r="35" ht="14" customHeight="1" s="139">
      <c r="A35" s="21" t="n"/>
      <c r="B35" s="21" t="n"/>
      <c r="C35" s="21" t="n"/>
      <c r="D35" s="166" t="inlineStr">
        <is>
          <t>（1）集中采购</t>
        </is>
      </c>
      <c r="E35" s="21" t="n"/>
      <c r="F35" s="21" t="n"/>
      <c r="G35" s="21" t="n"/>
      <c r="H35" s="166" t="n"/>
      <c r="I35" s="166" t="n"/>
      <c r="J35" s="166" t="n"/>
      <c r="K35" s="170" t="n"/>
      <c r="L35" s="178" t="n"/>
      <c r="M35" s="166" t="n"/>
      <c r="N35" s="166" t="n"/>
      <c r="O35" s="166">
        <f>L35-M35</f>
        <v/>
      </c>
      <c r="P35" s="166">
        <f>K35-N35</f>
        <v/>
      </c>
      <c r="Q35" s="166">
        <f>M35+O35</f>
        <v/>
      </c>
      <c r="R35" s="166">
        <f>M35+N35+O35+P35</f>
        <v/>
      </c>
      <c r="S35" s="172">
        <f>SUM(T35:V35)</f>
        <v/>
      </c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65">
        <f>AB25/1.17*0.17+AC25/1.16*0.16+AD25/1.11*0.11+AE25/1.1*0.1+AF25/1.09*0.09+AI25/1.03*0.03</f>
        <v/>
      </c>
      <c r="AL35" s="94" t="n"/>
    </row>
    <row r="36" ht="14" customHeight="1" s="139">
      <c r="A36" s="21" t="n"/>
      <c r="B36" s="21" t="n"/>
      <c r="C36" s="21" t="n"/>
      <c r="D36" s="183" t="n"/>
      <c r="E36" s="179" t="n"/>
      <c r="F36" s="179" t="n"/>
      <c r="G36" s="179" t="n"/>
      <c r="H36" s="166" t="n"/>
      <c r="I36" s="166" t="n"/>
      <c r="J36" s="166" t="n"/>
      <c r="K36" s="170" t="n"/>
      <c r="L36" s="178" t="n"/>
      <c r="M36" s="166" t="n"/>
      <c r="N36" s="166" t="n"/>
      <c r="O36" s="166">
        <f>L36-M36</f>
        <v/>
      </c>
      <c r="P36" s="166">
        <f>K36-N36</f>
        <v/>
      </c>
      <c r="Q36" s="166">
        <f>M36+O36</f>
        <v/>
      </c>
      <c r="R36" s="166">
        <f>M36+N36+O36+P36</f>
        <v/>
      </c>
      <c r="S36" s="172">
        <f>SUM(T36:V36)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/>
      <c r="B37" s="21" t="n"/>
      <c r="C37" s="21" t="n"/>
      <c r="D37" s="183" t="n"/>
      <c r="E37" s="179" t="n"/>
      <c r="F37" s="179" t="n"/>
      <c r="G37" s="179" t="n"/>
      <c r="H37" s="166" t="n"/>
      <c r="I37" s="166" t="n"/>
      <c r="J37" s="166" t="n"/>
      <c r="K37" s="170" t="n"/>
      <c r="L37" s="178" t="n"/>
      <c r="M37" s="166" t="n"/>
      <c r="N37" s="166" t="n"/>
      <c r="O37" s="166">
        <f>L37-M37</f>
        <v/>
      </c>
      <c r="P37" s="166">
        <f>K37-N37</f>
        <v/>
      </c>
      <c r="Q37" s="166">
        <f>M37+O37</f>
        <v/>
      </c>
      <c r="R37" s="166">
        <f>M37+N37+O37+P37</f>
        <v/>
      </c>
      <c r="S37" s="172">
        <f>SUM(T37:V37)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/>
      <c r="B38" s="21" t="n"/>
      <c r="C38" s="21" t="n"/>
      <c r="D38" s="183" t="n"/>
      <c r="E38" s="179" t="n"/>
      <c r="F38" s="179" t="n"/>
      <c r="G38" s="179" t="n"/>
      <c r="H38" s="166" t="n"/>
      <c r="I38" s="166" t="n"/>
      <c r="J38" s="166" t="n"/>
      <c r="K38" s="170" t="n"/>
      <c r="L38" s="178" t="n"/>
      <c r="M38" s="166" t="n"/>
      <c r="N38" s="166" t="n"/>
      <c r="O38" s="166">
        <f>L38-M38</f>
        <v/>
      </c>
      <c r="P38" s="166">
        <f>K38-N38</f>
        <v/>
      </c>
      <c r="Q38" s="166">
        <f>M38+O38</f>
        <v/>
      </c>
      <c r="R38" s="166">
        <f>M38+N38+O38+P38</f>
        <v/>
      </c>
      <c r="S38" s="172">
        <f>SUM(T38:V38)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65">
        <f>AB28/1.17*0.17+AC28/1.16*0.16+AD28/1.11*0.11+AE28/1.1*0.1+AF28/1.09*0.09+AI28/1.03*0.03</f>
        <v/>
      </c>
      <c r="AL38" s="94" t="n"/>
    </row>
    <row r="39" ht="14" customHeight="1" s="139">
      <c r="A39" s="21" t="n"/>
      <c r="B39" s="21" t="n"/>
      <c r="C39" s="21" t="n"/>
      <c r="D39" s="166" t="inlineStr">
        <is>
          <t>（2）自行采购</t>
        </is>
      </c>
      <c r="E39" s="181" t="n"/>
      <c r="F39" s="181" t="n"/>
      <c r="G39" s="181" t="n"/>
      <c r="H39" s="166" t="n">
        <v>0</v>
      </c>
      <c r="I39" s="166" t="n"/>
      <c r="J39" s="166" t="n"/>
      <c r="K39" s="170" t="n"/>
      <c r="L39" s="178" t="n"/>
      <c r="M39" s="166" t="n"/>
      <c r="N39" s="166" t="n"/>
      <c r="O39" s="166">
        <f>L39-M39</f>
        <v/>
      </c>
      <c r="P39" s="166">
        <f>K39-N39</f>
        <v/>
      </c>
      <c r="Q39" s="166">
        <f>M39+O39</f>
        <v/>
      </c>
      <c r="R39" s="166">
        <f>M39+N39+O39+P39</f>
        <v/>
      </c>
      <c r="S39" s="172">
        <f>SUM(T39:V39)</f>
        <v/>
      </c>
      <c r="T39" s="172" t="n"/>
      <c r="U39" s="172" t="n"/>
      <c r="V39" s="172" t="n"/>
      <c r="W39" s="172" t="n"/>
      <c r="X39" s="172" t="n"/>
      <c r="Y39" s="172" t="n"/>
      <c r="Z39" s="166">
        <f>SUM(AA29:AJ29)</f>
        <v/>
      </c>
      <c r="AA39" s="17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65">
        <f>AB29/1.17*0.17+AC29/1.16*0.16+AD29/1.11*0.11+AE29/1.1*0.1+AF29/1.09*0.09+AI29/1.03*0.03</f>
        <v/>
      </c>
      <c r="AL39" s="94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2678965.24</v>
      </c>
      <c r="N40" s="177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3" t="n"/>
      <c r="T40" s="177" t="n">
        <v>2100000</v>
      </c>
      <c r="U40" s="173" t="n"/>
      <c r="V40" s="173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23889974.12</v>
      </c>
      <c r="N41" s="177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3" t="n"/>
      <c r="T41" s="177" t="n">
        <v>26369931.95</v>
      </c>
      <c r="U41" s="173" t="n"/>
      <c r="V41" s="173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1606662.27</v>
      </c>
      <c r="N42" s="177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3" t="n"/>
      <c r="T42" s="177" t="n">
        <v>1780000</v>
      </c>
      <c r="U42" s="173" t="n"/>
      <c r="V42" s="173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122485.42</v>
      </c>
      <c r="N43" s="177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159653.02</v>
      </c>
      <c r="N44" s="177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3" t="n"/>
      <c r="T44" s="177" t="n">
        <v>180341.7</v>
      </c>
      <c r="U44" s="173" t="n"/>
      <c r="V44" s="173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3870637.75</v>
      </c>
      <c r="N45" s="177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3" t="n"/>
      <c r="T45" s="177" t="n">
        <v>3867214.13</v>
      </c>
      <c r="U45" s="173" t="n"/>
      <c r="V45" s="173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11516250.3</v>
      </c>
      <c r="N46" s="177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3" t="n"/>
      <c r="T46" s="177" t="n">
        <v>12800000</v>
      </c>
      <c r="U46" s="173" t="n"/>
      <c r="V46" s="173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21666282.13</v>
      </c>
      <c r="N47" s="177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3" t="n"/>
      <c r="T47" s="177" t="n">
        <v>20865280.35</v>
      </c>
      <c r="U47" s="173" t="n"/>
      <c r="V47" s="173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18159564.73</v>
      </c>
      <c r="N48" s="177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3" t="n"/>
      <c r="T48" s="177" t="n">
        <v>18704368.09</v>
      </c>
      <c r="U48" s="173" t="n"/>
      <c r="V48" s="173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1222044.27</v>
      </c>
      <c r="N49" s="177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3" t="n"/>
      <c r="T49" s="177" t="n">
        <v>1380920.4</v>
      </c>
      <c r="U49" s="173" t="n"/>
      <c r="V49" s="173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747879.41</v>
      </c>
      <c r="N50" s="177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3" t="n"/>
      <c r="T50" s="177" t="n">
        <v>730000</v>
      </c>
      <c r="U50" s="173" t="n"/>
      <c r="V50" s="173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446060</v>
      </c>
      <c r="N51" s="177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3" t="n"/>
      <c r="T51" s="177" t="n">
        <v>504047.8</v>
      </c>
      <c r="U51" s="173" t="n"/>
      <c r="V51" s="173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5" t="n"/>
      <c r="L52" s="176" t="n"/>
      <c r="M52" s="177" t="n">
        <v>1109491.46</v>
      </c>
      <c r="N52" s="177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3" t="n"/>
      <c r="T52" s="177" t="n">
        <v>1364048.84</v>
      </c>
      <c r="U52" s="173" t="n"/>
      <c r="V52" s="173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5" t="n"/>
      <c r="L53" s="176" t="n"/>
      <c r="M53" s="177" t="n">
        <v>28926566.64</v>
      </c>
      <c r="N53" s="177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3" t="n"/>
      <c r="T53" s="177" t="n">
        <v>32782596.29</v>
      </c>
      <c r="U53" s="173" t="n"/>
      <c r="V53" s="173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5" t="n"/>
      <c r="L54" s="176" t="n"/>
      <c r="M54" s="177" t="n">
        <v>-127.2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5" t="n"/>
      <c r="L55" s="176" t="n"/>
      <c r="M55" s="177" t="n">
        <v>-465452.87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5" t="n"/>
      <c r="L56" s="176" t="n"/>
      <c r="M56" s="177" t="n">
        <v>-3926272.64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</row>
    <row r="57" ht="14" customHeight="1" s="139">
      <c r="A57" s="21" t="n"/>
      <c r="B57" s="21" t="n"/>
      <c r="C57" s="21" t="n"/>
      <c r="D57" s="183" t="n"/>
      <c r="E57" s="181" t="n"/>
      <c r="F57" s="181" t="n"/>
      <c r="G57" s="181" t="n"/>
      <c r="H57" s="166" t="n"/>
      <c r="I57" s="166" t="n"/>
      <c r="J57" s="166" t="n"/>
      <c r="K57" s="170" t="n"/>
      <c r="L57" s="178" t="n"/>
      <c r="M57" s="166" t="n"/>
      <c r="N57" s="166" t="n"/>
      <c r="O57" s="166">
        <f>L57-M57</f>
        <v/>
      </c>
      <c r="P57" s="166">
        <f>K57-N57</f>
        <v/>
      </c>
      <c r="Q57" s="166">
        <f>M57+O57</f>
        <v/>
      </c>
      <c r="R57" s="166">
        <f>M57+N57+O57+P57</f>
        <v/>
      </c>
      <c r="S57" s="172">
        <f>SUM(T57:V57)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65">
        <f>AB30/1.17*0.17+AC30/1.16*0.16+AD30/1.11*0.11+AE30/1.1*0.1+AF30/1.09*0.09+AI30/1.03*0.03</f>
        <v/>
      </c>
      <c r="AL57" s="94" t="n"/>
    </row>
    <row r="58" ht="14" customHeight="1" s="139">
      <c r="A58" s="21" t="n"/>
      <c r="B58" s="21" t="n"/>
      <c r="C58" s="21" t="n"/>
      <c r="D58" s="31" t="inlineStr">
        <is>
          <t>材料库存（注：项目已结算未使用材料冲减项目成本，负数填报）</t>
        </is>
      </c>
      <c r="E58" s="181" t="n"/>
      <c r="F58" s="181" t="n"/>
      <c r="G58" s="181" t="n"/>
      <c r="H58" s="166" t="n"/>
      <c r="I58" s="166" t="n"/>
      <c r="J58" s="166" t="n"/>
      <c r="K58" s="170" t="n"/>
      <c r="L58" s="178" t="n"/>
      <c r="M58" s="166" t="n"/>
      <c r="N58" s="184" t="n"/>
      <c r="O58" s="166">
        <f>L58-M58</f>
        <v/>
      </c>
      <c r="P58" s="166">
        <f>K58-N58</f>
        <v/>
      </c>
      <c r="Q58" s="166">
        <f>M58+O58</f>
        <v/>
      </c>
      <c r="R58" s="166">
        <f>M58+N58+O58+P58</f>
        <v/>
      </c>
      <c r="S58" s="172">
        <f>SUM(T58:V58)</f>
        <v/>
      </c>
      <c r="T58" s="172" t="n"/>
      <c r="U58" s="172" t="n"/>
      <c r="V58" s="172" t="n"/>
      <c r="W58" s="172" t="n"/>
      <c r="X58" s="172" t="n"/>
      <c r="Y58" s="172" t="n"/>
      <c r="Z58" s="166">
        <f>SUM(AA31:AJ31)</f>
        <v/>
      </c>
      <c r="AA58" s="17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65">
        <f>AB31/1.17*0.17+AC31/1.16*0.16+AD31/1.11*0.11+AE31/1.1*0.1+AF31/1.09*0.09+AI31/1.03*0.03</f>
        <v/>
      </c>
      <c r="AL58" s="94" t="n"/>
    </row>
    <row r="59" ht="14" customHeight="1" s="139">
      <c r="A59" s="21" t="n">
        <v>18</v>
      </c>
      <c r="B59" s="21" t="n"/>
      <c r="C59" s="21" t="n"/>
      <c r="D59" s="31" t="inlineStr">
        <is>
          <t>材料调入</t>
        </is>
      </c>
      <c r="E59" s="21" t="n"/>
      <c r="F59" s="21" t="n"/>
      <c r="G59" s="21" t="n"/>
      <c r="H59" s="166" t="n"/>
      <c r="I59" s="166" t="n"/>
      <c r="J59" s="166" t="n"/>
      <c r="K59" s="170" t="n"/>
      <c r="L59" s="178" t="n"/>
      <c r="M59" s="185" t="n">
        <v>34020317.08</v>
      </c>
      <c r="N59" s="166" t="n"/>
      <c r="O59" s="166">
        <f>L59-M59</f>
        <v/>
      </c>
      <c r="P59" s="166">
        <f>K59-N59</f>
        <v/>
      </c>
      <c r="Q59" s="166">
        <f>M59+O59</f>
        <v/>
      </c>
      <c r="R59" s="166">
        <f>M59+N59+O59+P59</f>
        <v/>
      </c>
      <c r="S59" s="172">
        <f>SUM(T59:V59)</f>
        <v/>
      </c>
      <c r="T59" s="172" t="n"/>
      <c r="U59" s="172" t="n"/>
      <c r="V59" s="172" t="n"/>
      <c r="W59" s="172" t="n"/>
      <c r="X59" s="172" t="n"/>
      <c r="Y59" s="172" t="n"/>
      <c r="Z59" s="166">
        <f>SUM(AA32:AJ32)</f>
        <v/>
      </c>
      <c r="AA59" s="17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65">
        <f>AB32/1.17*0.17+AC32/1.16*0.16+AD32/1.11*0.11+AE32/1.1*0.1+AF32/1.09*0.09+AI32/1.03*0.03</f>
        <v/>
      </c>
      <c r="AL59" s="94" t="n"/>
    </row>
    <row r="60" ht="14" customHeight="1" s="139">
      <c r="A60" s="21" t="n">
        <v>19</v>
      </c>
      <c r="B60" s="21" t="n"/>
      <c r="C60" s="21" t="n"/>
      <c r="D60" s="31" t="inlineStr">
        <is>
          <t>材料调出（注：负数填报）</t>
        </is>
      </c>
      <c r="E60" s="35" t="n"/>
      <c r="F60" s="35" t="n"/>
      <c r="G60" s="35" t="n"/>
      <c r="H60" s="186" t="n"/>
      <c r="I60" s="186" t="n"/>
      <c r="J60" s="166" t="n"/>
      <c r="K60" s="170" t="n"/>
      <c r="L60" s="178" t="n"/>
      <c r="M60" s="187" t="n">
        <v>-8241729.17</v>
      </c>
      <c r="N60" s="186" t="n"/>
      <c r="O60" s="166">
        <f>L60-M60</f>
        <v/>
      </c>
      <c r="P60" s="166">
        <f>K60-N60</f>
        <v/>
      </c>
      <c r="Q60" s="166">
        <f>M60+O60</f>
        <v/>
      </c>
      <c r="R60" s="166">
        <f>M60+N60+O60+P60</f>
        <v/>
      </c>
      <c r="S60" s="172">
        <f>SUM(T60:V60)</f>
        <v/>
      </c>
      <c r="T60" s="186" t="n"/>
      <c r="U60" s="186" t="n"/>
      <c r="V60" s="186" t="n"/>
      <c r="W60" s="186" t="n"/>
      <c r="X60" s="186" t="n"/>
      <c r="Y60" s="186" t="n"/>
      <c r="Z60" s="166">
        <f>SUM(AA33:AJ33)</f>
        <v/>
      </c>
      <c r="AA60" s="186" t="n"/>
      <c r="AB60" s="188" t="n"/>
      <c r="AC60" s="188" t="n"/>
      <c r="AD60" s="188" t="n"/>
      <c r="AE60" s="188" t="n"/>
      <c r="AF60" s="188" t="n"/>
      <c r="AG60" s="188" t="n"/>
      <c r="AH60" s="188" t="n"/>
      <c r="AI60" s="188" t="n"/>
      <c r="AJ60" s="188" t="n"/>
      <c r="AK60" s="165">
        <f>AB33/1.17*0.17+AC33/1.16*0.16+AD33/1.11*0.11+AE33/1.1*0.1+AF33/1.09*0.09+AI33/1.03*0.03</f>
        <v/>
      </c>
      <c r="AL60" s="95" t="n"/>
    </row>
    <row r="61" ht="14" customHeight="1" s="139">
      <c r="A61" s="21" t="n"/>
      <c r="B61" s="21" t="n"/>
      <c r="C61" s="21" t="n"/>
      <c r="D61" s="26" t="inlineStr">
        <is>
          <t>**财务未列部分需增列***</t>
        </is>
      </c>
      <c r="E61" s="181" t="n"/>
      <c r="F61" s="181" t="n"/>
      <c r="G61" s="181" t="n"/>
      <c r="H61" s="166" t="n">
        <v>0</v>
      </c>
      <c r="I61" s="166" t="n"/>
      <c r="J61" s="166" t="n"/>
      <c r="K61" s="170" t="n"/>
      <c r="L61" s="178" t="n"/>
      <c r="M61" s="166" t="n"/>
      <c r="N61" s="166" t="n"/>
      <c r="O61" s="166">
        <f>L61-M61</f>
        <v/>
      </c>
      <c r="P61" s="166">
        <f>K61-N61</f>
        <v/>
      </c>
      <c r="Q61" s="166">
        <f>M61+O61</f>
        <v/>
      </c>
      <c r="R61" s="166">
        <f>M61+N61+O61+P61</f>
        <v/>
      </c>
      <c r="S61" s="172">
        <f>SUM(T61:V61)</f>
        <v/>
      </c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65">
        <f>AB34/1.17*0.17+AC34/1.16*0.16+AD34/1.11*0.11+AE34/1.1*0.1+AF34/1.09*0.09+AI34/1.03*0.03</f>
        <v/>
      </c>
      <c r="AL61" s="94" t="n"/>
    </row>
    <row r="62" ht="14" customHeight="1" s="139">
      <c r="A62" s="28" t="n"/>
      <c r="B62" s="28" t="n"/>
      <c r="C62" s="28" t="n"/>
      <c r="D62" s="29" t="inlineStr">
        <is>
          <t>材料费小计：</t>
        </is>
      </c>
      <c r="E62" s="180">
        <f>SUM(E34:E61)</f>
        <v/>
      </c>
      <c r="F62" s="180">
        <f>SUM(F34:F61)</f>
        <v/>
      </c>
      <c r="G62" s="180">
        <f>SUM(G34:G61)</f>
        <v/>
      </c>
      <c r="H62" s="180">
        <f>SUM(H34:H61)</f>
        <v/>
      </c>
      <c r="I62" s="180">
        <f>SUM(I34:I61)</f>
        <v/>
      </c>
      <c r="J62" s="180">
        <f>SUM(J34:J61)</f>
        <v/>
      </c>
      <c r="K62" s="180">
        <f>SUM(K34:K61)</f>
        <v/>
      </c>
      <c r="L62" s="180">
        <f>SUM(L34:L61)</f>
        <v/>
      </c>
      <c r="M62" s="180">
        <f>SUM(M34:M61)</f>
        <v/>
      </c>
      <c r="N62" s="180">
        <f>SUM(N34:N61)</f>
        <v/>
      </c>
      <c r="O62" s="180">
        <f>SUM(O34:O61)</f>
        <v/>
      </c>
      <c r="P62" s="180">
        <f>SUM(P34:P61)</f>
        <v/>
      </c>
      <c r="Q62" s="180">
        <f>SUM(Q34:Q61)</f>
        <v/>
      </c>
      <c r="R62" s="180">
        <f>SUM(R34:R61)</f>
        <v/>
      </c>
      <c r="S62" s="180">
        <f>SUM(S34:S61)</f>
        <v/>
      </c>
      <c r="T62" s="180">
        <f>SUM(T34:T61)</f>
        <v/>
      </c>
      <c r="U62" s="180">
        <f>SUM(U34:U61)</f>
        <v/>
      </c>
      <c r="V62" s="180">
        <f>SUM(V34:V61)</f>
        <v/>
      </c>
      <c r="W62" s="180">
        <f>SUM(W34:W61)</f>
        <v/>
      </c>
      <c r="X62" s="180">
        <f>SUM(X34:X61)</f>
        <v/>
      </c>
      <c r="Y62" s="180">
        <f>SUM(Y34:Y61)</f>
        <v/>
      </c>
      <c r="Z62" s="180">
        <f>SUM(Z34:Z61)</f>
        <v/>
      </c>
      <c r="AA62" s="180">
        <f>SUM(AA34:AA61)</f>
        <v/>
      </c>
      <c r="AB62" s="180">
        <f>SUM(AB34:AB61)</f>
        <v/>
      </c>
      <c r="AC62" s="180">
        <f>SUM(AC34:AC61)</f>
        <v/>
      </c>
      <c r="AD62" s="180">
        <f>SUM(AD34:AD61)</f>
        <v/>
      </c>
      <c r="AE62" s="180">
        <f>SUM(AE34:AE61)</f>
        <v/>
      </c>
      <c r="AF62" s="180">
        <f>SUM(AF34:AF61)</f>
        <v/>
      </c>
      <c r="AG62" s="180">
        <f>SUM(AG34:AG61)</f>
        <v/>
      </c>
      <c r="AH62" s="180">
        <f>SUM(AH34:AH61)</f>
        <v/>
      </c>
      <c r="AI62" s="180">
        <f>SUM(AI34:AI61)</f>
        <v/>
      </c>
      <c r="AJ62" s="180">
        <f>SUM(AJ34:AJ61)</f>
        <v/>
      </c>
      <c r="AK62" s="180">
        <f>SUM(AK34:AK61)</f>
        <v/>
      </c>
      <c r="AL62" s="92" t="n"/>
    </row>
    <row r="63" ht="14" customHeight="1" s="139">
      <c r="A63" s="21" t="n"/>
      <c r="B63" s="21" t="n"/>
      <c r="C63" s="21" t="n"/>
      <c r="D63" s="31" t="inlineStr">
        <is>
          <t>(四）机械租赁费</t>
        </is>
      </c>
      <c r="E63" s="27" t="n"/>
      <c r="F63" s="27" t="n"/>
      <c r="G63" s="27" t="n"/>
      <c r="H63" s="166" t="n"/>
      <c r="I63" s="166" t="n"/>
      <c r="J63" s="166" t="n"/>
      <c r="K63" s="170" t="n">
        <v>0</v>
      </c>
      <c r="L63" s="178">
        <f>J63-K63</f>
        <v/>
      </c>
      <c r="M63" s="161" t="n"/>
      <c r="N63" s="161" t="n"/>
      <c r="O63" s="166">
        <f>L63-M63</f>
        <v/>
      </c>
      <c r="P63" s="166">
        <f>K63-N63</f>
        <v/>
      </c>
      <c r="Q63" s="166">
        <f>M63+O63</f>
        <v/>
      </c>
      <c r="R63" s="166">
        <f>M63+N63+O63+P63</f>
        <v/>
      </c>
      <c r="S63" s="172">
        <f>SUM(T63:V63)</f>
        <v/>
      </c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65">
        <f>AB36/1.17*0.17+AC36/1.16*0.16+AD36/1.11*0.11+AE36/1.1*0.1+AF36/1.09*0.09+AI36/1.03*0.03</f>
        <v/>
      </c>
      <c r="AL63" s="92" t="n"/>
    </row>
    <row r="64" ht="14" customHeight="1" s="139">
      <c r="A64" s="173" t="n">
        <v>1</v>
      </c>
      <c r="B64" s="173" t="inlineStr">
        <is>
          <t>200489973</t>
        </is>
      </c>
      <c r="C64" s="174" t="inlineStr">
        <is>
          <t>中建四局020020210036050002</t>
        </is>
      </c>
      <c r="D64" s="174" t="inlineStr">
        <is>
          <t>佛山市南海鼎赞机械设备有限公司</t>
        </is>
      </c>
      <c r="E64" s="173" t="n"/>
      <c r="F64" s="173" t="n"/>
      <c r="G64" s="173" t="n"/>
      <c r="H64" s="173" t="n"/>
      <c r="I64" s="173" t="n"/>
      <c r="J64" s="173">
        <f>H64+I64</f>
        <v/>
      </c>
      <c r="K64" s="175" t="n"/>
      <c r="L64" s="176">
        <f>J64-K64</f>
        <v/>
      </c>
      <c r="M64" s="177" t="n">
        <v>3140750.01</v>
      </c>
      <c r="N64" s="177" t="n">
        <v>408297.5</v>
      </c>
      <c r="O64" s="173">
        <f>L64-M64</f>
        <v/>
      </c>
      <c r="P64" s="173">
        <f>K64-N64</f>
        <v/>
      </c>
      <c r="Q64" s="173">
        <f>M64+O64</f>
        <v/>
      </c>
      <c r="R64" s="173">
        <f>M64+N64+O64+P64</f>
        <v/>
      </c>
      <c r="S64" s="173" t="n"/>
      <c r="T64" s="177" t="n">
        <v>2453566.5</v>
      </c>
      <c r="U64" s="173" t="n"/>
      <c r="V64" s="173" t="n"/>
    </row>
    <row r="65" ht="14" customHeight="1" s="139">
      <c r="A65" s="173" t="n">
        <v>2</v>
      </c>
      <c r="B65" s="173" t="inlineStr">
        <is>
          <t>200428777</t>
        </is>
      </c>
      <c r="C65" s="174" t="inlineStr">
        <is>
          <t>中建四局020020210036050001</t>
        </is>
      </c>
      <c r="D65" s="174" t="inlineStr">
        <is>
          <t>广东君晖建筑工程有限公司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5" t="n"/>
      <c r="L65" s="176">
        <f>J65-K65</f>
        <v/>
      </c>
      <c r="M65" s="177" t="n">
        <v>394403.33</v>
      </c>
      <c r="N65" s="177" t="n">
        <v>51272.43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3" t="n"/>
      <c r="T65" s="177" t="n">
        <v>290000</v>
      </c>
      <c r="U65" s="173" t="n"/>
      <c r="V65" s="173" t="n"/>
    </row>
    <row r="66" ht="14" customHeight="1" s="139">
      <c r="A66" s="173" t="n">
        <v>3</v>
      </c>
      <c r="B66" s="173" t="inlineStr">
        <is>
          <t>200353812</t>
        </is>
      </c>
      <c r="C66" s="174" t="inlineStr">
        <is>
          <t>中建四局0200202103605001</t>
        </is>
      </c>
      <c r="D66" s="174" t="inlineStr">
        <is>
          <t>广州小老虎建筑机械租赁有限公司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5" t="n"/>
      <c r="L66" s="176">
        <f>J66-K66</f>
        <v/>
      </c>
      <c r="M66" s="177" t="n">
        <v>8322775.17</v>
      </c>
      <c r="N66" s="177" t="n">
        <v>749049.77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3" t="n"/>
      <c r="T66" s="177" t="n">
        <v>8851326.33</v>
      </c>
      <c r="U66" s="173" t="n"/>
      <c r="V66" s="173" t="n"/>
    </row>
    <row r="67" ht="14" customHeight="1" s="139">
      <c r="A67" s="173" t="n">
        <v>4</v>
      </c>
      <c r="B67" s="173" t="inlineStr">
        <is>
          <t>100217539</t>
        </is>
      </c>
      <c r="C67" s="174" t="inlineStr">
        <is>
          <t>中建四局0200202103605002</t>
        </is>
      </c>
      <c r="D67" s="174" t="inlineStr">
        <is>
          <t>广州易达运输有限公司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5" t="n"/>
      <c r="L67" s="176">
        <f>J67-K67</f>
        <v/>
      </c>
      <c r="M67" s="177" t="n">
        <v>58915.4</v>
      </c>
      <c r="N67" s="177" t="n">
        <v>1767.47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3" t="n"/>
      <c r="T67" s="177" t="n">
        <v>60682.87</v>
      </c>
      <c r="U67" s="173" t="n"/>
      <c r="V67" s="173" t="n"/>
    </row>
    <row r="68" ht="14" customHeight="1" s="139">
      <c r="A68" s="173" t="n">
        <v>5</v>
      </c>
      <c r="B68" s="173" t="inlineStr">
        <is>
          <t>200372422</t>
        </is>
      </c>
      <c r="C68" s="174" t="inlineStr">
        <is>
          <t>中建四局02002021036050003</t>
        </is>
      </c>
      <c r="D68" s="174" t="inlineStr">
        <is>
          <t>深圳市鑫俊辉机械设备有限公司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5" t="n"/>
      <c r="L68" s="176">
        <f>J68-K68</f>
        <v/>
      </c>
      <c r="M68" s="177" t="n">
        <v>260430</v>
      </c>
      <c r="N68" s="177" t="n">
        <v>23438.7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3" t="n"/>
      <c r="T68" s="177" t="n">
        <v>200000</v>
      </c>
      <c r="U68" s="173" t="n"/>
      <c r="V68" s="173" t="n"/>
    </row>
    <row r="69" ht="14" customHeight="1" s="139">
      <c r="A69" s="21" t="n"/>
      <c r="B69" s="21" t="n"/>
      <c r="C69" s="21" t="n"/>
      <c r="D69" s="26" t="inlineStr">
        <is>
          <t>**财务未列部分需增列***</t>
        </is>
      </c>
      <c r="E69" s="39" t="n"/>
      <c r="F69" s="39" t="n"/>
      <c r="G69" s="39" t="n"/>
      <c r="H69" s="166" t="n"/>
      <c r="I69" s="166" t="n"/>
      <c r="J69" s="166" t="n"/>
      <c r="K69" s="170" t="n">
        <v>0</v>
      </c>
      <c r="L69" s="178">
        <f>J69-K69</f>
        <v/>
      </c>
      <c r="M69" s="189" t="n"/>
      <c r="N69" s="189" t="n"/>
      <c r="O69" s="166">
        <f>L69-M69</f>
        <v/>
      </c>
      <c r="P69" s="166">
        <f>K69-N69</f>
        <v/>
      </c>
      <c r="Q69" s="166">
        <f>M69+O69</f>
        <v/>
      </c>
      <c r="R69" s="166">
        <f>M69+N69+O69+P69</f>
        <v/>
      </c>
      <c r="S69" s="172">
        <f>SUM(T69:V69)</f>
        <v/>
      </c>
      <c r="T69" s="189" t="n"/>
      <c r="U69" s="189" t="n"/>
      <c r="V69" s="189" t="n"/>
      <c r="W69" s="189" t="n"/>
      <c r="X69" s="189" t="n"/>
      <c r="Y69" s="189" t="n"/>
      <c r="Z69" s="189" t="n"/>
      <c r="AA69" s="172" t="n"/>
      <c r="AB69" s="165" t="n"/>
      <c r="AC69" s="165" t="n"/>
      <c r="AD69" s="165" t="n"/>
      <c r="AE69" s="165" t="n"/>
      <c r="AF69" s="165" t="n"/>
      <c r="AG69" s="165" t="n"/>
      <c r="AH69" s="165" t="n"/>
      <c r="AI69" s="165" t="n"/>
      <c r="AJ69" s="165" t="n"/>
      <c r="AK69" s="165">
        <f>AB38/1.17*0.17+AC38/1.16*0.16+AD38/1.11*0.11+AE38/1.1*0.1+AF38/1.09*0.09+AI38/1.03*0.03</f>
        <v/>
      </c>
      <c r="AL69" s="93" t="n"/>
    </row>
    <row r="70" ht="39" customHeight="1" s="139">
      <c r="A70" s="28" t="n"/>
      <c r="B70" s="28" t="n"/>
      <c r="C70" s="28" t="n"/>
      <c r="D70" s="40" t="inlineStr">
        <is>
          <t>机械费小计：</t>
        </is>
      </c>
      <c r="E70" s="41" t="n"/>
      <c r="F70" s="41" t="n"/>
      <c r="G70" s="41" t="n"/>
      <c r="H70" s="180">
        <f>SUM(H63:H69)</f>
        <v/>
      </c>
      <c r="I70" s="180">
        <f>SUM(I63:I69)</f>
        <v/>
      </c>
      <c r="J70" s="180">
        <f>SUM(J63:J69)</f>
        <v/>
      </c>
      <c r="K70" s="180">
        <f>SUM(K63:K69)</f>
        <v/>
      </c>
      <c r="L70" s="190">
        <f>SUM(L63:L69)</f>
        <v/>
      </c>
      <c r="M70" s="180">
        <f>SUM(M63:M69)</f>
        <v/>
      </c>
      <c r="N70" s="180">
        <f>SUM(N63:N69)</f>
        <v/>
      </c>
      <c r="O70" s="180">
        <f>SUM(O63:O69)</f>
        <v/>
      </c>
      <c r="P70" s="180">
        <f>SUM(P63:P69)</f>
        <v/>
      </c>
      <c r="Q70" s="180">
        <f>SUM(Q63:Q69)</f>
        <v/>
      </c>
      <c r="R70" s="180">
        <f>SUM(R63:R69)</f>
        <v/>
      </c>
      <c r="S70" s="180">
        <f>SUM(S63:S69)</f>
        <v/>
      </c>
      <c r="T70" s="180" t="n"/>
      <c r="U70" s="180" t="n"/>
      <c r="V70" s="180" t="n"/>
      <c r="W70" s="180" t="n"/>
      <c r="X70" s="180" t="n"/>
      <c r="Y70" s="180" t="n"/>
      <c r="Z70" s="180">
        <f>SUM(Z63:Z69)</f>
        <v/>
      </c>
      <c r="AA70" s="180">
        <f>SUM(AA63:AA69)</f>
        <v/>
      </c>
      <c r="AB70" s="180" t="n"/>
      <c r="AC70" s="180" t="n"/>
      <c r="AD70" s="180" t="n"/>
      <c r="AE70" s="180" t="n"/>
      <c r="AF70" s="180" t="n"/>
      <c r="AG70" s="180" t="n"/>
      <c r="AH70" s="180" t="n"/>
      <c r="AI70" s="180" t="n"/>
      <c r="AJ70" s="180" t="n"/>
      <c r="AK70" s="180" t="n"/>
      <c r="AL70" s="92" t="n"/>
    </row>
    <row r="71" ht="14" customHeight="1" s="139">
      <c r="A71" s="21" t="n"/>
      <c r="B71" s="21" t="n"/>
      <c r="C71" s="21" t="n"/>
      <c r="D71" s="31" t="inlineStr">
        <is>
          <t>（五）其他直接费</t>
        </is>
      </c>
      <c r="E71" s="27" t="n"/>
      <c r="F71" s="27" t="n"/>
      <c r="G71" s="27" t="n"/>
      <c r="H71" s="166" t="n"/>
      <c r="I71" s="166" t="n"/>
      <c r="J71" s="161" t="n">
        <v>0</v>
      </c>
      <c r="K71" s="170" t="n">
        <v>0</v>
      </c>
      <c r="L71" s="178">
        <f>J71-N71-P71</f>
        <v/>
      </c>
      <c r="M71" s="161" t="n"/>
      <c r="N71" s="161" t="n"/>
      <c r="O71" s="166">
        <f>L71-M71</f>
        <v/>
      </c>
      <c r="P71" s="166">
        <f>K71-N71</f>
        <v/>
      </c>
      <c r="Q71" s="166">
        <f>M71+O71</f>
        <v/>
      </c>
      <c r="R71" s="166">
        <f>M71+N71+O71+P71</f>
        <v/>
      </c>
      <c r="S71" s="172">
        <f>SUM(T71:V71)</f>
        <v/>
      </c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65" t="n"/>
      <c r="AL71" s="92" t="n"/>
    </row>
    <row r="72" ht="14" customHeight="1" s="139">
      <c r="A72" s="173" t="n"/>
      <c r="B72" s="173" t="n"/>
      <c r="C72" s="174" t="n"/>
      <c r="D72" s="174" t="inlineStr">
        <is>
          <t>保险费</t>
        </is>
      </c>
      <c r="E72" s="173" t="n"/>
      <c r="F72" s="173" t="n"/>
      <c r="G72" s="173" t="n"/>
      <c r="H72" s="173" t="n"/>
      <c r="I72" s="173" t="n"/>
      <c r="J72" s="173">
        <f>H72+I72</f>
        <v/>
      </c>
      <c r="K72" s="175" t="n"/>
      <c r="L72" s="176">
        <f>J72-K72</f>
        <v/>
      </c>
      <c r="M72" s="177" t="n">
        <v>432696.64</v>
      </c>
      <c r="N72" s="173" t="n"/>
      <c r="O72" s="173">
        <f>L72-M72</f>
        <v/>
      </c>
      <c r="P72" s="173">
        <f>K72-N72</f>
        <v/>
      </c>
      <c r="Q72" s="173">
        <f>M72+O72</f>
        <v/>
      </c>
      <c r="R72" s="173">
        <f>M72+N72+O72+P72</f>
        <v/>
      </c>
      <c r="S72" s="173" t="n"/>
      <c r="T72" s="173" t="n"/>
      <c r="U72" s="173" t="n"/>
      <c r="V72" s="173" t="n"/>
    </row>
    <row r="73" ht="14" customHeight="1" s="139">
      <c r="A73" s="173" t="n"/>
      <c r="B73" s="173" t="n"/>
      <c r="C73" s="174" t="n"/>
      <c r="D73" s="174" t="inlineStr">
        <is>
          <t>其他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5" t="n"/>
      <c r="L73" s="176">
        <f>J73-K73</f>
        <v/>
      </c>
      <c r="M73" s="177" t="n">
        <v>1154170.62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</row>
    <row r="74" ht="14" customHeight="1" s="139">
      <c r="A74" s="173" t="n"/>
      <c r="B74" s="173" t="n"/>
      <c r="C74" s="174" t="n"/>
      <c r="D74" s="174" t="inlineStr">
        <is>
          <t>检验试验费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5" t="n"/>
      <c r="L74" s="176">
        <f>J74-K74</f>
        <v/>
      </c>
      <c r="M74" s="177" t="n">
        <v>704751.05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</row>
    <row r="75" ht="14" customHeight="1" s="139">
      <c r="A75" s="21" t="n"/>
      <c r="B75" s="21" t="n"/>
      <c r="C75" s="21" t="n"/>
      <c r="D75" s="26" t="inlineStr">
        <is>
          <t>**财务未列部分需增列***</t>
        </is>
      </c>
      <c r="E75" s="27" t="n"/>
      <c r="F75" s="27" t="n"/>
      <c r="G75" s="27" t="n"/>
      <c r="H75" s="166" t="n"/>
      <c r="I75" s="166" t="n"/>
      <c r="J75" s="161" t="n"/>
      <c r="K75" s="170" t="n"/>
      <c r="L75" s="178">
        <f>J75-K75</f>
        <v/>
      </c>
      <c r="M75" s="191" t="n"/>
      <c r="N75" s="191" t="n"/>
      <c r="O75" s="166">
        <f>L75-M75</f>
        <v/>
      </c>
      <c r="P75" s="166">
        <f>K75-N75</f>
        <v/>
      </c>
      <c r="Q75" s="166">
        <f>M75+O75</f>
        <v/>
      </c>
      <c r="R75" s="166">
        <f>M75+N75+O75+P75</f>
        <v/>
      </c>
      <c r="S75" s="172">
        <f>SUM(T75:V75)</f>
        <v/>
      </c>
      <c r="T75" s="191" t="n"/>
      <c r="U75" s="191" t="n"/>
      <c r="V75" s="191" t="n"/>
      <c r="W75" s="191" t="n"/>
      <c r="X75" s="191" t="n"/>
      <c r="Y75" s="191" t="n"/>
      <c r="Z75" s="166">
        <f>SUM(AA46:AJ46)</f>
        <v/>
      </c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65" t="n"/>
      <c r="AL75" s="92" t="n"/>
    </row>
    <row r="76" ht="14" customHeight="1" s="139">
      <c r="A76" s="42" t="n"/>
      <c r="B76" s="42" t="n"/>
      <c r="C76" s="42" t="n"/>
      <c r="D76" s="40" t="inlineStr">
        <is>
          <t>其他直接费小计：</t>
        </is>
      </c>
      <c r="E76" s="43" t="n"/>
      <c r="F76" s="43" t="n"/>
      <c r="G76" s="43" t="n"/>
      <c r="H76" s="180">
        <f>SUM(H71:H75)</f>
        <v/>
      </c>
      <c r="I76" s="180">
        <f>SUM(I71:I75)</f>
        <v/>
      </c>
      <c r="J76" s="180">
        <f>SUM(J71:J75)</f>
        <v/>
      </c>
      <c r="K76" s="180">
        <f>SUM(K71:K75)</f>
        <v/>
      </c>
      <c r="L76" s="190">
        <f>SUM(L71:L75)</f>
        <v/>
      </c>
      <c r="M76" s="180">
        <f>SUM(M71:M75)</f>
        <v/>
      </c>
      <c r="N76" s="180">
        <f>SUM(N71:N75)</f>
        <v/>
      </c>
      <c r="O76" s="180">
        <f>L76-M76</f>
        <v/>
      </c>
      <c r="P76" s="180">
        <f>SUM(P71:P75)</f>
        <v/>
      </c>
      <c r="Q76" s="180">
        <f>M76+O76</f>
        <v/>
      </c>
      <c r="R76" s="180">
        <f>SUM(R71:R75)</f>
        <v/>
      </c>
      <c r="S76" s="180">
        <f>SUM(S71:S75)</f>
        <v/>
      </c>
      <c r="T76" s="180" t="n"/>
      <c r="U76" s="180" t="n"/>
      <c r="V76" s="180" t="n"/>
      <c r="W76" s="180" t="n"/>
      <c r="X76" s="180" t="n"/>
      <c r="Y76" s="180" t="n"/>
      <c r="Z76" s="180">
        <f>SUM(Z71:Z75)</f>
        <v/>
      </c>
      <c r="AA76" s="180">
        <f>SUM(AA71:AA75)</f>
        <v/>
      </c>
      <c r="AB76" s="180">
        <f>SUM(AB71:AB75)</f>
        <v/>
      </c>
      <c r="AC76" s="180">
        <f>SUM(AC71:AC75)</f>
        <v/>
      </c>
      <c r="AD76" s="180">
        <f>SUM(AD71:AD75)</f>
        <v/>
      </c>
      <c r="AE76" s="180">
        <f>SUM(AE71:AE75)</f>
        <v/>
      </c>
      <c r="AF76" s="180">
        <f>SUM(AF71:AF75)</f>
        <v/>
      </c>
      <c r="AG76" s="180" t="n"/>
      <c r="AH76" s="180" t="n"/>
      <c r="AI76" s="180">
        <f>SUM(AI71:AI75)</f>
        <v/>
      </c>
      <c r="AJ76" s="180">
        <f>SUM(AJ71:AJ75)</f>
        <v/>
      </c>
      <c r="AK76" s="180">
        <f>SUM(AK71:AK75)</f>
        <v/>
      </c>
      <c r="AL76" s="92" t="n"/>
    </row>
    <row r="77" ht="14" customHeight="1" s="139">
      <c r="A77" s="21" t="n"/>
      <c r="B77" s="21" t="n"/>
      <c r="C77" s="21" t="n"/>
      <c r="D77" s="31" t="inlineStr">
        <is>
          <t>（六）间接费</t>
        </is>
      </c>
      <c r="E77" s="27" t="n"/>
      <c r="F77" s="27" t="n"/>
      <c r="G77" s="27" t="n"/>
      <c r="H77" s="161" t="n"/>
      <c r="I77" s="166" t="n"/>
      <c r="J77" s="166" t="n">
        <v>0</v>
      </c>
      <c r="K77" s="170" t="n">
        <v>0</v>
      </c>
      <c r="L77" s="178">
        <f>J77-N77-P77</f>
        <v/>
      </c>
      <c r="M77" s="161" t="n"/>
      <c r="N77" s="161" t="n"/>
      <c r="O77" s="166">
        <f>L77-M77</f>
        <v/>
      </c>
      <c r="P77" s="166">
        <f>K77-N77</f>
        <v/>
      </c>
      <c r="Q77" s="166">
        <f>M77+O77</f>
        <v/>
      </c>
      <c r="R77" s="166">
        <f>M77+N77+O77+P77</f>
        <v/>
      </c>
      <c r="S77" s="172">
        <f>SUM(T77:V77)</f>
        <v/>
      </c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65" t="n"/>
      <c r="AL77" s="92" t="n"/>
    </row>
    <row r="78" ht="14" customHeight="1" s="139">
      <c r="A78" s="173" t="n"/>
      <c r="B78" s="173" t="n"/>
      <c r="C78" s="174" t="n"/>
      <c r="D78" s="174" t="inlineStr">
        <is>
          <t>企业年金</t>
        </is>
      </c>
      <c r="E78" s="173" t="n"/>
      <c r="F78" s="173" t="n"/>
      <c r="G78" s="173" t="n"/>
      <c r="H78" s="173" t="n"/>
      <c r="I78" s="173" t="n"/>
      <c r="J78" s="173">
        <f>H78+I78</f>
        <v/>
      </c>
      <c r="K78" s="175" t="n"/>
      <c r="L78" s="176">
        <f>J78-K78</f>
        <v/>
      </c>
      <c r="M78" s="177" t="n">
        <v>17742.24</v>
      </c>
      <c r="N78" s="173" t="n"/>
      <c r="O78" s="173">
        <f>L78-M78</f>
        <v/>
      </c>
      <c r="P78" s="173">
        <f>K78-N78</f>
        <v/>
      </c>
      <c r="Q78" s="173">
        <f>M78+O78</f>
        <v/>
      </c>
      <c r="R78" s="173">
        <f>M78+N78+O78+P78</f>
        <v/>
      </c>
      <c r="S78" s="173" t="n"/>
      <c r="T78" s="173" t="n"/>
      <c r="U78" s="173" t="n"/>
      <c r="V78" s="173" t="n"/>
    </row>
    <row r="79" ht="26" customHeight="1" s="139">
      <c r="A79" s="173" t="n"/>
      <c r="B79" s="173" t="n"/>
      <c r="C79" s="174" t="n"/>
      <c r="D79" s="174" t="inlineStr">
        <is>
          <t>住房公积金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5" t="n"/>
      <c r="L79" s="176">
        <f>J79-K79</f>
        <v/>
      </c>
      <c r="M79" s="177" t="n">
        <v>354846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</row>
    <row r="80" ht="26" customHeight="1" s="139">
      <c r="A80" s="173" t="n"/>
      <c r="B80" s="173" t="n"/>
      <c r="C80" s="174" t="n"/>
      <c r="D80" s="174" t="inlineStr">
        <is>
          <t>保安保洁费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5" t="n"/>
      <c r="L80" s="176">
        <f>J80-K80</f>
        <v/>
      </c>
      <c r="M80" s="177" t="n">
        <v>85380.32000000001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</row>
    <row r="81">
      <c r="A81" s="173" t="n"/>
      <c r="B81" s="173" t="n"/>
      <c r="C81" s="174" t="n"/>
      <c r="D81" s="174" t="inlineStr">
        <is>
          <t>修理费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5" t="n"/>
      <c r="L81" s="176">
        <f>J81-K81</f>
        <v/>
      </c>
      <c r="M81" s="177" t="n">
        <v>45517.86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</row>
    <row r="82">
      <c r="A82" s="173" t="n"/>
      <c r="B82" s="173" t="n"/>
      <c r="C82" s="174" t="n"/>
      <c r="D82" s="174" t="inlineStr">
        <is>
          <t>其他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5" t="n"/>
      <c r="L82" s="176">
        <f>J82-K82</f>
        <v/>
      </c>
      <c r="M82" s="177" t="n">
        <v>35702.91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</row>
    <row r="83">
      <c r="A83" s="173" t="n"/>
      <c r="B83" s="173" t="n"/>
      <c r="C83" s="174" t="n"/>
      <c r="D83" s="174" t="inlineStr">
        <is>
          <t>冲晒印刷费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5" t="n"/>
      <c r="L83" s="176">
        <f>J83-K83</f>
        <v/>
      </c>
      <c r="M83" s="177" t="n">
        <v>141655.44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</row>
    <row r="84">
      <c r="A84" s="173" t="n"/>
      <c r="B84" s="173" t="n"/>
      <c r="C84" s="174" t="n"/>
      <c r="D84" s="174" t="inlineStr">
        <is>
          <t>办公用品费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5" t="n"/>
      <c r="L84" s="176">
        <f>J84-K84</f>
        <v/>
      </c>
      <c r="M84" s="177" t="n">
        <v>342874.91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</row>
    <row r="85">
      <c r="A85" s="173" t="n"/>
      <c r="B85" s="173" t="n"/>
      <c r="C85" s="174" t="n"/>
      <c r="D85" s="174" t="inlineStr">
        <is>
          <t>医疗保险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5" t="n"/>
      <c r="L85" s="176">
        <f>J85-K85</f>
        <v/>
      </c>
      <c r="M85" s="177" t="n">
        <v>239686.83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</row>
    <row r="86">
      <c r="A86" s="173" t="n"/>
      <c r="B86" s="173" t="n"/>
      <c r="C86" s="174" t="n"/>
      <c r="D86" s="174" t="inlineStr">
        <is>
          <t>基本养老保险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5" t="n"/>
      <c r="L86" s="176">
        <f>J86-K86</f>
        <v/>
      </c>
      <c r="M86" s="177" t="n">
        <v>785587.66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</row>
    <row r="87">
      <c r="A87" s="173" t="n"/>
      <c r="B87" s="173" t="n"/>
      <c r="C87" s="174" t="n"/>
      <c r="D87" s="174" t="inlineStr">
        <is>
          <t>境内差旅费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5" t="n"/>
      <c r="L87" s="176">
        <f>J87-K87</f>
        <v/>
      </c>
      <c r="M87" s="177" t="n">
        <v>56605.13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</row>
    <row r="88">
      <c r="A88" s="173" t="n"/>
      <c r="B88" s="173" t="n"/>
      <c r="C88" s="174" t="n"/>
      <c r="D88" s="174" t="inlineStr">
        <is>
          <t>失业保险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5" t="n"/>
      <c r="L88" s="176">
        <f>J88-K88</f>
        <v/>
      </c>
      <c r="M88" s="177" t="n">
        <v>27374.29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</row>
    <row r="89">
      <c r="A89" s="173" t="n"/>
      <c r="B89" s="173" t="n"/>
      <c r="C89" s="174" t="n"/>
      <c r="D89" s="174" t="inlineStr">
        <is>
          <t>工会经费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5" t="n"/>
      <c r="L89" s="176">
        <f>J89-K89</f>
        <v/>
      </c>
      <c r="M89" s="177" t="n">
        <v>68528.91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</row>
    <row r="90">
      <c r="A90" s="173" t="n"/>
      <c r="B90" s="173" t="n"/>
      <c r="C90" s="174" t="n"/>
      <c r="D90" s="174" t="inlineStr">
        <is>
          <t>工伤保险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5" t="n"/>
      <c r="L90" s="176">
        <f>J90-K90</f>
        <v/>
      </c>
      <c r="M90" s="177" t="n">
        <v>41844.32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</row>
    <row r="91">
      <c r="A91" s="173" t="n"/>
      <c r="B91" s="173" t="n"/>
      <c r="C91" s="174" t="n"/>
      <c r="D91" s="174" t="inlineStr">
        <is>
          <t>工资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5" t="n"/>
      <c r="L91" s="176">
        <f>J91-K91</f>
        <v/>
      </c>
      <c r="M91" s="177" t="n">
        <v>6390165.85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</row>
    <row r="92">
      <c r="A92" s="173" t="n"/>
      <c r="B92" s="173" t="n"/>
      <c r="C92" s="174" t="n"/>
      <c r="D92" s="174" t="inlineStr">
        <is>
          <t>市内交通费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5" t="n"/>
      <c r="L92" s="176">
        <f>J92-K92</f>
        <v/>
      </c>
      <c r="M92" s="177" t="n">
        <v>249.88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</row>
    <row r="93">
      <c r="A93" s="173" t="n"/>
      <c r="B93" s="173" t="n"/>
      <c r="C93" s="174" t="n"/>
      <c r="D93" s="174" t="inlineStr">
        <is>
          <t>律师费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5" t="n"/>
      <c r="L93" s="176">
        <f>J93-K93</f>
        <v/>
      </c>
      <c r="M93" s="177" t="n">
        <v>24056.6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</row>
    <row r="94">
      <c r="A94" s="173" t="n"/>
      <c r="B94" s="173" t="n"/>
      <c r="C94" s="174" t="n"/>
      <c r="D94" s="174" t="inlineStr">
        <is>
          <t>折旧费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5" t="n"/>
      <c r="L94" s="176">
        <f>J94-K94</f>
        <v/>
      </c>
      <c r="M94" s="177" t="n">
        <v>8068.7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</row>
    <row r="95">
      <c r="A95" s="173" t="n"/>
      <c r="B95" s="173" t="n"/>
      <c r="C95" s="174" t="n"/>
      <c r="D95" s="174" t="inlineStr">
        <is>
          <t>燃油费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5" t="n"/>
      <c r="L95" s="176">
        <f>J95-K95</f>
        <v/>
      </c>
      <c r="M95" s="177" t="n">
        <v>61952.74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</row>
    <row r="96">
      <c r="A96" s="173" t="n"/>
      <c r="B96" s="173" t="n"/>
      <c r="C96" s="174" t="n"/>
      <c r="D96" s="174" t="inlineStr">
        <is>
          <t>物业管理费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5" t="n"/>
      <c r="L96" s="176">
        <f>J96-K96</f>
        <v/>
      </c>
      <c r="M96" s="177" t="n">
        <v>399120.24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</row>
    <row r="97">
      <c r="A97" s="173" t="n"/>
      <c r="B97" s="173" t="n"/>
      <c r="C97" s="174" t="n"/>
      <c r="D97" s="174" t="inlineStr">
        <is>
          <t>生育保险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5" t="n"/>
      <c r="L97" s="176">
        <f>J97-K97</f>
        <v/>
      </c>
      <c r="M97" s="177" t="n">
        <v>5673.75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</row>
    <row r="98">
      <c r="A98" s="173" t="n"/>
      <c r="B98" s="173" t="n"/>
      <c r="C98" s="174" t="n"/>
      <c r="D98" s="174" t="inlineStr">
        <is>
          <t>社保及公积金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5" t="n"/>
      <c r="L98" s="176">
        <f>J98-K98</f>
        <v/>
      </c>
      <c r="M98" s="177" t="n">
        <v>275511.16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</row>
    <row r="99">
      <c r="A99" s="173" t="n"/>
      <c r="B99" s="173" t="n"/>
      <c r="C99" s="174" t="n"/>
      <c r="D99" s="174" t="inlineStr">
        <is>
          <t>租车费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5" t="n"/>
      <c r="L99" s="176">
        <f>J99-K99</f>
        <v/>
      </c>
      <c r="M99" s="177" t="n">
        <v>18229.2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</row>
    <row r="100">
      <c r="A100" s="173" t="n"/>
      <c r="B100" s="173" t="n"/>
      <c r="C100" s="174" t="n"/>
      <c r="D100" s="174" t="inlineStr">
        <is>
          <t>维修保养费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5" t="n"/>
      <c r="L100" s="176">
        <f>J100-K100</f>
        <v/>
      </c>
      <c r="M100" s="177" t="n">
        <v>16244.86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</row>
    <row r="101">
      <c r="A101" s="173" t="n"/>
      <c r="B101" s="173" t="n"/>
      <c r="C101" s="174" t="n"/>
      <c r="D101" s="174" t="inlineStr">
        <is>
          <t>网络使用费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5" t="n"/>
      <c r="L101" s="176">
        <f>J101-K101</f>
        <v/>
      </c>
      <c r="M101" s="177" t="n">
        <v>127503.01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</row>
    <row r="102">
      <c r="A102" s="173" t="n"/>
      <c r="B102" s="173" t="n"/>
      <c r="C102" s="174" t="n"/>
      <c r="D102" s="174" t="inlineStr">
        <is>
          <t>职工教育经费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5" t="n"/>
      <c r="L102" s="176">
        <f>J102-K102</f>
        <v/>
      </c>
      <c r="M102" s="177" t="n">
        <v>35002.91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</row>
    <row r="103">
      <c r="A103" s="173" t="n"/>
      <c r="B103" s="173" t="n"/>
      <c r="C103" s="174" t="n"/>
      <c r="D103" s="174" t="inlineStr">
        <is>
          <t>职工福利费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5" t="n"/>
      <c r="L103" s="176">
        <f>J103-K103</f>
        <v/>
      </c>
      <c r="M103" s="177" t="n">
        <v>188522.63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</row>
    <row r="104">
      <c r="A104" s="173" t="n"/>
      <c r="B104" s="173" t="n"/>
      <c r="C104" s="174" t="n"/>
      <c r="D104" s="174" t="inlineStr">
        <is>
          <t>补充医疗保险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5" t="n"/>
      <c r="L104" s="176">
        <f>J104-K104</f>
        <v/>
      </c>
      <c r="M104" s="177" t="n">
        <v>2802.66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</row>
    <row r="105">
      <c r="A105" s="173" t="n"/>
      <c r="B105" s="173" t="n"/>
      <c r="C105" s="174" t="n"/>
      <c r="D105" s="174" t="inlineStr">
        <is>
          <t>诉讼费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5" t="n"/>
      <c r="L105" s="176">
        <f>J105-K105</f>
        <v/>
      </c>
      <c r="M105" s="177" t="n">
        <v>310729.56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</row>
    <row r="106">
      <c r="A106" s="173" t="n"/>
      <c r="B106" s="173" t="n"/>
      <c r="C106" s="174" t="n"/>
      <c r="D106" s="174" t="inlineStr">
        <is>
          <t>路桥及停车费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5" t="n"/>
      <c r="L106" s="176">
        <f>J106-K106</f>
        <v/>
      </c>
      <c r="M106" s="177" t="n">
        <v>40569.97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</row>
    <row r="107">
      <c r="A107" s="173" t="n"/>
      <c r="B107" s="173" t="n"/>
      <c r="C107" s="174" t="n"/>
      <c r="D107" s="174" t="inlineStr">
        <is>
          <t>软件费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5" t="n"/>
      <c r="L107" s="176">
        <f>J107-K107</f>
        <v/>
      </c>
      <c r="M107" s="177" t="n">
        <v>14454.72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</row>
    <row r="108">
      <c r="A108" s="173" t="n"/>
      <c r="B108" s="173" t="n"/>
      <c r="C108" s="174" t="n"/>
      <c r="D108" s="174" t="inlineStr">
        <is>
          <t>通信费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5" t="n"/>
      <c r="L108" s="176">
        <f>J108-K108</f>
        <v/>
      </c>
      <c r="M108" s="177" t="n">
        <v>35361.79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</row>
    <row r="109">
      <c r="A109" s="173" t="n"/>
      <c r="B109" s="173" t="n"/>
      <c r="C109" s="174" t="n"/>
      <c r="D109" s="174" t="inlineStr">
        <is>
          <t>邮寄费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5" t="n"/>
      <c r="L109" s="176">
        <f>J109-K109</f>
        <v/>
      </c>
      <c r="M109" s="177" t="n">
        <v>604.72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</row>
    <row r="110">
      <c r="A110" s="21" t="n"/>
      <c r="B110" s="21" t="n"/>
      <c r="C110" s="21" t="n"/>
      <c r="D110" s="26" t="inlineStr">
        <is>
          <t>**财务未列部分需增列***</t>
        </is>
      </c>
      <c r="E110" s="27" t="n"/>
      <c r="F110" s="27" t="n"/>
      <c r="G110" s="27" t="n"/>
      <c r="H110" s="191" t="n"/>
      <c r="I110" s="166" t="n"/>
      <c r="J110" s="191" t="n"/>
      <c r="K110" s="170" t="n"/>
      <c r="L110" s="178" t="n"/>
      <c r="M110" s="191" t="n"/>
      <c r="N110" s="166" t="n"/>
      <c r="O110" s="166">
        <f>L110-M110</f>
        <v/>
      </c>
      <c r="P110" s="166">
        <f>K110-N110</f>
        <v/>
      </c>
      <c r="Q110" s="166">
        <f>M110+O110</f>
        <v/>
      </c>
      <c r="R110" s="166">
        <f>M110+N110+O110+P110</f>
        <v/>
      </c>
      <c r="S110" s="172">
        <f>SUM(T110:V110)</f>
        <v/>
      </c>
      <c r="T110" s="191" t="n"/>
      <c r="U110" s="191" t="n"/>
      <c r="V110" s="191" t="n"/>
      <c r="W110" s="191" t="n"/>
      <c r="X110" s="191" t="n"/>
      <c r="Y110" s="191" t="n"/>
      <c r="Z110" s="191" t="n"/>
      <c r="AA110" s="172" t="n"/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65" t="n"/>
      <c r="AL110" s="93" t="n"/>
    </row>
    <row r="111">
      <c r="A111" s="42" t="n"/>
      <c r="B111" s="42" t="n"/>
      <c r="C111" s="42" t="n"/>
      <c r="D111" s="40" t="inlineStr">
        <is>
          <t>间接费小计：</t>
        </is>
      </c>
      <c r="E111" s="43" t="n"/>
      <c r="F111" s="43" t="n"/>
      <c r="G111" s="43" t="n"/>
      <c r="H111" s="180">
        <f>SUM(H77:H110)</f>
        <v/>
      </c>
      <c r="I111" s="180">
        <f>SUM(I77:I110)</f>
        <v/>
      </c>
      <c r="J111" s="180">
        <f>SUM(J77:J110)</f>
        <v/>
      </c>
      <c r="K111" s="180">
        <f>SUM(K77:K110)</f>
        <v/>
      </c>
      <c r="L111" s="190">
        <f>SUM(L77:L110)</f>
        <v/>
      </c>
      <c r="M111" s="190">
        <f>SUM(M77:M110)</f>
        <v/>
      </c>
      <c r="N111" s="190">
        <f>SUM(N77:N110)</f>
        <v/>
      </c>
      <c r="O111" s="190">
        <f>SUM(O77:O110)</f>
        <v/>
      </c>
      <c r="P111" s="190">
        <f>SUM(P77:P110)</f>
        <v/>
      </c>
      <c r="Q111" s="190">
        <f>SUM(Q77:Q110)</f>
        <v/>
      </c>
      <c r="R111" s="190">
        <f>SUM(R77:R110)</f>
        <v/>
      </c>
      <c r="S111" s="190">
        <f>SUM(S77:S110)</f>
        <v/>
      </c>
      <c r="T111" s="190" t="n"/>
      <c r="U111" s="190" t="n"/>
      <c r="V111" s="190" t="n"/>
      <c r="W111" s="190" t="n"/>
      <c r="X111" s="190" t="n"/>
      <c r="Y111" s="190" t="n"/>
      <c r="Z111" s="190">
        <f>SUM(Z77:Z110)</f>
        <v/>
      </c>
      <c r="AA111" s="190">
        <f>SUM(AA77:AA110)</f>
        <v/>
      </c>
      <c r="AB111" s="190">
        <f>SUM(AB77:AB110)</f>
        <v/>
      </c>
      <c r="AC111" s="190">
        <f>SUM(AC77:AC110)</f>
        <v/>
      </c>
      <c r="AD111" s="190">
        <f>SUM(AD77:AD110)</f>
        <v/>
      </c>
      <c r="AE111" s="190">
        <f>SUM(AE77:AE110)</f>
        <v/>
      </c>
      <c r="AF111" s="190">
        <f>SUM(AF77:AF110)</f>
        <v/>
      </c>
      <c r="AG111" s="190" t="n"/>
      <c r="AH111" s="190" t="n"/>
      <c r="AI111" s="190">
        <f>SUM(AI77:AI110)</f>
        <v/>
      </c>
      <c r="AJ111" s="190">
        <f>SUM(AJ77:AJ110)</f>
        <v/>
      </c>
      <c r="AK111" s="190">
        <f>SUM(AK77:AK110)</f>
        <v/>
      </c>
      <c r="AL111" s="93" t="n"/>
    </row>
    <row r="112">
      <c r="A112" s="21" t="n"/>
      <c r="B112" s="21" t="n"/>
      <c r="C112" s="21" t="n"/>
      <c r="D112" s="31" t="inlineStr">
        <is>
          <t>（七）安全费</t>
        </is>
      </c>
      <c r="E112" s="27" t="n"/>
      <c r="F112" s="27" t="n"/>
      <c r="G112" s="27" t="n"/>
      <c r="H112" s="166" t="n"/>
      <c r="I112" s="166" t="n"/>
      <c r="J112" s="161" t="n">
        <v>0</v>
      </c>
      <c r="K112" s="192" t="n"/>
      <c r="L112" s="178">
        <f>J112-N112-P112</f>
        <v/>
      </c>
      <c r="M112" s="166" t="n"/>
      <c r="N112" s="166" t="n"/>
      <c r="O112" s="166">
        <f>L112-M112</f>
        <v/>
      </c>
      <c r="P112" s="166">
        <f>K112-N112</f>
        <v/>
      </c>
      <c r="Q112" s="166">
        <f>M112+O112</f>
        <v/>
      </c>
      <c r="R112" s="166">
        <f>M112+N112+O112+P112</f>
        <v/>
      </c>
      <c r="S112" s="172">
        <f>SUM(T112:V112)</f>
        <v/>
      </c>
      <c r="T112" s="191" t="n"/>
      <c r="U112" s="191" t="n"/>
      <c r="V112" s="191" t="n"/>
      <c r="W112" s="191" t="n"/>
      <c r="X112" s="191" t="n"/>
      <c r="Y112" s="191" t="n"/>
      <c r="Z112" s="189" t="n"/>
      <c r="AA112" s="172" t="n"/>
      <c r="AB112" s="165" t="n"/>
      <c r="AC112" s="165" t="n"/>
      <c r="AD112" s="165" t="n"/>
      <c r="AE112" s="165" t="n"/>
      <c r="AF112" s="165" t="n"/>
      <c r="AG112" s="165" t="n"/>
      <c r="AH112" s="165" t="n"/>
      <c r="AI112" s="165" t="n"/>
      <c r="AJ112" s="165" t="n"/>
      <c r="AK112" s="165" t="n"/>
      <c r="AL112" s="93" t="n"/>
    </row>
    <row r="113">
      <c r="A113" s="173" t="n"/>
      <c r="B113" s="173" t="n"/>
      <c r="C113" s="174" t="n"/>
      <c r="D113" s="174" t="inlineStr">
        <is>
          <t>分包工程支出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5" t="n"/>
      <c r="L113" s="176">
        <f>J113-K113</f>
        <v/>
      </c>
      <c r="M113" s="177" t="n">
        <v>7404340.81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</row>
    <row r="114">
      <c r="A114" s="173" t="n"/>
      <c r="B114" s="173" t="n"/>
      <c r="C114" s="174" t="n"/>
      <c r="D114" s="174" t="inlineStr">
        <is>
          <t>报销</t>
        </is>
      </c>
      <c r="E114" s="173" t="n"/>
      <c r="F114" s="173" t="n"/>
      <c r="G114" s="173" t="n"/>
      <c r="H114" s="173" t="n"/>
      <c r="I114" s="173" t="n"/>
      <c r="J114" s="173">
        <f>H114+I114</f>
        <v/>
      </c>
      <c r="K114" s="175" t="n"/>
      <c r="L114" s="176">
        <f>J114-K114</f>
        <v/>
      </c>
      <c r="M114" s="177" t="n">
        <v>162980</v>
      </c>
      <c r="N114" s="173" t="n"/>
      <c r="O114" s="173">
        <f>L114-M114</f>
        <v/>
      </c>
      <c r="P114" s="173">
        <f>K114-N114</f>
        <v/>
      </c>
      <c r="Q114" s="173">
        <f>M114+O114</f>
        <v/>
      </c>
      <c r="R114" s="173">
        <f>M114+N114+O114+P114</f>
        <v/>
      </c>
      <c r="S114" s="173" t="n"/>
      <c r="T114" s="173" t="n"/>
      <c r="U114" s="173" t="n"/>
      <c r="V114" s="173" t="n"/>
    </row>
    <row r="115">
      <c r="A115" s="173" t="n"/>
      <c r="B115" s="173" t="n"/>
      <c r="C115" s="174" t="n"/>
      <c r="D115" s="174" t="inlineStr">
        <is>
          <t>直接人工费</t>
        </is>
      </c>
      <c r="E115" s="173" t="n"/>
      <c r="F115" s="173" t="n"/>
      <c r="G115" s="173" t="n"/>
      <c r="H115" s="173" t="n"/>
      <c r="I115" s="173" t="n"/>
      <c r="J115" s="173">
        <f>H115+I115</f>
        <v/>
      </c>
      <c r="K115" s="175" t="n"/>
      <c r="L115" s="176">
        <f>J115-K115</f>
        <v/>
      </c>
      <c r="M115" s="177" t="n">
        <v>951309.41</v>
      </c>
      <c r="N115" s="173" t="n"/>
      <c r="O115" s="173">
        <f>L115-M115</f>
        <v/>
      </c>
      <c r="P115" s="173">
        <f>K115-N115</f>
        <v/>
      </c>
      <c r="Q115" s="173">
        <f>M115+O115</f>
        <v/>
      </c>
      <c r="R115" s="173">
        <f>M115+N115+O115+P115</f>
        <v/>
      </c>
      <c r="S115" s="173" t="n"/>
      <c r="T115" s="173" t="n"/>
      <c r="U115" s="173" t="n"/>
      <c r="V115" s="173" t="n"/>
    </row>
    <row r="116">
      <c r="A116" s="42" t="n"/>
      <c r="B116" s="42" t="n"/>
      <c r="C116" s="42" t="n"/>
      <c r="D116" s="40" t="inlineStr">
        <is>
          <t>安全费小计：</t>
        </is>
      </c>
      <c r="E116" s="40" t="n"/>
      <c r="F116" s="40" t="n"/>
      <c r="G116" s="40" t="n"/>
      <c r="H116" s="180">
        <f>SUM(H112:H115)</f>
        <v/>
      </c>
      <c r="I116" s="180">
        <f>SUM(I112:I115)</f>
        <v/>
      </c>
      <c r="J116" s="180" t="n">
        <v>0</v>
      </c>
      <c r="K116" s="180" t="n">
        <v>0</v>
      </c>
      <c r="L116" s="178">
        <f>J116-K116</f>
        <v/>
      </c>
      <c r="M116" s="193" t="n"/>
      <c r="N116" s="193" t="n"/>
      <c r="O116" s="190">
        <f>SUM(O112:O115)</f>
        <v/>
      </c>
      <c r="P116" s="190">
        <f>SUM(P112:P115)</f>
        <v/>
      </c>
      <c r="Q116" s="190">
        <f>SUM(Q112:Q115)</f>
        <v/>
      </c>
      <c r="R116" s="190">
        <f>SUM(R112:R115)</f>
        <v/>
      </c>
      <c r="S116" s="190">
        <f>SUM(S112:S115)</f>
        <v/>
      </c>
      <c r="T116" s="193" t="n"/>
      <c r="U116" s="193" t="n"/>
      <c r="V116" s="193" t="n"/>
      <c r="W116" s="193" t="n"/>
      <c r="X116" s="193" t="n"/>
      <c r="Y116" s="193" t="n"/>
      <c r="Z116" s="193" t="n"/>
      <c r="AA116" s="193">
        <f>SUM(AA112:AA115)</f>
        <v/>
      </c>
      <c r="AB116" s="193">
        <f>SUM(AB112:AB115)</f>
        <v/>
      </c>
      <c r="AC116" s="193">
        <f>SUM(AC112:AC115)</f>
        <v/>
      </c>
      <c r="AD116" s="193">
        <f>SUM(AD112:AD115)</f>
        <v/>
      </c>
      <c r="AE116" s="193">
        <f>SUM(AE112:AE115)</f>
        <v/>
      </c>
      <c r="AF116" s="193">
        <f>SUM(AF112:AF115)</f>
        <v/>
      </c>
      <c r="AG116" s="193" t="n"/>
      <c r="AH116" s="193" t="n"/>
      <c r="AI116" s="193">
        <f>SUM(AI112:AI115)</f>
        <v/>
      </c>
      <c r="AJ116" s="193">
        <f>SUM(AJ112:AJ115)</f>
        <v/>
      </c>
      <c r="AK116" s="193">
        <f>SUM(AK112:AK115)</f>
        <v/>
      </c>
      <c r="AL116" s="133" t="n"/>
    </row>
    <row r="117">
      <c r="A117" s="42" t="n"/>
      <c r="B117" s="42" t="n"/>
      <c r="C117" s="42" t="n"/>
      <c r="D117" s="40" t="inlineStr">
        <is>
          <t>三、成本合计：</t>
        </is>
      </c>
      <c r="E117" s="43" t="n"/>
      <c r="F117" s="43" t="n"/>
      <c r="G117" s="43" t="n"/>
      <c r="H117" s="180">
        <f>H21+H33+H62+H70+H76+H111+H116</f>
        <v/>
      </c>
      <c r="I117" s="180">
        <f>I21+I33+I62+I70+I76+I111+I116</f>
        <v/>
      </c>
      <c r="J117" s="180">
        <f>J21+J33+J62+J70+J76+J111+J116</f>
        <v/>
      </c>
      <c r="K117" s="180">
        <f>K21+K33+K62+K70+K76+K111+K116</f>
        <v/>
      </c>
      <c r="L117" s="190">
        <f>L21+L33+L62+L70+L76+L111+L116</f>
        <v/>
      </c>
      <c r="M117" s="193">
        <f>M21+M33+M62+M70+M76+M111+M116</f>
        <v/>
      </c>
      <c r="N117" s="193">
        <f>N21+N33+N62+N70+N76+N111+N116</f>
        <v/>
      </c>
      <c r="O117" s="193">
        <f>O21+O33+O62+O70+O76+O111+O116</f>
        <v/>
      </c>
      <c r="P117" s="193">
        <f>P21+P33+P62+P70+P76+P111+P116</f>
        <v/>
      </c>
      <c r="Q117" s="193">
        <f>Q21+Q33+Q62+Q70+Q76+Q111+Q116</f>
        <v/>
      </c>
      <c r="R117" s="193">
        <f>R21+R33+R62+R70+R76+R111+R116</f>
        <v/>
      </c>
      <c r="S117" s="193">
        <f>S21+S33+S62+S70+S76+S111+S116</f>
        <v/>
      </c>
      <c r="T117" s="193" t="n"/>
      <c r="U117" s="193" t="n"/>
      <c r="V117" s="193" t="n"/>
      <c r="W117" s="193" t="n"/>
      <c r="X117" s="193" t="n"/>
      <c r="Y117" s="193" t="n"/>
      <c r="Z117" s="193">
        <f>Z21+Z33+Z62+Z70+Z76+Z111+Z116</f>
        <v/>
      </c>
      <c r="AA117" s="193">
        <f>AA21+AA33+AA62+AA70+AA76+AA111+AA116</f>
        <v/>
      </c>
      <c r="AB117" s="193">
        <f>AB21+AB33+AB62+AB70+AB76+AB111+AB116</f>
        <v/>
      </c>
      <c r="AC117" s="193">
        <f>AC21+AC33+AC62+AC70+AC76+AC111+AC116</f>
        <v/>
      </c>
      <c r="AD117" s="193">
        <f>AD21+AD33+AD62+AD70+AD76+AD111+AD116</f>
        <v/>
      </c>
      <c r="AE117" s="193">
        <f>AE21+AE33+AE62+AE70+AE76+AE111+AE116</f>
        <v/>
      </c>
      <c r="AF117" s="193">
        <f>AF21+AF33+AF62+AF70+AF76+AF111+AF116</f>
        <v/>
      </c>
      <c r="AG117" s="193" t="n"/>
      <c r="AH117" s="193" t="n"/>
      <c r="AI117" s="193">
        <f>AI21+AI33+AI62+AI70+AI76+AI111+AI116</f>
        <v/>
      </c>
      <c r="AJ117" s="193">
        <f>AJ21+AJ33+AJ62+AJ70+AJ76+AJ111+AJ116</f>
        <v/>
      </c>
      <c r="AK117" s="193">
        <f>AK21+AK33+AK62+AK70+AK76+AK111+AK116</f>
        <v/>
      </c>
      <c r="AL117" s="133" t="n"/>
    </row>
    <row r="118">
      <c r="A118" s="21" t="n"/>
      <c r="B118" s="21" t="n"/>
      <c r="C118" s="21" t="n"/>
      <c r="D118" s="31" t="inlineStr">
        <is>
          <t>四、计提保修金</t>
        </is>
      </c>
      <c r="E118" s="96" t="inlineStr">
        <is>
          <t>（在建：房建0.6%，其它0.4%；在保修期间的按0.3~0.5%自行确定;保修期结束为0）</t>
        </is>
      </c>
      <c r="F118" s="96" t="n"/>
      <c r="G118" s="96" t="n"/>
      <c r="H118" s="161" t="n"/>
      <c r="I118" s="161" t="n"/>
      <c r="J118" s="161">
        <f>H118+I118</f>
        <v/>
      </c>
      <c r="K118" s="161" t="n"/>
      <c r="L118" s="178">
        <f>J118-K118</f>
        <v/>
      </c>
      <c r="M118" s="166" t="n"/>
      <c r="N118" s="166" t="n"/>
      <c r="O118" s="166">
        <f>L118-M118</f>
        <v/>
      </c>
      <c r="P118" s="166">
        <f>K118-N118</f>
        <v/>
      </c>
      <c r="Q118" s="166">
        <f>M118+O118</f>
        <v/>
      </c>
      <c r="R118" s="166">
        <f>M118+N118+O118+P118</f>
        <v/>
      </c>
      <c r="S118" s="172">
        <f>SUM(T118:V118)</f>
        <v/>
      </c>
      <c r="T118" s="172" t="n"/>
      <c r="U118" s="172" t="n"/>
      <c r="V118" s="172" t="n"/>
      <c r="W118" s="172" t="n"/>
      <c r="X118" s="172" t="n"/>
      <c r="Y118" s="172" t="n"/>
      <c r="Z118" s="172" t="n"/>
      <c r="AA118" s="172">
        <f>Q70-S70</f>
        <v/>
      </c>
      <c r="AB118" s="194" t="n"/>
      <c r="AC118" s="194" t="n"/>
      <c r="AD118" s="194" t="n"/>
      <c r="AE118" s="194" t="n"/>
      <c r="AF118" s="194" t="n"/>
      <c r="AG118" s="194" t="n"/>
      <c r="AH118" s="194" t="n"/>
      <c r="AI118" s="194" t="n"/>
      <c r="AJ118" s="194" t="n"/>
      <c r="AK118" s="165" t="n"/>
      <c r="AL118" s="133" t="n"/>
    </row>
    <row r="119">
      <c r="A119" s="21" t="n"/>
      <c r="B119" s="21" t="n"/>
      <c r="C119" s="21" t="n"/>
      <c r="D119" s="31" t="inlineStr">
        <is>
          <t>五、过程节点奖金</t>
        </is>
      </c>
      <c r="E119" s="27" t="n"/>
      <c r="F119" s="27" t="n"/>
      <c r="G119" s="27" t="n"/>
      <c r="H119" s="161" t="n"/>
      <c r="I119" s="161" t="n"/>
      <c r="J119" s="161">
        <f>H119+I119</f>
        <v/>
      </c>
      <c r="K119" s="161" t="n"/>
      <c r="L119" s="178">
        <f>J119-K119</f>
        <v/>
      </c>
      <c r="M119" s="166" t="n"/>
      <c r="N119" s="166" t="n"/>
      <c r="O119" s="166">
        <f>L119-M119</f>
        <v/>
      </c>
      <c r="P119" s="166">
        <f>K119-N119</f>
        <v/>
      </c>
      <c r="Q119" s="166">
        <f>M119+O119</f>
        <v/>
      </c>
      <c r="R119" s="166">
        <f>M119+N119+O119+P119</f>
        <v/>
      </c>
      <c r="S119" s="172">
        <f>SUM(T119:V119)</f>
        <v/>
      </c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65" t="n"/>
      <c r="AC119" s="165" t="n"/>
      <c r="AD119" s="165" t="n"/>
      <c r="AE119" s="165" t="n"/>
      <c r="AF119" s="165" t="n"/>
      <c r="AG119" s="165" t="n"/>
      <c r="AH119" s="165" t="n"/>
      <c r="AI119" s="165" t="n"/>
      <c r="AJ119" s="165" t="n"/>
      <c r="AK119" s="165" t="n"/>
      <c r="AL119" s="93" t="n"/>
    </row>
    <row r="120">
      <c r="A120" s="21" t="n"/>
      <c r="B120" s="21" t="n"/>
      <c r="C120" s="21" t="n"/>
      <c r="D120" s="31" t="inlineStr">
        <is>
          <t>六、资金占用费用</t>
        </is>
      </c>
      <c r="E120" s="27" t="n"/>
      <c r="F120" s="27" t="n"/>
      <c r="G120" s="27" t="n"/>
      <c r="H120" s="166" t="n"/>
      <c r="I120" s="166" t="n"/>
      <c r="J120" s="161">
        <f>H120+I120</f>
        <v/>
      </c>
      <c r="K120" s="166" t="n"/>
      <c r="L120" s="178">
        <f>J120-K120</f>
        <v/>
      </c>
      <c r="M120" s="185" t="n">
        <v>762837.87</v>
      </c>
      <c r="N120" s="166" t="n"/>
      <c r="O120" s="166">
        <f>L120-M120</f>
        <v/>
      </c>
      <c r="P120" s="166">
        <f>K120-N120</f>
        <v/>
      </c>
      <c r="Q120" s="166">
        <f>M120+O120</f>
        <v/>
      </c>
      <c r="R120" s="166">
        <f>M120+N120+O120+P120</f>
        <v/>
      </c>
      <c r="S120" s="172">
        <f>SUM(T120:V120)</f>
        <v/>
      </c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65" t="n"/>
      <c r="AC120" s="165" t="n"/>
      <c r="AD120" s="165" t="n"/>
      <c r="AE120" s="165" t="n"/>
      <c r="AF120" s="165" t="n"/>
      <c r="AG120" s="165" t="n"/>
      <c r="AH120" s="165" t="n"/>
      <c r="AI120" s="165" t="n"/>
      <c r="AJ120" s="165" t="n"/>
      <c r="AK120" s="165" t="n"/>
      <c r="AL120" s="93" t="n"/>
    </row>
    <row r="121">
      <c r="A121" s="21" t="n"/>
      <c r="B121" s="21" t="n"/>
      <c r="C121" s="21" t="n"/>
      <c r="D121" s="31" t="inlineStr">
        <is>
          <t>七、局投资收益（局投资项目选填）</t>
        </is>
      </c>
      <c r="E121" s="27" t="n"/>
      <c r="F121" s="27" t="n"/>
      <c r="G121" s="27" t="n"/>
      <c r="H121" s="166" t="n"/>
      <c r="I121" s="166" t="n"/>
      <c r="J121" s="161">
        <f>H121+I121</f>
        <v/>
      </c>
      <c r="K121" s="166" t="n"/>
      <c r="L121" s="178">
        <f>J121-K121</f>
        <v/>
      </c>
      <c r="M121" s="166" t="n"/>
      <c r="N121" s="166" t="n"/>
      <c r="O121" s="166">
        <f>L121-M121</f>
        <v/>
      </c>
      <c r="P121" s="166">
        <f>K121-N121</f>
        <v/>
      </c>
      <c r="Q121" s="166">
        <f>M121+O121</f>
        <v/>
      </c>
      <c r="R121" s="166">
        <f>M121+N121+O121+P121</f>
        <v/>
      </c>
      <c r="S121" s="172">
        <f>SUM(T121:V121)</f>
        <v/>
      </c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65" t="n"/>
      <c r="AC121" s="165" t="n"/>
      <c r="AD121" s="165" t="n"/>
      <c r="AE121" s="165" t="n"/>
      <c r="AF121" s="165" t="n"/>
      <c r="AG121" s="165" t="n"/>
      <c r="AH121" s="165" t="n"/>
      <c r="AI121" s="165" t="n"/>
      <c r="AJ121" s="165" t="n"/>
      <c r="AK121" s="165" t="n"/>
      <c r="AL121" s="93" t="n"/>
    </row>
    <row r="122">
      <c r="A122" s="42" t="n"/>
      <c r="B122" s="42" t="n"/>
      <c r="C122" s="42" t="n"/>
      <c r="D122" s="40" t="inlineStr">
        <is>
          <t>八、研发费用</t>
        </is>
      </c>
      <c r="E122" s="43" t="n"/>
      <c r="F122" s="43" t="n"/>
      <c r="G122" s="43" t="n"/>
      <c r="H122" s="180" t="n"/>
      <c r="I122" s="180" t="n"/>
      <c r="J122" s="180">
        <f>H122+I122</f>
        <v/>
      </c>
      <c r="K122" s="180" t="n"/>
      <c r="L122" s="190">
        <f>J122-K122</f>
        <v/>
      </c>
      <c r="M122" s="193">
        <f>SUM(M75:M77)</f>
        <v/>
      </c>
      <c r="N122" s="193">
        <f>SUM(N75:N77)</f>
        <v/>
      </c>
      <c r="O122" s="193">
        <f>SUM(O75:O77)</f>
        <v/>
      </c>
      <c r="P122" s="193">
        <f>SUM(P75:P77)</f>
        <v/>
      </c>
      <c r="Q122" s="193">
        <f>SUM(Q75:Q77)</f>
        <v/>
      </c>
      <c r="R122" s="193">
        <f>SUM(R75:R77)</f>
        <v/>
      </c>
      <c r="S122" s="193">
        <f>SUM(S75:S77)</f>
        <v/>
      </c>
      <c r="T122" s="193">
        <f>SUM(T75:T77)</f>
        <v/>
      </c>
      <c r="U122" s="193">
        <f>SUM(U75:U77)</f>
        <v/>
      </c>
      <c r="V122" s="193">
        <f>SUM(V75:V77)</f>
        <v/>
      </c>
      <c r="W122" s="193">
        <f>SUM(W75:W77)</f>
        <v/>
      </c>
      <c r="X122" s="193">
        <f>SUM(X75:X77)</f>
        <v/>
      </c>
      <c r="Y122" s="193">
        <f>SUM(Y75:Y77)</f>
        <v/>
      </c>
      <c r="Z122" s="193">
        <f>SUM(Z75:Z77)</f>
        <v/>
      </c>
      <c r="AA122" s="193">
        <f>SUM(AA75:AA77)</f>
        <v/>
      </c>
      <c r="AB122" s="193">
        <f>SUM(AB75:AB77)</f>
        <v/>
      </c>
      <c r="AC122" s="193">
        <f>SUM(AC75:AC77)</f>
        <v/>
      </c>
      <c r="AD122" s="193">
        <f>SUM(AD75:AD77)</f>
        <v/>
      </c>
      <c r="AE122" s="193">
        <f>SUM(AE75:AE77)</f>
        <v/>
      </c>
      <c r="AF122" s="193">
        <f>SUM(AF75:AF77)</f>
        <v/>
      </c>
      <c r="AG122" s="193">
        <f>SUM(AG75:AG77)</f>
        <v/>
      </c>
      <c r="AH122" s="193">
        <f>SUM(AH75:AH77)</f>
        <v/>
      </c>
      <c r="AI122" s="193">
        <f>SUM(AI75:AI77)</f>
        <v/>
      </c>
      <c r="AJ122" s="193">
        <f>SUM(AJ75:AJ77)</f>
        <v/>
      </c>
      <c r="AK122" s="193">
        <f>SUM(AK75:AK77)</f>
        <v/>
      </c>
      <c r="AL122" s="133" t="n"/>
    </row>
    <row r="123">
      <c r="A123" s="176" t="n"/>
      <c r="B123" s="176" t="n"/>
      <c r="C123" s="195" t="n"/>
      <c r="D123" s="195" t="inlineStr">
        <is>
          <t>材料费</t>
        </is>
      </c>
      <c r="E123" s="176" t="n"/>
      <c r="F123" s="176" t="n"/>
      <c r="G123" s="176" t="n"/>
      <c r="H123" s="176" t="n"/>
      <c r="I123" s="176" t="n"/>
      <c r="J123" s="176" t="n"/>
      <c r="K123" s="176" t="n"/>
      <c r="L123" s="176" t="n"/>
      <c r="M123" s="196" t="n">
        <v>3926272.64</v>
      </c>
      <c r="N123" s="197" t="n"/>
      <c r="O123" s="197">
        <f>L123-M123</f>
        <v/>
      </c>
      <c r="P123" s="197">
        <f>K123-N123</f>
        <v/>
      </c>
      <c r="Q123" s="197">
        <f>M123+O123</f>
        <v/>
      </c>
      <c r="R123" s="197">
        <f>M123+N123+O123+P123</f>
        <v/>
      </c>
      <c r="S123" s="197" t="n"/>
      <c r="T123" s="197" t="n"/>
      <c r="U123" s="197" t="n"/>
      <c r="V123" s="197" t="n"/>
    </row>
    <row r="124">
      <c r="A124" s="21" t="n"/>
      <c r="B124" s="21" t="n"/>
      <c r="C124" s="21" t="n"/>
      <c r="D124" s="31" t="n"/>
      <c r="E124" s="27" t="n"/>
      <c r="F124" s="27" t="n"/>
      <c r="G124" s="27" t="n"/>
      <c r="H124" s="166" t="n"/>
      <c r="I124" s="166" t="n"/>
      <c r="J124" s="161">
        <f>H124+I124</f>
        <v/>
      </c>
      <c r="K124" s="166" t="n"/>
      <c r="L124" s="178">
        <f>J124-K124</f>
        <v/>
      </c>
      <c r="M124" s="166" t="n"/>
      <c r="N124" s="166" t="n"/>
      <c r="O124" s="166">
        <f>L124-M124</f>
        <v/>
      </c>
      <c r="P124" s="166">
        <f>K124-N124</f>
        <v/>
      </c>
      <c r="Q124" s="166">
        <f>M124+O124</f>
        <v/>
      </c>
      <c r="R124" s="166">
        <f>M124+N124+O124+P124</f>
        <v/>
      </c>
      <c r="S124" s="172">
        <f>SUM(T124:V124)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n"/>
      <c r="E125" s="27" t="n"/>
      <c r="F125" s="27" t="n"/>
      <c r="G125" s="27" t="n"/>
      <c r="H125" s="166" t="n"/>
      <c r="I125" s="166" t="n"/>
      <c r="J125" s="161" t="n"/>
      <c r="K125" s="166" t="n"/>
      <c r="L125" s="178" t="n"/>
      <c r="M125" s="166" t="n"/>
      <c r="N125" s="166" t="n"/>
      <c r="O125" s="166">
        <f>L125-M125</f>
        <v/>
      </c>
      <c r="P125" s="166">
        <f>K125-N125</f>
        <v/>
      </c>
      <c r="Q125" s="166">
        <f>M125+O125</f>
        <v/>
      </c>
      <c r="R125" s="166">
        <f>M125+N125+O125+P125</f>
        <v/>
      </c>
      <c r="S125" s="172">
        <f>SUM(T125:V125)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n"/>
      <c r="E126" s="27" t="n"/>
      <c r="F126" s="27" t="n"/>
      <c r="G126" s="27" t="n"/>
      <c r="H126" s="166" t="n"/>
      <c r="I126" s="166" t="n"/>
      <c r="J126" s="161" t="n"/>
      <c r="K126" s="166" t="n"/>
      <c r="L126" s="178" t="n"/>
      <c r="M126" s="166" t="n"/>
      <c r="N126" s="166" t="n"/>
      <c r="O126" s="166">
        <f>L126-M126</f>
        <v/>
      </c>
      <c r="P126" s="166">
        <f>K126-N126</f>
        <v/>
      </c>
      <c r="Q126" s="166">
        <f>M126+O126</f>
        <v/>
      </c>
      <c r="R126" s="166">
        <f>M126+N126+O126+P126</f>
        <v/>
      </c>
      <c r="S126" s="172">
        <f>SUM(T126:V126)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28" t="n"/>
      <c r="B127" s="28" t="n"/>
      <c r="C127" s="28" t="n"/>
      <c r="D127" s="40" t="inlineStr">
        <is>
          <t>八、成本及费用合计（三+四+五+六+七）</t>
        </is>
      </c>
      <c r="E127" s="41" t="n"/>
      <c r="F127" s="41" t="n"/>
      <c r="G127" s="41" t="n"/>
      <c r="H127" s="180">
        <f>H117+H118+H119+H120+H121</f>
        <v/>
      </c>
      <c r="I127" s="180">
        <f>I117+I118+I119+I120+I121</f>
        <v/>
      </c>
      <c r="J127" s="109">
        <f>J117+J118+J119+J120+J121</f>
        <v/>
      </c>
      <c r="K127" s="180">
        <f>K117+K118+K119+K120+K121</f>
        <v/>
      </c>
      <c r="L127" s="110">
        <f>L117+L118+L119+L120+L121</f>
        <v/>
      </c>
      <c r="M127" s="198">
        <f>M117+M118+M119+M120+M121</f>
        <v/>
      </c>
      <c r="N127" s="198">
        <f>N117+N118+N119+N120+N121</f>
        <v/>
      </c>
      <c r="O127" s="198">
        <f>O117+O118+O119+O120+O121</f>
        <v/>
      </c>
      <c r="P127" s="198">
        <f>P117+P118+P119+P120+P121</f>
        <v/>
      </c>
      <c r="Q127" s="198">
        <f>Q117+Q118+Q119+Q120+Q121</f>
        <v/>
      </c>
      <c r="R127" s="198">
        <f>R117+R118+R119+R120+R121</f>
        <v/>
      </c>
      <c r="S127" s="193">
        <f>S117+S118+S119+S120+S121</f>
        <v/>
      </c>
      <c r="T127" s="193" t="n"/>
      <c r="U127" s="193" t="n"/>
      <c r="V127" s="193" t="n"/>
      <c r="W127" s="193" t="n"/>
      <c r="X127" s="193" t="n"/>
      <c r="Y127" s="193" t="n"/>
      <c r="Z127" s="193">
        <f>Z117+Z118+Z119+Z120+Z121</f>
        <v/>
      </c>
      <c r="AA127" s="193">
        <f>AA117+AA118+AA119+AA120+AA121</f>
        <v/>
      </c>
      <c r="AB127" s="199" t="n"/>
      <c r="AC127" s="199" t="n"/>
      <c r="AD127" s="199" t="n"/>
      <c r="AE127" s="199" t="n"/>
      <c r="AF127" s="199" t="n"/>
      <c r="AG127" s="199" t="n"/>
      <c r="AH127" s="199" t="n"/>
      <c r="AI127" s="199" t="n"/>
      <c r="AJ127" s="199" t="n"/>
      <c r="AK127" s="200" t="n"/>
      <c r="AL127" s="135" t="n"/>
    </row>
    <row r="128">
      <c r="A128" s="28" t="n"/>
      <c r="B128" s="28" t="n"/>
      <c r="C128" s="28" t="n"/>
      <c r="D128" s="40" t="inlineStr">
        <is>
          <t>九、增值税实际税负（按财务数据）</t>
        </is>
      </c>
      <c r="E128" s="41" t="inlineStr">
        <is>
          <t>根据财务账面实际已缴纳增值税额+尚需缴纳的增值税额</t>
        </is>
      </c>
      <c r="F128" s="41" t="n"/>
      <c r="G128" s="41" t="n"/>
      <c r="H128" s="180" t="n"/>
      <c r="I128" s="180" t="n"/>
      <c r="J128" s="109">
        <f>H79+I79</f>
        <v/>
      </c>
      <c r="K128" s="180" t="inlineStr">
        <is>
          <t>/</t>
        </is>
      </c>
      <c r="L128" s="110" t="inlineStr">
        <is>
          <t>/</t>
        </is>
      </c>
      <c r="M128" s="198" t="n"/>
      <c r="N128" s="198">
        <f>N6-N78</f>
        <v/>
      </c>
      <c r="O128" s="198" t="n"/>
      <c r="P128" s="198" t="n"/>
      <c r="Q128" s="198" t="inlineStr">
        <is>
          <t>/</t>
        </is>
      </c>
      <c r="R128" s="198">
        <f>N79+P79</f>
        <v/>
      </c>
      <c r="S128" s="193" t="n"/>
      <c r="T128" s="193" t="n"/>
      <c r="U128" s="193" t="n"/>
      <c r="V128" s="193" t="n"/>
      <c r="W128" s="193" t="n"/>
      <c r="X128" s="193" t="n"/>
      <c r="Y128" s="193" t="n"/>
      <c r="Z128" s="193" t="n"/>
      <c r="AA128" s="193" t="n"/>
      <c r="AB128" s="199" t="n"/>
      <c r="AC128" s="199" t="n"/>
      <c r="AD128" s="199" t="n"/>
      <c r="AE128" s="199" t="n"/>
      <c r="AF128" s="199" t="n"/>
      <c r="AG128" s="199" t="n"/>
      <c r="AH128" s="199" t="n"/>
      <c r="AI128" s="199" t="n"/>
      <c r="AJ128" s="199" t="n"/>
      <c r="AK128" s="200" t="n"/>
      <c r="AL128" s="135" t="n"/>
    </row>
    <row r="129">
      <c r="A129" s="28" t="n"/>
      <c r="B129" s="28" t="n"/>
      <c r="C129" s="28" t="n"/>
      <c r="D129" s="40" t="inlineStr">
        <is>
          <t>十、税金及附加（按财务数据）</t>
        </is>
      </c>
      <c r="E129" s="41" t="inlineStr">
        <is>
          <t>根据财务账面实际已缴纳税金及附加+尚需缴纳的税金及附加</t>
        </is>
      </c>
      <c r="F129" s="41" t="n"/>
      <c r="G129" s="41" t="n"/>
      <c r="H129" s="180" t="n"/>
      <c r="I129" s="180" t="n"/>
      <c r="J129" s="109">
        <f>H80+I80</f>
        <v/>
      </c>
      <c r="K129" s="180" t="n"/>
      <c r="L129" s="110">
        <f>J80</f>
        <v/>
      </c>
      <c r="M129" s="201" t="n">
        <v>260389.37</v>
      </c>
      <c r="N129" s="198" t="n"/>
      <c r="O129" s="198">
        <f>L80-M80</f>
        <v/>
      </c>
      <c r="P129" s="198" t="n"/>
      <c r="Q129" s="198">
        <f>M80+O80</f>
        <v/>
      </c>
      <c r="R129" s="198">
        <f>Q80</f>
        <v/>
      </c>
      <c r="S129" s="193" t="n"/>
      <c r="T129" s="193" t="n"/>
      <c r="U129" s="193" t="n"/>
      <c r="V129" s="193" t="n"/>
      <c r="W129" s="193" t="n"/>
      <c r="X129" s="193" t="n"/>
      <c r="Y129" s="193" t="n"/>
      <c r="Z129" s="193" t="n"/>
      <c r="AA129" s="193" t="n"/>
      <c r="AB129" s="199" t="n"/>
      <c r="AC129" s="199" t="n"/>
      <c r="AD129" s="199" t="n"/>
      <c r="AE129" s="199" t="n"/>
      <c r="AF129" s="199" t="n"/>
      <c r="AG129" s="199" t="n"/>
      <c r="AH129" s="199" t="n"/>
      <c r="AI129" s="199" t="n"/>
      <c r="AJ129" s="199" t="n"/>
      <c r="AK129" s="200" t="n"/>
      <c r="AL129" s="135" t="n"/>
    </row>
    <row r="130">
      <c r="A130" s="28" t="n"/>
      <c r="B130" s="28" t="n"/>
      <c r="C130" s="28" t="n"/>
      <c r="D130" s="40" t="inlineStr">
        <is>
          <t>十一、利润</t>
        </is>
      </c>
      <c r="E130" s="41" t="n"/>
      <c r="F130" s="41" t="n"/>
      <c r="G130" s="41" t="n"/>
      <c r="H130" s="180" t="n"/>
      <c r="I130" s="180" t="n"/>
      <c r="J130" s="109">
        <f>J6-J78-J79-J80</f>
        <v/>
      </c>
      <c r="K130" s="180" t="n"/>
      <c r="L130" s="110" t="n"/>
      <c r="M130" s="198" t="n"/>
      <c r="N130" s="198" t="n"/>
      <c r="O130" s="198" t="n"/>
      <c r="P130" s="198" t="n"/>
      <c r="Q130" s="198" t="n"/>
      <c r="R130" s="198" t="n"/>
      <c r="S130" s="193" t="n"/>
      <c r="T130" s="193" t="n"/>
      <c r="U130" s="193" t="n"/>
      <c r="V130" s="193" t="n"/>
      <c r="W130" s="193" t="n"/>
      <c r="X130" s="193" t="n"/>
      <c r="Y130" s="193" t="n"/>
      <c r="Z130" s="193" t="n"/>
      <c r="AA130" s="193" t="n"/>
      <c r="AB130" s="199" t="n"/>
      <c r="AC130" s="199" t="n"/>
      <c r="AD130" s="199" t="n"/>
      <c r="AE130" s="199" t="n"/>
      <c r="AF130" s="199" t="n"/>
      <c r="AG130" s="199" t="n"/>
      <c r="AH130" s="199" t="n"/>
      <c r="AI130" s="199" t="n"/>
      <c r="AJ130" s="199" t="n"/>
      <c r="AK130" s="200" t="n"/>
      <c r="AL130" s="135" t="n"/>
    </row>
    <row r="131">
      <c r="A131" s="28" t="n"/>
      <c r="B131" s="28" t="n"/>
      <c r="C131" s="28" t="n"/>
      <c r="D131" s="40" t="inlineStr">
        <is>
          <t>十二、利润率</t>
        </is>
      </c>
      <c r="E131" s="41" t="n"/>
      <c r="F131" s="41" t="n"/>
      <c r="G131" s="41" t="n"/>
      <c r="H131" s="180" t="n"/>
      <c r="I131" s="180" t="n"/>
      <c r="J131" s="109">
        <f>J81/J6</f>
        <v/>
      </c>
      <c r="K131" s="180" t="n"/>
      <c r="L131" s="110">
        <f>L81/L6</f>
        <v/>
      </c>
      <c r="M131" s="198">
        <f>M81/M6</f>
        <v/>
      </c>
      <c r="N131" s="198" t="n"/>
      <c r="O131" s="198" t="n"/>
      <c r="P131" s="198" t="n"/>
      <c r="Q131" s="198">
        <f>Q81/Q6</f>
        <v/>
      </c>
      <c r="R131" s="198">
        <f>R81/R6</f>
        <v/>
      </c>
      <c r="S131" s="193" t="n"/>
      <c r="T131" s="193" t="n"/>
      <c r="U131" s="193" t="n"/>
      <c r="V131" s="193" t="n"/>
      <c r="W131" s="193" t="n"/>
      <c r="X131" s="193" t="n"/>
      <c r="Y131" s="193" t="n"/>
      <c r="Z131" s="193" t="n"/>
      <c r="AA131" s="193" t="n"/>
      <c r="AB131" s="199" t="n"/>
      <c r="AC131" s="199" t="n"/>
      <c r="AD131" s="199" t="n"/>
      <c r="AE131" s="199" t="n"/>
      <c r="AF131" s="199" t="n"/>
      <c r="AG131" s="199" t="n"/>
      <c r="AH131" s="199" t="n"/>
      <c r="AI131" s="199" t="n"/>
      <c r="AJ131" s="199" t="n"/>
      <c r="AK131" s="200" t="n"/>
      <c r="AL131" s="135" t="n"/>
    </row>
    <row r="132">
      <c r="A132" s="97" t="n"/>
      <c r="B132" s="97" t="n"/>
      <c r="C132" s="97" t="n"/>
      <c r="D132" s="98" t="n"/>
      <c r="E132" s="99" t="n"/>
      <c r="F132" s="99" t="n"/>
      <c r="G132" s="99" t="n"/>
      <c r="H132" s="202" t="n"/>
      <c r="I132" s="202" t="n"/>
      <c r="J132" s="203" t="inlineStr">
        <is>
          <t>含税利润率</t>
        </is>
      </c>
      <c r="K132" s="204" t="n"/>
      <c r="L132" s="205" t="inlineStr">
        <is>
          <t>不含税利润率</t>
        </is>
      </c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7" t="n"/>
      <c r="AA132" s="142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136" t="n"/>
    </row>
    <row r="133">
      <c r="A133" s="97" t="n"/>
      <c r="B133" s="97" t="n"/>
      <c r="C133" s="97" t="n"/>
      <c r="D133" s="98" t="n"/>
      <c r="E133" s="99" t="n"/>
      <c r="F133" s="99" t="n"/>
      <c r="G133" s="99" t="n"/>
      <c r="H133" s="202" t="n"/>
      <c r="I133" s="202" t="n"/>
      <c r="J133" s="209" t="n"/>
      <c r="K133" s="202" t="n"/>
      <c r="L133" s="210" t="n"/>
      <c r="M133" s="206" t="n"/>
      <c r="N133" s="206" t="n"/>
      <c r="O133" s="206" t="n"/>
      <c r="P133" s="206" t="n"/>
      <c r="Q133" s="206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7" t="n"/>
      <c r="AA133" s="142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136" t="n"/>
    </row>
    <row r="134">
      <c r="A134" s="101" t="n"/>
      <c r="B134" s="101" t="n"/>
      <c r="C134" s="101" t="n"/>
      <c r="D134" s="102" t="n"/>
      <c r="E134" s="103" t="n"/>
      <c r="F134" s="103" t="n"/>
      <c r="G134" s="103" t="n"/>
      <c r="H134" s="104" t="n"/>
      <c r="I134" s="104" t="n"/>
      <c r="J134" s="118" t="n"/>
      <c r="K134" s="211" t="n"/>
      <c r="L134" s="211" t="n"/>
      <c r="M134" s="212" t="n"/>
      <c r="N134" s="211" t="n"/>
      <c r="O134" s="211" t="n"/>
      <c r="P134" s="213" t="n"/>
      <c r="Q134" s="213" t="n"/>
      <c r="R134" s="211" t="n"/>
      <c r="S134" s="214" t="n"/>
      <c r="T134" s="214" t="n"/>
      <c r="U134" s="214" t="n"/>
      <c r="V134" s="214" t="n"/>
      <c r="W134" s="214" t="n"/>
      <c r="X134" s="214" t="n"/>
      <c r="Y134" s="214" t="n"/>
      <c r="Z134" s="215" t="n"/>
      <c r="AA134" s="216" t="n"/>
      <c r="AD134" s="217" t="n"/>
      <c r="AE134" s="217" t="n"/>
      <c r="AF134" s="217" t="n"/>
      <c r="AG134" s="217" t="n"/>
      <c r="AH134" s="217" t="n"/>
      <c r="AI134" s="217" t="n"/>
      <c r="AJ134" s="217" t="n"/>
      <c r="AK134" s="217" t="n"/>
      <c r="AL134" s="105" t="n"/>
    </row>
    <row r="135">
      <c r="A135" s="105" t="n"/>
      <c r="B135" s="105" t="n"/>
      <c r="C135" s="105" t="n"/>
      <c r="D135" s="105" t="n"/>
      <c r="E135" s="106" t="n"/>
      <c r="F135" s="106" t="n"/>
      <c r="G135" s="106" t="n"/>
      <c r="H135" s="106" t="n"/>
      <c r="I135" s="106" t="n"/>
      <c r="J135" s="106" t="n"/>
      <c r="K135" s="218" t="n"/>
      <c r="L135" s="106" t="n"/>
      <c r="M135" s="219" t="n"/>
      <c r="N135" s="219" t="n"/>
      <c r="O135" s="219" t="n"/>
      <c r="P135" s="219" t="n"/>
      <c r="Q135" s="219" t="n"/>
      <c r="R135" s="219" t="n"/>
      <c r="S135" s="214" t="n"/>
      <c r="T135" s="214" t="n"/>
      <c r="U135" s="214" t="n"/>
      <c r="V135" s="214" t="n"/>
      <c r="W135" s="214" t="n"/>
      <c r="X135" s="214" t="n"/>
      <c r="Y135" s="214" t="n"/>
      <c r="Z135" s="219" t="n"/>
      <c r="AA135" s="217" t="n"/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105" t="n"/>
    </row>
    <row r="136">
      <c r="A136" s="105" t="n"/>
      <c r="B136" s="105" t="n"/>
      <c r="C136" s="105" t="n"/>
      <c r="D136" s="105" t="n"/>
      <c r="E136" s="106" t="n"/>
      <c r="F136" s="106" t="n"/>
      <c r="G136" s="106" t="n"/>
      <c r="H136" s="106" t="n"/>
      <c r="I136" s="106" t="n"/>
      <c r="J136" s="106" t="n"/>
      <c r="K136" s="218" t="n"/>
      <c r="L136" s="106" t="n"/>
      <c r="M136" s="219" t="n"/>
      <c r="N136" s="219" t="n"/>
      <c r="O136" s="219" t="n"/>
      <c r="P136" s="219" t="n"/>
      <c r="Q136" s="219" t="n"/>
      <c r="R136" s="219" t="n"/>
      <c r="S136" s="214" t="n"/>
      <c r="T136" s="214" t="n"/>
      <c r="U136" s="214" t="n"/>
      <c r="V136" s="214" t="n"/>
      <c r="W136" s="214" t="n"/>
      <c r="X136" s="214" t="n"/>
      <c r="Y136" s="214" t="n"/>
      <c r="Z136" s="219" t="n"/>
      <c r="AA136" s="217" t="n"/>
      <c r="AB136" s="217" t="n"/>
      <c r="AC136" s="217" t="n"/>
      <c r="AD136" s="217" t="n"/>
      <c r="AE136" s="217" t="n"/>
      <c r="AF136" s="217" t="n"/>
      <c r="AG136" s="217" t="n"/>
      <c r="AH136" s="217" t="n"/>
      <c r="AI136" s="217" t="n"/>
      <c r="AJ136" s="217" t="n"/>
      <c r="AK136" s="217" t="n"/>
      <c r="AL136" s="105" t="n"/>
    </row>
    <row r="137">
      <c r="A137" s="105" t="n"/>
      <c r="B137" s="105" t="n"/>
      <c r="C137" s="105" t="n"/>
      <c r="D137" s="105" t="n"/>
      <c r="E137" s="107" t="n"/>
      <c r="F137" s="107" t="n"/>
      <c r="G137" s="107" t="n"/>
      <c r="H137" s="106" t="n"/>
      <c r="I137" s="106" t="n"/>
      <c r="J137" s="106" t="n"/>
      <c r="K137" s="107" t="n"/>
      <c r="L137" s="106" t="n"/>
      <c r="M137" s="219" t="n"/>
      <c r="N137" s="215" t="n"/>
      <c r="O137" s="219" t="n"/>
      <c r="P137" s="219" t="n"/>
      <c r="Q137" s="219" t="n"/>
      <c r="R137" s="211" t="n"/>
      <c r="S137" s="214" t="n"/>
      <c r="T137" s="214" t="n"/>
      <c r="U137" s="214" t="n"/>
      <c r="V137" s="214" t="n"/>
      <c r="W137" s="214" t="n"/>
      <c r="X137" s="214" t="n"/>
      <c r="Y137" s="214" t="n"/>
      <c r="Z137" s="219" t="n"/>
      <c r="AA137" s="217" t="n"/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2026-04-19T04:24:59Z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