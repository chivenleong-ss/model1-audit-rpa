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6" authorId="0" shapeId="0">
      <text>
        <t>于:
**同财务账面合同履约成本/工程施工成本/直接人工费数据一致**</t>
      </text>
    </comment>
    <comment ref="F66" authorId="0" shapeId="0">
      <text>
        <t>于:
**同财务账面合同履约成本/工程施工成本/直接人工费数据一致**</t>
      </text>
    </comment>
    <comment ref="G66" authorId="0" shapeId="0">
      <text>
        <t>于:
**同财务账面合同履约成本/工程施工成本/直接人工费数据一致**</t>
      </text>
    </comment>
    <comment ref="H66" authorId="0" shapeId="0">
      <text>
        <t>于:
**同财务账面合同履约成本/工程施工成本/直接人工费数据一致**</t>
      </text>
    </comment>
    <comment ref="I66" authorId="0" shapeId="0">
      <text>
        <t>于:
**同财务账面合同履约成本/工程施工成本/直接人工费数据一致**</t>
      </text>
    </comment>
    <comment ref="J66" authorId="0" shapeId="0">
      <text>
        <t>于:
**同财务账面合同履约成本/工程施工成本/直接人工费数据一致**</t>
      </text>
    </comment>
    <comment ref="K66" authorId="0" shapeId="0">
      <text>
        <t>于:
**同财务账面合同履约成本/工程施工成本/直接人工费数据一致**</t>
      </text>
    </comment>
    <comment ref="L66" authorId="0" shapeId="0">
      <text>
        <t>于:
**同财务账面合同履约成本/工程施工成本/直接人工费数据一致**</t>
      </text>
    </comment>
    <comment ref="M66" authorId="0" shapeId="0">
      <text>
        <t>于:
**同财务账面合同履约成本/工程施工成本/直接人工费数据一致**</t>
      </text>
    </comment>
    <comment ref="N66" authorId="0" shapeId="0">
      <text>
        <t>于:
**同财务账面合同履约成本/工程施工成本/直接人工费数据一致**</t>
      </text>
    </comment>
    <comment ref="O66" authorId="0" shapeId="0">
      <text>
        <t>于:
**同财务账面合同履约成本/工程施工成本/直接人工费数据一致**</t>
      </text>
    </comment>
    <comment ref="P66" authorId="0" shapeId="0">
      <text>
        <t>于:
**同财务账面合同履约成本/工程施工成本/直接人工费数据一致**</t>
      </text>
    </comment>
    <comment ref="Q66" authorId="0" shapeId="0">
      <text>
        <t>于:
**同财务账面合同履约成本/工程施工成本/直接人工费数据一致**</t>
      </text>
    </comment>
    <comment ref="R66" authorId="0" shapeId="0">
      <text>
        <t>于:
**同财务账面合同履约成本/工程施工成本/直接人工费数据一致**</t>
      </text>
    </comment>
    <comment ref="S66" authorId="0" shapeId="0">
      <text>
        <t>于:
**同财务账面合同履约成本/工程施工成本/直接人工费数据一致**</t>
      </text>
    </comment>
    <comment ref="T66" authorId="0" shapeId="0">
      <text>
        <t>于:
**同财务账面合同履约成本/工程施工成本/直接人工费数据一致**</t>
      </text>
    </comment>
    <comment ref="U66" authorId="0" shapeId="0">
      <text>
        <t>于:
**同财务账面合同履约成本/工程施工成本/直接人工费数据一致**</t>
      </text>
    </comment>
    <comment ref="V66" authorId="0" shapeId="0">
      <text>
        <t>于:
**同财务账面合同履约成本/工程施工成本/直接人工费数据一致**</t>
      </text>
    </comment>
    <comment ref="W66" authorId="0" shapeId="0">
      <text>
        <t>于:
**同财务账面合同履约成本/工程施工成本/直接人工费数据一致**</t>
      </text>
    </comment>
    <comment ref="X66" authorId="0" shapeId="0">
      <text>
        <t>于:
**同财务账面合同履约成本/工程施工成本/直接人工费数据一致**</t>
      </text>
    </comment>
    <comment ref="Y66" authorId="0" shapeId="0">
      <text>
        <t>于:
**同财务账面合同履约成本/工程施工成本/直接人工费数据一致**</t>
      </text>
    </comment>
    <comment ref="Z66" authorId="0" shapeId="0">
      <text>
        <t>于:
**同财务账面合同履约成本/工程施工成本/直接人工费数据一致**</t>
      </text>
    </comment>
    <comment ref="AA66" authorId="0" shapeId="0">
      <text>
        <t>于:
**同财务账面合同履约成本/工程施工成本/直接人工费数据一致**</t>
      </text>
    </comment>
    <comment ref="AB66" authorId="0" shapeId="0">
      <text>
        <t>于:
**同财务账面合同履约成本/工程施工成本/直接人工费数据一致**</t>
      </text>
    </comment>
    <comment ref="AC66" authorId="0" shapeId="0">
      <text>
        <t>于:
**同财务账面合同履约成本/工程施工成本/直接人工费数据一致**</t>
      </text>
    </comment>
    <comment ref="AD66" authorId="0" shapeId="0">
      <text>
        <t>于:
**同财务账面合同履约成本/工程施工成本/直接人工费数据一致**</t>
      </text>
    </comment>
    <comment ref="AE66" authorId="0" shapeId="0">
      <text>
        <t>于:
**同财务账面合同履约成本/工程施工成本/直接人工费数据一致**</t>
      </text>
    </comment>
    <comment ref="AF66" authorId="0" shapeId="0">
      <text>
        <t>于:
**同财务账面合同履约成本/工程施工成本/直接人工费数据一致**</t>
      </text>
    </comment>
    <comment ref="AG66" authorId="0" shapeId="0">
      <text>
        <t>于:
**同财务账面合同履约成本/工程施工成本/直接人工费数据一致**</t>
      </text>
    </comment>
    <comment ref="AH66" authorId="0" shapeId="0">
      <text>
        <t>于:
**同财务账面合同履约成本/工程施工成本/直接人工费数据一致**</t>
      </text>
    </comment>
    <comment ref="AI66" authorId="0" shapeId="0">
      <text>
        <t>于:
**同财务账面合同履约成本/工程施工成本/直接人工费数据一致**</t>
      </text>
    </comment>
    <comment ref="AJ66" authorId="0" shapeId="0">
      <text>
        <t>于:
**同财务账面合同履约成本/工程施工成本/直接人工费数据一致**</t>
      </text>
    </comment>
    <comment ref="AK66" authorId="0" shapeId="0">
      <text>
        <t>于:
**同财务账面合同履约成本/工程施工成本/直接人工费数据一致**</t>
      </text>
    </comment>
    <comment ref="M124" authorId="1" shapeId="0">
      <text>
        <t xml:space="preserve">**同财务账面合同履约成本/工程施工成本/机械租赁费数据一致**
</t>
      </text>
    </comment>
    <comment ref="M133" authorId="0" shapeId="0">
      <text>
        <t>于:
**同财务账面合同履约成本/工程施工成本其他直接费数据一致**</t>
      </text>
    </comment>
    <comment ref="M167" authorId="1" shapeId="0">
      <text>
        <t>**同财务账面合同履约成本/工程施工成本/间接费数据一致**</t>
      </text>
    </comment>
    <comment ref="D175" authorId="2" shapeId="0">
      <text>
        <t>（在建：房建0.6%，其它0.4%；在保修期间的按0.3~0.5%自行确定;保修期结束为0）</t>
      </text>
    </comment>
    <comment ref="E18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6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206" t="n">
        <v>50</v>
      </c>
      <c r="B62" s="206" t="n"/>
      <c r="C62" s="207" t="n"/>
      <c r="D62" s="207" t="inlineStr">
        <is>
          <t>XJZ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-515811.59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</row>
    <row r="63" ht="14" customFormat="1" customHeight="1" s="180">
      <c r="A63" s="206" t="n">
        <v>51</v>
      </c>
      <c r="B63" s="206" t="n"/>
      <c r="C63" s="207" t="n"/>
      <c r="D63" s="207" t="inlineStr">
        <is>
          <t>SJZ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-171629.04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206" t="n">
        <v>52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210466.31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33" t="n"/>
      <c r="B65" s="199" t="n"/>
      <c r="C65" s="199" t="n"/>
      <c r="D65" s="211" t="inlineStr">
        <is>
          <t>**财务未列部分需增列***</t>
        </is>
      </c>
      <c r="E65" s="212" t="n"/>
      <c r="F65" s="212" t="n"/>
      <c r="G65" s="212" t="n"/>
      <c r="H65" s="189" t="n"/>
      <c r="I65" s="189" t="n"/>
      <c r="J65" s="189" t="n"/>
      <c r="K65" s="201" t="n"/>
      <c r="L65" s="202" t="n"/>
      <c r="M65" s="189" t="n"/>
      <c r="N65" s="189" t="n"/>
      <c r="O65" s="189">
        <f>L65-M65</f>
        <v/>
      </c>
      <c r="P65" s="189">
        <f>K65-N65</f>
        <v/>
      </c>
      <c r="Q65" s="189">
        <f>M65+O65</f>
        <v/>
      </c>
      <c r="R65" s="189">
        <f>M65+N65+O65+P65</f>
        <v/>
      </c>
      <c r="S65" s="203">
        <f>SUM(T65:V65)</f>
        <v/>
      </c>
      <c r="T65" s="189" t="n"/>
      <c r="U65" s="189" t="n"/>
      <c r="V65" s="189" t="n"/>
      <c r="W65" s="189" t="n"/>
      <c r="X65" s="189" t="n"/>
      <c r="Y65" s="189" t="n"/>
      <c r="Z65" s="189">
        <f>SUM(AA16:AJ16)</f>
        <v/>
      </c>
      <c r="AA65" s="213" t="n"/>
      <c r="AB65" s="188" t="n"/>
      <c r="AC65" s="188" t="n"/>
      <c r="AD65" s="188" t="n"/>
      <c r="AE65" s="188" t="n"/>
      <c r="AF65" s="188" t="n"/>
      <c r="AG65" s="188" t="n"/>
      <c r="AH65" s="188" t="n"/>
      <c r="AI65" s="188" t="n"/>
      <c r="AJ65" s="188" t="n"/>
      <c r="AK65" s="188">
        <f>AB16/1.17*0.17+AC16/1.16*0.16+AD16/1.11*0.11+AE16/1.1*0.1+AF16/1.09*0.09+AI16/1.03*0.03</f>
        <v/>
      </c>
      <c r="AL65" s="214" t="n"/>
    </row>
    <row r="66" ht="14" customFormat="1" customHeight="1" s="180">
      <c r="A66" s="41" t="n"/>
      <c r="B66" s="215" t="n"/>
      <c r="C66" s="215" t="n"/>
      <c r="D66" s="216" t="inlineStr">
        <is>
          <t>人工费小计：</t>
        </is>
      </c>
      <c r="E66" s="217">
        <f>SUM(E12:E65)</f>
        <v/>
      </c>
      <c r="F66" s="217">
        <f>SUM(F12:F65)</f>
        <v/>
      </c>
      <c r="G66" s="217">
        <f>SUM(G12:G65)</f>
        <v/>
      </c>
      <c r="H66" s="217">
        <f>SUM(H12:H65)</f>
        <v/>
      </c>
      <c r="I66" s="217">
        <f>SUM(I12:I65)</f>
        <v/>
      </c>
      <c r="J66" s="217">
        <f>SUM(J12:J65)</f>
        <v/>
      </c>
      <c r="K66" s="217">
        <f>SUM(K12:K65)</f>
        <v/>
      </c>
      <c r="L66" s="217">
        <f>SUM(L12:L65)</f>
        <v/>
      </c>
      <c r="M66" s="217">
        <f>SUM(M12:M65)</f>
        <v/>
      </c>
      <c r="N66" s="217">
        <f>SUM(N12:N65)</f>
        <v/>
      </c>
      <c r="O66" s="217">
        <f>SUM(O12:O65)</f>
        <v/>
      </c>
      <c r="P66" s="217">
        <f>SUM(P12:P65)</f>
        <v/>
      </c>
      <c r="Q66" s="217">
        <f>SUM(Q12:Q65)</f>
        <v/>
      </c>
      <c r="R66" s="217">
        <f>SUM(R12:R65)</f>
        <v/>
      </c>
      <c r="S66" s="217">
        <f>SUM(S12:S65)</f>
        <v/>
      </c>
      <c r="T66" s="217">
        <f>SUM(T12:T65)</f>
        <v/>
      </c>
      <c r="U66" s="217">
        <f>SUM(U12:U65)</f>
        <v/>
      </c>
      <c r="V66" s="217">
        <f>SUM(V12:V65)</f>
        <v/>
      </c>
      <c r="W66" s="217">
        <f>SUM(W12:W65)</f>
        <v/>
      </c>
      <c r="X66" s="217">
        <f>SUM(X12:X65)</f>
        <v/>
      </c>
      <c r="Y66" s="217">
        <f>SUM(Y12:Y65)</f>
        <v/>
      </c>
      <c r="Z66" s="217">
        <f>SUM(Z12:Z65)</f>
        <v/>
      </c>
      <c r="AA66" s="217">
        <f>SUM(AA12:AA65)</f>
        <v/>
      </c>
      <c r="AB66" s="217">
        <f>SUM(AB12:AB65)</f>
        <v/>
      </c>
      <c r="AC66" s="217">
        <f>SUM(AC12:AC65)</f>
        <v/>
      </c>
      <c r="AD66" s="217">
        <f>SUM(AD12:AD65)</f>
        <v/>
      </c>
      <c r="AE66" s="217">
        <f>SUM(AE12:AE65)</f>
        <v/>
      </c>
      <c r="AF66" s="217">
        <f>SUM(AF12:AF65)</f>
        <v/>
      </c>
      <c r="AG66" s="217">
        <f>SUM(AG12:AG65)</f>
        <v/>
      </c>
      <c r="AH66" s="217">
        <f>SUM(AH12:AH65)</f>
        <v/>
      </c>
      <c r="AI66" s="217">
        <f>SUM(AI12:AI65)</f>
        <v/>
      </c>
      <c r="AJ66" s="217">
        <f>SUM(AJ12:AJ65)</f>
        <v/>
      </c>
      <c r="AK66" s="217">
        <f>SUM(AK12:AK65)</f>
        <v/>
      </c>
      <c r="AL66" s="204" t="n"/>
    </row>
    <row r="67" ht="14" customFormat="1" customHeight="1" s="180">
      <c r="A67" s="33" t="n"/>
      <c r="B67" s="199" t="n"/>
      <c r="C67" s="199" t="n"/>
      <c r="D67" s="218" t="inlineStr">
        <is>
          <t>（二）分包工程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03" t="n"/>
      <c r="AC67" s="203" t="n"/>
      <c r="AD67" s="203" t="n"/>
      <c r="AE67" s="203" t="n"/>
      <c r="AF67" s="203" t="n"/>
      <c r="AG67" s="203" t="n"/>
      <c r="AH67" s="203" t="n"/>
      <c r="AI67" s="203" t="n"/>
      <c r="AJ67" s="203" t="n"/>
      <c r="AK67" s="188">
        <f>AB18/1.17*0.17+AC18/1.16*0.16+AD18/1.11*0.11+AE18/1.1*0.1+AF18/1.09*0.09+AI18/1.03*0.03</f>
        <v/>
      </c>
      <c r="AL67" s="204" t="n"/>
    </row>
    <row r="68" ht="14" customFormat="1" customHeight="1" s="180">
      <c r="A68" s="206" t="n">
        <v>1</v>
      </c>
      <c r="B68" s="206" t="inlineStr">
        <is>
          <t>200147390</t>
        </is>
      </c>
      <c r="C68" s="207" t="inlineStr">
        <is>
          <t>中建四局0200202104503001</t>
        </is>
      </c>
      <c r="D68" s="207" t="inlineStr">
        <is>
          <t>佛山市劲辉鑫业建筑工程有限公司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2745444.28</v>
      </c>
      <c r="N68" s="210" t="n">
        <v>375692.37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1905250</v>
      </c>
      <c r="U68" s="206" t="n"/>
      <c r="V68" s="206" t="n"/>
    </row>
    <row r="69" ht="39" customFormat="1" customHeight="1" s="180">
      <c r="A69" s="206" t="n">
        <v>2</v>
      </c>
      <c r="B69" s="206" t="inlineStr">
        <is>
          <t>200199796</t>
        </is>
      </c>
      <c r="C69" s="207" t="inlineStr">
        <is>
          <t>中建四局0200202104503005</t>
        </is>
      </c>
      <c r="D69" s="207" t="inlineStr">
        <is>
          <t>佛山市喜润鑫建筑工程有限公司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758788.1800000001</v>
      </c>
      <c r="N69" s="210" t="n">
        <v>23961.74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575800</v>
      </c>
      <c r="U69" s="206" t="n"/>
      <c r="V69" s="206" t="n"/>
    </row>
    <row r="70" ht="14" customFormat="1" customHeight="1" s="180">
      <c r="A70" s="206" t="n">
        <v>3</v>
      </c>
      <c r="B70" s="206" t="inlineStr">
        <is>
          <t>100217528</t>
        </is>
      </c>
      <c r="C70" s="207" t="inlineStr">
        <is>
          <t>中建四局0200202104503006</t>
        </is>
      </c>
      <c r="D70" s="207" t="inlineStr">
        <is>
          <t>佛山市耀盈活动房屋有限公司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264623.8</v>
      </c>
      <c r="N70" s="210" t="n">
        <v>36211.68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215000</v>
      </c>
      <c r="U70" s="206" t="n"/>
      <c r="V70" s="206" t="n"/>
    </row>
    <row r="71" ht="14" customFormat="1" customHeight="1" s="180">
      <c r="A71" s="206" t="n">
        <v>4</v>
      </c>
      <c r="B71" s="206" t="inlineStr">
        <is>
          <t>100174525</t>
        </is>
      </c>
      <c r="C71" s="207" t="inlineStr">
        <is>
          <t>中建四局0200202104503004</t>
        </is>
      </c>
      <c r="D71" s="207" t="inlineStr">
        <is>
          <t>四川湘盛建筑工程有限公司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2552571.71</v>
      </c>
      <c r="N71" s="210" t="n">
        <v>241571.53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1895600</v>
      </c>
      <c r="U71" s="206" t="n"/>
      <c r="V71" s="206" t="n"/>
    </row>
    <row r="72" ht="14" customFormat="1" customHeight="1" s="180">
      <c r="A72" s="206" t="n">
        <v>5</v>
      </c>
      <c r="B72" s="206" t="inlineStr">
        <is>
          <t>200540519</t>
        </is>
      </c>
      <c r="C72" s="207" t="inlineStr">
        <is>
          <t>中建四局0200202104503002</t>
        </is>
      </c>
      <c r="D72" s="207" t="inlineStr">
        <is>
          <t>广东湘庆建筑工程有限公司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1021000.84</v>
      </c>
      <c r="N72" s="210" t="n">
        <v>96726.39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819800</v>
      </c>
      <c r="U72" s="206" t="n"/>
      <c r="V72" s="206" t="n"/>
    </row>
    <row r="73" ht="14" customFormat="1" customHeight="1" s="180">
      <c r="A73" s="206" t="n">
        <v>6</v>
      </c>
      <c r="B73" s="206" t="inlineStr">
        <is>
          <t>200053581</t>
        </is>
      </c>
      <c r="C73" s="207" t="inlineStr">
        <is>
          <t>中建四局020020210045030002</t>
        </is>
      </c>
      <c r="D73" s="207" t="inlineStr">
        <is>
          <t>广东粤忠晟保安服务有限公司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532349.4300000001</v>
      </c>
      <c r="N73" s="210" t="n">
        <v>28018.39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394070.52</v>
      </c>
      <c r="U73" s="206" t="n"/>
      <c r="V73" s="206" t="n"/>
    </row>
    <row r="74" ht="14" customFormat="1" customHeight="1" s="180">
      <c r="A74" s="206" t="n">
        <v>7</v>
      </c>
      <c r="B74" s="206" t="inlineStr">
        <is>
          <t>200436105</t>
        </is>
      </c>
      <c r="C74" s="207" t="inlineStr">
        <is>
          <t>中建四局0200202104503003</t>
        </is>
      </c>
      <c r="D74" s="207" t="inlineStr">
        <is>
          <t>广东纬地建筑劳务有限公司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45524068.08</v>
      </c>
      <c r="N74" s="210" t="n">
        <v>1437441.88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41605917</v>
      </c>
      <c r="U74" s="206" t="n"/>
      <c r="V74" s="206" t="n"/>
    </row>
    <row r="75" ht="14" customFormat="1" customHeight="1" s="180">
      <c r="A75" s="206" t="n">
        <v>8</v>
      </c>
      <c r="B75" s="206" t="inlineStr">
        <is>
          <t>200436105</t>
        </is>
      </c>
      <c r="C75" s="207" t="inlineStr">
        <is>
          <t>中建四局0200202104504002</t>
        </is>
      </c>
      <c r="D75" s="207" t="inlineStr">
        <is>
          <t>广东纬地建筑劳务有限公司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-1556.78</v>
      </c>
      <c r="N75" s="210" t="n">
        <v>9916.99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272300</v>
      </c>
      <c r="U75" s="206" t="n"/>
      <c r="V75" s="206" t="n"/>
    </row>
    <row r="76" ht="14" customFormat="1" customHeight="1" s="180">
      <c r="A76" s="206" t="n">
        <v>9</v>
      </c>
      <c r="B76" s="206" t="inlineStr">
        <is>
          <t>100217071</t>
        </is>
      </c>
      <c r="C76" s="207" t="inlineStr">
        <is>
          <t>中建四局0200202104503007</t>
        </is>
      </c>
      <c r="D76" s="207" t="inlineStr">
        <is>
          <t>广东邵宇建筑安装工程有限公司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6286297.79</v>
      </c>
      <c r="N76" s="210" t="n">
        <v>595534.53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5353700</v>
      </c>
      <c r="U76" s="206" t="n"/>
      <c r="V76" s="206" t="n"/>
    </row>
    <row r="77" ht="14" customFormat="1" customHeight="1" s="180">
      <c r="A77" s="206" t="n">
        <v>10</v>
      </c>
      <c r="B77" s="206" t="inlineStr">
        <is>
          <t>100187703</t>
        </is>
      </c>
      <c r="C77" s="207" t="inlineStr">
        <is>
          <t>中建四局0200202104503008</t>
        </is>
      </c>
      <c r="D77" s="207" t="inlineStr">
        <is>
          <t>广州市金式广告有限公司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295653.46</v>
      </c>
      <c r="N77" s="210" t="n">
        <v>9336.42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100000</v>
      </c>
      <c r="U77" s="206" t="n"/>
      <c r="V77" s="206" t="n"/>
    </row>
    <row r="78" ht="26" customFormat="1" customHeight="1" s="180">
      <c r="A78" s="206" t="n">
        <v>11</v>
      </c>
      <c r="B78" s="206" t="inlineStr">
        <is>
          <t>200056273</t>
        </is>
      </c>
      <c r="C78" s="207" t="inlineStr">
        <is>
          <t>中建四局020020210045030001</t>
        </is>
      </c>
      <c r="D78" s="207" t="inlineStr">
        <is>
          <t>广州金的建设有限公司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92741.66</v>
      </c>
      <c r="N78" s="210" t="n">
        <v>8786.049999999999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74400</v>
      </c>
      <c r="U78" s="206" t="n"/>
      <c r="V78" s="206" t="n"/>
    </row>
    <row r="79" ht="26" customFormat="1" customHeight="1" s="180">
      <c r="A79" s="33" t="n"/>
      <c r="B79" s="199" t="n"/>
      <c r="C79" s="199" t="n"/>
      <c r="D79" s="211" t="inlineStr">
        <is>
          <t>**财务未列部分需增列***</t>
        </is>
      </c>
      <c r="E79" s="219" t="n"/>
      <c r="F79" s="219" t="n"/>
      <c r="G79" s="219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189" t="n"/>
      <c r="U79" s="189" t="n"/>
      <c r="V79" s="189" t="n"/>
      <c r="W79" s="189" t="n"/>
      <c r="X79" s="189" t="n"/>
      <c r="Y79" s="189" t="n"/>
      <c r="Z79" s="203" t="n"/>
      <c r="AA79" s="203" t="n"/>
      <c r="AB79" s="188" t="n"/>
      <c r="AC79" s="188" t="n"/>
      <c r="AD79" s="188" t="n"/>
      <c r="AE79" s="188" t="n"/>
      <c r="AF79" s="188" t="n"/>
      <c r="AG79" s="188" t="n"/>
      <c r="AH79" s="188" t="n"/>
      <c r="AI79" s="188" t="n"/>
      <c r="AJ79" s="188" t="n"/>
      <c r="AK79" s="188">
        <f>AB22/1.17*0.17+AC22/1.16*0.16+AD22/1.11*0.11+AE22/1.1*0.1+AF22/1.09*0.09+AI22/1.03*0.03</f>
        <v/>
      </c>
      <c r="AL79" s="214" t="n"/>
    </row>
    <row r="80" ht="14" customFormat="1" customHeight="1" s="180">
      <c r="A80" s="41" t="n"/>
      <c r="B80" s="215" t="n"/>
      <c r="C80" s="215" t="n"/>
      <c r="D80" s="216" t="inlineStr">
        <is>
          <t>分包工程小计：</t>
        </is>
      </c>
      <c r="E80" s="217">
        <f>SUM(E67:E79)</f>
        <v/>
      </c>
      <c r="F80" s="217">
        <f>SUM(F67:F79)</f>
        <v/>
      </c>
      <c r="G80" s="217">
        <f>SUM(G67:G79)</f>
        <v/>
      </c>
      <c r="H80" s="217">
        <f>SUM(H67:H79)</f>
        <v/>
      </c>
      <c r="I80" s="217">
        <f>SUM(I67:I79)</f>
        <v/>
      </c>
      <c r="J80" s="217">
        <f>SUM(J67:J79)</f>
        <v/>
      </c>
      <c r="K80" s="217">
        <f>SUM(K67:K79)</f>
        <v/>
      </c>
      <c r="L80" s="217">
        <f>SUM(L67:L79)</f>
        <v/>
      </c>
      <c r="M80" s="217">
        <f>SUM(M67:M79)</f>
        <v/>
      </c>
      <c r="N80" s="217">
        <f>SUM(N67:N79)</f>
        <v/>
      </c>
      <c r="O80" s="217">
        <f>SUM(O67:O79)</f>
        <v/>
      </c>
      <c r="P80" s="217">
        <f>SUM(P67:P79)</f>
        <v/>
      </c>
      <c r="Q80" s="217">
        <f>SUM(Q67:Q79)</f>
        <v/>
      </c>
      <c r="R80" s="217">
        <f>SUM(R67:R79)</f>
        <v/>
      </c>
      <c r="S80" s="217">
        <f>SUM(S67:S79)</f>
        <v/>
      </c>
      <c r="T80" s="217">
        <f>SUM(T67:T79)</f>
        <v/>
      </c>
      <c r="U80" s="217">
        <f>SUM(U67:U79)</f>
        <v/>
      </c>
      <c r="V80" s="217">
        <f>SUM(V67:V79)</f>
        <v/>
      </c>
      <c r="W80" s="217">
        <f>SUM(W67:W79)</f>
        <v/>
      </c>
      <c r="X80" s="217">
        <f>SUM(X67:X79)</f>
        <v/>
      </c>
      <c r="Y80" s="217">
        <f>SUM(Y67:Y79)</f>
        <v/>
      </c>
      <c r="Z80" s="217">
        <f>SUM(Z67:Z79)</f>
        <v/>
      </c>
      <c r="AA80" s="217">
        <f>SUM(AA67:AA79)</f>
        <v/>
      </c>
      <c r="AB80" s="217">
        <f>SUM(AB67:AB79)</f>
        <v/>
      </c>
      <c r="AC80" s="217">
        <f>SUM(AC67:AC79)</f>
        <v/>
      </c>
      <c r="AD80" s="217">
        <f>SUM(AD67:AD79)</f>
        <v/>
      </c>
      <c r="AE80" s="217">
        <f>SUM(AE67:AE79)</f>
        <v/>
      </c>
      <c r="AF80" s="217">
        <f>SUM(AF67:AF79)</f>
        <v/>
      </c>
      <c r="AG80" s="217">
        <f>SUM(AG67:AG79)</f>
        <v/>
      </c>
      <c r="AH80" s="217">
        <f>SUM(AH67:AH79)</f>
        <v/>
      </c>
      <c r="AI80" s="217">
        <f>SUM(AI67:AI79)</f>
        <v/>
      </c>
      <c r="AJ80" s="217">
        <f>SUM(AJ67:AJ79)</f>
        <v/>
      </c>
      <c r="AK80" s="217">
        <f>SUM(AK67:AK79)</f>
        <v/>
      </c>
      <c r="AL80" s="204" t="n"/>
    </row>
    <row r="81" ht="14" customFormat="1" customHeight="1" s="3">
      <c r="A81" s="33" t="n"/>
      <c r="B81" s="199" t="n"/>
      <c r="C81" s="199" t="n"/>
      <c r="D81" s="218" t="inlineStr">
        <is>
          <t>(三)材料费</t>
        </is>
      </c>
      <c r="E81" s="199" t="n"/>
      <c r="F81" s="199" t="n"/>
      <c r="G81" s="199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203" t="n"/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AB24/1.17*0.17+AC24/1.16*0.16+AD24/1.11*0.11+AE24/1.1*0.1+AF24/1.09*0.09+AI24/1.03*0.03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（1）集中采购</t>
        </is>
      </c>
      <c r="E82" s="199" t="n"/>
      <c r="F82" s="199" t="n"/>
      <c r="G82" s="19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203" t="n"/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AB25/1.17*0.17+AC25/1.16*0.16+AD25/1.11*0.11+AE25/1.1*0.1+AF25/1.09*0.09+AI25/1.03*0.03</f>
        <v/>
      </c>
      <c r="AL82" s="221" t="n"/>
    </row>
    <row r="83" ht="14" customHeight="1" s="159">
      <c r="A83" s="33" t="n"/>
      <c r="B83" s="199" t="n"/>
      <c r="C83" s="199" t="n"/>
      <c r="D83" s="222" t="n"/>
      <c r="E83" s="213" t="n"/>
      <c r="F83" s="213" t="n"/>
      <c r="G83" s="213" t="n"/>
      <c r="H83" s="189" t="n"/>
      <c r="I83" s="189" t="n"/>
      <c r="J83" s="189" t="n"/>
      <c r="K83" s="201" t="n"/>
      <c r="L83" s="202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SUM(AA26:AJ26)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AB26/1.17*0.17+AC26/1.16*0.16+AD26/1.11*0.11+AE26/1.1*0.1+AF26/1.09*0.09+AI26/1.03*0.03</f>
        <v/>
      </c>
      <c r="AL83" s="221" t="n"/>
    </row>
    <row r="84">
      <c r="A84" s="33" t="n"/>
      <c r="B84" s="199" t="n"/>
      <c r="C84" s="199" t="n"/>
      <c r="D84" s="222" t="n"/>
      <c r="E84" s="213" t="n"/>
      <c r="F84" s="213" t="n"/>
      <c r="G84" s="213" t="n"/>
      <c r="H84" s="189" t="n"/>
      <c r="I84" s="189" t="n"/>
      <c r="J84" s="189" t="n"/>
      <c r="K84" s="201" t="n"/>
      <c r="L84" s="202" t="n"/>
      <c r="M84" s="189" t="n"/>
      <c r="N84" s="189" t="n"/>
      <c r="O84" s="189">
        <f>L84-M84</f>
        <v/>
      </c>
      <c r="P84" s="189">
        <f>K84-N84</f>
        <v/>
      </c>
      <c r="Q84" s="189">
        <f>M84+O84</f>
        <v/>
      </c>
      <c r="R84" s="189">
        <f>M84+N84+O84+P84</f>
        <v/>
      </c>
      <c r="S84" s="203">
        <f>SUM(T84:V84)</f>
        <v/>
      </c>
      <c r="T84" s="203" t="n"/>
      <c r="U84" s="203" t="n"/>
      <c r="V84" s="203" t="n"/>
      <c r="W84" s="203" t="n"/>
      <c r="X84" s="203" t="n"/>
      <c r="Y84" s="203" t="n"/>
      <c r="Z84" s="189">
        <f>SUM(AA27:AJ27)</f>
        <v/>
      </c>
      <c r="AA84" s="203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188">
        <f>AB27/1.17*0.17+AC27/1.16*0.16+AD27/1.11*0.11+AE27/1.1*0.1+AF27/1.09*0.09+AI27/1.03*0.03</f>
        <v/>
      </c>
      <c r="AL84" s="221" t="n"/>
    </row>
    <row r="85">
      <c r="A85" s="33" t="n"/>
      <c r="B85" s="199" t="n"/>
      <c r="C85" s="199" t="n"/>
      <c r="D85" s="222" t="n"/>
      <c r="E85" s="213" t="n"/>
      <c r="F85" s="213" t="n"/>
      <c r="G85" s="213" t="n"/>
      <c r="H85" s="189" t="n"/>
      <c r="I85" s="189" t="n"/>
      <c r="J85" s="189" t="n"/>
      <c r="K85" s="201" t="n"/>
      <c r="L85" s="202" t="n"/>
      <c r="M85" s="189" t="n"/>
      <c r="N85" s="189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03" t="n"/>
      <c r="U85" s="203" t="n"/>
      <c r="V85" s="203" t="n"/>
      <c r="W85" s="203" t="n"/>
      <c r="X85" s="203" t="n"/>
      <c r="Y85" s="203" t="n"/>
      <c r="Z85" s="189">
        <f>SUM(AA28:AJ28)</f>
        <v/>
      </c>
      <c r="AA85" s="203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188">
        <f>AB28/1.17*0.17+AC28/1.16*0.16+AD28/1.11*0.11+AE28/1.1*0.1+AF28/1.09*0.09+AI28/1.03*0.03</f>
        <v/>
      </c>
      <c r="AL85" s="221" t="n"/>
    </row>
    <row r="86">
      <c r="A86" s="33" t="n"/>
      <c r="B86" s="199" t="n"/>
      <c r="C86" s="199" t="n"/>
      <c r="D86" s="189" t="inlineStr">
        <is>
          <t>（2）自行采购</t>
        </is>
      </c>
      <c r="E86" s="219" t="n"/>
      <c r="F86" s="219" t="n"/>
      <c r="G86" s="219" t="n"/>
      <c r="H86" s="189" t="n"/>
      <c r="I86" s="189" t="n"/>
      <c r="J86" s="189" t="n"/>
      <c r="K86" s="201" t="n"/>
      <c r="L86" s="202" t="n"/>
      <c r="M86" s="189" t="n"/>
      <c r="N86" s="189" t="n"/>
      <c r="O86" s="189">
        <f>L86-M86</f>
        <v/>
      </c>
      <c r="P86" s="189">
        <f>K86-N86</f>
        <v/>
      </c>
      <c r="Q86" s="189">
        <f>M86+O86</f>
        <v/>
      </c>
      <c r="R86" s="189">
        <f>M86+N86+O86+P86</f>
        <v/>
      </c>
      <c r="S86" s="203">
        <f>SUM(T86:V86)</f>
        <v/>
      </c>
      <c r="T86" s="203" t="n"/>
      <c r="U86" s="203" t="n"/>
      <c r="V86" s="203" t="n"/>
      <c r="W86" s="203" t="n"/>
      <c r="X86" s="203" t="n"/>
      <c r="Y86" s="203" t="n"/>
      <c r="Z86" s="189">
        <f>SUM(AA29:AJ29)</f>
        <v/>
      </c>
      <c r="AA86" s="203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188">
        <f>AB29/1.17*0.17+AC29/1.16*0.16+AD29/1.11*0.11+AE29/1.1*0.1+AF29/1.09*0.09+AI29/1.03*0.03</f>
        <v/>
      </c>
      <c r="AL86" s="221" t="n"/>
    </row>
    <row r="87">
      <c r="A87" s="206" t="n">
        <v>1</v>
      </c>
      <c r="B87" s="206" t="inlineStr">
        <is>
          <t>100237790</t>
        </is>
      </c>
      <c r="C87" s="207" t="inlineStr">
        <is>
          <t>中建四局0200202104506006</t>
        </is>
      </c>
      <c r="D87" s="207" t="inlineStr">
        <is>
          <t>佛山唐贵五金电器有限公司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36234</v>
      </c>
      <c r="N87" s="210" t="n">
        <v>4710.42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40944.42</v>
      </c>
      <c r="U87" s="206" t="n"/>
      <c r="V87" s="206" t="n"/>
    </row>
    <row r="88">
      <c r="A88" s="206" t="n">
        <v>2</v>
      </c>
      <c r="B88" s="206" t="inlineStr">
        <is>
          <t>100082646</t>
        </is>
      </c>
      <c r="C88" s="207" t="inlineStr">
        <is>
          <t>中建四局0200202104506020</t>
        </is>
      </c>
      <c r="D88" s="207" t="inlineStr">
        <is>
          <t>佛山市南海升辉水泥预制件厂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88252.49000000001</v>
      </c>
      <c r="N88" s="210" t="n">
        <v>11472.83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20000</v>
      </c>
      <c r="U88" s="206" t="n"/>
      <c r="V88" s="206" t="n"/>
    </row>
    <row r="89">
      <c r="A89" s="206" t="n">
        <v>3</v>
      </c>
      <c r="B89" s="206" t="inlineStr">
        <is>
          <t>200086855</t>
        </is>
      </c>
      <c r="C89" s="207" t="inlineStr">
        <is>
          <t>中建四局0200202104506011</t>
        </is>
      </c>
      <c r="D89" s="207" t="inlineStr">
        <is>
          <t>佛山市拓海电气设备有限公司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52325.54</v>
      </c>
      <c r="N89" s="210" t="n">
        <v>6802.32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20000</v>
      </c>
      <c r="U89" s="206" t="n"/>
      <c r="V89" s="206" t="n"/>
    </row>
    <row r="90">
      <c r="A90" s="206" t="n">
        <v>4</v>
      </c>
      <c r="B90" s="206" t="inlineStr">
        <is>
          <t>200571072</t>
        </is>
      </c>
      <c r="C90" s="207" t="inlineStr">
        <is>
          <t>中建四局0200202104506023</t>
        </is>
      </c>
      <c r="D90" s="207" t="inlineStr">
        <is>
          <t>佛山市益晋建筑材料销售有限公司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32235427.77</v>
      </c>
      <c r="N90" s="210" t="n">
        <v>4190605.59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21170000</v>
      </c>
      <c r="U90" s="206" t="n"/>
      <c r="V90" s="206" t="n"/>
    </row>
    <row r="91">
      <c r="A91" s="206" t="n">
        <v>5</v>
      </c>
      <c r="B91" s="206" t="inlineStr">
        <is>
          <t>200162951</t>
        </is>
      </c>
      <c r="C91" s="207" t="inlineStr">
        <is>
          <t>中建四局0200202104506004</t>
        </is>
      </c>
      <c r="D91" s="207" t="inlineStr">
        <is>
          <t>佛山市翊德通新型环保科技建材有限公司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500281.97</v>
      </c>
      <c r="N91" s="210" t="n">
        <v>65036.66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470000</v>
      </c>
      <c r="U91" s="206" t="n"/>
      <c r="V91" s="206" t="n"/>
    </row>
    <row r="92">
      <c r="A92" s="206" t="n">
        <v>6</v>
      </c>
      <c r="B92" s="206" t="inlineStr">
        <is>
          <t>100217517</t>
        </is>
      </c>
      <c r="C92" s="207" t="inlineStr">
        <is>
          <t>中建四局020020210045060001</t>
        </is>
      </c>
      <c r="D92" s="207" t="inlineStr">
        <is>
          <t>佛山市顺德区恒锦源贸易有限公司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203010</v>
      </c>
      <c r="N92" s="210" t="n">
        <v>26391.3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>
        <v>7</v>
      </c>
      <c r="B93" s="206" t="inlineStr">
        <is>
          <t>100217517</t>
        </is>
      </c>
      <c r="C93" s="207" t="inlineStr">
        <is>
          <t>中建四局0200202104506005</t>
        </is>
      </c>
      <c r="D93" s="207" t="inlineStr">
        <is>
          <t>佛山市顺德区恒锦源贸易有限公司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776841.17</v>
      </c>
      <c r="N93" s="210" t="n">
        <v>100989.34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646000</v>
      </c>
      <c r="U93" s="206" t="n"/>
      <c r="V93" s="206" t="n"/>
    </row>
    <row r="94">
      <c r="A94" s="206" t="n">
        <v>8</v>
      </c>
      <c r="B94" s="206" t="inlineStr">
        <is>
          <t>100217517</t>
        </is>
      </c>
      <c r="C94" s="207" t="inlineStr">
        <is>
          <t>中建四局0200202104506009</t>
        </is>
      </c>
      <c r="D94" s="207" t="inlineStr">
        <is>
          <t>佛山市顺德区恒锦源贸易有限公司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361593.1</v>
      </c>
      <c r="N94" s="210" t="n">
        <v>47007.09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140000</v>
      </c>
      <c r="U94" s="206" t="n"/>
      <c r="V94" s="206" t="n"/>
    </row>
    <row r="95">
      <c r="A95" s="206" t="n">
        <v>9</v>
      </c>
      <c r="B95" s="206" t="inlineStr">
        <is>
          <t>200417828</t>
        </is>
      </c>
      <c r="C95" s="207" t="inlineStr">
        <is>
          <t>中建四局0200202104506015</t>
        </is>
      </c>
      <c r="D95" s="207" t="inlineStr">
        <is>
          <t>佛山市顺德区联皓科技开发有限公司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2661431.4</v>
      </c>
      <c r="N95" s="210" t="n">
        <v>345986.09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2100000</v>
      </c>
      <c r="U95" s="206" t="n"/>
      <c r="V95" s="206" t="n"/>
    </row>
    <row r="96">
      <c r="A96" s="206" t="n">
        <v>10</v>
      </c>
      <c r="B96" s="206" t="inlineStr">
        <is>
          <t>100006706</t>
        </is>
      </c>
      <c r="C96" s="207" t="inlineStr">
        <is>
          <t>中建四局0200202104506025</t>
        </is>
      </c>
      <c r="D96" s="207" t="inlineStr">
        <is>
          <t>品茗科技股份有限公司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38641.38</v>
      </c>
      <c r="N96" s="210" t="n">
        <v>5023.38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39000</v>
      </c>
      <c r="U96" s="206" t="n"/>
      <c r="V96" s="206" t="n"/>
    </row>
    <row r="97">
      <c r="A97" s="206" t="n">
        <v>11</v>
      </c>
      <c r="B97" s="206" t="inlineStr">
        <is>
          <t>200228960</t>
        </is>
      </c>
      <c r="C97" s="207" t="inlineStr">
        <is>
          <t>中建四局0200202104506010</t>
        </is>
      </c>
      <c r="D97" s="207" t="inlineStr">
        <is>
          <t>地兴实业（广州）有限公司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152645.27</v>
      </c>
      <c r="N97" s="210" t="n">
        <v>19843.86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</row>
    <row r="98">
      <c r="A98" s="206" t="n">
        <v>12</v>
      </c>
      <c r="B98" s="206" t="inlineStr">
        <is>
          <t>200563704</t>
        </is>
      </c>
      <c r="C98" s="207" t="inlineStr">
        <is>
          <t>中建四局0200202104506022</t>
        </is>
      </c>
      <c r="D98" s="207" t="inlineStr">
        <is>
          <t>山东晟初供应链管理有限责任公司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5302261.73</v>
      </c>
      <c r="N98" s="210" t="n">
        <v>689294.02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4743834.61</v>
      </c>
      <c r="U98" s="206" t="n"/>
      <c r="V98" s="206" t="n"/>
    </row>
    <row r="99">
      <c r="A99" s="206" t="n">
        <v>13</v>
      </c>
      <c r="B99" s="206" t="inlineStr">
        <is>
          <t>200486755</t>
        </is>
      </c>
      <c r="C99" s="207" t="inlineStr">
        <is>
          <t>中建四局0200202104506024</t>
        </is>
      </c>
      <c r="D99" s="207" t="inlineStr">
        <is>
          <t>广东冠祥新型建材有限公司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608304.67</v>
      </c>
      <c r="N99" s="210" t="n">
        <v>79079.60000000001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374000</v>
      </c>
      <c r="U99" s="206" t="n"/>
      <c r="V99" s="206" t="n"/>
    </row>
    <row r="100">
      <c r="A100" s="206" t="n">
        <v>14</v>
      </c>
      <c r="B100" s="206" t="inlineStr">
        <is>
          <t>100217564</t>
        </is>
      </c>
      <c r="C100" s="207" t="inlineStr">
        <is>
          <t>中建四局0200202104506002</t>
        </is>
      </c>
      <c r="D100" s="207" t="inlineStr">
        <is>
          <t>广东顺德雍强贸易有限公司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475239.69</v>
      </c>
      <c r="N100" s="210" t="n">
        <v>61781.16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120000</v>
      </c>
      <c r="U100" s="206" t="n"/>
      <c r="V100" s="206" t="n"/>
    </row>
    <row r="101">
      <c r="A101" s="206" t="n">
        <v>15</v>
      </c>
      <c r="B101" s="206" t="inlineStr">
        <is>
          <t>100217350</t>
        </is>
      </c>
      <c r="C101" s="207" t="inlineStr">
        <is>
          <t>中建四局0200202104506003</t>
        </is>
      </c>
      <c r="D101" s="207" t="inlineStr">
        <is>
          <t>广州市嘉宇金属制品有限公司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5220</v>
      </c>
      <c r="N101" s="210" t="n">
        <v>678.6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5898.6</v>
      </c>
      <c r="U101" s="206" t="n"/>
      <c r="V101" s="206" t="n"/>
    </row>
    <row r="102">
      <c r="A102" s="206" t="n">
        <v>16</v>
      </c>
      <c r="B102" s="206" t="inlineStr">
        <is>
          <t>100006014</t>
        </is>
      </c>
      <c r="C102" s="207" t="inlineStr">
        <is>
          <t>中建四局0200202104506013</t>
        </is>
      </c>
      <c r="D102" s="207" t="inlineStr">
        <is>
          <t>广州市番禺区石楼镇沙南建材二厂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1393544.89</v>
      </c>
      <c r="N102" s="210" t="n">
        <v>181160.83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1031000</v>
      </c>
      <c r="U102" s="206" t="n"/>
      <c r="V102" s="206" t="n"/>
    </row>
    <row r="103">
      <c r="A103" s="206" t="n">
        <v>17</v>
      </c>
      <c r="B103" s="206" t="inlineStr">
        <is>
          <t>100119801</t>
        </is>
      </c>
      <c r="C103" s="207" t="inlineStr">
        <is>
          <t>中建四局0200202104506014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64927.94</v>
      </c>
      <c r="N103" s="210" t="n">
        <v>8440.610000000001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54000</v>
      </c>
      <c r="U103" s="206" t="n"/>
      <c r="V103" s="206" t="n"/>
    </row>
    <row r="104">
      <c r="A104" s="206" t="n">
        <v>18</v>
      </c>
      <c r="B104" s="206" t="inlineStr">
        <is>
          <t>100237088</t>
        </is>
      </c>
      <c r="C104" s="207" t="inlineStr">
        <is>
          <t>中建四局0200202104506021</t>
        </is>
      </c>
      <c r="D104" s="207" t="inlineStr">
        <is>
          <t>无锡市恒顺金属材料有限公司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18441166.94</v>
      </c>
      <c r="N104" s="210" t="n">
        <v>2397351.73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9585000</v>
      </c>
      <c r="U104" s="206" t="n"/>
      <c r="V104" s="206" t="n"/>
    </row>
    <row r="105">
      <c r="A105" s="206" t="n">
        <v>19</v>
      </c>
      <c r="B105" s="206" t="inlineStr">
        <is>
          <t>200132050</t>
        </is>
      </c>
      <c r="C105" s="207" t="inlineStr">
        <is>
          <t>中建四局0200202104506019</t>
        </is>
      </c>
      <c r="D105" s="207" t="inlineStr">
        <is>
          <t>江门市擎宏科技实业有限公司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513151.15</v>
      </c>
      <c r="N105" s="210" t="n">
        <v>66709.64999999999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396000</v>
      </c>
      <c r="U105" s="206" t="n"/>
      <c r="V105" s="206" t="n"/>
    </row>
    <row r="106">
      <c r="A106" s="206" t="n">
        <v>20</v>
      </c>
      <c r="B106" s="206" t="inlineStr">
        <is>
          <t>100022585</t>
        </is>
      </c>
      <c r="C106" s="207" t="inlineStr">
        <is>
          <t>中建四局0200202104506001</t>
        </is>
      </c>
      <c r="D106" s="207" t="inlineStr">
        <is>
          <t>漳州路桥物资发展有限公司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4104767.08</v>
      </c>
      <c r="N106" s="210" t="n">
        <v>533619.72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3321130.53</v>
      </c>
      <c r="U106" s="206" t="n"/>
      <c r="V106" s="206" t="n"/>
    </row>
    <row r="107">
      <c r="A107" s="206" t="n">
        <v>21</v>
      </c>
      <c r="B107" s="206" t="inlineStr">
        <is>
          <t>100199057</t>
        </is>
      </c>
      <c r="C107" s="207" t="inlineStr">
        <is>
          <t>中建四局0200202104506007</t>
        </is>
      </c>
      <c r="D107" s="207" t="inlineStr">
        <is>
          <t>福建省莆田市龙兴劳保用品有限公司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96272</v>
      </c>
      <c r="N107" s="210" t="n">
        <v>12515.36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>
        <v>22</v>
      </c>
      <c r="B108" s="206" t="inlineStr">
        <is>
          <t>100199057</t>
        </is>
      </c>
      <c r="C108" s="207" t="inlineStr">
        <is>
          <t>中建四局0200202104506008</t>
        </is>
      </c>
      <c r="D108" s="207" t="inlineStr">
        <is>
          <t>福建省莆田市龙兴劳保用品有限公司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87520</v>
      </c>
      <c r="N108" s="210" t="n">
        <v>11377.6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>
        <v>23</v>
      </c>
      <c r="B109" s="206" t="n"/>
      <c r="C109" s="207" t="n"/>
      <c r="D109" s="207" t="inlineStr">
        <is>
          <t>其他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1769.91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>
        <v>24</v>
      </c>
      <c r="B110" s="206" t="n"/>
      <c r="C110" s="207" t="n"/>
      <c r="D110" s="207" t="inlineStr">
        <is>
          <t>废旧物资处置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-202535.6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206" t="n">
        <v>25</v>
      </c>
      <c r="B111" s="206" t="n"/>
      <c r="C111" s="207" t="n"/>
      <c r="D111" s="207" t="inlineStr">
        <is>
          <t>研发支出-材料费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-8056947.95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</row>
    <row r="112">
      <c r="A112" s="33" t="n">
        <v>26</v>
      </c>
      <c r="B112" s="199" t="n"/>
      <c r="C112" s="199" t="n"/>
      <c r="D112" s="218" t="inlineStr">
        <is>
          <t>材料调入</t>
        </is>
      </c>
      <c r="E112" s="199" t="n"/>
      <c r="F112" s="199" t="n"/>
      <c r="G112" s="199" t="n"/>
      <c r="H112" s="189" t="n"/>
      <c r="I112" s="189" t="n"/>
      <c r="J112" s="189" t="n"/>
      <c r="K112" s="201" t="n"/>
      <c r="L112" s="202" t="n"/>
      <c r="M112" s="223" t="n">
        <v>7208164.12</v>
      </c>
      <c r="N112" s="189" t="n"/>
      <c r="O112" s="189">
        <f>L112-M112</f>
        <v/>
      </c>
      <c r="P112" s="189">
        <f>K112-N112</f>
        <v/>
      </c>
      <c r="Q112" s="189">
        <f>M112+O112</f>
        <v/>
      </c>
      <c r="R112" s="189">
        <f>M112+N112+O112+P112</f>
        <v/>
      </c>
      <c r="S112" s="203">
        <f>SUM(T112:V112)</f>
        <v/>
      </c>
      <c r="T112" s="203" t="n"/>
      <c r="U112" s="203" t="n"/>
      <c r="V112" s="203" t="n"/>
      <c r="W112" s="203" t="n"/>
      <c r="X112" s="203" t="n"/>
      <c r="Y112" s="203" t="n"/>
      <c r="Z112" s="189">
        <f>SUM(AA30:AJ30)</f>
        <v/>
      </c>
      <c r="AA112" s="203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188">
        <f>AB30/1.17*0.17+AC30/1.16*0.16+AD30/1.11*0.11+AE30/1.1*0.1+AF30/1.09*0.09+AI30/1.03*0.03</f>
        <v/>
      </c>
      <c r="AL112" s="221" t="n"/>
    </row>
    <row r="113">
      <c r="A113" s="33" t="n">
        <v>27</v>
      </c>
      <c r="B113" s="199" t="n"/>
      <c r="C113" s="199" t="n"/>
      <c r="D113" s="218" t="inlineStr">
        <is>
          <t>材料调出（注：负数填报）</t>
        </is>
      </c>
      <c r="E113" s="224" t="n"/>
      <c r="F113" s="224" t="n"/>
      <c r="G113" s="224" t="n"/>
      <c r="H113" s="225" t="n"/>
      <c r="I113" s="225" t="n"/>
      <c r="J113" s="189" t="n"/>
      <c r="K113" s="201" t="n"/>
      <c r="L113" s="202" t="n"/>
      <c r="M113" s="226" t="n">
        <v>-2516875.22</v>
      </c>
      <c r="N113" s="225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25" t="n"/>
      <c r="U113" s="225" t="n"/>
      <c r="V113" s="225" t="n"/>
      <c r="W113" s="225" t="n"/>
      <c r="X113" s="225" t="n"/>
      <c r="Y113" s="225" t="n"/>
      <c r="Z113" s="189">
        <f>SUM(AA31:AJ31)</f>
        <v/>
      </c>
      <c r="AA113" s="225" t="n"/>
      <c r="AB113" s="227" t="n"/>
      <c r="AC113" s="227" t="n"/>
      <c r="AD113" s="227" t="n"/>
      <c r="AE113" s="227" t="n"/>
      <c r="AF113" s="227" t="n"/>
      <c r="AG113" s="227" t="n"/>
      <c r="AH113" s="227" t="n"/>
      <c r="AI113" s="227" t="n"/>
      <c r="AJ113" s="227" t="n"/>
      <c r="AK113" s="188">
        <f>AB31/1.17*0.17+AC31/1.16*0.16+AD31/1.11*0.11+AE31/1.1*0.1+AF31/1.09*0.09+AI31/1.03*0.03</f>
        <v/>
      </c>
      <c r="AL113" s="228" t="n"/>
    </row>
    <row r="114">
      <c r="A114" s="33" t="n"/>
      <c r="B114" s="199" t="n"/>
      <c r="C114" s="199" t="n"/>
      <c r="D114" s="218" t="inlineStr">
        <is>
          <t>材料库存（注：项目已结算未使用材料冲减项目成本，负数填报）</t>
        </is>
      </c>
      <c r="E114" s="224" t="n"/>
      <c r="F114" s="224" t="n"/>
      <c r="G114" s="224" t="n"/>
      <c r="H114" s="225" t="n"/>
      <c r="I114" s="225" t="n"/>
      <c r="J114" s="189" t="n"/>
      <c r="K114" s="201" t="n"/>
      <c r="L114" s="202" t="n"/>
      <c r="M114" s="225" t="n"/>
      <c r="N114" s="225" t="n"/>
      <c r="O114" s="189" t="n"/>
      <c r="P114" s="189" t="n"/>
      <c r="Q114" s="189" t="n"/>
      <c r="R114" s="189" t="n"/>
      <c r="S114" s="203" t="n"/>
      <c r="T114" s="225" t="n"/>
      <c r="U114" s="225" t="n"/>
      <c r="V114" s="225" t="n"/>
      <c r="W114" s="225" t="n"/>
      <c r="X114" s="225" t="n"/>
      <c r="Y114" s="225" t="n"/>
      <c r="Z114" s="189" t="n"/>
      <c r="AA114" s="225" t="n"/>
      <c r="AB114" s="227" t="n"/>
      <c r="AC114" s="227" t="n"/>
      <c r="AD114" s="227" t="n"/>
      <c r="AE114" s="227" t="n"/>
      <c r="AF114" s="227" t="n"/>
      <c r="AG114" s="227" t="n"/>
      <c r="AH114" s="227" t="n"/>
      <c r="AI114" s="227" t="n"/>
      <c r="AJ114" s="227" t="n"/>
      <c r="AK114" s="188" t="n"/>
      <c r="AL114" s="228" t="n"/>
    </row>
    <row r="115">
      <c r="A115" s="33" t="n"/>
      <c r="B115" s="199" t="n"/>
      <c r="C115" s="199" t="n"/>
      <c r="D115" s="211" t="inlineStr">
        <is>
          <t>**财务未列部分需增列***</t>
        </is>
      </c>
      <c r="E115" s="219" t="n"/>
      <c r="F115" s="219" t="n"/>
      <c r="G115" s="219" t="n"/>
      <c r="H115" s="189" t="n"/>
      <c r="I115" s="189" t="n"/>
      <c r="J115" s="189" t="n"/>
      <c r="K115" s="201" t="n"/>
      <c r="L115" s="202" t="n"/>
      <c r="M115" s="189" t="n"/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203" t="n"/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AB33/1.17*0.17+AC33/1.16*0.16+AD33/1.11*0.11+AE33/1.1*0.1+AF33/1.09*0.09+AI33/1.03*0.03</f>
        <v/>
      </c>
      <c r="AL115" s="221" t="n"/>
    </row>
    <row r="116">
      <c r="A116" s="41" t="n"/>
      <c r="B116" s="215" t="n"/>
      <c r="C116" s="215" t="n"/>
      <c r="D116" s="216" t="inlineStr">
        <is>
          <t>材料费小计：</t>
        </is>
      </c>
      <c r="E116" s="217">
        <f>SUM(E81:E115)</f>
        <v/>
      </c>
      <c r="F116" s="217">
        <f>SUM(F81:F115)</f>
        <v/>
      </c>
      <c r="G116" s="217">
        <f>SUM(G81:G115)</f>
        <v/>
      </c>
      <c r="H116" s="217">
        <f>SUM(H81:H115)</f>
        <v/>
      </c>
      <c r="I116" s="217">
        <f>SUM(I81:I115)</f>
        <v/>
      </c>
      <c r="J116" s="217">
        <f>SUM(J81:J115)</f>
        <v/>
      </c>
      <c r="K116" s="217">
        <f>SUM(K81:K115)</f>
        <v/>
      </c>
      <c r="L116" s="217">
        <f>SUM(L81:L115)</f>
        <v/>
      </c>
      <c r="M116" s="217">
        <f>SUM(M81:M115)</f>
        <v/>
      </c>
      <c r="N116" s="217">
        <f>SUM(N81:N115)</f>
        <v/>
      </c>
      <c r="O116" s="217">
        <f>SUM(O81:O115)</f>
        <v/>
      </c>
      <c r="P116" s="217">
        <f>SUM(P81:P115)</f>
        <v/>
      </c>
      <c r="Q116" s="217">
        <f>SUM(Q81:Q115)</f>
        <v/>
      </c>
      <c r="R116" s="217">
        <f>SUM(R81:R115)</f>
        <v/>
      </c>
      <c r="S116" s="217">
        <f>SUM(S81:S115)</f>
        <v/>
      </c>
      <c r="T116" s="217">
        <f>SUM(T81:T115)</f>
        <v/>
      </c>
      <c r="U116" s="217">
        <f>SUM(U81:U115)</f>
        <v/>
      </c>
      <c r="V116" s="217">
        <f>SUM(V81:V115)</f>
        <v/>
      </c>
      <c r="W116" s="217">
        <f>SUM(W81:W115)</f>
        <v/>
      </c>
      <c r="X116" s="217">
        <f>SUM(X81:X115)</f>
        <v/>
      </c>
      <c r="Y116" s="217">
        <f>SUM(Y81:Y115)</f>
        <v/>
      </c>
      <c r="Z116" s="217">
        <f>SUM(Z81:Z115)</f>
        <v/>
      </c>
      <c r="AA116" s="217">
        <f>SUM(AA81:AA115)</f>
        <v/>
      </c>
      <c r="AB116" s="217">
        <f>SUM(AB81:AB115)</f>
        <v/>
      </c>
      <c r="AC116" s="217">
        <f>SUM(AC81:AC115)</f>
        <v/>
      </c>
      <c r="AD116" s="217">
        <f>SUM(AD81:AD115)</f>
        <v/>
      </c>
      <c r="AE116" s="217">
        <f>SUM(AE81:AE115)</f>
        <v/>
      </c>
      <c r="AF116" s="217">
        <f>SUM(AF81:AF115)</f>
        <v/>
      </c>
      <c r="AG116" s="217">
        <f>SUM(AG81:AG115)</f>
        <v/>
      </c>
      <c r="AH116" s="217">
        <f>SUM(AH81:AH115)</f>
        <v/>
      </c>
      <c r="AI116" s="217">
        <f>SUM(AI81:AI115)</f>
        <v/>
      </c>
      <c r="AJ116" s="217">
        <f>SUM(AJ81:AJ115)</f>
        <v/>
      </c>
      <c r="AK116" s="217">
        <f>SUM(AK81:AK115)</f>
        <v/>
      </c>
      <c r="AL116" s="204" t="n"/>
    </row>
    <row r="117">
      <c r="A117" s="33" t="n"/>
      <c r="B117" s="199" t="n"/>
      <c r="C117" s="199" t="n"/>
      <c r="D117" s="218" t="inlineStr">
        <is>
          <t>(四）机械租赁费</t>
        </is>
      </c>
      <c r="E117" s="212" t="n"/>
      <c r="F117" s="212" t="n"/>
      <c r="G117" s="212" t="n"/>
      <c r="H117" s="189" t="n"/>
      <c r="I117" s="189" t="n"/>
      <c r="J117" s="189" t="n"/>
      <c r="K117" s="201" t="n">
        <v>0</v>
      </c>
      <c r="L117" s="202">
        <f>J117-K117</f>
        <v/>
      </c>
      <c r="M117" s="184" t="n"/>
      <c r="N117" s="184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 t="n"/>
      <c r="AB117" s="203" t="n"/>
      <c r="AC117" s="203" t="n"/>
      <c r="AD117" s="203" t="n"/>
      <c r="AE117" s="203" t="n"/>
      <c r="AF117" s="203" t="n"/>
      <c r="AG117" s="203" t="n"/>
      <c r="AH117" s="203" t="n"/>
      <c r="AI117" s="203" t="n"/>
      <c r="AJ117" s="203" t="n"/>
      <c r="AK117" s="188">
        <f>AB35/1.17*0.17+AC35/1.16*0.16+AD35/1.11*0.11+AE35/1.1*0.1+AF35/1.09*0.09+AI35/1.03*0.03</f>
        <v/>
      </c>
      <c r="AL117" s="204" t="n"/>
    </row>
    <row r="118">
      <c r="A118" s="206" t="n">
        <v>1</v>
      </c>
      <c r="B118" s="206" t="inlineStr">
        <is>
          <t>100051486</t>
        </is>
      </c>
      <c r="C118" s="207" t="inlineStr">
        <is>
          <t>中建四局0200202104505001</t>
        </is>
      </c>
      <c r="D118" s="207" t="inlineStr">
        <is>
          <t>佛山市赢鑫建筑机械租赁有限公司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2336488.06</v>
      </c>
      <c r="N118" s="210" t="n">
        <v>384884.26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2589487</v>
      </c>
      <c r="U118" s="206" t="n"/>
      <c r="V118" s="206" t="n"/>
    </row>
    <row r="119">
      <c r="A119" s="206" t="n">
        <v>2</v>
      </c>
      <c r="B119" s="206" t="inlineStr">
        <is>
          <t>100051486</t>
        </is>
      </c>
      <c r="C119" s="207" t="inlineStr">
        <is>
          <t>中建四局0200202104505006</t>
        </is>
      </c>
      <c r="D119" s="207" t="inlineStr">
        <is>
          <t>佛山市赢鑫建筑机械租赁有限公司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1611249.84</v>
      </c>
      <c r="N119" s="210" t="n">
        <v>209938.79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1200000</v>
      </c>
      <c r="U119" s="206" t="n"/>
      <c r="V119" s="206" t="n"/>
    </row>
    <row r="120">
      <c r="A120" s="206" t="n">
        <v>3</v>
      </c>
      <c r="B120" s="206" t="inlineStr">
        <is>
          <t>200210767</t>
        </is>
      </c>
      <c r="C120" s="207" t="inlineStr">
        <is>
          <t>中建四局0200202104505005</t>
        </is>
      </c>
      <c r="D120" s="207" t="inlineStr">
        <is>
          <t>佛山市格瑞卡工程机械有限公司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9">
        <f>J120-K120</f>
        <v/>
      </c>
      <c r="M120" s="210" t="n">
        <v>525678.79</v>
      </c>
      <c r="N120" s="210" t="n">
        <v>68338.25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500000</v>
      </c>
      <c r="U120" s="206" t="n"/>
      <c r="V120" s="206" t="n"/>
    </row>
    <row r="121">
      <c r="A121" s="206" t="n">
        <v>4</v>
      </c>
      <c r="B121" s="206" t="inlineStr">
        <is>
          <t>100117504</t>
        </is>
      </c>
      <c r="C121" s="207" t="inlineStr">
        <is>
          <t>中建四局0200202104505003</t>
        </is>
      </c>
      <c r="D121" s="207" t="inlineStr">
        <is>
          <t>广州大丰工程机械设备有限公司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74299.99000000001</v>
      </c>
      <c r="N121" s="210" t="n">
        <v>9659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83958.99000000001</v>
      </c>
      <c r="U121" s="206" t="n"/>
      <c r="V121" s="206" t="n"/>
    </row>
    <row r="122">
      <c r="A122" s="206" t="n">
        <v>5</v>
      </c>
      <c r="B122" s="206" t="inlineStr">
        <is>
          <t>100217502</t>
        </is>
      </c>
      <c r="C122" s="207" t="inlineStr">
        <is>
          <t>中建四局0200202104505004</t>
        </is>
      </c>
      <c r="D122" s="207" t="inlineStr">
        <is>
          <t>广州湘亿货运代理有限公司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14793</v>
      </c>
      <c r="N122" s="210" t="n">
        <v>1331.37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16124.37</v>
      </c>
      <c r="U122" s="206" t="n"/>
      <c r="V122" s="206" t="n"/>
    </row>
    <row r="123">
      <c r="A123" s="33" t="n"/>
      <c r="B123" s="199" t="n"/>
      <c r="C123" s="199" t="n"/>
      <c r="D123" s="211" t="inlineStr">
        <is>
          <t>**财务未列部分需增列***</t>
        </is>
      </c>
      <c r="E123" s="229" t="n"/>
      <c r="F123" s="229" t="n"/>
      <c r="G123" s="229" t="n"/>
      <c r="H123" s="189" t="n"/>
      <c r="I123" s="189" t="n"/>
      <c r="J123" s="189" t="n"/>
      <c r="K123" s="201" t="n">
        <v>0</v>
      </c>
      <c r="L123" s="202">
        <f>J123-K123</f>
        <v/>
      </c>
      <c r="M123" s="230" t="n"/>
      <c r="N123" s="230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30" t="n"/>
      <c r="U123" s="230" t="n"/>
      <c r="V123" s="230" t="n"/>
      <c r="W123" s="230" t="n"/>
      <c r="X123" s="230" t="n"/>
      <c r="Y123" s="230" t="n"/>
      <c r="Z123" s="230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>
        <f>AB37/1.17*0.17+AC37/1.16*0.16+AD37/1.11*0.11+AE37/1.1*0.1+AF37/1.09*0.09+AI37/1.03*0.03</f>
        <v/>
      </c>
      <c r="AL123" s="214" t="n"/>
    </row>
    <row r="124">
      <c r="A124" s="41" t="n"/>
      <c r="B124" s="215" t="n"/>
      <c r="C124" s="215" t="n"/>
      <c r="D124" s="231" t="inlineStr">
        <is>
          <t>机械费小计：</t>
        </is>
      </c>
      <c r="E124" s="232" t="n"/>
      <c r="F124" s="232" t="n"/>
      <c r="G124" s="232" t="n"/>
      <c r="H124" s="217">
        <f>SUM(H117:H123)</f>
        <v/>
      </c>
      <c r="I124" s="217">
        <f>SUM(I117:I123)</f>
        <v/>
      </c>
      <c r="J124" s="217">
        <f>SUM(J117:J123)</f>
        <v/>
      </c>
      <c r="K124" s="217">
        <f>SUM(K117:K123)</f>
        <v/>
      </c>
      <c r="L124" s="233">
        <f>SUM(L117:L123)</f>
        <v/>
      </c>
      <c r="M124" s="217">
        <f>SUM(M117:M123)</f>
        <v/>
      </c>
      <c r="N124" s="217">
        <f>SUM(N117:N123)</f>
        <v/>
      </c>
      <c r="O124" s="217">
        <f>SUM(O117:O123)</f>
        <v/>
      </c>
      <c r="P124" s="217">
        <f>SUM(P117:P123)</f>
        <v/>
      </c>
      <c r="Q124" s="217">
        <f>SUM(Q117:Q123)</f>
        <v/>
      </c>
      <c r="R124" s="217">
        <f>SUM(R117:R123)</f>
        <v/>
      </c>
      <c r="S124" s="217">
        <f>SUM(S117:S123)</f>
        <v/>
      </c>
      <c r="T124" s="217" t="n"/>
      <c r="U124" s="217" t="n"/>
      <c r="V124" s="217" t="n"/>
      <c r="W124" s="217" t="n"/>
      <c r="X124" s="217" t="n"/>
      <c r="Y124" s="217" t="n"/>
      <c r="Z124" s="217">
        <f>SUM(Z117:Z123)</f>
        <v/>
      </c>
      <c r="AA124" s="217">
        <f>SUM(AA117:AA123)</f>
        <v/>
      </c>
      <c r="AB124" s="217" t="n"/>
      <c r="AC124" s="217" t="n"/>
      <c r="AD124" s="217" t="n"/>
      <c r="AE124" s="217" t="n"/>
      <c r="AF124" s="217" t="n"/>
      <c r="AG124" s="217" t="n"/>
      <c r="AH124" s="217" t="n"/>
      <c r="AI124" s="217" t="n"/>
      <c r="AJ124" s="217" t="n"/>
      <c r="AK124" s="217" t="n"/>
      <c r="AL124" s="204" t="n"/>
    </row>
    <row r="125">
      <c r="A125" s="33" t="n"/>
      <c r="B125" s="199" t="n"/>
      <c r="C125" s="199" t="n"/>
      <c r="D125" s="218" t="inlineStr">
        <is>
          <t>（五）其他直接费</t>
        </is>
      </c>
      <c r="E125" s="212" t="n"/>
      <c r="F125" s="212" t="n"/>
      <c r="G125" s="212" t="n"/>
      <c r="H125" s="189" t="n"/>
      <c r="I125" s="189" t="n"/>
      <c r="J125" s="184" t="n">
        <v>0</v>
      </c>
      <c r="K125" s="201" t="n">
        <v>0</v>
      </c>
      <c r="L125" s="202">
        <f>J125-N125-P125</f>
        <v/>
      </c>
      <c r="M125" s="184" t="n"/>
      <c r="N125" s="184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203" t="n"/>
      <c r="AC125" s="203" t="n"/>
      <c r="AD125" s="203" t="n"/>
      <c r="AE125" s="203" t="n"/>
      <c r="AF125" s="203" t="n"/>
      <c r="AG125" s="203" t="n"/>
      <c r="AH125" s="203" t="n"/>
      <c r="AI125" s="203" t="n"/>
      <c r="AJ125" s="203" t="n"/>
      <c r="AK125" s="188" t="n"/>
      <c r="AL125" s="204" t="n"/>
    </row>
    <row r="126">
      <c r="A126" s="206" t="n"/>
      <c r="B126" s="206" t="n"/>
      <c r="C126" s="207" t="n"/>
      <c r="D126" s="207" t="inlineStr">
        <is>
          <t>保险费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724899.0600000001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其他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79235.21000000001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206" t="n"/>
      <c r="B128" s="206" t="n"/>
      <c r="C128" s="207" t="n"/>
      <c r="D128" s="207" t="inlineStr">
        <is>
          <t>咨询费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39798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</row>
    <row r="129">
      <c r="A129" s="206" t="n"/>
      <c r="B129" s="206" t="n"/>
      <c r="C129" s="207" t="n"/>
      <c r="D129" s="207" t="inlineStr">
        <is>
          <t>检验试验费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811573.96</v>
      </c>
      <c r="N129" s="206" t="n"/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06" t="n"/>
      <c r="U129" s="206" t="n"/>
      <c r="V129" s="206" t="n"/>
    </row>
    <row r="130">
      <c r="A130" s="206" t="n"/>
      <c r="B130" s="206" t="n"/>
      <c r="C130" s="207" t="n"/>
      <c r="D130" s="207" t="inlineStr">
        <is>
          <t>水电费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1550912.85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</row>
    <row r="131">
      <c r="A131" s="206" t="n"/>
      <c r="B131" s="206" t="n"/>
      <c r="C131" s="207" t="n"/>
      <c r="D131" s="207" t="inlineStr">
        <is>
          <t>测量费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12460.82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33" t="n"/>
      <c r="B132" s="199" t="n"/>
      <c r="C132" s="199" t="n"/>
      <c r="D132" s="211" t="inlineStr">
        <is>
          <t>**财务未列部分需增列***</t>
        </is>
      </c>
      <c r="E132" s="212" t="n"/>
      <c r="F132" s="212" t="n"/>
      <c r="G132" s="212" t="n"/>
      <c r="H132" s="189" t="n"/>
      <c r="I132" s="189" t="n"/>
      <c r="J132" s="184" t="n"/>
      <c r="K132" s="201" t="n"/>
      <c r="L132" s="202">
        <f>J132-K132</f>
        <v/>
      </c>
      <c r="M132" s="234" t="n"/>
      <c r="N132" s="234" t="n"/>
      <c r="O132" s="189">
        <f>L132-M132</f>
        <v/>
      </c>
      <c r="P132" s="189">
        <f>K132-N132</f>
        <v/>
      </c>
      <c r="Q132" s="189">
        <f>M132+O132</f>
        <v/>
      </c>
      <c r="R132" s="189">
        <f>M132+N132+O132+P132</f>
        <v/>
      </c>
      <c r="S132" s="203">
        <f>SUM(T132:V132)</f>
        <v/>
      </c>
      <c r="T132" s="234" t="n"/>
      <c r="U132" s="234" t="n"/>
      <c r="V132" s="234" t="n"/>
      <c r="W132" s="234" t="n"/>
      <c r="X132" s="234" t="n"/>
      <c r="Y132" s="234" t="n"/>
      <c r="Z132" s="189">
        <f>SUM(AA45:AJ45)</f>
        <v/>
      </c>
      <c r="AA132" s="203" t="n"/>
      <c r="AB132" s="203" t="n"/>
      <c r="AC132" s="203" t="n"/>
      <c r="AD132" s="203" t="n"/>
      <c r="AE132" s="203" t="n"/>
      <c r="AF132" s="203" t="n"/>
      <c r="AG132" s="203" t="n"/>
      <c r="AH132" s="203" t="n"/>
      <c r="AI132" s="203" t="n"/>
      <c r="AJ132" s="203" t="n"/>
      <c r="AK132" s="188" t="n"/>
      <c r="AL132" s="204" t="n"/>
    </row>
    <row r="133">
      <c r="A133" s="55" t="n"/>
      <c r="B133" s="235" t="n"/>
      <c r="C133" s="235" t="n"/>
      <c r="D133" s="231" t="inlineStr">
        <is>
          <t>其他直接费小计：</t>
        </is>
      </c>
      <c r="E133" s="236" t="n"/>
      <c r="F133" s="236" t="n"/>
      <c r="G133" s="236" t="n"/>
      <c r="H133" s="217">
        <f>SUM(H125:H132)</f>
        <v/>
      </c>
      <c r="I133" s="217">
        <f>SUM(I125:I132)</f>
        <v/>
      </c>
      <c r="J133" s="217">
        <f>SUM(J125:J132)</f>
        <v/>
      </c>
      <c r="K133" s="217">
        <f>SUM(K125:K132)</f>
        <v/>
      </c>
      <c r="L133" s="233">
        <f>SUM(L125:L132)</f>
        <v/>
      </c>
      <c r="M133" s="217">
        <f>SUM(M125:M132)</f>
        <v/>
      </c>
      <c r="N133" s="217">
        <f>SUM(N125:N132)</f>
        <v/>
      </c>
      <c r="O133" s="217">
        <f>L133-M133</f>
        <v/>
      </c>
      <c r="P133" s="217">
        <f>SUM(P125:P132)</f>
        <v/>
      </c>
      <c r="Q133" s="217">
        <f>M133+O133</f>
        <v/>
      </c>
      <c r="R133" s="217">
        <f>SUM(R125:R132)</f>
        <v/>
      </c>
      <c r="S133" s="217">
        <f>SUM(S125:S132)</f>
        <v/>
      </c>
      <c r="T133" s="217" t="n"/>
      <c r="U133" s="217" t="n"/>
      <c r="V133" s="217" t="n"/>
      <c r="W133" s="217" t="n"/>
      <c r="X133" s="217" t="n"/>
      <c r="Y133" s="217" t="n"/>
      <c r="Z133" s="217">
        <f>SUM(Z125:Z132)</f>
        <v/>
      </c>
      <c r="AA133" s="217">
        <f>SUM(AA125:AA132)</f>
        <v/>
      </c>
      <c r="AB133" s="217">
        <f>SUM(AB125:AB132)</f>
        <v/>
      </c>
      <c r="AC133" s="217">
        <f>SUM(AC125:AC132)</f>
        <v/>
      </c>
      <c r="AD133" s="217">
        <f>SUM(AD125:AD132)</f>
        <v/>
      </c>
      <c r="AE133" s="217">
        <f>SUM(AE125:AE132)</f>
        <v/>
      </c>
      <c r="AF133" s="217">
        <f>SUM(AF125:AF132)</f>
        <v/>
      </c>
      <c r="AG133" s="217" t="n"/>
      <c r="AH133" s="217" t="n"/>
      <c r="AI133" s="217">
        <f>SUM(AI125:AI132)</f>
        <v/>
      </c>
      <c r="AJ133" s="217">
        <f>SUM(AJ125:AJ132)</f>
        <v/>
      </c>
      <c r="AK133" s="217">
        <f>SUM(AK125:AK132)</f>
        <v/>
      </c>
      <c r="AL133" s="204" t="n"/>
    </row>
    <row r="134">
      <c r="A134" s="33" t="n"/>
      <c r="B134" s="199" t="n"/>
      <c r="C134" s="199" t="n"/>
      <c r="D134" s="218" t="inlineStr">
        <is>
          <t>（六）间接费</t>
        </is>
      </c>
      <c r="E134" s="212" t="n"/>
      <c r="F134" s="212" t="n"/>
      <c r="G134" s="212" t="n"/>
      <c r="H134" s="184" t="n"/>
      <c r="I134" s="189" t="n"/>
      <c r="J134" s="189" t="n">
        <v>0</v>
      </c>
      <c r="K134" s="201" t="n">
        <v>0</v>
      </c>
      <c r="L134" s="202">
        <f>J134-N134-P134</f>
        <v/>
      </c>
      <c r="M134" s="184" t="n"/>
      <c r="N134" s="184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03" t="n"/>
      <c r="U134" s="203" t="n"/>
      <c r="V134" s="203" t="n"/>
      <c r="W134" s="203" t="n"/>
      <c r="X134" s="203" t="n"/>
      <c r="Y134" s="203" t="n"/>
      <c r="Z134" s="203" t="n"/>
      <c r="AA134" s="203" t="n"/>
      <c r="AB134" s="203" t="n"/>
      <c r="AC134" s="203" t="n"/>
      <c r="AD134" s="203" t="n"/>
      <c r="AE134" s="203" t="n"/>
      <c r="AF134" s="203" t="n"/>
      <c r="AG134" s="203" t="n"/>
      <c r="AH134" s="203" t="n"/>
      <c r="AI134" s="203" t="n"/>
      <c r="AJ134" s="203" t="n"/>
      <c r="AK134" s="188" t="n"/>
      <c r="AL134" s="204" t="n"/>
    </row>
    <row r="135">
      <c r="A135" s="206" t="n"/>
      <c r="B135" s="206" t="n"/>
      <c r="C135" s="207" t="n"/>
      <c r="D135" s="207" t="inlineStr">
        <is>
          <t>企业年金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74494.24000000001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住房公积金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229800.98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保安保洁费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9375.23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修理费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35150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其他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154505.75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冲晒印刷费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27505.96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办公用品费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136910.72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医疗保险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148081.94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咨询认证费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6886.8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基本养老保险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290914.52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19963.39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失业保险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12897.21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工伤保险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8279.34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工资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3489863.54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市内交通费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1605.51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排污费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1700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水电费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47486.27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燃油费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13463.44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物业租赁费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107763.8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物业管理费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233637.28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社保及公积金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107223.57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租车费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87891.39999999999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绿化绿植费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33744.04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网络使用费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40931.39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职工教育经费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10809.19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职工福利费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654227.63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补充医疗保险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1688.96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路桥及停车费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22274.68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软件费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2089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通信费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9800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邮寄费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3306.35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33" t="n"/>
      <c r="B166" s="199" t="n"/>
      <c r="C166" s="199" t="n"/>
      <c r="D166" s="211" t="inlineStr">
        <is>
          <t>**财务未列部分需增列***</t>
        </is>
      </c>
      <c r="E166" s="212" t="n"/>
      <c r="F166" s="212" t="n"/>
      <c r="G166" s="212" t="n"/>
      <c r="H166" s="234" t="n"/>
      <c r="I166" s="189" t="n"/>
      <c r="J166" s="234" t="n"/>
      <c r="K166" s="201" t="n"/>
      <c r="L166" s="202" t="n"/>
      <c r="M166" s="234" t="n"/>
      <c r="N166" s="189" t="n"/>
      <c r="O166" s="189">
        <f>L166-M166</f>
        <v/>
      </c>
      <c r="P166" s="189">
        <f>K166-N166</f>
        <v/>
      </c>
      <c r="Q166" s="189">
        <f>M166+O166</f>
        <v/>
      </c>
      <c r="R166" s="189">
        <f>M166+N166+O166+P166</f>
        <v/>
      </c>
      <c r="S166" s="203">
        <f>SUM(T166:V166)</f>
        <v/>
      </c>
      <c r="T166" s="234" t="n"/>
      <c r="U166" s="234" t="n"/>
      <c r="V166" s="234" t="n"/>
      <c r="W166" s="234" t="n"/>
      <c r="X166" s="234" t="n"/>
      <c r="Y166" s="234" t="n"/>
      <c r="Z166" s="234" t="n"/>
      <c r="AA166" s="203" t="n"/>
      <c r="AB166" s="188" t="n"/>
      <c r="AC166" s="188" t="n"/>
      <c r="AD166" s="188" t="n"/>
      <c r="AE166" s="188" t="n"/>
      <c r="AF166" s="188" t="n"/>
      <c r="AG166" s="188" t="n"/>
      <c r="AH166" s="188" t="n"/>
      <c r="AI166" s="188" t="n"/>
      <c r="AJ166" s="188" t="n"/>
      <c r="AK166" s="188" t="n"/>
      <c r="AL166" s="214" t="n"/>
    </row>
    <row r="167">
      <c r="A167" s="55" t="n"/>
      <c r="B167" s="235" t="n"/>
      <c r="C167" s="235" t="n"/>
      <c r="D167" s="231" t="inlineStr">
        <is>
          <t>间接费小计：</t>
        </is>
      </c>
      <c r="E167" s="236" t="n"/>
      <c r="F167" s="236" t="n"/>
      <c r="G167" s="236" t="n"/>
      <c r="H167" s="217">
        <f>SUM(H134:H166)</f>
        <v/>
      </c>
      <c r="I167" s="217">
        <f>SUM(I134:I166)</f>
        <v/>
      </c>
      <c r="J167" s="217">
        <f>SUM(J134:J166)</f>
        <v/>
      </c>
      <c r="K167" s="217">
        <f>SUM(K134:K166)</f>
        <v/>
      </c>
      <c r="L167" s="233">
        <f>SUM(L134:L166)</f>
        <v/>
      </c>
      <c r="M167" s="233">
        <f>SUM(M134:M166)</f>
        <v/>
      </c>
      <c r="N167" s="233">
        <f>SUM(N134:N166)</f>
        <v/>
      </c>
      <c r="O167" s="233">
        <f>SUM(O134:O166)</f>
        <v/>
      </c>
      <c r="P167" s="233">
        <f>SUM(P134:P166)</f>
        <v/>
      </c>
      <c r="Q167" s="233">
        <f>SUM(Q134:Q166)</f>
        <v/>
      </c>
      <c r="R167" s="233">
        <f>SUM(R134:R166)</f>
        <v/>
      </c>
      <c r="S167" s="233">
        <f>SUM(S134:S166)</f>
        <v/>
      </c>
      <c r="T167" s="233" t="n"/>
      <c r="U167" s="233" t="n"/>
      <c r="V167" s="233" t="n"/>
      <c r="W167" s="233" t="n"/>
      <c r="X167" s="233" t="n"/>
      <c r="Y167" s="233" t="n"/>
      <c r="Z167" s="233">
        <f>SUM(Z134:Z166)</f>
        <v/>
      </c>
      <c r="AA167" s="233">
        <f>SUM(AA134:AA166)</f>
        <v/>
      </c>
      <c r="AB167" s="233">
        <f>SUM(AB134:AB166)</f>
        <v/>
      </c>
      <c r="AC167" s="233">
        <f>SUM(AC134:AC166)</f>
        <v/>
      </c>
      <c r="AD167" s="233">
        <f>SUM(AD134:AD166)</f>
        <v/>
      </c>
      <c r="AE167" s="233">
        <f>SUM(AE134:AE166)</f>
        <v/>
      </c>
      <c r="AF167" s="233">
        <f>SUM(AF134:AF166)</f>
        <v/>
      </c>
      <c r="AG167" s="233" t="n"/>
      <c r="AH167" s="233" t="n"/>
      <c r="AI167" s="233">
        <f>SUM(AI134:AI166)</f>
        <v/>
      </c>
      <c r="AJ167" s="233">
        <f>SUM(AJ134:AJ166)</f>
        <v/>
      </c>
      <c r="AK167" s="233">
        <f>SUM(AK134:AK166)</f>
        <v/>
      </c>
      <c r="AL167" s="214" t="n"/>
    </row>
    <row r="168">
      <c r="A168" s="33" t="n"/>
      <c r="B168" s="199" t="n"/>
      <c r="C168" s="199" t="n"/>
      <c r="D168" s="218" t="inlineStr">
        <is>
          <t>（七）安全费</t>
        </is>
      </c>
      <c r="E168" s="212" t="n"/>
      <c r="F168" s="212" t="n"/>
      <c r="G168" s="212" t="n"/>
      <c r="H168" s="189" t="n"/>
      <c r="I168" s="189" t="n"/>
      <c r="J168" s="184" t="n">
        <v>0</v>
      </c>
      <c r="K168" s="237" t="n"/>
      <c r="L168" s="202">
        <f>J168-N168-P168</f>
        <v/>
      </c>
      <c r="M168" s="189" t="n"/>
      <c r="N168" s="189" t="n"/>
      <c r="O168" s="189">
        <f>L168-M168</f>
        <v/>
      </c>
      <c r="P168" s="189">
        <f>K168-N168</f>
        <v/>
      </c>
      <c r="Q168" s="189">
        <f>M168+O168</f>
        <v/>
      </c>
      <c r="R168" s="189">
        <f>M168+N168+O168+P168</f>
        <v/>
      </c>
      <c r="S168" s="203">
        <f>SUM(T168:V168)</f>
        <v/>
      </c>
      <c r="T168" s="234" t="n"/>
      <c r="U168" s="234" t="n"/>
      <c r="V168" s="234" t="n"/>
      <c r="W168" s="234" t="n"/>
      <c r="X168" s="234" t="n"/>
      <c r="Y168" s="234" t="n"/>
      <c r="Z168" s="230" t="n"/>
      <c r="AA168" s="203" t="n"/>
      <c r="AB168" s="188" t="n"/>
      <c r="AC168" s="188" t="n"/>
      <c r="AD168" s="188" t="n"/>
      <c r="AE168" s="188" t="n"/>
      <c r="AF168" s="188" t="n"/>
      <c r="AG168" s="188" t="n"/>
      <c r="AH168" s="188" t="n"/>
      <c r="AI168" s="188" t="n"/>
      <c r="AJ168" s="188" t="n"/>
      <c r="AK168" s="188" t="n"/>
      <c r="AL168" s="214" t="n"/>
    </row>
    <row r="169">
      <c r="A169" s="206" t="n"/>
      <c r="B169" s="206" t="n"/>
      <c r="C169" s="207" t="n"/>
      <c r="D169" s="207" t="inlineStr">
        <is>
          <t>安全生产-人工费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89127.17999999999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安全生产-分包工程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1578321.3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安全生产-机械使用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81500.96000000001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安全生产费-报销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33278.8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55" t="n"/>
      <c r="B173" s="235" t="n"/>
      <c r="C173" s="235" t="n"/>
      <c r="D173" s="231" t="inlineStr">
        <is>
          <t>安全费小计：</t>
        </is>
      </c>
      <c r="E173" s="231" t="n"/>
      <c r="F173" s="231" t="n"/>
      <c r="G173" s="231" t="n"/>
      <c r="H173" s="217">
        <f>SUM(H168:H172)</f>
        <v/>
      </c>
      <c r="I173" s="217">
        <f>SUM(I168:I172)</f>
        <v/>
      </c>
      <c r="J173" s="217" t="n">
        <v>0</v>
      </c>
      <c r="K173" s="217" t="n">
        <v>0</v>
      </c>
      <c r="L173" s="202">
        <f>J173-K173</f>
        <v/>
      </c>
      <c r="M173" s="233">
        <f>SUM(M168:M172)</f>
        <v/>
      </c>
      <c r="N173" s="233">
        <f>SUM(N168:N172)</f>
        <v/>
      </c>
      <c r="O173" s="233">
        <f>SUM(O168:O172)</f>
        <v/>
      </c>
      <c r="P173" s="233">
        <f>SUM(P168:P172)</f>
        <v/>
      </c>
      <c r="Q173" s="233">
        <f>SUM(Q168:Q172)</f>
        <v/>
      </c>
      <c r="R173" s="233">
        <f>SUM(R168:R172)</f>
        <v/>
      </c>
      <c r="S173" s="233">
        <f>SUM(S168:S172)</f>
        <v/>
      </c>
      <c r="T173" s="238" t="n"/>
      <c r="U173" s="238" t="n"/>
      <c r="V173" s="238" t="n"/>
      <c r="W173" s="238" t="n"/>
      <c r="X173" s="238" t="n"/>
      <c r="Y173" s="238" t="n"/>
      <c r="Z173" s="238" t="n"/>
      <c r="AA173" s="238">
        <f>SUM(AA168:AA172)</f>
        <v/>
      </c>
      <c r="AB173" s="238">
        <f>SUM(AB168:AB172)</f>
        <v/>
      </c>
      <c r="AC173" s="238">
        <f>SUM(AC168:AC172)</f>
        <v/>
      </c>
      <c r="AD173" s="238">
        <f>SUM(AD168:AD172)</f>
        <v/>
      </c>
      <c r="AE173" s="238">
        <f>SUM(AE168:AE172)</f>
        <v/>
      </c>
      <c r="AF173" s="238">
        <f>SUM(AF168:AF172)</f>
        <v/>
      </c>
      <c r="AG173" s="238" t="n"/>
      <c r="AH173" s="238" t="n"/>
      <c r="AI173" s="238">
        <f>SUM(AI168:AI172)</f>
        <v/>
      </c>
      <c r="AJ173" s="238">
        <f>SUM(AJ168:AJ172)</f>
        <v/>
      </c>
      <c r="AK173" s="238">
        <f>SUM(AK168:AK172)</f>
        <v/>
      </c>
      <c r="AL173" s="239" t="n"/>
    </row>
    <row r="174">
      <c r="A174" s="55" t="n"/>
      <c r="B174" s="235" t="n"/>
      <c r="C174" s="235" t="n"/>
      <c r="D174" s="231" t="inlineStr">
        <is>
          <t>三、成本合计：</t>
        </is>
      </c>
      <c r="E174" s="236" t="n"/>
      <c r="F174" s="236" t="n"/>
      <c r="G174" s="236" t="n"/>
      <c r="H174" s="217">
        <f>H66+H80+H116+H124+H133+H167+H173</f>
        <v/>
      </c>
      <c r="I174" s="217">
        <f>I66+I80+I116+I124+I133+I167+I173</f>
        <v/>
      </c>
      <c r="J174" s="217">
        <f>J66+J80+J116+J124+J133+J167+J173</f>
        <v/>
      </c>
      <c r="K174" s="217">
        <f>K66+K80+K116+K124+K133+K167+K173</f>
        <v/>
      </c>
      <c r="L174" s="233">
        <f>L66+L80+L116+L124+L133+L167+L173</f>
        <v/>
      </c>
      <c r="M174" s="238">
        <f>M66+M80+M116+M124+M133+M167+M173</f>
        <v/>
      </c>
      <c r="N174" s="238">
        <f>N66+N80+N116+N124+N133+N167+N173</f>
        <v/>
      </c>
      <c r="O174" s="238">
        <f>O66+O80+O116+O124+O133+O167+O173</f>
        <v/>
      </c>
      <c r="P174" s="238">
        <f>P66+P80+P116+P124+P133+P167+P173</f>
        <v/>
      </c>
      <c r="Q174" s="238">
        <f>Q66+Q80+Q116+Q124+Q133+Q167+Q173</f>
        <v/>
      </c>
      <c r="R174" s="238">
        <f>R66+R80+R116+R124+R133+R167+R173</f>
        <v/>
      </c>
      <c r="S174" s="238">
        <f>S66+S80+S116+S124+S133+S167+S173</f>
        <v/>
      </c>
      <c r="T174" s="238" t="n"/>
      <c r="U174" s="238" t="n"/>
      <c r="V174" s="238" t="n"/>
      <c r="W174" s="238" t="n"/>
      <c r="X174" s="238" t="n"/>
      <c r="Y174" s="238" t="n"/>
      <c r="Z174" s="238">
        <f>Z66+Z80+Z116+Z124+Z133+Z167+Z173</f>
        <v/>
      </c>
      <c r="AA174" s="238">
        <f>AA66+AA80+AA116+AA124+AA133+AA167+AA173</f>
        <v/>
      </c>
      <c r="AB174" s="238">
        <f>AB66+AB80+AB116+AB124+AB133+AB167+AB173</f>
        <v/>
      </c>
      <c r="AC174" s="238">
        <f>AC66+AC80+AC116+AC124+AC133+AC167+AC173</f>
        <v/>
      </c>
      <c r="AD174" s="238">
        <f>AD66+AD80+AD116+AD124+AD133+AD167+AD173</f>
        <v/>
      </c>
      <c r="AE174" s="238">
        <f>AE66+AE80+AE116+AE124+AE133+AE167+AE173</f>
        <v/>
      </c>
      <c r="AF174" s="238">
        <f>AF66+AF80+AF116+AF124+AF133+AF167+AF173</f>
        <v/>
      </c>
      <c r="AG174" s="238" t="n"/>
      <c r="AH174" s="238" t="n"/>
      <c r="AI174" s="238">
        <f>AI66+AI80+AI116+AI124+AI133+AI167+AI173</f>
        <v/>
      </c>
      <c r="AJ174" s="238">
        <f>AJ66+AJ80+AJ116+AJ124+AJ133+AJ167+AJ173</f>
        <v/>
      </c>
      <c r="AK174" s="238">
        <f>AK66+AK80+AK116+AK124+AK133+AK167+AK173</f>
        <v/>
      </c>
      <c r="AL174" s="239" t="n"/>
    </row>
    <row r="175">
      <c r="A175" s="33" t="n"/>
      <c r="B175" s="199" t="n"/>
      <c r="C175" s="199" t="n"/>
      <c r="D175" s="218" t="inlineStr">
        <is>
          <t>四、计提保修金</t>
        </is>
      </c>
      <c r="E175" s="240" t="inlineStr">
        <is>
          <t>（在建：房建0.6%，其它0.4%；在保修期间的按0.3~0.5%自行确定;保修期结束为0）</t>
        </is>
      </c>
      <c r="F175" s="240" t="n"/>
      <c r="G175" s="240" t="n"/>
      <c r="H175" s="184" t="n"/>
      <c r="I175" s="184" t="n"/>
      <c r="J175" s="184">
        <f>H175+I175</f>
        <v/>
      </c>
      <c r="K175" s="184" t="n"/>
      <c r="L175" s="202">
        <f>J175-K175</f>
        <v/>
      </c>
      <c r="M175" s="189" t="n"/>
      <c r="N175" s="189" t="n"/>
      <c r="O175" s="189">
        <f>L175-M175</f>
        <v/>
      </c>
      <c r="P175" s="189">
        <f>K175-N175</f>
        <v/>
      </c>
      <c r="Q175" s="189">
        <f>M175+O175</f>
        <v/>
      </c>
      <c r="R175" s="189">
        <f>M175+N175+O175+P175</f>
        <v/>
      </c>
      <c r="S175" s="203">
        <f>SUM(T175:V175)</f>
        <v/>
      </c>
      <c r="T175" s="203" t="n"/>
      <c r="U175" s="203" t="n"/>
      <c r="V175" s="203" t="n"/>
      <c r="W175" s="203" t="n"/>
      <c r="X175" s="203" t="n"/>
      <c r="Y175" s="203" t="n"/>
      <c r="Z175" s="203" t="n"/>
      <c r="AA175" s="203">
        <f>Q69-S69</f>
        <v/>
      </c>
      <c r="AB175" s="241" t="n"/>
      <c r="AC175" s="241" t="n"/>
      <c r="AD175" s="241" t="n"/>
      <c r="AE175" s="241" t="n"/>
      <c r="AF175" s="241" t="n"/>
      <c r="AG175" s="241" t="n"/>
      <c r="AH175" s="241" t="n"/>
      <c r="AI175" s="241" t="n"/>
      <c r="AJ175" s="241" t="n"/>
      <c r="AK175" s="188" t="n"/>
      <c r="AL175" s="239" t="n"/>
    </row>
    <row r="176">
      <c r="A176" s="33" t="n"/>
      <c r="B176" s="199" t="n"/>
      <c r="C176" s="199" t="n"/>
      <c r="D176" s="218" t="inlineStr">
        <is>
          <t>五、过程节点奖金</t>
        </is>
      </c>
      <c r="E176" s="212" t="n"/>
      <c r="F176" s="212" t="n"/>
      <c r="G176" s="212" t="n"/>
      <c r="H176" s="184" t="n"/>
      <c r="I176" s="184" t="n"/>
      <c r="J176" s="184">
        <f>H176+I176</f>
        <v/>
      </c>
      <c r="K176" s="184" t="n"/>
      <c r="L176" s="202">
        <f>J176-K176</f>
        <v/>
      </c>
      <c r="M176" s="189" t="n"/>
      <c r="N176" s="189" t="n"/>
      <c r="O176" s="189">
        <f>L176-M176</f>
        <v/>
      </c>
      <c r="P176" s="189">
        <f>K176-N176</f>
        <v/>
      </c>
      <c r="Q176" s="189">
        <f>M176+O176</f>
        <v/>
      </c>
      <c r="R176" s="189">
        <f>M176+N176+O176+P176</f>
        <v/>
      </c>
      <c r="S176" s="203">
        <f>SUM(T176:V176)</f>
        <v/>
      </c>
      <c r="T176" s="203" t="n"/>
      <c r="U176" s="203" t="n"/>
      <c r="V176" s="203" t="n"/>
      <c r="W176" s="203" t="n"/>
      <c r="X176" s="203" t="n"/>
      <c r="Y176" s="203" t="n"/>
      <c r="Z176" s="203" t="n"/>
      <c r="AA176" s="203" t="n"/>
      <c r="AB176" s="188" t="n"/>
      <c r="AC176" s="188" t="n"/>
      <c r="AD176" s="188" t="n"/>
      <c r="AE176" s="188" t="n"/>
      <c r="AF176" s="188" t="n"/>
      <c r="AG176" s="188" t="n"/>
      <c r="AH176" s="188" t="n"/>
      <c r="AI176" s="188" t="n"/>
      <c r="AJ176" s="188" t="n"/>
      <c r="AK176" s="188" t="n"/>
      <c r="AL176" s="214" t="n"/>
    </row>
    <row r="177">
      <c r="A177" s="33" t="n"/>
      <c r="B177" s="199" t="n"/>
      <c r="C177" s="199" t="n"/>
      <c r="D177" s="218" t="inlineStr">
        <is>
          <t>六、资金占用费用</t>
        </is>
      </c>
      <c r="E177" s="212" t="n"/>
      <c r="F177" s="212" t="n"/>
      <c r="G177" s="212" t="n"/>
      <c r="H177" s="189" t="n"/>
      <c r="I177" s="189" t="n"/>
      <c r="J177" s="184">
        <f>H177+I177</f>
        <v/>
      </c>
      <c r="K177" s="189" t="n"/>
      <c r="L177" s="202">
        <f>J177-K177</f>
        <v/>
      </c>
      <c r="M177" s="223" t="n">
        <v>1942071.27</v>
      </c>
      <c r="N177" s="189" t="n"/>
      <c r="O177" s="189">
        <f>L177-M177</f>
        <v/>
      </c>
      <c r="P177" s="189">
        <f>K177-N177</f>
        <v/>
      </c>
      <c r="Q177" s="189">
        <f>M177+O177</f>
        <v/>
      </c>
      <c r="R177" s="189">
        <f>M177+N177+O177+P177</f>
        <v/>
      </c>
      <c r="S177" s="203">
        <f>SUM(T177:V177)</f>
        <v/>
      </c>
      <c r="T177" s="203" t="n"/>
      <c r="U177" s="203" t="n"/>
      <c r="V177" s="203" t="n"/>
      <c r="W177" s="203" t="n"/>
      <c r="X177" s="203" t="n"/>
      <c r="Y177" s="203" t="n"/>
      <c r="Z177" s="203" t="n"/>
      <c r="AA177" s="203" t="n"/>
      <c r="AB177" s="188" t="n"/>
      <c r="AC177" s="188" t="n"/>
      <c r="AD177" s="188" t="n"/>
      <c r="AE177" s="188" t="n"/>
      <c r="AF177" s="188" t="n"/>
      <c r="AG177" s="188" t="n"/>
      <c r="AH177" s="188" t="n"/>
      <c r="AI177" s="188" t="n"/>
      <c r="AJ177" s="188" t="n"/>
      <c r="AK177" s="188" t="n"/>
      <c r="AL177" s="214" t="n"/>
    </row>
    <row r="178">
      <c r="A178" s="33" t="n"/>
      <c r="B178" s="199" t="n"/>
      <c r="C178" s="199" t="n"/>
      <c r="D178" s="218" t="inlineStr">
        <is>
          <t>七、局投资收益（局投资项目选填）</t>
        </is>
      </c>
      <c r="E178" s="212" t="n"/>
      <c r="F178" s="212" t="n"/>
      <c r="G178" s="212" t="n"/>
      <c r="H178" s="189" t="n"/>
      <c r="I178" s="189" t="n"/>
      <c r="J178" s="184">
        <f>H178+I178</f>
        <v/>
      </c>
      <c r="K178" s="189" t="n"/>
      <c r="L178" s="202">
        <f>J178-K178</f>
        <v/>
      </c>
      <c r="M178" s="189" t="n"/>
      <c r="N178" s="189" t="n"/>
      <c r="O178" s="189">
        <f>L178-M178</f>
        <v/>
      </c>
      <c r="P178" s="189">
        <f>K178-N178</f>
        <v/>
      </c>
      <c r="Q178" s="189">
        <f>M178+O178</f>
        <v/>
      </c>
      <c r="R178" s="189">
        <f>M178+N178+O178+P178</f>
        <v/>
      </c>
      <c r="S178" s="203">
        <f>SUM(T178:V178)</f>
        <v/>
      </c>
      <c r="T178" s="203" t="n"/>
      <c r="U178" s="203" t="n"/>
      <c r="V178" s="203" t="n"/>
      <c r="W178" s="203" t="n"/>
      <c r="X178" s="203" t="n"/>
      <c r="Y178" s="203" t="n"/>
      <c r="Z178" s="203" t="n"/>
      <c r="AA178" s="203" t="n"/>
      <c r="AB178" s="188" t="n"/>
      <c r="AC178" s="188" t="n"/>
      <c r="AD178" s="188" t="n"/>
      <c r="AE178" s="188" t="n"/>
      <c r="AF178" s="188" t="n"/>
      <c r="AG178" s="188" t="n"/>
      <c r="AH178" s="188" t="n"/>
      <c r="AI178" s="188" t="n"/>
      <c r="AJ178" s="188" t="n"/>
      <c r="AK178" s="188" t="n"/>
      <c r="AL178" s="214" t="n"/>
    </row>
    <row r="179">
      <c r="A179" s="55" t="n"/>
      <c r="B179" s="235" t="n"/>
      <c r="C179" s="235" t="n"/>
      <c r="D179" s="231" t="inlineStr">
        <is>
          <t>八、研发费用</t>
        </is>
      </c>
      <c r="E179" s="236" t="n"/>
      <c r="F179" s="236" t="n"/>
      <c r="G179" s="236" t="n"/>
      <c r="H179" s="217" t="n"/>
      <c r="I179" s="217" t="n"/>
      <c r="J179" s="217">
        <f>H179+I179</f>
        <v/>
      </c>
      <c r="K179" s="217" t="n"/>
      <c r="L179" s="233">
        <f>J179-K179</f>
        <v/>
      </c>
      <c r="M179" s="238">
        <f>SUM(M74:M76)</f>
        <v/>
      </c>
      <c r="N179" s="238">
        <f>SUM(N74:N76)</f>
        <v/>
      </c>
      <c r="O179" s="238">
        <f>SUM(O74:O76)</f>
        <v/>
      </c>
      <c r="P179" s="238">
        <f>SUM(P74:P76)</f>
        <v/>
      </c>
      <c r="Q179" s="238">
        <f>SUM(Q74:Q76)</f>
        <v/>
      </c>
      <c r="R179" s="238">
        <f>SUM(R74:R76)</f>
        <v/>
      </c>
      <c r="S179" s="238">
        <f>SUM(S74:S76)</f>
        <v/>
      </c>
      <c r="T179" s="238">
        <f>SUM(T74:T76)</f>
        <v/>
      </c>
      <c r="U179" s="238">
        <f>SUM(U74:U76)</f>
        <v/>
      </c>
      <c r="V179" s="238">
        <f>SUM(V74:V76)</f>
        <v/>
      </c>
      <c r="W179" s="238">
        <f>SUM(W74:W76)</f>
        <v/>
      </c>
      <c r="X179" s="238">
        <f>SUM(X74:X76)</f>
        <v/>
      </c>
      <c r="Y179" s="238">
        <f>SUM(Y74:Y76)</f>
        <v/>
      </c>
      <c r="Z179" s="238">
        <f>SUM(Z74:Z76)</f>
        <v/>
      </c>
      <c r="AA179" s="238">
        <f>SUM(AA74:AA76)</f>
        <v/>
      </c>
      <c r="AB179" s="238">
        <f>SUM(AB74:AB76)</f>
        <v/>
      </c>
      <c r="AC179" s="238">
        <f>SUM(AC74:AC76)</f>
        <v/>
      </c>
      <c r="AD179" s="238">
        <f>SUM(AD74:AD76)</f>
        <v/>
      </c>
      <c r="AE179" s="238">
        <f>SUM(AE74:AE76)</f>
        <v/>
      </c>
      <c r="AF179" s="238">
        <f>SUM(AF74:AF76)</f>
        <v/>
      </c>
      <c r="AG179" s="238">
        <f>SUM(AG74:AG76)</f>
        <v/>
      </c>
      <c r="AH179" s="238">
        <f>SUM(AH74:AH76)</f>
        <v/>
      </c>
      <c r="AI179" s="238">
        <f>SUM(AI74:AI76)</f>
        <v/>
      </c>
      <c r="AJ179" s="238">
        <f>SUM(AJ74:AJ76)</f>
        <v/>
      </c>
      <c r="AK179" s="238">
        <f>SUM(AK74:AK76)</f>
        <v/>
      </c>
      <c r="AL179" s="239" t="n"/>
    </row>
    <row r="180">
      <c r="A180" s="209" t="n"/>
      <c r="B180" s="209" t="n"/>
      <c r="C180" s="242" t="n"/>
      <c r="D180" s="242" t="inlineStr">
        <is>
          <t>人工成本</t>
        </is>
      </c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43" t="n">
        <v>557532.54</v>
      </c>
      <c r="N180" s="244" t="n"/>
      <c r="O180" s="244">
        <f>L180-M180</f>
        <v/>
      </c>
      <c r="P180" s="244">
        <f>K180-N180</f>
        <v/>
      </c>
      <c r="Q180" s="244">
        <f>M180+O180</f>
        <v/>
      </c>
      <c r="R180" s="244">
        <f>M180+N180+O180+P180</f>
        <v/>
      </c>
      <c r="S180" s="244" t="n"/>
      <c r="T180" s="244" t="n"/>
      <c r="U180" s="244" t="n"/>
      <c r="V180" s="244" t="n"/>
    </row>
    <row r="181">
      <c r="A181" s="209" t="n"/>
      <c r="B181" s="209" t="n"/>
      <c r="C181" s="242" t="n"/>
      <c r="D181" s="242" t="inlineStr">
        <is>
          <t>机械租赁</t>
        </is>
      </c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43" t="n">
        <v>284623.4</v>
      </c>
      <c r="N181" s="244" t="n"/>
      <c r="O181" s="244">
        <f>L181-M181</f>
        <v/>
      </c>
      <c r="P181" s="244">
        <f>K181-N181</f>
        <v/>
      </c>
      <c r="Q181" s="244">
        <f>M181+O181</f>
        <v/>
      </c>
      <c r="R181" s="244">
        <f>M181+N181+O181+P181</f>
        <v/>
      </c>
      <c r="S181" s="244" t="n"/>
      <c r="T181" s="244" t="n"/>
      <c r="U181" s="244" t="n"/>
      <c r="V181" s="244" t="n"/>
    </row>
    <row r="182">
      <c r="A182" s="209" t="n"/>
      <c r="B182" s="209" t="n"/>
      <c r="C182" s="242" t="n"/>
      <c r="D182" s="242" t="inlineStr">
        <is>
          <t>材料费</t>
        </is>
      </c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43" t="n">
        <v>8056947.95</v>
      </c>
      <c r="N182" s="244" t="n"/>
      <c r="O182" s="244">
        <f>L182-M182</f>
        <v/>
      </c>
      <c r="P182" s="244">
        <f>K182-N182</f>
        <v/>
      </c>
      <c r="Q182" s="244">
        <f>M182+O182</f>
        <v/>
      </c>
      <c r="R182" s="244">
        <f>M182+N182+O182+P182</f>
        <v/>
      </c>
      <c r="S182" s="244" t="n"/>
      <c r="T182" s="244" t="n"/>
      <c r="U182" s="244" t="n"/>
      <c r="V182" s="244" t="n"/>
    </row>
    <row r="183">
      <c r="A183" s="33" t="n">
        <v>1</v>
      </c>
      <c r="B183" s="199" t="n"/>
      <c r="C183" s="199" t="n"/>
      <c r="D183" s="218" t="n"/>
      <c r="E183" s="212" t="n"/>
      <c r="F183" s="212" t="n"/>
      <c r="G183" s="212" t="n"/>
      <c r="H183" s="189" t="n"/>
      <c r="I183" s="189" t="n"/>
      <c r="J183" s="184">
        <f>H183+I183</f>
        <v/>
      </c>
      <c r="K183" s="189" t="n"/>
      <c r="L183" s="202">
        <f>J183-K183</f>
        <v/>
      </c>
      <c r="M183" s="189" t="n"/>
      <c r="N183" s="189" t="n"/>
      <c r="O183" s="189">
        <f>L183-M183</f>
        <v/>
      </c>
      <c r="P183" s="189">
        <f>K183-N183</f>
        <v/>
      </c>
      <c r="Q183" s="189">
        <f>M183+O183</f>
        <v/>
      </c>
      <c r="R183" s="189">
        <f>M183+N183+O183+P183</f>
        <v/>
      </c>
      <c r="S183" s="203">
        <f>SUM(T183:V183)</f>
        <v/>
      </c>
      <c r="T183" s="203" t="n"/>
      <c r="U183" s="203" t="n"/>
      <c r="V183" s="203" t="n"/>
      <c r="W183" s="203" t="n"/>
      <c r="X183" s="203" t="n"/>
      <c r="Y183" s="203" t="n"/>
      <c r="Z183" s="203" t="n"/>
      <c r="AA183" s="203" t="n"/>
      <c r="AB183" s="188" t="n"/>
      <c r="AC183" s="188" t="n"/>
      <c r="AD183" s="188" t="n"/>
      <c r="AE183" s="188" t="n"/>
      <c r="AF183" s="188" t="n"/>
      <c r="AG183" s="188" t="n"/>
      <c r="AH183" s="188" t="n"/>
      <c r="AI183" s="188" t="n"/>
      <c r="AJ183" s="188" t="n"/>
      <c r="AK183" s="188" t="n"/>
      <c r="AL183" s="214" t="n"/>
    </row>
    <row r="184">
      <c r="A184" s="33" t="n">
        <v>2</v>
      </c>
      <c r="B184" s="199" t="n"/>
      <c r="C184" s="199" t="n"/>
      <c r="D184" s="218" t="n"/>
      <c r="E184" s="212" t="n"/>
      <c r="F184" s="212" t="n"/>
      <c r="G184" s="212" t="n"/>
      <c r="H184" s="189" t="n"/>
      <c r="I184" s="189" t="n"/>
      <c r="J184" s="184" t="n"/>
      <c r="K184" s="189" t="n"/>
      <c r="L184" s="202" t="n"/>
      <c r="M184" s="189" t="n"/>
      <c r="N184" s="189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03" t="n"/>
      <c r="U184" s="203" t="n"/>
      <c r="V184" s="203" t="n"/>
      <c r="W184" s="203" t="n"/>
      <c r="X184" s="203" t="n"/>
      <c r="Y184" s="203" t="n"/>
      <c r="Z184" s="203" t="n"/>
      <c r="AA184" s="203" t="n"/>
      <c r="AB184" s="188" t="n"/>
      <c r="AC184" s="188" t="n"/>
      <c r="AD184" s="188" t="n"/>
      <c r="AE184" s="188" t="n"/>
      <c r="AF184" s="188" t="n"/>
      <c r="AG184" s="188" t="n"/>
      <c r="AH184" s="188" t="n"/>
      <c r="AI184" s="188" t="n"/>
      <c r="AJ184" s="188" t="n"/>
      <c r="AK184" s="188" t="n"/>
      <c r="AL184" s="214" t="n"/>
    </row>
    <row r="185">
      <c r="A185" s="33" t="n">
        <v>3</v>
      </c>
      <c r="B185" s="199" t="n"/>
      <c r="C185" s="199" t="n"/>
      <c r="D185" s="218" t="n"/>
      <c r="E185" s="212" t="n"/>
      <c r="F185" s="212" t="n"/>
      <c r="G185" s="212" t="n"/>
      <c r="H185" s="189" t="n"/>
      <c r="I185" s="189" t="n"/>
      <c r="J185" s="184" t="n"/>
      <c r="K185" s="189" t="n"/>
      <c r="L185" s="202" t="n"/>
      <c r="M185" s="189" t="n"/>
      <c r="N185" s="189" t="n"/>
      <c r="O185" s="189">
        <f>L185-M185</f>
        <v/>
      </c>
      <c r="P185" s="189">
        <f>K185-N185</f>
        <v/>
      </c>
      <c r="Q185" s="189">
        <f>M185+O185</f>
        <v/>
      </c>
      <c r="R185" s="189">
        <f>M185+N185+O185+P185</f>
        <v/>
      </c>
      <c r="S185" s="203">
        <f>SUM(T185:V185)</f>
        <v/>
      </c>
      <c r="T185" s="203" t="n"/>
      <c r="U185" s="203" t="n"/>
      <c r="V185" s="203" t="n"/>
      <c r="W185" s="203" t="n"/>
      <c r="X185" s="203" t="n"/>
      <c r="Y185" s="203" t="n"/>
      <c r="Z185" s="203" t="n"/>
      <c r="AA185" s="203" t="n"/>
      <c r="AB185" s="188" t="n"/>
      <c r="AC185" s="188" t="n"/>
      <c r="AD185" s="188" t="n"/>
      <c r="AE185" s="188" t="n"/>
      <c r="AF185" s="188" t="n"/>
      <c r="AG185" s="188" t="n"/>
      <c r="AH185" s="188" t="n"/>
      <c r="AI185" s="188" t="n"/>
      <c r="AJ185" s="188" t="n"/>
      <c r="AK185" s="188" t="n"/>
      <c r="AL185" s="214" t="n"/>
    </row>
    <row r="186">
      <c r="A186" s="41" t="n"/>
      <c r="B186" s="215" t="n"/>
      <c r="C186" s="215" t="n"/>
      <c r="D186" s="231" t="inlineStr">
        <is>
          <t>九、成本及费用合计（三+四+五+六+七）</t>
        </is>
      </c>
      <c r="E186" s="232" t="n"/>
      <c r="F186" s="232" t="n"/>
      <c r="G186" s="232" t="n"/>
      <c r="H186" s="217">
        <f>H68+H69+H70+H71+#REF!</f>
        <v/>
      </c>
      <c r="I186" s="217">
        <f>I68+I69+I70+I71+#REF!</f>
        <v/>
      </c>
      <c r="J186" s="245">
        <f>J68+J69+J70+J71+#REF!</f>
        <v/>
      </c>
      <c r="K186" s="217">
        <f>K68+K69+K70+K71+#REF!</f>
        <v/>
      </c>
      <c r="L186" s="246">
        <f>L68+L69+L70+L71+#REF!</f>
        <v/>
      </c>
      <c r="M186" s="246">
        <f>M68+M69+M70+M71</f>
        <v/>
      </c>
      <c r="N186" s="246">
        <f>N68+N69+N70+N71</f>
        <v/>
      </c>
      <c r="O186" s="246">
        <f>O68+O69+O70+O71</f>
        <v/>
      </c>
      <c r="P186" s="246">
        <f>P68+P69+P70+P71</f>
        <v/>
      </c>
      <c r="Q186" s="246">
        <f>Q68+Q69+Q70+Q71</f>
        <v/>
      </c>
      <c r="R186" s="246">
        <f>R68+R69+R70+R71</f>
        <v/>
      </c>
      <c r="S186" s="238">
        <f>S68+S69+S70+S71</f>
        <v/>
      </c>
      <c r="T186" s="238" t="n"/>
      <c r="U186" s="238" t="n"/>
      <c r="V186" s="238" t="n"/>
      <c r="W186" s="238" t="n"/>
      <c r="X186" s="238" t="n"/>
      <c r="Y186" s="238" t="n"/>
      <c r="Z186" s="238">
        <f>Z68+Z69+Z70+Z71</f>
        <v/>
      </c>
      <c r="AA186" s="238">
        <f>AA68+AA69+AA70+AA71</f>
        <v/>
      </c>
      <c r="AB186" s="247" t="n"/>
      <c r="AC186" s="247" t="n"/>
      <c r="AD186" s="247" t="n"/>
      <c r="AE186" s="247" t="n"/>
      <c r="AF186" s="247" t="n"/>
      <c r="AG186" s="247" t="n"/>
      <c r="AH186" s="247" t="n"/>
      <c r="AI186" s="247" t="n"/>
      <c r="AJ186" s="247" t="n"/>
      <c r="AK186" s="248" t="n"/>
      <c r="AL186" s="249" t="n"/>
    </row>
    <row r="187">
      <c r="A187" s="41" t="n"/>
      <c r="B187" s="215" t="n"/>
      <c r="C187" s="215" t="n"/>
      <c r="D187" s="231" t="inlineStr">
        <is>
          <t>十、增值税实际税负（按财务数据）</t>
        </is>
      </c>
      <c r="E187" s="232" t="inlineStr">
        <is>
          <t>根据财务账面实际已缴纳增值税额+尚需缴纳的增值税额</t>
        </is>
      </c>
      <c r="F187" s="232" t="n"/>
      <c r="G187" s="232" t="n"/>
      <c r="H187" s="217" t="n"/>
      <c r="I187" s="217" t="n"/>
      <c r="J187" s="245">
        <f>H78+I78</f>
        <v/>
      </c>
      <c r="K187" s="217" t="inlineStr">
        <is>
          <t>/</t>
        </is>
      </c>
      <c r="L187" s="246" t="inlineStr">
        <is>
          <t>/</t>
        </is>
      </c>
      <c r="M187" s="246" t="n"/>
      <c r="N187" s="246">
        <f>N6-N77</f>
        <v/>
      </c>
      <c r="O187" s="246" t="n"/>
      <c r="P187" s="246" t="n"/>
      <c r="Q187" s="246" t="inlineStr">
        <is>
          <t>/</t>
        </is>
      </c>
      <c r="R187" s="246">
        <f>N78+P78</f>
        <v/>
      </c>
      <c r="S187" s="238" t="n"/>
      <c r="T187" s="238" t="n"/>
      <c r="U187" s="238" t="n"/>
      <c r="V187" s="238" t="n"/>
      <c r="W187" s="238" t="n"/>
      <c r="X187" s="238" t="n"/>
      <c r="Y187" s="238" t="n"/>
      <c r="Z187" s="238" t="n"/>
      <c r="AA187" s="238" t="n"/>
      <c r="AB187" s="247" t="n"/>
      <c r="AC187" s="247" t="n"/>
      <c r="AD187" s="247" t="n"/>
      <c r="AE187" s="247" t="n"/>
      <c r="AF187" s="247" t="n"/>
      <c r="AG187" s="247" t="n"/>
      <c r="AH187" s="247" t="n"/>
      <c r="AI187" s="247" t="n"/>
      <c r="AJ187" s="247" t="n"/>
      <c r="AK187" s="248" t="n"/>
      <c r="AL187" s="249" t="n"/>
    </row>
    <row r="188">
      <c r="A188" s="41" t="n"/>
      <c r="B188" s="215" t="n"/>
      <c r="C188" s="215" t="n"/>
      <c r="D188" s="231" t="inlineStr">
        <is>
          <t>十一、税金及附加（按财务数据）</t>
        </is>
      </c>
      <c r="E188" s="232" t="inlineStr">
        <is>
          <t>根据财务账面实际已缴纳税金及附加+尚需缴纳的税金及附加</t>
        </is>
      </c>
      <c r="F188" s="232" t="n"/>
      <c r="G188" s="232" t="n"/>
      <c r="H188" s="217" t="n"/>
      <c r="I188" s="217" t="n"/>
      <c r="J188" s="245">
        <f>H79+I79</f>
        <v/>
      </c>
      <c r="K188" s="217" t="n"/>
      <c r="L188" s="246">
        <f>J79</f>
        <v/>
      </c>
      <c r="M188" s="250" t="n">
        <v>385874.26</v>
      </c>
      <c r="N188" s="246" t="n"/>
      <c r="O188" s="246">
        <f>L79-M79</f>
        <v/>
      </c>
      <c r="P188" s="246" t="n"/>
      <c r="Q188" s="246">
        <f>M79+O79</f>
        <v/>
      </c>
      <c r="R188" s="246">
        <f>Q79</f>
        <v/>
      </c>
      <c r="S188" s="238" t="n"/>
      <c r="T188" s="238" t="n"/>
      <c r="U188" s="238" t="n"/>
      <c r="V188" s="238" t="n"/>
      <c r="W188" s="238" t="n"/>
      <c r="X188" s="238" t="n"/>
      <c r="Y188" s="238" t="n"/>
      <c r="Z188" s="238" t="n"/>
      <c r="AA188" s="238" t="n"/>
      <c r="AB188" s="247" t="n"/>
      <c r="AC188" s="247" t="n"/>
      <c r="AD188" s="247" t="n"/>
      <c r="AE188" s="247" t="n"/>
      <c r="AF188" s="247" t="n"/>
      <c r="AG188" s="247" t="n"/>
      <c r="AH188" s="247" t="n"/>
      <c r="AI188" s="247" t="n"/>
      <c r="AJ188" s="247" t="n"/>
      <c r="AK188" s="248" t="n"/>
      <c r="AL188" s="249" t="n"/>
    </row>
    <row r="189">
      <c r="A189" s="41" t="n"/>
      <c r="B189" s="215" t="n"/>
      <c r="C189" s="215" t="n"/>
      <c r="D189" s="231" t="inlineStr">
        <is>
          <t>十二、利润</t>
        </is>
      </c>
      <c r="E189" s="232" t="n"/>
      <c r="F189" s="232" t="n"/>
      <c r="G189" s="232" t="n"/>
      <c r="H189" s="217" t="n"/>
      <c r="I189" s="217" t="n"/>
      <c r="J189" s="245">
        <f>J6-J77-J78-J79</f>
        <v/>
      </c>
      <c r="K189" s="217" t="n"/>
      <c r="L189" s="246" t="n"/>
      <c r="M189" s="246" t="n"/>
      <c r="N189" s="246" t="n"/>
      <c r="O189" s="246" t="n"/>
      <c r="P189" s="246" t="n"/>
      <c r="Q189" s="246" t="n"/>
      <c r="R189" s="246" t="n"/>
      <c r="S189" s="238" t="n"/>
      <c r="T189" s="238" t="n"/>
      <c r="U189" s="238" t="n"/>
      <c r="V189" s="238" t="n"/>
      <c r="W189" s="238" t="n"/>
      <c r="X189" s="238" t="n"/>
      <c r="Y189" s="238" t="n"/>
      <c r="Z189" s="238" t="n"/>
      <c r="AA189" s="238" t="n"/>
      <c r="AB189" s="247" t="n"/>
      <c r="AC189" s="247" t="n"/>
      <c r="AD189" s="247" t="n"/>
      <c r="AE189" s="247" t="n"/>
      <c r="AF189" s="247" t="n"/>
      <c r="AG189" s="247" t="n"/>
      <c r="AH189" s="247" t="n"/>
      <c r="AI189" s="247" t="n"/>
      <c r="AJ189" s="247" t="n"/>
      <c r="AK189" s="248" t="n"/>
      <c r="AL189" s="249" t="n"/>
    </row>
    <row r="190">
      <c r="A190" s="105" t="n"/>
      <c r="B190" s="106" t="n"/>
      <c r="C190" s="106" t="n"/>
      <c r="D190" s="107" t="inlineStr">
        <is>
          <t>十三、利润率</t>
        </is>
      </c>
      <c r="E190" s="108" t="n"/>
      <c r="F190" s="108" t="n"/>
      <c r="G190" s="108" t="n"/>
      <c r="H190" s="109" t="n"/>
      <c r="I190" s="109" t="n"/>
      <c r="J190" s="109">
        <f>J80/J6</f>
        <v/>
      </c>
      <c r="K190" s="109" t="n"/>
      <c r="L190" s="127">
        <f>L80/L6</f>
        <v/>
      </c>
      <c r="M190" s="127">
        <f>M80/M6</f>
        <v/>
      </c>
      <c r="N190" s="127" t="n"/>
      <c r="O190" s="127" t="n"/>
      <c r="P190" s="127" t="n"/>
      <c r="Q190" s="127">
        <f>Q80/Q6</f>
        <v/>
      </c>
      <c r="R190" s="127">
        <f>R80/R6</f>
        <v/>
      </c>
      <c r="S190" s="142" t="n"/>
      <c r="T190" s="142" t="n"/>
      <c r="U190" s="142" t="n"/>
      <c r="V190" s="142" t="n"/>
      <c r="W190" s="142" t="n"/>
      <c r="X190" s="142" t="n"/>
      <c r="Y190" s="142" t="n"/>
      <c r="Z190" s="142" t="n"/>
      <c r="AA190" s="142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54" t="n"/>
      <c r="AL190" s="155" t="n"/>
    </row>
    <row r="191">
      <c r="A191" s="111" t="n"/>
      <c r="B191" s="111" t="n"/>
      <c r="C191" s="111" t="n"/>
      <c r="D191" s="112" t="n"/>
      <c r="E191" s="113" t="n"/>
      <c r="F191" s="113" t="n"/>
      <c r="G191" s="113" t="n"/>
      <c r="H191" s="251" t="n"/>
      <c r="I191" s="251" t="n"/>
      <c r="J191" s="252" t="inlineStr">
        <is>
          <t>含税利润率</t>
        </is>
      </c>
      <c r="K191" s="253" t="n"/>
      <c r="L191" s="254" t="inlineStr">
        <is>
          <t>不含税利润率</t>
        </is>
      </c>
      <c r="M191" s="255" t="n"/>
      <c r="N191" s="255" t="n"/>
      <c r="O191" s="255" t="n"/>
      <c r="P191" s="255" t="n"/>
      <c r="Q191" s="255" t="n"/>
      <c r="R191" s="255" t="n"/>
      <c r="S191" s="255" t="n"/>
      <c r="T191" s="255" t="n"/>
      <c r="U191" s="255" t="n"/>
      <c r="V191" s="255" t="n"/>
      <c r="W191" s="255" t="n"/>
      <c r="X191" s="255" t="n"/>
      <c r="Y191" s="255" t="n"/>
      <c r="Z191" s="256" t="n"/>
      <c r="AA191" s="162" t="n"/>
      <c r="AB191" s="257" t="n"/>
      <c r="AC191" s="257" t="n"/>
      <c r="AD191" s="257" t="n"/>
      <c r="AE191" s="257" t="n"/>
      <c r="AF191" s="257" t="n"/>
      <c r="AG191" s="257" t="n"/>
      <c r="AH191" s="257" t="n"/>
      <c r="AI191" s="257" t="n"/>
      <c r="AJ191" s="257" t="n"/>
      <c r="AK191" s="257" t="n"/>
      <c r="AL191" s="156" t="n"/>
    </row>
    <row r="192">
      <c r="A192" s="111" t="n"/>
      <c r="B192" s="111" t="n"/>
      <c r="C192" s="111" t="n"/>
      <c r="D192" s="112" t="n"/>
      <c r="E192" s="113" t="n"/>
      <c r="F192" s="113" t="n"/>
      <c r="G192" s="113" t="n"/>
      <c r="H192" s="251" t="n"/>
      <c r="I192" s="251" t="n"/>
      <c r="J192" s="258" t="n"/>
      <c r="K192" s="251" t="n"/>
      <c r="L192" s="259" t="n"/>
      <c r="M192" s="255" t="n"/>
      <c r="N192" s="255" t="n"/>
      <c r="O192" s="255" t="n"/>
      <c r="P192" s="255" t="n"/>
      <c r="Q192" s="255" t="n"/>
      <c r="R192" s="255" t="n"/>
      <c r="S192" s="255" t="n"/>
      <c r="T192" s="255" t="n"/>
      <c r="U192" s="255" t="n"/>
      <c r="V192" s="255" t="n"/>
      <c r="W192" s="255" t="n"/>
      <c r="X192" s="255" t="n"/>
      <c r="Y192" s="255" t="n"/>
      <c r="Z192" s="256" t="n"/>
      <c r="AA192" s="162" t="n"/>
      <c r="AB192" s="257" t="n"/>
      <c r="AC192" s="257" t="n"/>
      <c r="AD192" s="257" t="n"/>
      <c r="AE192" s="257" t="n"/>
      <c r="AF192" s="257" t="n"/>
      <c r="AG192" s="257" t="n"/>
      <c r="AH192" s="257" t="n"/>
      <c r="AI192" s="257" t="n"/>
      <c r="AJ192" s="257" t="n"/>
      <c r="AK192" s="257" t="n"/>
      <c r="AL192" s="156" t="n"/>
    </row>
    <row r="193">
      <c r="A193" s="116" t="n"/>
      <c r="B193" s="116" t="n"/>
      <c r="C193" s="116" t="n"/>
      <c r="D193" s="117" t="n"/>
      <c r="E193" s="118" t="n"/>
      <c r="F193" s="118" t="n"/>
      <c r="G193" s="118" t="n"/>
      <c r="H193" s="119" t="n"/>
      <c r="I193" s="119" t="n"/>
      <c r="J193" s="134" t="n"/>
      <c r="K193" s="260" t="n"/>
      <c r="L193" s="260" t="n"/>
      <c r="M193" s="261" t="n"/>
      <c r="N193" s="260" t="n"/>
      <c r="O193" s="260" t="n"/>
      <c r="P193" s="262" t="n"/>
      <c r="Q193" s="262" t="n"/>
      <c r="R193" s="260" t="n"/>
      <c r="S193" s="263" t="n"/>
      <c r="T193" s="263" t="n"/>
      <c r="U193" s="263" t="n"/>
      <c r="V193" s="263" t="n"/>
      <c r="W193" s="263" t="n"/>
      <c r="X193" s="263" t="n"/>
      <c r="Y193" s="263" t="n"/>
      <c r="Z193" s="264" t="n"/>
      <c r="AA193" s="265" t="n"/>
      <c r="AD193" s="266" t="n"/>
      <c r="AE193" s="266" t="n"/>
      <c r="AF193" s="266" t="n"/>
      <c r="AG193" s="266" t="n"/>
      <c r="AH193" s="266" t="n"/>
      <c r="AI193" s="266" t="n"/>
      <c r="AJ193" s="266" t="n"/>
      <c r="AK193" s="266" t="n"/>
      <c r="AL193" s="121" t="n"/>
    </row>
    <row r="194">
      <c r="A194" s="121" t="n"/>
      <c r="B194" s="121" t="n"/>
      <c r="C194" s="121" t="n"/>
      <c r="D194" s="121" t="n"/>
      <c r="E194" s="122" t="n"/>
      <c r="F194" s="122" t="n"/>
      <c r="G194" s="122" t="n"/>
      <c r="H194" s="122" t="n"/>
      <c r="I194" s="122" t="n"/>
      <c r="J194" s="122" t="n"/>
      <c r="K194" s="267" t="n"/>
      <c r="L194" s="122" t="n"/>
      <c r="M194" s="268" t="n"/>
      <c r="N194" s="268" t="n"/>
      <c r="O194" s="268" t="n"/>
      <c r="P194" s="268" t="n"/>
      <c r="Q194" s="268" t="n"/>
      <c r="R194" s="268" t="n"/>
      <c r="S194" s="263" t="n"/>
      <c r="T194" s="263" t="n"/>
      <c r="U194" s="263" t="n"/>
      <c r="V194" s="263" t="n"/>
      <c r="W194" s="263" t="n"/>
      <c r="X194" s="263" t="n"/>
      <c r="Y194" s="263" t="n"/>
      <c r="Z194" s="268" t="n"/>
      <c r="AA194" s="266" t="n"/>
      <c r="AB194" s="266" t="n"/>
      <c r="AC194" s="266" t="n"/>
      <c r="AD194" s="266" t="n"/>
      <c r="AE194" s="266" t="n"/>
      <c r="AF194" s="266" t="n"/>
      <c r="AG194" s="266" t="n"/>
      <c r="AH194" s="266" t="n"/>
      <c r="AI194" s="266" t="n"/>
      <c r="AJ194" s="266" t="n"/>
      <c r="AK194" s="266" t="n"/>
      <c r="AL194" s="121" t="n"/>
    </row>
    <row r="195">
      <c r="A195" s="121" t="n"/>
      <c r="B195" s="121" t="n"/>
      <c r="C195" s="121" t="n"/>
      <c r="D195" s="121" t="n"/>
      <c r="E195" s="122" t="n"/>
      <c r="F195" s="122" t="n"/>
      <c r="G195" s="122" t="n"/>
      <c r="H195" s="122" t="n"/>
      <c r="I195" s="122" t="n"/>
      <c r="J195" s="122" t="n"/>
      <c r="K195" s="267" t="n"/>
      <c r="L195" s="122" t="n"/>
      <c r="M195" s="268" t="n"/>
      <c r="N195" s="268" t="n"/>
      <c r="O195" s="268" t="n"/>
      <c r="P195" s="268" t="n"/>
      <c r="Q195" s="268" t="n"/>
      <c r="R195" s="268" t="n"/>
      <c r="S195" s="263" t="n"/>
      <c r="T195" s="263" t="n"/>
      <c r="U195" s="263" t="n"/>
      <c r="V195" s="263" t="n"/>
      <c r="W195" s="263" t="n"/>
      <c r="X195" s="263" t="n"/>
      <c r="Y195" s="263" t="n"/>
      <c r="Z195" s="268" t="n"/>
      <c r="AA195" s="266" t="n"/>
      <c r="AB195" s="266" t="n"/>
      <c r="AC195" s="266" t="n"/>
      <c r="AD195" s="266" t="n"/>
      <c r="AE195" s="266" t="n"/>
      <c r="AF195" s="266" t="n"/>
      <c r="AG195" s="266" t="n"/>
      <c r="AH195" s="266" t="n"/>
      <c r="AI195" s="266" t="n"/>
      <c r="AJ195" s="266" t="n"/>
      <c r="AK195" s="266" t="n"/>
      <c r="AL195" s="121" t="n"/>
    </row>
    <row r="196">
      <c r="A196" s="121" t="n"/>
      <c r="B196" s="121" t="n"/>
      <c r="C196" s="121" t="n"/>
      <c r="D196" s="121" t="n"/>
      <c r="E196" s="123" t="n"/>
      <c r="F196" s="123" t="n"/>
      <c r="G196" s="123" t="n"/>
      <c r="H196" s="122" t="n"/>
      <c r="I196" s="122" t="n"/>
      <c r="J196" s="122" t="n"/>
      <c r="K196" s="123" t="n"/>
      <c r="L196" s="122" t="n"/>
      <c r="M196" s="268" t="n"/>
      <c r="N196" s="264" t="n"/>
      <c r="O196" s="268" t="n"/>
      <c r="P196" s="268" t="n"/>
      <c r="Q196" s="268" t="n"/>
      <c r="R196" s="260" t="n"/>
      <c r="S196" s="263" t="n"/>
      <c r="T196" s="263" t="n"/>
      <c r="U196" s="263" t="n"/>
      <c r="V196" s="263" t="n"/>
      <c r="W196" s="263" t="n"/>
      <c r="X196" s="263" t="n"/>
      <c r="Y196" s="263" t="n"/>
      <c r="Z196" s="268" t="n"/>
      <c r="AA196" s="266" t="n"/>
      <c r="AB196" s="266" t="n"/>
      <c r="AC196" s="266" t="n"/>
      <c r="AD196" s="266" t="n"/>
      <c r="AE196" s="266" t="n"/>
      <c r="AF196" s="266" t="n"/>
      <c r="AG196" s="266" t="n"/>
      <c r="AH196" s="266" t="n"/>
      <c r="AI196" s="266" t="n"/>
      <c r="AJ196" s="266" t="n"/>
      <c r="AK196" s="266" t="n"/>
      <c r="AL19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2026-04-21T15:53:06Z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