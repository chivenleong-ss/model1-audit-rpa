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1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0" fontId="33" fillId="4" borderId="17" applyAlignment="1" pivotButton="0" quotePrefix="0" xfId="0">
      <alignment horizontal="left" vertical="center" wrapText="1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40" authorId="1" shapeId="0">
      <text>
        <t xml:space="preserve">**同财务账面合同履约成本/工程施工成本/机械租赁费数据一致**
</t>
      </text>
    </comment>
    <comment ref="M148" authorId="0" shapeId="0">
      <text>
        <t>于:
**同财务账面合同履约成本/工程施工成本其他直接费数据一致**</t>
      </text>
    </comment>
    <comment ref="M193" authorId="1" shapeId="0">
      <text>
        <t>**同财务账面合同履约成本/工程施工成本/间接费数据一致**</t>
      </text>
    </comment>
    <comment ref="D202" authorId="2" shapeId="0">
      <text>
        <t>（在建：房建0.6%，其它0.4%；在保修期间的按0.3~0.5%自行确定;保修期结束为0）</t>
      </text>
    </comment>
    <comment ref="E2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7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7" t="n"/>
      <c r="B7" s="268" t="inlineStr">
        <is>
          <t>客商编码</t>
        </is>
      </c>
      <c r="C7" s="268" t="inlineStr">
        <is>
          <t>合同编码</t>
        </is>
      </c>
      <c r="D7" s="269" t="inlineStr">
        <is>
          <t>客商名称</t>
        </is>
      </c>
      <c r="E7" s="270" t="inlineStr">
        <is>
          <t>主要工作内容</t>
        </is>
      </c>
      <c r="F7" s="270" t="inlineStr">
        <is>
          <t>是否办理最终结算</t>
        </is>
      </c>
      <c r="G7" s="271" t="inlineStr">
        <is>
          <t>最终结算时间</t>
        </is>
      </c>
      <c r="H7" s="272" t="inlineStr">
        <is>
          <t>商务、物资确认</t>
        </is>
      </c>
      <c r="I7" s="267" t="n"/>
      <c r="J7" s="267" t="n"/>
      <c r="K7" s="267" t="n"/>
      <c r="L7" s="267" t="n"/>
      <c r="M7" s="273" t="inlineStr">
        <is>
          <t>财务确认</t>
        </is>
      </c>
      <c r="N7" s="267" t="n"/>
      <c r="O7" s="267" t="n"/>
      <c r="P7" s="267" t="n"/>
      <c r="Q7" s="267" t="n"/>
      <c r="R7" s="267" t="n"/>
      <c r="S7" s="274" t="inlineStr">
        <is>
          <t>债务情况</t>
        </is>
      </c>
      <c r="T7" s="267" t="n"/>
      <c r="U7" s="267" t="n"/>
      <c r="V7" s="267" t="n"/>
      <c r="W7" s="267" t="n"/>
      <c r="X7" s="267" t="n"/>
      <c r="Y7" s="267" t="n"/>
      <c r="Z7" s="275" t="inlineStr">
        <is>
          <t>税务情况</t>
        </is>
      </c>
      <c r="AA7" s="267" t="n"/>
      <c r="AB7" s="267" t="n"/>
      <c r="AC7" s="267" t="n"/>
      <c r="AD7" s="267" t="n"/>
      <c r="AE7" s="267" t="n"/>
      <c r="AF7" s="267" t="n"/>
      <c r="AG7" s="267" t="n"/>
      <c r="AH7" s="267" t="n"/>
      <c r="AI7" s="267" t="n"/>
      <c r="AJ7" s="267" t="n"/>
      <c r="AK7" s="267" t="n"/>
      <c r="AL7" s="267" t="n"/>
    </row>
    <row r="8" ht="14" customHeight="1" s="159">
      <c r="A8" s="267" t="n"/>
      <c r="B8" s="267" t="n"/>
      <c r="C8" s="267" t="n"/>
      <c r="D8" s="267" t="n"/>
      <c r="E8" s="267" t="n"/>
      <c r="F8" s="267" t="n"/>
      <c r="G8" s="267" t="n"/>
      <c r="H8" s="272" t="inlineStr">
        <is>
          <t>商务已结(含税)</t>
        </is>
      </c>
      <c r="I8" s="272" t="inlineStr">
        <is>
          <t>截止目前应结未结(含税)</t>
        </is>
      </c>
      <c r="J8" s="272" t="inlineStr">
        <is>
          <t>实际诶计成本(含税)</t>
        </is>
      </c>
      <c r="K8" s="270" t="inlineStr">
        <is>
          <t>累计成本可抵扣增值税税金</t>
        </is>
      </c>
      <c r="L8" s="270" t="inlineStr">
        <is>
          <t>实际累计成本
（不含可抵扣税金）</t>
        </is>
      </c>
      <c r="M8" s="276" t="inlineStr">
        <is>
          <t>截止目前财务已入账成本（不含增值税）
**同财务账面合同履约成本/工程施工成本一致**</t>
        </is>
      </c>
      <c r="N8" s="276" t="inlineStr">
        <is>
          <t>已价税分离的增值税金
（财务账面数据）</t>
        </is>
      </c>
      <c r="O8" s="276" t="inlineStr">
        <is>
          <t>应入未入账成本（不含增值税）</t>
        </is>
      </c>
      <c r="P8" s="276" t="inlineStr">
        <is>
          <t>尚未价税分离的增值税金</t>
        </is>
      </c>
      <c r="Q8" s="276" t="inlineStr">
        <is>
          <t>实际成本
（不含增值税）</t>
        </is>
      </c>
      <c r="R8" s="276" t="inlineStr">
        <is>
          <t>实际成本
（含增值税）</t>
        </is>
      </c>
      <c r="S8" s="277" t="inlineStr">
        <is>
          <t>累计付款</t>
        </is>
      </c>
      <c r="T8" s="277" t="inlineStr">
        <is>
          <t>其中：财务账面已列报付款</t>
        </is>
      </c>
      <c r="U8" s="277" t="inlineStr">
        <is>
          <t>其中：已办理供应链或票据背书未入账付款</t>
        </is>
      </c>
      <c r="V8" s="277" t="inlineStr">
        <is>
          <t>其中：其他未入账付款</t>
        </is>
      </c>
      <c r="W8" s="277" t="inlineStr">
        <is>
          <t>债务总额</t>
        </is>
      </c>
      <c r="X8" s="277" t="inlineStr">
        <is>
          <t>其中：应付总额</t>
        </is>
      </c>
      <c r="Y8" s="277" t="inlineStr">
        <is>
          <t>是否已取得对账单
（以取得双方用印对账单为准）</t>
        </is>
      </c>
      <c r="Z8" s="278" t="inlineStr">
        <is>
          <t>累计已收取发票（含税）</t>
        </is>
      </c>
      <c r="AA8" s="278" t="inlineStr">
        <is>
          <t>其中：累计已收取营业税发票额</t>
        </is>
      </c>
      <c r="AB8" s="278" t="inlineStr">
        <is>
          <t>其中：累计已收取增值税发票额</t>
        </is>
      </c>
      <c r="AC8" s="278" t="inlineStr">
        <is>
          <t>其中：营业税及增值税预缴时已抵扣发票额</t>
        </is>
      </c>
      <c r="AD8" s="278" t="inlineStr">
        <is>
          <t>已收取增值税发票对应税额</t>
        </is>
      </c>
      <c r="AE8" s="278" t="inlineStr">
        <is>
          <t>其中：已认证税额</t>
        </is>
      </c>
      <c r="AF8" s="278" t="inlineStr">
        <is>
          <t>已收取待认证税额</t>
        </is>
      </c>
      <c r="AG8" s="278" t="n"/>
      <c r="AH8" s="278" t="inlineStr">
        <is>
          <t>按结算未收取发票额</t>
        </is>
      </c>
      <c r="AI8" s="278" t="inlineStr">
        <is>
          <t>按付款未收取发票额</t>
        </is>
      </c>
      <c r="AJ8" s="278" t="inlineStr">
        <is>
          <t>当前适用税率</t>
        </is>
      </c>
      <c r="AK8" s="278" t="inlineStr">
        <is>
          <t>其他应收-待扣减税额</t>
        </is>
      </c>
      <c r="AL8" s="267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9" t="n"/>
      <c r="B10" s="279" t="n">
        <v>1</v>
      </c>
      <c r="C10" s="279" t="n">
        <v>2</v>
      </c>
      <c r="D10" s="279" t="n">
        <v>3</v>
      </c>
      <c r="E10" s="279" t="n">
        <v>4</v>
      </c>
      <c r="F10" s="279" t="n">
        <v>5</v>
      </c>
      <c r="G10" s="279" t="n">
        <v>6</v>
      </c>
      <c r="H10" s="279" t="n">
        <v>7</v>
      </c>
      <c r="I10" s="279" t="n">
        <v>8</v>
      </c>
      <c r="J10" s="279" t="inlineStr">
        <is>
          <t>9=7+8</t>
        </is>
      </c>
      <c r="K10" s="279" t="n">
        <v>10</v>
      </c>
      <c r="L10" s="279" t="inlineStr">
        <is>
          <t>11=9-10</t>
        </is>
      </c>
      <c r="M10" s="279" t="n">
        <v>12</v>
      </c>
      <c r="N10" s="279" t="n">
        <v>13</v>
      </c>
      <c r="O10" s="279" t="inlineStr">
        <is>
          <t>14=11-12</t>
        </is>
      </c>
      <c r="P10" s="279" t="inlineStr">
        <is>
          <t>15=10-13</t>
        </is>
      </c>
      <c r="Q10" s="279" t="inlineStr">
        <is>
          <t>16=12+14</t>
        </is>
      </c>
      <c r="R10" s="279" t="inlineStr">
        <is>
          <t>17=12+13+14+15</t>
        </is>
      </c>
      <c r="S10" s="279" t="n">
        <v>18</v>
      </c>
      <c r="T10" s="279" t="n">
        <v>19</v>
      </c>
      <c r="U10" s="279" t="n">
        <v>20</v>
      </c>
      <c r="V10" s="279" t="n">
        <v>21</v>
      </c>
      <c r="W10" s="279" t="n">
        <v>22</v>
      </c>
      <c r="X10" s="279" t="n">
        <v>23</v>
      </c>
      <c r="Y10" s="279" t="n">
        <v>24</v>
      </c>
      <c r="Z10" s="279" t="n">
        <v>25</v>
      </c>
      <c r="AA10" s="279" t="n">
        <v>26</v>
      </c>
      <c r="AB10" s="279" t="n">
        <v>27</v>
      </c>
      <c r="AC10" s="279" t="n">
        <v>28</v>
      </c>
      <c r="AD10" s="279" t="n">
        <v>29</v>
      </c>
      <c r="AE10" s="279" t="n">
        <v>30</v>
      </c>
      <c r="AF10" s="279" t="n">
        <v>31</v>
      </c>
      <c r="AG10" s="279" t="n">
        <v>32</v>
      </c>
      <c r="AH10" s="279" t="n">
        <v>33</v>
      </c>
      <c r="AI10" s="279" t="n">
        <v>34</v>
      </c>
      <c r="AJ10" s="279" t="n">
        <v>35</v>
      </c>
      <c r="AK10" s="279" t="n">
        <v>36</v>
      </c>
      <c r="AL10" s="267" t="n"/>
    </row>
    <row r="11" ht="14" customFormat="1" customHeight="1" s="180">
      <c r="A11" s="280" t="n"/>
      <c r="B11" s="281" t="n"/>
      <c r="C11" s="281" t="n"/>
      <c r="D11" s="282" t="inlineStr">
        <is>
          <t>二、成本</t>
        </is>
      </c>
      <c r="E11" s="281" t="n"/>
      <c r="F11" s="281" t="n"/>
      <c r="G11" s="281" t="n"/>
      <c r="H11" s="283" t="n"/>
      <c r="I11" s="283" t="n"/>
      <c r="J11" s="283" t="n"/>
      <c r="K11" s="284" t="n"/>
      <c r="L11" s="285" t="n"/>
      <c r="M11" s="286" t="n"/>
      <c r="N11" s="286" t="n"/>
      <c r="O11" s="283">
        <f>L11-M11</f>
        <v/>
      </c>
      <c r="P11" s="283">
        <f>K11-N11</f>
        <v/>
      </c>
      <c r="Q11" s="283">
        <f>M11+O11</f>
        <v/>
      </c>
      <c r="R11" s="283">
        <f>M11+N11+O11+P11</f>
        <v/>
      </c>
      <c r="S11" s="287">
        <f>SUM(T11:V11)</f>
        <v/>
      </c>
      <c r="T11" s="287" t="n"/>
      <c r="U11" s="287" t="n"/>
      <c r="V11" s="287" t="n"/>
      <c r="W11" s="287" t="n"/>
      <c r="X11" s="287" t="n"/>
      <c r="Y11" s="287" t="n"/>
      <c r="Z11" s="287" t="n"/>
      <c r="AA11" s="287" t="n"/>
      <c r="AB11" s="287" t="n"/>
      <c r="AC11" s="287" t="n"/>
      <c r="AD11" s="287" t="n"/>
      <c r="AE11" s="287" t="n"/>
      <c r="AF11" s="287" t="n"/>
      <c r="AG11" s="287" t="n"/>
      <c r="AH11" s="287" t="n"/>
      <c r="AI11" s="287" t="n"/>
      <c r="AJ11" s="287" t="n"/>
      <c r="AK11" s="288">
        <f>AB11/1.17*0.17+AC11/1.16*0.16+AD11/1.11*0.11+AE11/1.1*0.1+AF11/1.09*0.09+AI11/1.03*0.03</f>
        <v/>
      </c>
      <c r="AL11" s="289" t="n"/>
    </row>
    <row r="12" ht="14" customFormat="1" customHeight="1" s="180">
      <c r="A12" s="280" t="n"/>
      <c r="B12" s="281" t="n"/>
      <c r="C12" s="281" t="n"/>
      <c r="D12" s="290" t="inlineStr">
        <is>
          <t>（一）人工费</t>
        </is>
      </c>
      <c r="E12" s="281" t="n"/>
      <c r="F12" s="281" t="n"/>
      <c r="G12" s="281" t="n"/>
      <c r="H12" s="283" t="n"/>
      <c r="I12" s="283" t="n"/>
      <c r="J12" s="283" t="n"/>
      <c r="K12" s="284" t="n"/>
      <c r="L12" s="285" t="n"/>
      <c r="M12" s="286" t="n"/>
      <c r="N12" s="286" t="n"/>
      <c r="O12" s="283">
        <f>L12-M12</f>
        <v/>
      </c>
      <c r="P12" s="283">
        <f>K12-N12</f>
        <v/>
      </c>
      <c r="Q12" s="283">
        <f>M12+O12</f>
        <v/>
      </c>
      <c r="R12" s="283">
        <f>M12+N12+O12+P12</f>
        <v/>
      </c>
      <c r="S12" s="287">
        <f>SUM(T12:V12)</f>
        <v/>
      </c>
      <c r="T12" s="288" t="n"/>
      <c r="U12" s="288" t="n"/>
      <c r="V12" s="288" t="n"/>
      <c r="W12" s="288" t="n"/>
      <c r="X12" s="288" t="n"/>
      <c r="Y12" s="288" t="n"/>
      <c r="Z12" s="288" t="n"/>
      <c r="AA12" s="287" t="n"/>
      <c r="AB12" s="287" t="n"/>
      <c r="AC12" s="287" t="n"/>
      <c r="AD12" s="287" t="n"/>
      <c r="AE12" s="287" t="n"/>
      <c r="AF12" s="287" t="n"/>
      <c r="AG12" s="287" t="n"/>
      <c r="AH12" s="287" t="n"/>
      <c r="AI12" s="287" t="n"/>
      <c r="AJ12" s="287" t="n"/>
      <c r="AK12" s="288">
        <f>AB12/1.17*0.17+AC12/1.16*0.16+AD12/1.11*0.11+AE12/1.1*0.1+AF12/1.09*0.09+AI12/1.03*0.03</f>
        <v/>
      </c>
      <c r="AL12" s="289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1" t="n"/>
      <c r="X13" s="291" t="n"/>
      <c r="Y13" s="291" t="n"/>
      <c r="Z13" s="291" t="n"/>
      <c r="AA13" s="291" t="n"/>
      <c r="AB13" s="291" t="n"/>
      <c r="AC13" s="291" t="n"/>
      <c r="AD13" s="291" t="n"/>
      <c r="AE13" s="291" t="n"/>
      <c r="AF13" s="291" t="n"/>
      <c r="AG13" s="291" t="n"/>
      <c r="AH13" s="291" t="n"/>
      <c r="AI13" s="291" t="n"/>
      <c r="AJ13" s="291" t="n"/>
      <c r="AK13" s="291" t="n"/>
      <c r="AL13" s="291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1" t="n"/>
      <c r="X14" s="291" t="n"/>
      <c r="Y14" s="291" t="n"/>
      <c r="Z14" s="291" t="n"/>
      <c r="AA14" s="291" t="n"/>
      <c r="AB14" s="291" t="n"/>
      <c r="AC14" s="291" t="n"/>
      <c r="AD14" s="291" t="n"/>
      <c r="AE14" s="291" t="n"/>
      <c r="AF14" s="291" t="n"/>
      <c r="AG14" s="291" t="n"/>
      <c r="AH14" s="291" t="n"/>
      <c r="AI14" s="291" t="n"/>
      <c r="AJ14" s="291" t="n"/>
      <c r="AK14" s="291" t="n"/>
      <c r="AL14" s="291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1" t="n"/>
      <c r="X15" s="291" t="n"/>
      <c r="Y15" s="291" t="n"/>
      <c r="Z15" s="291" t="n"/>
      <c r="AA15" s="291" t="n"/>
      <c r="AB15" s="291" t="n"/>
      <c r="AC15" s="291" t="n"/>
      <c r="AD15" s="291" t="n"/>
      <c r="AE15" s="291" t="n"/>
      <c r="AF15" s="291" t="n"/>
      <c r="AG15" s="291" t="n"/>
      <c r="AH15" s="291" t="n"/>
      <c r="AI15" s="291" t="n"/>
      <c r="AJ15" s="291" t="n"/>
      <c r="AK15" s="291" t="n"/>
      <c r="AL15" s="291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1" t="n"/>
      <c r="X16" s="291" t="n"/>
      <c r="Y16" s="291" t="n"/>
      <c r="Z16" s="291" t="n"/>
      <c r="AA16" s="291" t="n"/>
      <c r="AB16" s="291" t="n"/>
      <c r="AC16" s="291" t="n"/>
      <c r="AD16" s="291" t="n"/>
      <c r="AE16" s="291" t="n"/>
      <c r="AF16" s="291" t="n"/>
      <c r="AG16" s="291" t="n"/>
      <c r="AH16" s="291" t="n"/>
      <c r="AI16" s="291" t="n"/>
      <c r="AJ16" s="291" t="n"/>
      <c r="AK16" s="291" t="n"/>
      <c r="AL16" s="291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1" t="n"/>
      <c r="X17" s="291" t="n"/>
      <c r="Y17" s="291" t="n"/>
      <c r="Z17" s="291" t="n"/>
      <c r="AA17" s="291" t="n"/>
      <c r="AB17" s="291" t="n"/>
      <c r="AC17" s="291" t="n"/>
      <c r="AD17" s="291" t="n"/>
      <c r="AE17" s="291" t="n"/>
      <c r="AF17" s="291" t="n"/>
      <c r="AG17" s="291" t="n"/>
      <c r="AH17" s="291" t="n"/>
      <c r="AI17" s="291" t="n"/>
      <c r="AJ17" s="291" t="n"/>
      <c r="AK17" s="291" t="n"/>
      <c r="AL17" s="291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1" t="n"/>
      <c r="X18" s="291" t="n"/>
      <c r="Y18" s="291" t="n"/>
      <c r="Z18" s="291" t="n"/>
      <c r="AA18" s="291" t="n"/>
      <c r="AB18" s="291" t="n"/>
      <c r="AC18" s="291" t="n"/>
      <c r="AD18" s="291" t="n"/>
      <c r="AE18" s="291" t="n"/>
      <c r="AF18" s="291" t="n"/>
      <c r="AG18" s="291" t="n"/>
      <c r="AH18" s="291" t="n"/>
      <c r="AI18" s="291" t="n"/>
      <c r="AJ18" s="291" t="n"/>
      <c r="AK18" s="291" t="n"/>
      <c r="AL18" s="291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1" t="n"/>
      <c r="X19" s="291" t="n"/>
      <c r="Y19" s="291" t="n"/>
      <c r="Z19" s="291" t="n"/>
      <c r="AA19" s="291" t="n"/>
      <c r="AB19" s="291" t="n"/>
      <c r="AC19" s="291" t="n"/>
      <c r="AD19" s="291" t="n"/>
      <c r="AE19" s="291" t="n"/>
      <c r="AF19" s="291" t="n"/>
      <c r="AG19" s="291" t="n"/>
      <c r="AH19" s="291" t="n"/>
      <c r="AI19" s="291" t="n"/>
      <c r="AJ19" s="291" t="n"/>
      <c r="AK19" s="291" t="n"/>
      <c r="AL19" s="291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1" t="n"/>
      <c r="X20" s="291" t="n"/>
      <c r="Y20" s="291" t="n"/>
      <c r="Z20" s="291" t="n"/>
      <c r="AA20" s="291" t="n"/>
      <c r="AB20" s="291" t="n"/>
      <c r="AC20" s="291" t="n"/>
      <c r="AD20" s="291" t="n"/>
      <c r="AE20" s="291" t="n"/>
      <c r="AF20" s="291" t="n"/>
      <c r="AG20" s="291" t="n"/>
      <c r="AH20" s="291" t="n"/>
      <c r="AI20" s="291" t="n"/>
      <c r="AJ20" s="291" t="n"/>
      <c r="AK20" s="291" t="n"/>
      <c r="AL20" s="291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1" t="n"/>
      <c r="X21" s="291" t="n"/>
      <c r="Y21" s="291" t="n"/>
      <c r="Z21" s="291" t="n"/>
      <c r="AA21" s="291" t="n"/>
      <c r="AB21" s="291" t="n"/>
      <c r="AC21" s="291" t="n"/>
      <c r="AD21" s="291" t="n"/>
      <c r="AE21" s="291" t="n"/>
      <c r="AF21" s="291" t="n"/>
      <c r="AG21" s="291" t="n"/>
      <c r="AH21" s="291" t="n"/>
      <c r="AI21" s="291" t="n"/>
      <c r="AJ21" s="291" t="n"/>
      <c r="AK21" s="291" t="n"/>
      <c r="AL21" s="291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1" t="n"/>
      <c r="X22" s="291" t="n"/>
      <c r="Y22" s="291" t="n"/>
      <c r="Z22" s="291" t="n"/>
      <c r="AA22" s="291" t="n"/>
      <c r="AB22" s="291" t="n"/>
      <c r="AC22" s="291" t="n"/>
      <c r="AD22" s="291" t="n"/>
      <c r="AE22" s="291" t="n"/>
      <c r="AF22" s="291" t="n"/>
      <c r="AG22" s="291" t="n"/>
      <c r="AH22" s="291" t="n"/>
      <c r="AI22" s="291" t="n"/>
      <c r="AJ22" s="291" t="n"/>
      <c r="AK22" s="291" t="n"/>
      <c r="AL22" s="291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1" t="n"/>
      <c r="X23" s="291" t="n"/>
      <c r="Y23" s="291" t="n"/>
      <c r="Z23" s="291" t="n"/>
      <c r="AA23" s="291" t="n"/>
      <c r="AB23" s="291" t="n"/>
      <c r="AC23" s="291" t="n"/>
      <c r="AD23" s="291" t="n"/>
      <c r="AE23" s="291" t="n"/>
      <c r="AF23" s="291" t="n"/>
      <c r="AG23" s="291" t="n"/>
      <c r="AH23" s="291" t="n"/>
      <c r="AI23" s="291" t="n"/>
      <c r="AJ23" s="291" t="n"/>
      <c r="AK23" s="291" t="n"/>
      <c r="AL23" s="291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1" t="n"/>
      <c r="X24" s="291" t="n"/>
      <c r="Y24" s="291" t="n"/>
      <c r="Z24" s="291" t="n"/>
      <c r="AA24" s="291" t="n"/>
      <c r="AB24" s="291" t="n"/>
      <c r="AC24" s="291" t="n"/>
      <c r="AD24" s="291" t="n"/>
      <c r="AE24" s="291" t="n"/>
      <c r="AF24" s="291" t="n"/>
      <c r="AG24" s="291" t="n"/>
      <c r="AH24" s="291" t="n"/>
      <c r="AI24" s="291" t="n"/>
      <c r="AJ24" s="291" t="n"/>
      <c r="AK24" s="291" t="n"/>
      <c r="AL24" s="291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1" t="n"/>
      <c r="X25" s="291" t="n"/>
      <c r="Y25" s="291" t="n"/>
      <c r="Z25" s="291" t="n"/>
      <c r="AA25" s="291" t="n"/>
      <c r="AB25" s="291" t="n"/>
      <c r="AC25" s="291" t="n"/>
      <c r="AD25" s="291" t="n"/>
      <c r="AE25" s="291" t="n"/>
      <c r="AF25" s="291" t="n"/>
      <c r="AG25" s="291" t="n"/>
      <c r="AH25" s="291" t="n"/>
      <c r="AI25" s="291" t="n"/>
      <c r="AJ25" s="291" t="n"/>
      <c r="AK25" s="291" t="n"/>
      <c r="AL25" s="291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1" t="n"/>
      <c r="X26" s="291" t="n"/>
      <c r="Y26" s="291" t="n"/>
      <c r="Z26" s="291" t="n"/>
      <c r="AA26" s="291" t="n"/>
      <c r="AB26" s="291" t="n"/>
      <c r="AC26" s="291" t="n"/>
      <c r="AD26" s="291" t="n"/>
      <c r="AE26" s="291" t="n"/>
      <c r="AF26" s="291" t="n"/>
      <c r="AG26" s="291" t="n"/>
      <c r="AH26" s="291" t="n"/>
      <c r="AI26" s="291" t="n"/>
      <c r="AJ26" s="291" t="n"/>
      <c r="AK26" s="291" t="n"/>
      <c r="AL26" s="291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1" t="n"/>
      <c r="X27" s="291" t="n"/>
      <c r="Y27" s="291" t="n"/>
      <c r="Z27" s="291" t="n"/>
      <c r="AA27" s="291" t="n"/>
      <c r="AB27" s="291" t="n"/>
      <c r="AC27" s="291" t="n"/>
      <c r="AD27" s="291" t="n"/>
      <c r="AE27" s="291" t="n"/>
      <c r="AF27" s="291" t="n"/>
      <c r="AG27" s="291" t="n"/>
      <c r="AH27" s="291" t="n"/>
      <c r="AI27" s="291" t="n"/>
      <c r="AJ27" s="291" t="n"/>
      <c r="AK27" s="291" t="n"/>
      <c r="AL27" s="291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1" t="n"/>
      <c r="X28" s="291" t="n"/>
      <c r="Y28" s="291" t="n"/>
      <c r="Z28" s="291" t="n"/>
      <c r="AA28" s="291" t="n"/>
      <c r="AB28" s="291" t="n"/>
      <c r="AC28" s="291" t="n"/>
      <c r="AD28" s="291" t="n"/>
      <c r="AE28" s="291" t="n"/>
      <c r="AF28" s="291" t="n"/>
      <c r="AG28" s="291" t="n"/>
      <c r="AH28" s="291" t="n"/>
      <c r="AI28" s="291" t="n"/>
      <c r="AJ28" s="291" t="n"/>
      <c r="AK28" s="291" t="n"/>
      <c r="AL28" s="291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1" t="n"/>
      <c r="X29" s="291" t="n"/>
      <c r="Y29" s="291" t="n"/>
      <c r="Z29" s="291" t="n"/>
      <c r="AA29" s="291" t="n"/>
      <c r="AB29" s="291" t="n"/>
      <c r="AC29" s="291" t="n"/>
      <c r="AD29" s="291" t="n"/>
      <c r="AE29" s="291" t="n"/>
      <c r="AF29" s="291" t="n"/>
      <c r="AG29" s="291" t="n"/>
      <c r="AH29" s="291" t="n"/>
      <c r="AI29" s="291" t="n"/>
      <c r="AJ29" s="291" t="n"/>
      <c r="AK29" s="291" t="n"/>
      <c r="AL29" s="291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1" t="n"/>
      <c r="X30" s="291" t="n"/>
      <c r="Y30" s="291" t="n"/>
      <c r="Z30" s="291" t="n"/>
      <c r="AA30" s="291" t="n"/>
      <c r="AB30" s="291" t="n"/>
      <c r="AC30" s="291" t="n"/>
      <c r="AD30" s="291" t="n"/>
      <c r="AE30" s="291" t="n"/>
      <c r="AF30" s="291" t="n"/>
      <c r="AG30" s="291" t="n"/>
      <c r="AH30" s="291" t="n"/>
      <c r="AI30" s="291" t="n"/>
      <c r="AJ30" s="291" t="n"/>
      <c r="AK30" s="291" t="n"/>
      <c r="AL30" s="291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1" t="n"/>
      <c r="X31" s="291" t="n"/>
      <c r="Y31" s="291" t="n"/>
      <c r="Z31" s="291" t="n"/>
      <c r="AA31" s="291" t="n"/>
      <c r="AB31" s="291" t="n"/>
      <c r="AC31" s="291" t="n"/>
      <c r="AD31" s="291" t="n"/>
      <c r="AE31" s="291" t="n"/>
      <c r="AF31" s="291" t="n"/>
      <c r="AG31" s="291" t="n"/>
      <c r="AH31" s="291" t="n"/>
      <c r="AI31" s="291" t="n"/>
      <c r="AJ31" s="291" t="n"/>
      <c r="AK31" s="291" t="n"/>
      <c r="AL31" s="291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1" t="n"/>
      <c r="X32" s="291" t="n"/>
      <c r="Y32" s="291" t="n"/>
      <c r="Z32" s="291" t="n"/>
      <c r="AA32" s="291" t="n"/>
      <c r="AB32" s="291" t="n"/>
      <c r="AC32" s="291" t="n"/>
      <c r="AD32" s="291" t="n"/>
      <c r="AE32" s="291" t="n"/>
      <c r="AF32" s="291" t="n"/>
      <c r="AG32" s="291" t="n"/>
      <c r="AH32" s="291" t="n"/>
      <c r="AI32" s="291" t="n"/>
      <c r="AJ32" s="291" t="n"/>
      <c r="AK32" s="291" t="n"/>
      <c r="AL32" s="291" t="n"/>
    </row>
    <row r="33" ht="14" customFormat="1" customHeight="1" s="180">
      <c r="A33" s="280" t="n"/>
      <c r="B33" s="281" t="n"/>
      <c r="C33" s="281" t="n"/>
      <c r="D33" s="292" t="inlineStr">
        <is>
          <t>**财务未列部分需增列***</t>
        </is>
      </c>
      <c r="E33" s="293" t="n"/>
      <c r="F33" s="293" t="n"/>
      <c r="G33" s="293" t="n"/>
      <c r="H33" s="283" t="n"/>
      <c r="I33" s="283" t="n"/>
      <c r="J33" s="283" t="n"/>
      <c r="K33" s="284" t="n"/>
      <c r="L33" s="285" t="n"/>
      <c r="M33" s="283" t="n"/>
      <c r="N33" s="283" t="n"/>
      <c r="O33" s="283">
        <f>L33-M33</f>
        <v/>
      </c>
      <c r="P33" s="283">
        <f>K33-N33</f>
        <v/>
      </c>
      <c r="Q33" s="283">
        <f>M33+O33</f>
        <v/>
      </c>
      <c r="R33" s="283">
        <f>M33+N33+O33+P33</f>
        <v/>
      </c>
      <c r="S33" s="287">
        <f>SUM(T33:V33)</f>
        <v/>
      </c>
      <c r="T33" s="283" t="n"/>
      <c r="U33" s="283" t="n"/>
      <c r="V33" s="283" t="n"/>
      <c r="W33" s="283" t="n"/>
      <c r="X33" s="283" t="n"/>
      <c r="Y33" s="283" t="n"/>
      <c r="Z33" s="283">
        <f>SUM(AA16:AJ16)</f>
        <v/>
      </c>
      <c r="AA33" s="294" t="n"/>
      <c r="AB33" s="288" t="n"/>
      <c r="AC33" s="288" t="n"/>
      <c r="AD33" s="288" t="n"/>
      <c r="AE33" s="288" t="n"/>
      <c r="AF33" s="288" t="n"/>
      <c r="AG33" s="288" t="n"/>
      <c r="AH33" s="288" t="n"/>
      <c r="AI33" s="288" t="n"/>
      <c r="AJ33" s="288" t="n"/>
      <c r="AK33" s="288">
        <f>AB16/1.17*0.17+AC16/1.16*0.16+AD16/1.11*0.11+AE16/1.1*0.1+AF16/1.09*0.09+AI16/1.03*0.03</f>
        <v/>
      </c>
      <c r="AL33" s="295" t="n"/>
    </row>
    <row r="34" ht="14" customFormat="1" customHeight="1" s="180">
      <c r="A34" s="296" t="n"/>
      <c r="B34" s="297" t="n"/>
      <c r="C34" s="297" t="n"/>
      <c r="D34" s="298" t="inlineStr">
        <is>
          <t>人工费小计：</t>
        </is>
      </c>
      <c r="E34" s="299">
        <f>SUM(E12:E33)</f>
        <v/>
      </c>
      <c r="F34" s="299">
        <f>SUM(F12:F33)</f>
        <v/>
      </c>
      <c r="G34" s="299">
        <f>SUM(G12:G33)</f>
        <v/>
      </c>
      <c r="H34" s="299">
        <f>SUM(H12:H33)</f>
        <v/>
      </c>
      <c r="I34" s="299">
        <f>SUM(I12:I33)</f>
        <v/>
      </c>
      <c r="J34" s="299">
        <f>SUM(J12:J33)</f>
        <v/>
      </c>
      <c r="K34" s="299">
        <f>SUM(K12:K33)</f>
        <v/>
      </c>
      <c r="L34" s="299">
        <f>SUM(L12:L33)</f>
        <v/>
      </c>
      <c r="M34" s="299">
        <f>SUM(M12:M33)</f>
        <v/>
      </c>
      <c r="N34" s="299">
        <f>SUM(N12:N33)</f>
        <v/>
      </c>
      <c r="O34" s="299">
        <f>SUM(O12:O33)</f>
        <v/>
      </c>
      <c r="P34" s="299">
        <f>SUM(P12:P33)</f>
        <v/>
      </c>
      <c r="Q34" s="299">
        <f>SUM(Q12:Q33)</f>
        <v/>
      </c>
      <c r="R34" s="299">
        <f>SUM(R12:R33)</f>
        <v/>
      </c>
      <c r="S34" s="299">
        <f>SUM(S12:S33)</f>
        <v/>
      </c>
      <c r="T34" s="299">
        <f>SUM(T12:T33)</f>
        <v/>
      </c>
      <c r="U34" s="299">
        <f>SUM(U12:U33)</f>
        <v/>
      </c>
      <c r="V34" s="299">
        <f>SUM(V12:V33)</f>
        <v/>
      </c>
      <c r="W34" s="299">
        <f>SUM(W12:W33)</f>
        <v/>
      </c>
      <c r="X34" s="299">
        <f>SUM(X12:X33)</f>
        <v/>
      </c>
      <c r="Y34" s="299">
        <f>SUM(Y12:Y33)</f>
        <v/>
      </c>
      <c r="Z34" s="299">
        <f>SUM(Z12:Z33)</f>
        <v/>
      </c>
      <c r="AA34" s="299">
        <f>SUM(AA12:AA33)</f>
        <v/>
      </c>
      <c r="AB34" s="299">
        <f>SUM(AB12:AB33)</f>
        <v/>
      </c>
      <c r="AC34" s="299">
        <f>SUM(AC12:AC33)</f>
        <v/>
      </c>
      <c r="AD34" s="299">
        <f>SUM(AD12:AD33)</f>
        <v/>
      </c>
      <c r="AE34" s="299">
        <f>SUM(AE12:AE33)</f>
        <v/>
      </c>
      <c r="AF34" s="299">
        <f>SUM(AF12:AF33)</f>
        <v/>
      </c>
      <c r="AG34" s="299">
        <f>SUM(AG12:AG33)</f>
        <v/>
      </c>
      <c r="AH34" s="299">
        <f>SUM(AH12:AH33)</f>
        <v/>
      </c>
      <c r="AI34" s="299">
        <f>SUM(AI12:AI33)</f>
        <v/>
      </c>
      <c r="AJ34" s="299">
        <f>SUM(AJ12:AJ33)</f>
        <v/>
      </c>
      <c r="AK34" s="299">
        <f>SUM(AK12:AK33)</f>
        <v/>
      </c>
      <c r="AL34" s="289" t="n"/>
    </row>
    <row r="35" ht="14" customFormat="1" customHeight="1" s="180">
      <c r="A35" s="280" t="n"/>
      <c r="B35" s="281" t="n"/>
      <c r="C35" s="281" t="n"/>
      <c r="D35" s="300" t="inlineStr">
        <is>
          <t>（二）分包工程</t>
        </is>
      </c>
      <c r="E35" s="281" t="n"/>
      <c r="F35" s="281" t="n"/>
      <c r="G35" s="281" t="n"/>
      <c r="H35" s="283" t="n"/>
      <c r="I35" s="283" t="n"/>
      <c r="J35" s="283" t="n"/>
      <c r="K35" s="284" t="n"/>
      <c r="L35" s="285" t="n"/>
      <c r="M35" s="283" t="n"/>
      <c r="N35" s="283" t="n"/>
      <c r="O35" s="283">
        <f>L35-M35</f>
        <v/>
      </c>
      <c r="P35" s="283">
        <f>K35-N35</f>
        <v/>
      </c>
      <c r="Q35" s="283">
        <f>M35+O35</f>
        <v/>
      </c>
      <c r="R35" s="283">
        <f>M35+N35+O35+P35</f>
        <v/>
      </c>
      <c r="S35" s="287">
        <f>SUM(T35:V35)</f>
        <v/>
      </c>
      <c r="T35" s="287" t="n"/>
      <c r="U35" s="287" t="n"/>
      <c r="V35" s="287" t="n"/>
      <c r="W35" s="287" t="n"/>
      <c r="X35" s="287" t="n"/>
      <c r="Y35" s="287" t="n"/>
      <c r="Z35" s="287" t="n"/>
      <c r="AA35" s="287" t="n"/>
      <c r="AB35" s="287" t="n"/>
      <c r="AC35" s="287" t="n"/>
      <c r="AD35" s="287" t="n"/>
      <c r="AE35" s="287" t="n"/>
      <c r="AF35" s="287" t="n"/>
      <c r="AG35" s="287" t="n"/>
      <c r="AH35" s="287" t="n"/>
      <c r="AI35" s="287" t="n"/>
      <c r="AJ35" s="287" t="n"/>
      <c r="AK35" s="288">
        <f>AB18/1.17*0.17+AC18/1.16*0.16+AD18/1.11*0.11+AE18/1.1*0.1+AF18/1.09*0.09+AI18/1.03*0.03</f>
        <v/>
      </c>
      <c r="AL35" s="289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1" t="n"/>
      <c r="X36" s="291" t="n"/>
      <c r="Y36" s="291" t="n"/>
      <c r="Z36" s="291" t="n"/>
      <c r="AA36" s="291" t="n"/>
      <c r="AB36" s="291" t="n"/>
      <c r="AC36" s="291" t="n"/>
      <c r="AD36" s="291" t="n"/>
      <c r="AE36" s="291" t="n"/>
      <c r="AF36" s="291" t="n"/>
      <c r="AG36" s="291" t="n"/>
      <c r="AH36" s="291" t="n"/>
      <c r="AI36" s="291" t="n"/>
      <c r="AJ36" s="291" t="n"/>
      <c r="AK36" s="291" t="n"/>
      <c r="AL36" s="291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1" t="n"/>
      <c r="X37" s="291" t="n"/>
      <c r="Y37" s="291" t="n"/>
      <c r="Z37" s="291" t="n"/>
      <c r="AA37" s="291" t="n"/>
      <c r="AB37" s="291" t="n"/>
      <c r="AC37" s="291" t="n"/>
      <c r="AD37" s="291" t="n"/>
      <c r="AE37" s="291" t="n"/>
      <c r="AF37" s="291" t="n"/>
      <c r="AG37" s="291" t="n"/>
      <c r="AH37" s="291" t="n"/>
      <c r="AI37" s="291" t="n"/>
      <c r="AJ37" s="291" t="n"/>
      <c r="AK37" s="291" t="n"/>
      <c r="AL37" s="291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1" t="n"/>
      <c r="X38" s="291" t="n"/>
      <c r="Y38" s="291" t="n"/>
      <c r="Z38" s="291" t="n"/>
      <c r="AA38" s="291" t="n"/>
      <c r="AB38" s="291" t="n"/>
      <c r="AC38" s="291" t="n"/>
      <c r="AD38" s="291" t="n"/>
      <c r="AE38" s="291" t="n"/>
      <c r="AF38" s="291" t="n"/>
      <c r="AG38" s="291" t="n"/>
      <c r="AH38" s="291" t="n"/>
      <c r="AI38" s="291" t="n"/>
      <c r="AJ38" s="291" t="n"/>
      <c r="AK38" s="291" t="n"/>
      <c r="AL38" s="291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1" t="n"/>
      <c r="X39" s="291" t="n"/>
      <c r="Y39" s="291" t="n"/>
      <c r="Z39" s="291" t="n"/>
      <c r="AA39" s="291" t="n"/>
      <c r="AB39" s="291" t="n"/>
      <c r="AC39" s="291" t="n"/>
      <c r="AD39" s="291" t="n"/>
      <c r="AE39" s="291" t="n"/>
      <c r="AF39" s="291" t="n"/>
      <c r="AG39" s="291" t="n"/>
      <c r="AH39" s="291" t="n"/>
      <c r="AI39" s="291" t="n"/>
      <c r="AJ39" s="291" t="n"/>
      <c r="AK39" s="291" t="n"/>
      <c r="AL39" s="291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1" t="n"/>
      <c r="X40" s="291" t="n"/>
      <c r="Y40" s="291" t="n"/>
      <c r="Z40" s="291" t="n"/>
      <c r="AA40" s="291" t="n"/>
      <c r="AB40" s="291" t="n"/>
      <c r="AC40" s="291" t="n"/>
      <c r="AD40" s="291" t="n"/>
      <c r="AE40" s="291" t="n"/>
      <c r="AF40" s="291" t="n"/>
      <c r="AG40" s="291" t="n"/>
      <c r="AH40" s="291" t="n"/>
      <c r="AI40" s="291" t="n"/>
      <c r="AJ40" s="291" t="n"/>
      <c r="AK40" s="291" t="n"/>
      <c r="AL40" s="291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1" t="n"/>
      <c r="X41" s="291" t="n"/>
      <c r="Y41" s="291" t="n"/>
      <c r="Z41" s="291" t="n"/>
      <c r="AA41" s="291" t="n"/>
      <c r="AB41" s="291" t="n"/>
      <c r="AC41" s="291" t="n"/>
      <c r="AD41" s="291" t="n"/>
      <c r="AE41" s="291" t="n"/>
      <c r="AF41" s="291" t="n"/>
      <c r="AG41" s="291" t="n"/>
      <c r="AH41" s="291" t="n"/>
      <c r="AI41" s="291" t="n"/>
      <c r="AJ41" s="291" t="n"/>
      <c r="AK41" s="291" t="n"/>
      <c r="AL41" s="291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1" t="n"/>
      <c r="X42" s="291" t="n"/>
      <c r="Y42" s="291" t="n"/>
      <c r="Z42" s="291" t="n"/>
      <c r="AA42" s="291" t="n"/>
      <c r="AB42" s="291" t="n"/>
      <c r="AC42" s="291" t="n"/>
      <c r="AD42" s="291" t="n"/>
      <c r="AE42" s="291" t="n"/>
      <c r="AF42" s="291" t="n"/>
      <c r="AG42" s="291" t="n"/>
      <c r="AH42" s="291" t="n"/>
      <c r="AI42" s="291" t="n"/>
      <c r="AJ42" s="291" t="n"/>
      <c r="AK42" s="291" t="n"/>
      <c r="AL42" s="291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1" t="n"/>
      <c r="X43" s="291" t="n"/>
      <c r="Y43" s="291" t="n"/>
      <c r="Z43" s="291" t="n"/>
      <c r="AA43" s="291" t="n"/>
      <c r="AB43" s="291" t="n"/>
      <c r="AC43" s="291" t="n"/>
      <c r="AD43" s="291" t="n"/>
      <c r="AE43" s="291" t="n"/>
      <c r="AF43" s="291" t="n"/>
      <c r="AG43" s="291" t="n"/>
      <c r="AH43" s="291" t="n"/>
      <c r="AI43" s="291" t="n"/>
      <c r="AJ43" s="291" t="n"/>
      <c r="AK43" s="291" t="n"/>
      <c r="AL43" s="291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1" t="n"/>
      <c r="X44" s="291" t="n"/>
      <c r="Y44" s="291" t="n"/>
      <c r="Z44" s="291" t="n"/>
      <c r="AA44" s="291" t="n"/>
      <c r="AB44" s="291" t="n"/>
      <c r="AC44" s="291" t="n"/>
      <c r="AD44" s="291" t="n"/>
      <c r="AE44" s="291" t="n"/>
      <c r="AF44" s="291" t="n"/>
      <c r="AG44" s="291" t="n"/>
      <c r="AH44" s="291" t="n"/>
      <c r="AI44" s="291" t="n"/>
      <c r="AJ44" s="291" t="n"/>
      <c r="AK44" s="291" t="n"/>
      <c r="AL44" s="291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1" t="n"/>
      <c r="X45" s="291" t="n"/>
      <c r="Y45" s="291" t="n"/>
      <c r="Z45" s="291" t="n"/>
      <c r="AA45" s="291" t="n"/>
      <c r="AB45" s="291" t="n"/>
      <c r="AC45" s="291" t="n"/>
      <c r="AD45" s="291" t="n"/>
      <c r="AE45" s="291" t="n"/>
      <c r="AF45" s="291" t="n"/>
      <c r="AG45" s="291" t="n"/>
      <c r="AH45" s="291" t="n"/>
      <c r="AI45" s="291" t="n"/>
      <c r="AJ45" s="291" t="n"/>
      <c r="AK45" s="291" t="n"/>
      <c r="AL45" s="291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1" t="n"/>
      <c r="X46" s="291" t="n"/>
      <c r="Y46" s="291" t="n"/>
      <c r="Z46" s="291" t="n"/>
      <c r="AA46" s="291" t="n"/>
      <c r="AB46" s="291" t="n"/>
      <c r="AC46" s="291" t="n"/>
      <c r="AD46" s="291" t="n"/>
      <c r="AE46" s="291" t="n"/>
      <c r="AF46" s="291" t="n"/>
      <c r="AG46" s="291" t="n"/>
      <c r="AH46" s="291" t="n"/>
      <c r="AI46" s="291" t="n"/>
      <c r="AJ46" s="291" t="n"/>
      <c r="AK46" s="291" t="n"/>
      <c r="AL46" s="291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1" t="n"/>
      <c r="X47" s="291" t="n"/>
      <c r="Y47" s="291" t="n"/>
      <c r="Z47" s="291" t="n"/>
      <c r="AA47" s="291" t="n"/>
      <c r="AB47" s="291" t="n"/>
      <c r="AC47" s="291" t="n"/>
      <c r="AD47" s="291" t="n"/>
      <c r="AE47" s="291" t="n"/>
      <c r="AF47" s="291" t="n"/>
      <c r="AG47" s="291" t="n"/>
      <c r="AH47" s="291" t="n"/>
      <c r="AI47" s="291" t="n"/>
      <c r="AJ47" s="291" t="n"/>
      <c r="AK47" s="291" t="n"/>
      <c r="AL47" s="291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1" t="n"/>
      <c r="X48" s="291" t="n"/>
      <c r="Y48" s="291" t="n"/>
      <c r="Z48" s="291" t="n"/>
      <c r="AA48" s="291" t="n"/>
      <c r="AB48" s="291" t="n"/>
      <c r="AC48" s="291" t="n"/>
      <c r="AD48" s="291" t="n"/>
      <c r="AE48" s="291" t="n"/>
      <c r="AF48" s="291" t="n"/>
      <c r="AG48" s="291" t="n"/>
      <c r="AH48" s="291" t="n"/>
      <c r="AI48" s="291" t="n"/>
      <c r="AJ48" s="291" t="n"/>
      <c r="AK48" s="291" t="n"/>
      <c r="AL48" s="291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1" t="n"/>
      <c r="X49" s="291" t="n"/>
      <c r="Y49" s="291" t="n"/>
      <c r="Z49" s="291" t="n"/>
      <c r="AA49" s="291" t="n"/>
      <c r="AB49" s="291" t="n"/>
      <c r="AC49" s="291" t="n"/>
      <c r="AD49" s="291" t="n"/>
      <c r="AE49" s="291" t="n"/>
      <c r="AF49" s="291" t="n"/>
      <c r="AG49" s="291" t="n"/>
      <c r="AH49" s="291" t="n"/>
      <c r="AI49" s="291" t="n"/>
      <c r="AJ49" s="291" t="n"/>
      <c r="AK49" s="291" t="n"/>
      <c r="AL49" s="291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1" t="n"/>
      <c r="X50" s="291" t="n"/>
      <c r="Y50" s="291" t="n"/>
      <c r="Z50" s="291" t="n"/>
      <c r="AA50" s="291" t="n"/>
      <c r="AB50" s="291" t="n"/>
      <c r="AC50" s="291" t="n"/>
      <c r="AD50" s="291" t="n"/>
      <c r="AE50" s="291" t="n"/>
      <c r="AF50" s="291" t="n"/>
      <c r="AG50" s="291" t="n"/>
      <c r="AH50" s="291" t="n"/>
      <c r="AI50" s="291" t="n"/>
      <c r="AJ50" s="291" t="n"/>
      <c r="AK50" s="291" t="n"/>
      <c r="AL50" s="291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1" t="n"/>
      <c r="X51" s="291" t="n"/>
      <c r="Y51" s="291" t="n"/>
      <c r="Z51" s="291" t="n"/>
      <c r="AA51" s="291" t="n"/>
      <c r="AB51" s="291" t="n"/>
      <c r="AC51" s="291" t="n"/>
      <c r="AD51" s="291" t="n"/>
      <c r="AE51" s="291" t="n"/>
      <c r="AF51" s="291" t="n"/>
      <c r="AG51" s="291" t="n"/>
      <c r="AH51" s="291" t="n"/>
      <c r="AI51" s="291" t="n"/>
      <c r="AJ51" s="291" t="n"/>
      <c r="AK51" s="291" t="n"/>
      <c r="AL51" s="291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1" t="n"/>
      <c r="X52" s="291" t="n"/>
      <c r="Y52" s="291" t="n"/>
      <c r="Z52" s="291" t="n"/>
      <c r="AA52" s="291" t="n"/>
      <c r="AB52" s="291" t="n"/>
      <c r="AC52" s="291" t="n"/>
      <c r="AD52" s="291" t="n"/>
      <c r="AE52" s="291" t="n"/>
      <c r="AF52" s="291" t="n"/>
      <c r="AG52" s="291" t="n"/>
      <c r="AH52" s="291" t="n"/>
      <c r="AI52" s="291" t="n"/>
      <c r="AJ52" s="291" t="n"/>
      <c r="AK52" s="291" t="n"/>
      <c r="AL52" s="291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1" t="n"/>
      <c r="X53" s="291" t="n"/>
      <c r="Y53" s="291" t="n"/>
      <c r="Z53" s="291" t="n"/>
      <c r="AA53" s="291" t="n"/>
      <c r="AB53" s="291" t="n"/>
      <c r="AC53" s="291" t="n"/>
      <c r="AD53" s="291" t="n"/>
      <c r="AE53" s="291" t="n"/>
      <c r="AF53" s="291" t="n"/>
      <c r="AG53" s="291" t="n"/>
      <c r="AH53" s="291" t="n"/>
      <c r="AI53" s="291" t="n"/>
      <c r="AJ53" s="291" t="n"/>
      <c r="AK53" s="291" t="n"/>
      <c r="AL53" s="291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1" t="n"/>
      <c r="X54" s="291" t="n"/>
      <c r="Y54" s="291" t="n"/>
      <c r="Z54" s="291" t="n"/>
      <c r="AA54" s="291" t="n"/>
      <c r="AB54" s="291" t="n"/>
      <c r="AC54" s="291" t="n"/>
      <c r="AD54" s="291" t="n"/>
      <c r="AE54" s="291" t="n"/>
      <c r="AF54" s="291" t="n"/>
      <c r="AG54" s="291" t="n"/>
      <c r="AH54" s="291" t="n"/>
      <c r="AI54" s="291" t="n"/>
      <c r="AJ54" s="291" t="n"/>
      <c r="AK54" s="291" t="n"/>
      <c r="AL54" s="291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1" t="n"/>
      <c r="X55" s="291" t="n"/>
      <c r="Y55" s="291" t="n"/>
      <c r="Z55" s="291" t="n"/>
      <c r="AA55" s="291" t="n"/>
      <c r="AB55" s="291" t="n"/>
      <c r="AC55" s="291" t="n"/>
      <c r="AD55" s="291" t="n"/>
      <c r="AE55" s="291" t="n"/>
      <c r="AF55" s="291" t="n"/>
      <c r="AG55" s="291" t="n"/>
      <c r="AH55" s="291" t="n"/>
      <c r="AI55" s="291" t="n"/>
      <c r="AJ55" s="291" t="n"/>
      <c r="AK55" s="291" t="n"/>
      <c r="AL55" s="291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1" t="n"/>
      <c r="X56" s="291" t="n"/>
      <c r="Y56" s="291" t="n"/>
      <c r="Z56" s="291" t="n"/>
      <c r="AA56" s="291" t="n"/>
      <c r="AB56" s="291" t="n"/>
      <c r="AC56" s="291" t="n"/>
      <c r="AD56" s="291" t="n"/>
      <c r="AE56" s="291" t="n"/>
      <c r="AF56" s="291" t="n"/>
      <c r="AG56" s="291" t="n"/>
      <c r="AH56" s="291" t="n"/>
      <c r="AI56" s="291" t="n"/>
      <c r="AJ56" s="291" t="n"/>
      <c r="AK56" s="291" t="n"/>
      <c r="AL56" s="291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1" t="n"/>
      <c r="X57" s="291" t="n"/>
      <c r="Y57" s="291" t="n"/>
      <c r="Z57" s="291" t="n"/>
      <c r="AA57" s="291" t="n"/>
      <c r="AB57" s="291" t="n"/>
      <c r="AC57" s="291" t="n"/>
      <c r="AD57" s="291" t="n"/>
      <c r="AE57" s="291" t="n"/>
      <c r="AF57" s="291" t="n"/>
      <c r="AG57" s="291" t="n"/>
      <c r="AH57" s="291" t="n"/>
      <c r="AI57" s="291" t="n"/>
      <c r="AJ57" s="291" t="n"/>
      <c r="AK57" s="291" t="n"/>
      <c r="AL57" s="291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1" t="n"/>
      <c r="X58" s="291" t="n"/>
      <c r="Y58" s="291" t="n"/>
      <c r="Z58" s="291" t="n"/>
      <c r="AA58" s="291" t="n"/>
      <c r="AB58" s="291" t="n"/>
      <c r="AC58" s="291" t="n"/>
      <c r="AD58" s="291" t="n"/>
      <c r="AE58" s="291" t="n"/>
      <c r="AF58" s="291" t="n"/>
      <c r="AG58" s="291" t="n"/>
      <c r="AH58" s="291" t="n"/>
      <c r="AI58" s="291" t="n"/>
      <c r="AJ58" s="291" t="n"/>
      <c r="AK58" s="291" t="n"/>
      <c r="AL58" s="291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1" t="n"/>
      <c r="X59" s="291" t="n"/>
      <c r="Y59" s="291" t="n"/>
      <c r="Z59" s="291" t="n"/>
      <c r="AA59" s="291" t="n"/>
      <c r="AB59" s="291" t="n"/>
      <c r="AC59" s="291" t="n"/>
      <c r="AD59" s="291" t="n"/>
      <c r="AE59" s="291" t="n"/>
      <c r="AF59" s="291" t="n"/>
      <c r="AG59" s="291" t="n"/>
      <c r="AH59" s="291" t="n"/>
      <c r="AI59" s="291" t="n"/>
      <c r="AJ59" s="291" t="n"/>
      <c r="AK59" s="291" t="n"/>
      <c r="AL59" s="291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1" t="n"/>
      <c r="X60" s="291" t="n"/>
      <c r="Y60" s="291" t="n"/>
      <c r="Z60" s="291" t="n"/>
      <c r="AA60" s="291" t="n"/>
      <c r="AB60" s="291" t="n"/>
      <c r="AC60" s="291" t="n"/>
      <c r="AD60" s="291" t="n"/>
      <c r="AE60" s="291" t="n"/>
      <c r="AF60" s="291" t="n"/>
      <c r="AG60" s="291" t="n"/>
      <c r="AH60" s="291" t="n"/>
      <c r="AI60" s="291" t="n"/>
      <c r="AJ60" s="291" t="n"/>
      <c r="AK60" s="291" t="n"/>
      <c r="AL60" s="291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1" t="n"/>
      <c r="X61" s="291" t="n"/>
      <c r="Y61" s="291" t="n"/>
      <c r="Z61" s="291" t="n"/>
      <c r="AA61" s="291" t="n"/>
      <c r="AB61" s="291" t="n"/>
      <c r="AC61" s="291" t="n"/>
      <c r="AD61" s="291" t="n"/>
      <c r="AE61" s="291" t="n"/>
      <c r="AF61" s="291" t="n"/>
      <c r="AG61" s="291" t="n"/>
      <c r="AH61" s="291" t="n"/>
      <c r="AI61" s="291" t="n"/>
      <c r="AJ61" s="291" t="n"/>
      <c r="AK61" s="291" t="n"/>
      <c r="AL61" s="291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1" t="n"/>
      <c r="X62" s="291" t="n"/>
      <c r="Y62" s="291" t="n"/>
      <c r="Z62" s="291" t="n"/>
      <c r="AA62" s="291" t="n"/>
      <c r="AB62" s="291" t="n"/>
      <c r="AC62" s="291" t="n"/>
      <c r="AD62" s="291" t="n"/>
      <c r="AE62" s="291" t="n"/>
      <c r="AF62" s="291" t="n"/>
      <c r="AG62" s="291" t="n"/>
      <c r="AH62" s="291" t="n"/>
      <c r="AI62" s="291" t="n"/>
      <c r="AJ62" s="291" t="n"/>
      <c r="AK62" s="291" t="n"/>
      <c r="AL62" s="291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1" t="n"/>
      <c r="X63" s="291" t="n"/>
      <c r="Y63" s="291" t="n"/>
      <c r="Z63" s="291" t="n"/>
      <c r="AA63" s="291" t="n"/>
      <c r="AB63" s="291" t="n"/>
      <c r="AC63" s="291" t="n"/>
      <c r="AD63" s="291" t="n"/>
      <c r="AE63" s="291" t="n"/>
      <c r="AF63" s="291" t="n"/>
      <c r="AG63" s="291" t="n"/>
      <c r="AH63" s="291" t="n"/>
      <c r="AI63" s="291" t="n"/>
      <c r="AJ63" s="291" t="n"/>
      <c r="AK63" s="291" t="n"/>
      <c r="AL63" s="291" t="n"/>
    </row>
    <row r="64" ht="14" customFormat="1" customHeight="1" s="180">
      <c r="A64" s="280" t="n"/>
      <c r="B64" s="281" t="n"/>
      <c r="C64" s="281" t="n"/>
      <c r="D64" s="292" t="inlineStr">
        <is>
          <t>**财务未列部分需增列***</t>
        </is>
      </c>
      <c r="E64" s="301" t="n"/>
      <c r="F64" s="301" t="n"/>
      <c r="G64" s="301" t="n"/>
      <c r="H64" s="283" t="n"/>
      <c r="I64" s="283" t="n"/>
      <c r="J64" s="283" t="n"/>
      <c r="K64" s="284" t="n"/>
      <c r="L64" s="285" t="n"/>
      <c r="M64" s="283" t="n"/>
      <c r="N64" s="283" t="n"/>
      <c r="O64" s="283">
        <f>L64-M64</f>
        <v/>
      </c>
      <c r="P64" s="283">
        <f>K64-N64</f>
        <v/>
      </c>
      <c r="Q64" s="283">
        <f>M64+O64</f>
        <v/>
      </c>
      <c r="R64" s="283">
        <f>M64+N64+O64+P64</f>
        <v/>
      </c>
      <c r="S64" s="287">
        <f>SUM(T64:V64)</f>
        <v/>
      </c>
      <c r="T64" s="283" t="n"/>
      <c r="U64" s="283" t="n"/>
      <c r="V64" s="283" t="n"/>
      <c r="W64" s="283" t="n"/>
      <c r="X64" s="283" t="n"/>
      <c r="Y64" s="283" t="n"/>
      <c r="Z64" s="287" t="n"/>
      <c r="AA64" s="287" t="n"/>
      <c r="AB64" s="288" t="n"/>
      <c r="AC64" s="288" t="n"/>
      <c r="AD64" s="288" t="n"/>
      <c r="AE64" s="288" t="n"/>
      <c r="AF64" s="288" t="n"/>
      <c r="AG64" s="288" t="n"/>
      <c r="AH64" s="288" t="n"/>
      <c r="AI64" s="288" t="n"/>
      <c r="AJ64" s="288" t="n"/>
      <c r="AK64" s="288">
        <f>AB22/1.17*0.17+AC22/1.16*0.16+AD22/1.11*0.11+AE22/1.1*0.1+AF22/1.09*0.09+AI22/1.03*0.03</f>
        <v/>
      </c>
      <c r="AL64" s="295" t="n"/>
    </row>
    <row r="65" ht="14" customFormat="1" customHeight="1" s="180">
      <c r="A65" s="296" t="n"/>
      <c r="B65" s="297" t="n"/>
      <c r="C65" s="297" t="n"/>
      <c r="D65" s="298" t="inlineStr">
        <is>
          <t>分包工程小计：</t>
        </is>
      </c>
      <c r="E65" s="299">
        <f>SUM(E35:E64)</f>
        <v/>
      </c>
      <c r="F65" s="299">
        <f>SUM(F35:F64)</f>
        <v/>
      </c>
      <c r="G65" s="299">
        <f>SUM(G35:G64)</f>
        <v/>
      </c>
      <c r="H65" s="299">
        <f>SUM(H35:H64)</f>
        <v/>
      </c>
      <c r="I65" s="299">
        <f>SUM(I35:I64)</f>
        <v/>
      </c>
      <c r="J65" s="299">
        <f>SUM(J35:J64)</f>
        <v/>
      </c>
      <c r="K65" s="299">
        <f>SUM(K35:K64)</f>
        <v/>
      </c>
      <c r="L65" s="299">
        <f>SUM(L35:L64)</f>
        <v/>
      </c>
      <c r="M65" s="299">
        <f>SUM(M35:M64)</f>
        <v/>
      </c>
      <c r="N65" s="299">
        <f>SUM(N35:N64)</f>
        <v/>
      </c>
      <c r="O65" s="299">
        <f>SUM(O35:O64)</f>
        <v/>
      </c>
      <c r="P65" s="299">
        <f>SUM(P35:P64)</f>
        <v/>
      </c>
      <c r="Q65" s="299">
        <f>SUM(Q35:Q64)</f>
        <v/>
      </c>
      <c r="R65" s="299">
        <f>SUM(R35:R64)</f>
        <v/>
      </c>
      <c r="S65" s="299">
        <f>SUM(S35:S64)</f>
        <v/>
      </c>
      <c r="T65" s="299">
        <f>SUM(T35:T64)</f>
        <v/>
      </c>
      <c r="U65" s="299">
        <f>SUM(U35:U64)</f>
        <v/>
      </c>
      <c r="V65" s="299">
        <f>SUM(V35:V64)</f>
        <v/>
      </c>
      <c r="W65" s="299">
        <f>SUM(W35:W64)</f>
        <v/>
      </c>
      <c r="X65" s="299">
        <f>SUM(X35:X64)</f>
        <v/>
      </c>
      <c r="Y65" s="299">
        <f>SUM(Y35:Y64)</f>
        <v/>
      </c>
      <c r="Z65" s="299">
        <f>SUM(Z35:Z64)</f>
        <v/>
      </c>
      <c r="AA65" s="299">
        <f>SUM(AA35:AA64)</f>
        <v/>
      </c>
      <c r="AB65" s="299">
        <f>SUM(AB35:AB64)</f>
        <v/>
      </c>
      <c r="AC65" s="299">
        <f>SUM(AC35:AC64)</f>
        <v/>
      </c>
      <c r="AD65" s="299">
        <f>SUM(AD35:AD64)</f>
        <v/>
      </c>
      <c r="AE65" s="299">
        <f>SUM(AE35:AE64)</f>
        <v/>
      </c>
      <c r="AF65" s="299">
        <f>SUM(AF35:AF64)</f>
        <v/>
      </c>
      <c r="AG65" s="299">
        <f>SUM(AG35:AG64)</f>
        <v/>
      </c>
      <c r="AH65" s="299">
        <f>SUM(AH35:AH64)</f>
        <v/>
      </c>
      <c r="AI65" s="299">
        <f>SUM(AI35:AI64)</f>
        <v/>
      </c>
      <c r="AJ65" s="299">
        <f>SUM(AJ35:AJ64)</f>
        <v/>
      </c>
      <c r="AK65" s="299">
        <f>SUM(AK35:AK64)</f>
        <v/>
      </c>
      <c r="AL65" s="289" t="n"/>
    </row>
    <row r="66" ht="14" customFormat="1" customHeight="1" s="180">
      <c r="A66" s="280" t="n"/>
      <c r="B66" s="281" t="n"/>
      <c r="C66" s="281" t="n"/>
      <c r="D66" s="300" t="inlineStr">
        <is>
          <t>(三)材料费</t>
        </is>
      </c>
      <c r="E66" s="281" t="n"/>
      <c r="F66" s="281" t="n"/>
      <c r="G66" s="281" t="n"/>
      <c r="H66" s="283" t="n"/>
      <c r="I66" s="283" t="n"/>
      <c r="J66" s="283" t="n"/>
      <c r="K66" s="284" t="n"/>
      <c r="L66" s="285" t="n"/>
      <c r="M66" s="283" t="n"/>
      <c r="N66" s="283" t="n"/>
      <c r="O66" s="283">
        <f>L66-M66</f>
        <v/>
      </c>
      <c r="P66" s="283">
        <f>K66-N66</f>
        <v/>
      </c>
      <c r="Q66" s="283">
        <f>M66+O66</f>
        <v/>
      </c>
      <c r="R66" s="283">
        <f>M66+N66+O66+P66</f>
        <v/>
      </c>
      <c r="S66" s="287">
        <f>SUM(T66:V66)</f>
        <v/>
      </c>
      <c r="T66" s="287" t="n"/>
      <c r="U66" s="287" t="n"/>
      <c r="V66" s="287" t="n"/>
      <c r="W66" s="287" t="n"/>
      <c r="X66" s="287" t="n"/>
      <c r="Y66" s="287" t="n"/>
      <c r="Z66" s="287" t="n"/>
      <c r="AA66" s="287" t="n"/>
      <c r="AB66" s="302" t="n"/>
      <c r="AC66" s="302" t="n"/>
      <c r="AD66" s="302" t="n"/>
      <c r="AE66" s="302" t="n"/>
      <c r="AF66" s="302" t="n"/>
      <c r="AG66" s="302" t="n"/>
      <c r="AH66" s="302" t="n"/>
      <c r="AI66" s="302" t="n"/>
      <c r="AJ66" s="302" t="n"/>
      <c r="AK66" s="288">
        <f>AB24/1.17*0.17+AC24/1.16*0.16+AD24/1.11*0.11+AE24/1.1*0.1+AF24/1.09*0.09+AI24/1.03*0.03</f>
        <v/>
      </c>
      <c r="AL66" s="303" t="n"/>
    </row>
    <row r="67" ht="14" customFormat="1" customHeight="1" s="180">
      <c r="A67" s="280" t="n"/>
      <c r="B67" s="281" t="n"/>
      <c r="C67" s="281" t="n"/>
      <c r="D67" s="283" t="inlineStr">
        <is>
          <t>（1）集中采购</t>
        </is>
      </c>
      <c r="E67" s="281" t="n"/>
      <c r="F67" s="281" t="n"/>
      <c r="G67" s="281" t="n"/>
      <c r="H67" s="283" t="n"/>
      <c r="I67" s="283" t="n"/>
      <c r="J67" s="283" t="n"/>
      <c r="K67" s="284" t="n"/>
      <c r="L67" s="285" t="n"/>
      <c r="M67" s="283" t="n"/>
      <c r="N67" s="283" t="n"/>
      <c r="O67" s="283">
        <f>L67-M67</f>
        <v/>
      </c>
      <c r="P67" s="283">
        <f>K67-N67</f>
        <v/>
      </c>
      <c r="Q67" s="283">
        <f>M67+O67</f>
        <v/>
      </c>
      <c r="R67" s="283">
        <f>M67+N67+O67+P67</f>
        <v/>
      </c>
      <c r="S67" s="287">
        <f>SUM(T67:V67)</f>
        <v/>
      </c>
      <c r="T67" s="287" t="n"/>
      <c r="U67" s="287" t="n"/>
      <c r="V67" s="287" t="n"/>
      <c r="W67" s="287" t="n"/>
      <c r="X67" s="287" t="n"/>
      <c r="Y67" s="287" t="n"/>
      <c r="Z67" s="287" t="n"/>
      <c r="AA67" s="287" t="n"/>
      <c r="AB67" s="302" t="n"/>
      <c r="AC67" s="302" t="n"/>
      <c r="AD67" s="302" t="n"/>
      <c r="AE67" s="302" t="n"/>
      <c r="AF67" s="302" t="n"/>
      <c r="AG67" s="302" t="n"/>
      <c r="AH67" s="302" t="n"/>
      <c r="AI67" s="302" t="n"/>
      <c r="AJ67" s="302" t="n"/>
      <c r="AK67" s="288">
        <f>AB25/1.17*0.17+AC25/1.16*0.16+AD25/1.11*0.11+AE25/1.1*0.1+AF25/1.09*0.09+AI25/1.03*0.03</f>
        <v/>
      </c>
      <c r="AL67" s="303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4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4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4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80" t="n"/>
      <c r="B71" s="281" t="n"/>
      <c r="C71" s="281" t="n"/>
      <c r="D71" s="283" t="inlineStr">
        <is>
          <t>（2）自行采购</t>
        </is>
      </c>
      <c r="E71" s="301" t="n"/>
      <c r="F71" s="301" t="n"/>
      <c r="G71" s="301" t="n"/>
      <c r="H71" s="283" t="n"/>
      <c r="I71" s="283" t="n"/>
      <c r="J71" s="283" t="n"/>
      <c r="K71" s="284" t="n"/>
      <c r="L71" s="285" t="n"/>
      <c r="M71" s="283" t="n"/>
      <c r="N71" s="283" t="n"/>
      <c r="O71" s="283">
        <f>L71-M71</f>
        <v/>
      </c>
      <c r="P71" s="283">
        <f>K71-N71</f>
        <v/>
      </c>
      <c r="Q71" s="283">
        <f>M71+O71</f>
        <v/>
      </c>
      <c r="R71" s="283">
        <f>M71+N71+O71+P71</f>
        <v/>
      </c>
      <c r="S71" s="287">
        <f>SUM(T71:V71)</f>
        <v/>
      </c>
      <c r="T71" s="287" t="n"/>
      <c r="U71" s="287" t="n"/>
      <c r="V71" s="287" t="n"/>
      <c r="W71" s="287" t="n"/>
      <c r="X71" s="287" t="n"/>
      <c r="Y71" s="287" t="n"/>
      <c r="Z71" s="283">
        <f>SUM(AA29:AJ29)</f>
        <v/>
      </c>
      <c r="AA71" s="287" t="n"/>
      <c r="AB71" s="302" t="n"/>
      <c r="AC71" s="302" t="n"/>
      <c r="AD71" s="302" t="n"/>
      <c r="AE71" s="302" t="n"/>
      <c r="AF71" s="302" t="n"/>
      <c r="AG71" s="302" t="n"/>
      <c r="AH71" s="302" t="n"/>
      <c r="AI71" s="302" t="n"/>
      <c r="AJ71" s="302" t="n"/>
      <c r="AK71" s="288">
        <f>AB29/1.17*0.17+AC29/1.16*0.16+AD29/1.11*0.11+AE29/1.1*0.1+AF29/1.09*0.09+AI29/1.03*0.03</f>
        <v/>
      </c>
      <c r="AL71" s="303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1" t="n"/>
      <c r="X72" s="291" t="n"/>
      <c r="Y72" s="291" t="n"/>
      <c r="Z72" s="291" t="n"/>
      <c r="AA72" s="291" t="n"/>
      <c r="AB72" s="291" t="n"/>
      <c r="AC72" s="291" t="n"/>
      <c r="AD72" s="291" t="n"/>
      <c r="AE72" s="291" t="n"/>
      <c r="AF72" s="291" t="n"/>
      <c r="AG72" s="291" t="n"/>
      <c r="AH72" s="291" t="n"/>
      <c r="AI72" s="291" t="n"/>
      <c r="AJ72" s="291" t="n"/>
      <c r="AK72" s="291" t="n"/>
      <c r="AL72" s="291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1" t="n"/>
      <c r="X73" s="291" t="n"/>
      <c r="Y73" s="291" t="n"/>
      <c r="Z73" s="291" t="n"/>
      <c r="AA73" s="291" t="n"/>
      <c r="AB73" s="291" t="n"/>
      <c r="AC73" s="291" t="n"/>
      <c r="AD73" s="291" t="n"/>
      <c r="AE73" s="291" t="n"/>
      <c r="AF73" s="291" t="n"/>
      <c r="AG73" s="291" t="n"/>
      <c r="AH73" s="291" t="n"/>
      <c r="AI73" s="291" t="n"/>
      <c r="AJ73" s="291" t="n"/>
      <c r="AK73" s="291" t="n"/>
      <c r="AL73" s="291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1" t="n"/>
      <c r="X74" s="291" t="n"/>
      <c r="Y74" s="291" t="n"/>
      <c r="Z74" s="291" t="n"/>
      <c r="AA74" s="291" t="n"/>
      <c r="AB74" s="291" t="n"/>
      <c r="AC74" s="291" t="n"/>
      <c r="AD74" s="291" t="n"/>
      <c r="AE74" s="291" t="n"/>
      <c r="AF74" s="291" t="n"/>
      <c r="AG74" s="291" t="n"/>
      <c r="AH74" s="291" t="n"/>
      <c r="AI74" s="291" t="n"/>
      <c r="AJ74" s="291" t="n"/>
      <c r="AK74" s="291" t="n"/>
      <c r="AL74" s="291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1" t="n"/>
      <c r="X75" s="291" t="n"/>
      <c r="Y75" s="291" t="n"/>
      <c r="Z75" s="291" t="n"/>
      <c r="AA75" s="291" t="n"/>
      <c r="AB75" s="291" t="n"/>
      <c r="AC75" s="291" t="n"/>
      <c r="AD75" s="291" t="n"/>
      <c r="AE75" s="291" t="n"/>
      <c r="AF75" s="291" t="n"/>
      <c r="AG75" s="291" t="n"/>
      <c r="AH75" s="291" t="n"/>
      <c r="AI75" s="291" t="n"/>
      <c r="AJ75" s="291" t="n"/>
      <c r="AK75" s="291" t="n"/>
      <c r="AL75" s="291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1" t="n"/>
      <c r="X76" s="291" t="n"/>
      <c r="Y76" s="291" t="n"/>
      <c r="Z76" s="291" t="n"/>
      <c r="AA76" s="291" t="n"/>
      <c r="AB76" s="291" t="n"/>
      <c r="AC76" s="291" t="n"/>
      <c r="AD76" s="291" t="n"/>
      <c r="AE76" s="291" t="n"/>
      <c r="AF76" s="291" t="n"/>
      <c r="AG76" s="291" t="n"/>
      <c r="AH76" s="291" t="n"/>
      <c r="AI76" s="291" t="n"/>
      <c r="AJ76" s="291" t="n"/>
      <c r="AK76" s="291" t="n"/>
      <c r="AL76" s="291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1" t="n"/>
      <c r="X77" s="291" t="n"/>
      <c r="Y77" s="291" t="n"/>
      <c r="Z77" s="291" t="n"/>
      <c r="AA77" s="291" t="n"/>
      <c r="AB77" s="291" t="n"/>
      <c r="AC77" s="291" t="n"/>
      <c r="AD77" s="291" t="n"/>
      <c r="AE77" s="291" t="n"/>
      <c r="AF77" s="291" t="n"/>
      <c r="AG77" s="291" t="n"/>
      <c r="AH77" s="291" t="n"/>
      <c r="AI77" s="291" t="n"/>
      <c r="AJ77" s="291" t="n"/>
      <c r="AK77" s="291" t="n"/>
      <c r="AL77" s="291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1" t="n"/>
      <c r="X78" s="291" t="n"/>
      <c r="Y78" s="291" t="n"/>
      <c r="Z78" s="291" t="n"/>
      <c r="AA78" s="291" t="n"/>
      <c r="AB78" s="291" t="n"/>
      <c r="AC78" s="291" t="n"/>
      <c r="AD78" s="291" t="n"/>
      <c r="AE78" s="291" t="n"/>
      <c r="AF78" s="291" t="n"/>
      <c r="AG78" s="291" t="n"/>
      <c r="AH78" s="291" t="n"/>
      <c r="AI78" s="291" t="n"/>
      <c r="AJ78" s="291" t="n"/>
      <c r="AK78" s="291" t="n"/>
      <c r="AL78" s="291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1" t="n"/>
      <c r="X79" s="291" t="n"/>
      <c r="Y79" s="291" t="n"/>
      <c r="Z79" s="291" t="n"/>
      <c r="AA79" s="291" t="n"/>
      <c r="AB79" s="291" t="n"/>
      <c r="AC79" s="291" t="n"/>
      <c r="AD79" s="291" t="n"/>
      <c r="AE79" s="291" t="n"/>
      <c r="AF79" s="291" t="n"/>
      <c r="AG79" s="291" t="n"/>
      <c r="AH79" s="291" t="n"/>
      <c r="AI79" s="291" t="n"/>
      <c r="AJ79" s="291" t="n"/>
      <c r="AK79" s="291" t="n"/>
      <c r="AL79" s="291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1" t="n"/>
      <c r="X80" s="291" t="n"/>
      <c r="Y80" s="291" t="n"/>
      <c r="Z80" s="291" t="n"/>
      <c r="AA80" s="291" t="n"/>
      <c r="AB80" s="291" t="n"/>
      <c r="AC80" s="291" t="n"/>
      <c r="AD80" s="291" t="n"/>
      <c r="AE80" s="291" t="n"/>
      <c r="AF80" s="291" t="n"/>
      <c r="AG80" s="291" t="n"/>
      <c r="AH80" s="291" t="n"/>
      <c r="AI80" s="291" t="n"/>
      <c r="AJ80" s="291" t="n"/>
      <c r="AK80" s="291" t="n"/>
      <c r="AL80" s="291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1" t="n"/>
      <c r="X81" s="291" t="n"/>
      <c r="Y81" s="291" t="n"/>
      <c r="Z81" s="291" t="n"/>
      <c r="AA81" s="291" t="n"/>
      <c r="AB81" s="291" t="n"/>
      <c r="AC81" s="291" t="n"/>
      <c r="AD81" s="291" t="n"/>
      <c r="AE81" s="291" t="n"/>
      <c r="AF81" s="291" t="n"/>
      <c r="AG81" s="291" t="n"/>
      <c r="AH81" s="291" t="n"/>
      <c r="AI81" s="291" t="n"/>
      <c r="AJ81" s="291" t="n"/>
      <c r="AK81" s="291" t="n"/>
      <c r="AL81" s="291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1" t="n"/>
      <c r="X82" s="291" t="n"/>
      <c r="Y82" s="291" t="n"/>
      <c r="Z82" s="291" t="n"/>
      <c r="AA82" s="291" t="n"/>
      <c r="AB82" s="291" t="n"/>
      <c r="AC82" s="291" t="n"/>
      <c r="AD82" s="291" t="n"/>
      <c r="AE82" s="291" t="n"/>
      <c r="AF82" s="291" t="n"/>
      <c r="AG82" s="291" t="n"/>
      <c r="AH82" s="291" t="n"/>
      <c r="AI82" s="291" t="n"/>
      <c r="AJ82" s="291" t="n"/>
      <c r="AK82" s="291" t="n"/>
      <c r="AL82" s="291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1" t="n"/>
      <c r="X83" s="291" t="n"/>
      <c r="Y83" s="291" t="n"/>
      <c r="Z83" s="291" t="n"/>
      <c r="AA83" s="291" t="n"/>
      <c r="AB83" s="291" t="n"/>
      <c r="AC83" s="291" t="n"/>
      <c r="AD83" s="291" t="n"/>
      <c r="AE83" s="291" t="n"/>
      <c r="AF83" s="291" t="n"/>
      <c r="AG83" s="291" t="n"/>
      <c r="AH83" s="291" t="n"/>
      <c r="AI83" s="291" t="n"/>
      <c r="AJ83" s="291" t="n"/>
      <c r="AK83" s="291" t="n"/>
      <c r="AL83" s="291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1" t="n"/>
      <c r="X84" s="291" t="n"/>
      <c r="Y84" s="291" t="n"/>
      <c r="Z84" s="291" t="n"/>
      <c r="AA84" s="291" t="n"/>
      <c r="AB84" s="291" t="n"/>
      <c r="AC84" s="291" t="n"/>
      <c r="AD84" s="291" t="n"/>
      <c r="AE84" s="291" t="n"/>
      <c r="AF84" s="291" t="n"/>
      <c r="AG84" s="291" t="n"/>
      <c r="AH84" s="291" t="n"/>
      <c r="AI84" s="291" t="n"/>
      <c r="AJ84" s="291" t="n"/>
      <c r="AK84" s="291" t="n"/>
      <c r="AL84" s="291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1" t="n"/>
      <c r="X85" s="291" t="n"/>
      <c r="Y85" s="291" t="n"/>
      <c r="Z85" s="291" t="n"/>
      <c r="AA85" s="291" t="n"/>
      <c r="AB85" s="291" t="n"/>
      <c r="AC85" s="291" t="n"/>
      <c r="AD85" s="291" t="n"/>
      <c r="AE85" s="291" t="n"/>
      <c r="AF85" s="291" t="n"/>
      <c r="AG85" s="291" t="n"/>
      <c r="AH85" s="291" t="n"/>
      <c r="AI85" s="291" t="n"/>
      <c r="AJ85" s="291" t="n"/>
      <c r="AK85" s="291" t="n"/>
      <c r="AL85" s="291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1" t="n"/>
      <c r="X86" s="291" t="n"/>
      <c r="Y86" s="291" t="n"/>
      <c r="Z86" s="291" t="n"/>
      <c r="AA86" s="291" t="n"/>
      <c r="AB86" s="291" t="n"/>
      <c r="AC86" s="291" t="n"/>
      <c r="AD86" s="291" t="n"/>
      <c r="AE86" s="291" t="n"/>
      <c r="AF86" s="291" t="n"/>
      <c r="AG86" s="291" t="n"/>
      <c r="AH86" s="291" t="n"/>
      <c r="AI86" s="291" t="n"/>
      <c r="AJ86" s="291" t="n"/>
      <c r="AK86" s="291" t="n"/>
      <c r="AL86" s="291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1" t="n"/>
      <c r="X87" s="291" t="n"/>
      <c r="Y87" s="291" t="n"/>
      <c r="Z87" s="291" t="n"/>
      <c r="AA87" s="291" t="n"/>
      <c r="AB87" s="291" t="n"/>
      <c r="AC87" s="291" t="n"/>
      <c r="AD87" s="291" t="n"/>
      <c r="AE87" s="291" t="n"/>
      <c r="AF87" s="291" t="n"/>
      <c r="AG87" s="291" t="n"/>
      <c r="AH87" s="291" t="n"/>
      <c r="AI87" s="291" t="n"/>
      <c r="AJ87" s="291" t="n"/>
      <c r="AK87" s="291" t="n"/>
      <c r="AL87" s="291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1" t="n"/>
      <c r="X88" s="291" t="n"/>
      <c r="Y88" s="291" t="n"/>
      <c r="Z88" s="291" t="n"/>
      <c r="AA88" s="291" t="n"/>
      <c r="AB88" s="291" t="n"/>
      <c r="AC88" s="291" t="n"/>
      <c r="AD88" s="291" t="n"/>
      <c r="AE88" s="291" t="n"/>
      <c r="AF88" s="291" t="n"/>
      <c r="AG88" s="291" t="n"/>
      <c r="AH88" s="291" t="n"/>
      <c r="AI88" s="291" t="n"/>
      <c r="AJ88" s="291" t="n"/>
      <c r="AK88" s="291" t="n"/>
      <c r="AL88" s="291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1" t="n"/>
      <c r="X89" s="291" t="n"/>
      <c r="Y89" s="291" t="n"/>
      <c r="Z89" s="291" t="n"/>
      <c r="AA89" s="291" t="n"/>
      <c r="AB89" s="291" t="n"/>
      <c r="AC89" s="291" t="n"/>
      <c r="AD89" s="291" t="n"/>
      <c r="AE89" s="291" t="n"/>
      <c r="AF89" s="291" t="n"/>
      <c r="AG89" s="291" t="n"/>
      <c r="AH89" s="291" t="n"/>
      <c r="AI89" s="291" t="n"/>
      <c r="AJ89" s="291" t="n"/>
      <c r="AK89" s="291" t="n"/>
      <c r="AL89" s="291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1" t="n"/>
      <c r="X90" s="291" t="n"/>
      <c r="Y90" s="291" t="n"/>
      <c r="Z90" s="291" t="n"/>
      <c r="AA90" s="291" t="n"/>
      <c r="AB90" s="291" t="n"/>
      <c r="AC90" s="291" t="n"/>
      <c r="AD90" s="291" t="n"/>
      <c r="AE90" s="291" t="n"/>
      <c r="AF90" s="291" t="n"/>
      <c r="AG90" s="291" t="n"/>
      <c r="AH90" s="291" t="n"/>
      <c r="AI90" s="291" t="n"/>
      <c r="AJ90" s="291" t="n"/>
      <c r="AK90" s="291" t="n"/>
      <c r="AL90" s="291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1" t="n"/>
      <c r="X91" s="291" t="n"/>
      <c r="Y91" s="291" t="n"/>
      <c r="Z91" s="291" t="n"/>
      <c r="AA91" s="291" t="n"/>
      <c r="AB91" s="291" t="n"/>
      <c r="AC91" s="291" t="n"/>
      <c r="AD91" s="291" t="n"/>
      <c r="AE91" s="291" t="n"/>
      <c r="AF91" s="291" t="n"/>
      <c r="AG91" s="291" t="n"/>
      <c r="AH91" s="291" t="n"/>
      <c r="AI91" s="291" t="n"/>
      <c r="AJ91" s="291" t="n"/>
      <c r="AK91" s="291" t="n"/>
      <c r="AL91" s="291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1" t="n"/>
      <c r="X92" s="291" t="n"/>
      <c r="Y92" s="291" t="n"/>
      <c r="Z92" s="291" t="n"/>
      <c r="AA92" s="291" t="n"/>
      <c r="AB92" s="291" t="n"/>
      <c r="AC92" s="291" t="n"/>
      <c r="AD92" s="291" t="n"/>
      <c r="AE92" s="291" t="n"/>
      <c r="AF92" s="291" t="n"/>
      <c r="AG92" s="291" t="n"/>
      <c r="AH92" s="291" t="n"/>
      <c r="AI92" s="291" t="n"/>
      <c r="AJ92" s="291" t="n"/>
      <c r="AK92" s="291" t="n"/>
      <c r="AL92" s="291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1" t="n"/>
      <c r="X93" s="291" t="n"/>
      <c r="Y93" s="291" t="n"/>
      <c r="Z93" s="291" t="n"/>
      <c r="AA93" s="291" t="n"/>
      <c r="AB93" s="291" t="n"/>
      <c r="AC93" s="291" t="n"/>
      <c r="AD93" s="291" t="n"/>
      <c r="AE93" s="291" t="n"/>
      <c r="AF93" s="291" t="n"/>
      <c r="AG93" s="291" t="n"/>
      <c r="AH93" s="291" t="n"/>
      <c r="AI93" s="291" t="n"/>
      <c r="AJ93" s="291" t="n"/>
      <c r="AK93" s="291" t="n"/>
      <c r="AL93" s="291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1" t="n"/>
      <c r="X94" s="291" t="n"/>
      <c r="Y94" s="291" t="n"/>
      <c r="Z94" s="291" t="n"/>
      <c r="AA94" s="291" t="n"/>
      <c r="AB94" s="291" t="n"/>
      <c r="AC94" s="291" t="n"/>
      <c r="AD94" s="291" t="n"/>
      <c r="AE94" s="291" t="n"/>
      <c r="AF94" s="291" t="n"/>
      <c r="AG94" s="291" t="n"/>
      <c r="AH94" s="291" t="n"/>
      <c r="AI94" s="291" t="n"/>
      <c r="AJ94" s="291" t="n"/>
      <c r="AK94" s="291" t="n"/>
      <c r="AL94" s="291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1" t="n"/>
      <c r="X95" s="291" t="n"/>
      <c r="Y95" s="291" t="n"/>
      <c r="Z95" s="291" t="n"/>
      <c r="AA95" s="291" t="n"/>
      <c r="AB95" s="291" t="n"/>
      <c r="AC95" s="291" t="n"/>
      <c r="AD95" s="291" t="n"/>
      <c r="AE95" s="291" t="n"/>
      <c r="AF95" s="291" t="n"/>
      <c r="AG95" s="291" t="n"/>
      <c r="AH95" s="291" t="n"/>
      <c r="AI95" s="291" t="n"/>
      <c r="AJ95" s="291" t="n"/>
      <c r="AK95" s="291" t="n"/>
      <c r="AL95" s="291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1" t="n"/>
      <c r="X96" s="291" t="n"/>
      <c r="Y96" s="291" t="n"/>
      <c r="Z96" s="291" t="n"/>
      <c r="AA96" s="291" t="n"/>
      <c r="AB96" s="291" t="n"/>
      <c r="AC96" s="291" t="n"/>
      <c r="AD96" s="291" t="n"/>
      <c r="AE96" s="291" t="n"/>
      <c r="AF96" s="291" t="n"/>
      <c r="AG96" s="291" t="n"/>
      <c r="AH96" s="291" t="n"/>
      <c r="AI96" s="291" t="n"/>
      <c r="AJ96" s="291" t="n"/>
      <c r="AK96" s="291" t="n"/>
      <c r="AL96" s="291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1" t="n"/>
      <c r="X97" s="291" t="n"/>
      <c r="Y97" s="291" t="n"/>
      <c r="Z97" s="291" t="n"/>
      <c r="AA97" s="291" t="n"/>
      <c r="AB97" s="291" t="n"/>
      <c r="AC97" s="291" t="n"/>
      <c r="AD97" s="291" t="n"/>
      <c r="AE97" s="291" t="n"/>
      <c r="AF97" s="291" t="n"/>
      <c r="AG97" s="291" t="n"/>
      <c r="AH97" s="291" t="n"/>
      <c r="AI97" s="291" t="n"/>
      <c r="AJ97" s="291" t="n"/>
      <c r="AK97" s="291" t="n"/>
      <c r="AL97" s="291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1" t="n"/>
      <c r="X98" s="291" t="n"/>
      <c r="Y98" s="291" t="n"/>
      <c r="Z98" s="291" t="n"/>
      <c r="AA98" s="291" t="n"/>
      <c r="AB98" s="291" t="n"/>
      <c r="AC98" s="291" t="n"/>
      <c r="AD98" s="291" t="n"/>
      <c r="AE98" s="291" t="n"/>
      <c r="AF98" s="291" t="n"/>
      <c r="AG98" s="291" t="n"/>
      <c r="AH98" s="291" t="n"/>
      <c r="AI98" s="291" t="n"/>
      <c r="AJ98" s="291" t="n"/>
      <c r="AK98" s="291" t="n"/>
      <c r="AL98" s="291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1" t="n"/>
      <c r="X99" s="291" t="n"/>
      <c r="Y99" s="291" t="n"/>
      <c r="Z99" s="291" t="n"/>
      <c r="AA99" s="291" t="n"/>
      <c r="AB99" s="291" t="n"/>
      <c r="AC99" s="291" t="n"/>
      <c r="AD99" s="291" t="n"/>
      <c r="AE99" s="291" t="n"/>
      <c r="AF99" s="291" t="n"/>
      <c r="AG99" s="291" t="n"/>
      <c r="AH99" s="291" t="n"/>
      <c r="AI99" s="291" t="n"/>
      <c r="AJ99" s="291" t="n"/>
      <c r="AK99" s="291" t="n"/>
      <c r="AL99" s="291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1" t="n"/>
      <c r="X100" s="291" t="n"/>
      <c r="Y100" s="291" t="n"/>
      <c r="Z100" s="291" t="n"/>
      <c r="AA100" s="291" t="n"/>
      <c r="AB100" s="291" t="n"/>
      <c r="AC100" s="291" t="n"/>
      <c r="AD100" s="291" t="n"/>
      <c r="AE100" s="291" t="n"/>
      <c r="AF100" s="291" t="n"/>
      <c r="AG100" s="291" t="n"/>
      <c r="AH100" s="291" t="n"/>
      <c r="AI100" s="291" t="n"/>
      <c r="AJ100" s="291" t="n"/>
      <c r="AK100" s="291" t="n"/>
      <c r="AL100" s="291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1" t="n"/>
      <c r="X101" s="291" t="n"/>
      <c r="Y101" s="291" t="n"/>
      <c r="Z101" s="291" t="n"/>
      <c r="AA101" s="291" t="n"/>
      <c r="AB101" s="291" t="n"/>
      <c r="AC101" s="291" t="n"/>
      <c r="AD101" s="291" t="n"/>
      <c r="AE101" s="291" t="n"/>
      <c r="AF101" s="291" t="n"/>
      <c r="AG101" s="291" t="n"/>
      <c r="AH101" s="291" t="n"/>
      <c r="AI101" s="291" t="n"/>
      <c r="AJ101" s="291" t="n"/>
      <c r="AK101" s="291" t="n"/>
      <c r="AL101" s="291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1" t="n"/>
      <c r="X102" s="291" t="n"/>
      <c r="Y102" s="291" t="n"/>
      <c r="Z102" s="291" t="n"/>
      <c r="AA102" s="291" t="n"/>
      <c r="AB102" s="291" t="n"/>
      <c r="AC102" s="291" t="n"/>
      <c r="AD102" s="291" t="n"/>
      <c r="AE102" s="291" t="n"/>
      <c r="AF102" s="291" t="n"/>
      <c r="AG102" s="291" t="n"/>
      <c r="AH102" s="291" t="n"/>
      <c r="AI102" s="291" t="n"/>
      <c r="AJ102" s="291" t="n"/>
      <c r="AK102" s="291" t="n"/>
      <c r="AL102" s="291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1" t="n"/>
      <c r="X103" s="291" t="n"/>
      <c r="Y103" s="291" t="n"/>
      <c r="Z103" s="291" t="n"/>
      <c r="AA103" s="291" t="n"/>
      <c r="AB103" s="291" t="n"/>
      <c r="AC103" s="291" t="n"/>
      <c r="AD103" s="291" t="n"/>
      <c r="AE103" s="291" t="n"/>
      <c r="AF103" s="291" t="n"/>
      <c r="AG103" s="291" t="n"/>
      <c r="AH103" s="291" t="n"/>
      <c r="AI103" s="291" t="n"/>
      <c r="AJ103" s="291" t="n"/>
      <c r="AK103" s="291" t="n"/>
      <c r="AL103" s="291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1" t="n"/>
      <c r="X104" s="291" t="n"/>
      <c r="Y104" s="291" t="n"/>
      <c r="Z104" s="291" t="n"/>
      <c r="AA104" s="291" t="n"/>
      <c r="AB104" s="291" t="n"/>
      <c r="AC104" s="291" t="n"/>
      <c r="AD104" s="291" t="n"/>
      <c r="AE104" s="291" t="n"/>
      <c r="AF104" s="291" t="n"/>
      <c r="AG104" s="291" t="n"/>
      <c r="AH104" s="291" t="n"/>
      <c r="AI104" s="291" t="n"/>
      <c r="AJ104" s="291" t="n"/>
      <c r="AK104" s="291" t="n"/>
      <c r="AL104" s="291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1" t="n"/>
      <c r="X105" s="291" t="n"/>
      <c r="Y105" s="291" t="n"/>
      <c r="Z105" s="291" t="n"/>
      <c r="AA105" s="291" t="n"/>
      <c r="AB105" s="291" t="n"/>
      <c r="AC105" s="291" t="n"/>
      <c r="AD105" s="291" t="n"/>
      <c r="AE105" s="291" t="n"/>
      <c r="AF105" s="291" t="n"/>
      <c r="AG105" s="291" t="n"/>
      <c r="AH105" s="291" t="n"/>
      <c r="AI105" s="291" t="n"/>
      <c r="AJ105" s="291" t="n"/>
      <c r="AK105" s="291" t="n"/>
      <c r="AL105" s="291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1" t="n"/>
      <c r="X106" s="291" t="n"/>
      <c r="Y106" s="291" t="n"/>
      <c r="Z106" s="291" t="n"/>
      <c r="AA106" s="291" t="n"/>
      <c r="AB106" s="291" t="n"/>
      <c r="AC106" s="291" t="n"/>
      <c r="AD106" s="291" t="n"/>
      <c r="AE106" s="291" t="n"/>
      <c r="AF106" s="291" t="n"/>
      <c r="AG106" s="291" t="n"/>
      <c r="AH106" s="291" t="n"/>
      <c r="AI106" s="291" t="n"/>
      <c r="AJ106" s="291" t="n"/>
      <c r="AK106" s="291" t="n"/>
      <c r="AL106" s="291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1" t="n"/>
      <c r="X107" s="291" t="n"/>
      <c r="Y107" s="291" t="n"/>
      <c r="Z107" s="291" t="n"/>
      <c r="AA107" s="291" t="n"/>
      <c r="AB107" s="291" t="n"/>
      <c r="AC107" s="291" t="n"/>
      <c r="AD107" s="291" t="n"/>
      <c r="AE107" s="291" t="n"/>
      <c r="AF107" s="291" t="n"/>
      <c r="AG107" s="291" t="n"/>
      <c r="AH107" s="291" t="n"/>
      <c r="AI107" s="291" t="n"/>
      <c r="AJ107" s="291" t="n"/>
      <c r="AK107" s="291" t="n"/>
      <c r="AL107" s="291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1" t="n"/>
      <c r="X108" s="291" t="n"/>
      <c r="Y108" s="291" t="n"/>
      <c r="Z108" s="291" t="n"/>
      <c r="AA108" s="291" t="n"/>
      <c r="AB108" s="291" t="n"/>
      <c r="AC108" s="291" t="n"/>
      <c r="AD108" s="291" t="n"/>
      <c r="AE108" s="291" t="n"/>
      <c r="AF108" s="291" t="n"/>
      <c r="AG108" s="291" t="n"/>
      <c r="AH108" s="291" t="n"/>
      <c r="AI108" s="291" t="n"/>
      <c r="AJ108" s="291" t="n"/>
      <c r="AK108" s="291" t="n"/>
      <c r="AL108" s="291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1" t="n"/>
      <c r="X109" s="291" t="n"/>
      <c r="Y109" s="291" t="n"/>
      <c r="Z109" s="291" t="n"/>
      <c r="AA109" s="291" t="n"/>
      <c r="AB109" s="291" t="n"/>
      <c r="AC109" s="291" t="n"/>
      <c r="AD109" s="291" t="n"/>
      <c r="AE109" s="291" t="n"/>
      <c r="AF109" s="291" t="n"/>
      <c r="AG109" s="291" t="n"/>
      <c r="AH109" s="291" t="n"/>
      <c r="AI109" s="291" t="n"/>
      <c r="AJ109" s="291" t="n"/>
      <c r="AK109" s="291" t="n"/>
      <c r="AL109" s="291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1" t="n"/>
      <c r="X110" s="291" t="n"/>
      <c r="Y110" s="291" t="n"/>
      <c r="Z110" s="291" t="n"/>
      <c r="AA110" s="291" t="n"/>
      <c r="AB110" s="291" t="n"/>
      <c r="AC110" s="291" t="n"/>
      <c r="AD110" s="291" t="n"/>
      <c r="AE110" s="291" t="n"/>
      <c r="AF110" s="291" t="n"/>
      <c r="AG110" s="291" t="n"/>
      <c r="AH110" s="291" t="n"/>
      <c r="AI110" s="291" t="n"/>
      <c r="AJ110" s="291" t="n"/>
      <c r="AK110" s="291" t="n"/>
      <c r="AL110" s="291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1" t="n"/>
      <c r="X111" s="291" t="n"/>
      <c r="Y111" s="291" t="n"/>
      <c r="Z111" s="291" t="n"/>
      <c r="AA111" s="291" t="n"/>
      <c r="AB111" s="291" t="n"/>
      <c r="AC111" s="291" t="n"/>
      <c r="AD111" s="291" t="n"/>
      <c r="AE111" s="291" t="n"/>
      <c r="AF111" s="291" t="n"/>
      <c r="AG111" s="291" t="n"/>
      <c r="AH111" s="291" t="n"/>
      <c r="AI111" s="291" t="n"/>
      <c r="AJ111" s="291" t="n"/>
      <c r="AK111" s="291" t="n"/>
      <c r="AL111" s="291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1" t="n"/>
      <c r="X112" s="291" t="n"/>
      <c r="Y112" s="291" t="n"/>
      <c r="Z112" s="291" t="n"/>
      <c r="AA112" s="291" t="n"/>
      <c r="AB112" s="291" t="n"/>
      <c r="AC112" s="291" t="n"/>
      <c r="AD112" s="291" t="n"/>
      <c r="AE112" s="291" t="n"/>
      <c r="AF112" s="291" t="n"/>
      <c r="AG112" s="291" t="n"/>
      <c r="AH112" s="291" t="n"/>
      <c r="AI112" s="291" t="n"/>
      <c r="AJ112" s="291" t="n"/>
      <c r="AK112" s="291" t="n"/>
      <c r="AL112" s="291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1" t="n"/>
      <c r="X113" s="291" t="n"/>
      <c r="Y113" s="291" t="n"/>
      <c r="Z113" s="291" t="n"/>
      <c r="AA113" s="291" t="n"/>
      <c r="AB113" s="291" t="n"/>
      <c r="AC113" s="291" t="n"/>
      <c r="AD113" s="291" t="n"/>
      <c r="AE113" s="291" t="n"/>
      <c r="AF113" s="291" t="n"/>
      <c r="AG113" s="291" t="n"/>
      <c r="AH113" s="291" t="n"/>
      <c r="AI113" s="291" t="n"/>
      <c r="AJ113" s="291" t="n"/>
      <c r="AK113" s="291" t="n"/>
      <c r="AL113" s="291" t="n"/>
    </row>
    <row r="114">
      <c r="A114" s="206" t="n">
        <v>43</v>
      </c>
      <c r="B114" s="206" t="n"/>
      <c r="C114" s="207" t="n"/>
      <c r="D114" s="207" t="inlineStr">
        <is>
          <t>减：研发领用材料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1" t="n"/>
      <c r="X114" s="291" t="n"/>
      <c r="Y114" s="291" t="n"/>
      <c r="Z114" s="291" t="n"/>
      <c r="AA114" s="291" t="n"/>
      <c r="AB114" s="291" t="n"/>
      <c r="AC114" s="291" t="n"/>
      <c r="AD114" s="291" t="n"/>
      <c r="AE114" s="291" t="n"/>
      <c r="AF114" s="291" t="n"/>
      <c r="AG114" s="291" t="n"/>
      <c r="AH114" s="291" t="n"/>
      <c r="AI114" s="291" t="n"/>
      <c r="AJ114" s="291" t="n"/>
      <c r="AK114" s="291" t="n"/>
      <c r="AL114" s="291" t="n"/>
    </row>
    <row r="115">
      <c r="A115" s="280" t="n">
        <v>44</v>
      </c>
      <c r="B115" s="281" t="n"/>
      <c r="C115" s="281" t="n"/>
      <c r="D115" s="300" t="inlineStr">
        <is>
          <t>材料调入</t>
        </is>
      </c>
      <c r="E115" s="281" t="n"/>
      <c r="F115" s="281" t="n"/>
      <c r="G115" s="281" t="n"/>
      <c r="H115" s="283" t="n"/>
      <c r="I115" s="283" t="n"/>
      <c r="J115" s="283" t="n"/>
      <c r="K115" s="284" t="n"/>
      <c r="L115" s="285" t="n"/>
      <c r="M115" s="305" t="n">
        <v>17996069.15</v>
      </c>
      <c r="N115" s="283" t="n"/>
      <c r="O115" s="283">
        <f>L115-M115</f>
        <v/>
      </c>
      <c r="P115" s="283">
        <f>K115-N115</f>
        <v/>
      </c>
      <c r="Q115" s="283">
        <f>M115+O115</f>
        <v/>
      </c>
      <c r="R115" s="283">
        <f>M115+N115+O115+P115</f>
        <v/>
      </c>
      <c r="S115" s="287">
        <f>SUM(T115:V115)</f>
        <v/>
      </c>
      <c r="T115" s="287" t="n"/>
      <c r="U115" s="287" t="n"/>
      <c r="V115" s="287" t="n"/>
      <c r="W115" s="287" t="n"/>
      <c r="X115" s="287" t="n"/>
      <c r="Y115" s="287" t="n"/>
      <c r="Z115" s="283">
        <f>SUM(AA30:AJ30)</f>
        <v/>
      </c>
      <c r="AA115" s="287" t="n"/>
      <c r="AB115" s="302" t="n"/>
      <c r="AC115" s="302" t="n"/>
      <c r="AD115" s="302" t="n"/>
      <c r="AE115" s="302" t="n"/>
      <c r="AF115" s="302" t="n"/>
      <c r="AG115" s="302" t="n"/>
      <c r="AH115" s="302" t="n"/>
      <c r="AI115" s="302" t="n"/>
      <c r="AJ115" s="302" t="n"/>
      <c r="AK115" s="288">
        <f>AB30/1.17*0.17+AC30/1.16*0.16+AD30/1.11*0.11+AE30/1.1*0.1+AF30/1.09*0.09+AI30/1.03*0.03</f>
        <v/>
      </c>
      <c r="AL115" s="303" t="n"/>
    </row>
    <row r="116">
      <c r="A116" s="280" t="n">
        <v>45</v>
      </c>
      <c r="B116" s="281" t="n"/>
      <c r="C116" s="281" t="n"/>
      <c r="D116" s="300" t="inlineStr">
        <is>
          <t>材料调出（注：负数填报）</t>
        </is>
      </c>
      <c r="E116" s="306" t="n"/>
      <c r="F116" s="306" t="n"/>
      <c r="G116" s="306" t="n"/>
      <c r="H116" s="307" t="n"/>
      <c r="I116" s="307" t="n"/>
      <c r="J116" s="283" t="n"/>
      <c r="K116" s="284" t="n"/>
      <c r="L116" s="285" t="n"/>
      <c r="M116" s="308" t="n">
        <v>-8003517.42</v>
      </c>
      <c r="N116" s="307" t="n"/>
      <c r="O116" s="283">
        <f>L116-M116</f>
        <v/>
      </c>
      <c r="P116" s="283">
        <f>K116-N116</f>
        <v/>
      </c>
      <c r="Q116" s="283">
        <f>M116+O116</f>
        <v/>
      </c>
      <c r="R116" s="283">
        <f>M116+N116+O116+P116</f>
        <v/>
      </c>
      <c r="S116" s="287">
        <f>SUM(T116:V116)</f>
        <v/>
      </c>
      <c r="T116" s="307" t="n"/>
      <c r="U116" s="307" t="n"/>
      <c r="V116" s="307" t="n"/>
      <c r="W116" s="307" t="n"/>
      <c r="X116" s="307" t="n"/>
      <c r="Y116" s="307" t="n"/>
      <c r="Z116" s="283">
        <f>SUM(AA31:AJ31)</f>
        <v/>
      </c>
      <c r="AA116" s="307" t="n"/>
      <c r="AB116" s="309" t="n"/>
      <c r="AC116" s="309" t="n"/>
      <c r="AD116" s="309" t="n"/>
      <c r="AE116" s="309" t="n"/>
      <c r="AF116" s="309" t="n"/>
      <c r="AG116" s="309" t="n"/>
      <c r="AH116" s="309" t="n"/>
      <c r="AI116" s="309" t="n"/>
      <c r="AJ116" s="309" t="n"/>
      <c r="AK116" s="288">
        <f>AB31/1.17*0.17+AC31/1.16*0.16+AD31/1.11*0.11+AE31/1.1*0.1+AF31/1.09*0.09+AI31/1.03*0.03</f>
        <v/>
      </c>
      <c r="AL116" s="310" t="n"/>
    </row>
    <row r="117">
      <c r="A117" s="280" t="n"/>
      <c r="B117" s="281" t="n"/>
      <c r="C117" s="281" t="n"/>
      <c r="D117" s="300" t="inlineStr">
        <is>
          <t>材料库存（注：项目已结算未使用材料冲减项目成本，负数填报）</t>
        </is>
      </c>
      <c r="E117" s="306" t="n"/>
      <c r="F117" s="306" t="n"/>
      <c r="G117" s="306" t="n"/>
      <c r="H117" s="307" t="n"/>
      <c r="I117" s="307" t="n"/>
      <c r="J117" s="283" t="n"/>
      <c r="K117" s="284" t="n"/>
      <c r="L117" s="285" t="n"/>
      <c r="M117" s="307" t="n"/>
      <c r="N117" s="307" t="n"/>
      <c r="O117" s="283" t="n"/>
      <c r="P117" s="283" t="n"/>
      <c r="Q117" s="283" t="n"/>
      <c r="R117" s="283" t="n"/>
      <c r="S117" s="287" t="n"/>
      <c r="T117" s="307" t="n"/>
      <c r="U117" s="307" t="n"/>
      <c r="V117" s="307" t="n"/>
      <c r="W117" s="307" t="n"/>
      <c r="X117" s="307" t="n"/>
      <c r="Y117" s="307" t="n"/>
      <c r="Z117" s="283" t="n"/>
      <c r="AA117" s="307" t="n"/>
      <c r="AB117" s="309" t="n"/>
      <c r="AC117" s="309" t="n"/>
      <c r="AD117" s="309" t="n"/>
      <c r="AE117" s="309" t="n"/>
      <c r="AF117" s="309" t="n"/>
      <c r="AG117" s="309" t="n"/>
      <c r="AH117" s="309" t="n"/>
      <c r="AI117" s="309" t="n"/>
      <c r="AJ117" s="309" t="n"/>
      <c r="AK117" s="288" t="n"/>
      <c r="AL117" s="310" t="n"/>
    </row>
    <row r="118">
      <c r="A118" s="280" t="n"/>
      <c r="B118" s="281" t="n"/>
      <c r="C118" s="281" t="n"/>
      <c r="D118" s="292" t="inlineStr">
        <is>
          <t>**财务未列部分需增列***</t>
        </is>
      </c>
      <c r="E118" s="301" t="n"/>
      <c r="F118" s="301" t="n"/>
      <c r="G118" s="301" t="n"/>
      <c r="H118" s="283" t="n"/>
      <c r="I118" s="283" t="n"/>
      <c r="J118" s="283" t="n"/>
      <c r="K118" s="284" t="n"/>
      <c r="L118" s="285" t="n"/>
      <c r="M118" s="283" t="n"/>
      <c r="N118" s="283" t="n"/>
      <c r="O118" s="283">
        <f>L118-M118</f>
        <v/>
      </c>
      <c r="P118" s="283">
        <f>K118-N118</f>
        <v/>
      </c>
      <c r="Q118" s="283">
        <f>M118+O118</f>
        <v/>
      </c>
      <c r="R118" s="283">
        <f>M118+N118+O118+P118</f>
        <v/>
      </c>
      <c r="S118" s="287">
        <f>SUM(T118:V118)</f>
        <v/>
      </c>
      <c r="T118" s="287" t="n"/>
      <c r="U118" s="287" t="n"/>
      <c r="V118" s="287" t="n"/>
      <c r="W118" s="287" t="n"/>
      <c r="X118" s="287" t="n"/>
      <c r="Y118" s="287" t="n"/>
      <c r="Z118" s="287" t="n"/>
      <c r="AA118" s="287" t="n"/>
      <c r="AB118" s="302" t="n"/>
      <c r="AC118" s="302" t="n"/>
      <c r="AD118" s="302" t="n"/>
      <c r="AE118" s="302" t="n"/>
      <c r="AF118" s="302" t="n"/>
      <c r="AG118" s="302" t="n"/>
      <c r="AH118" s="302" t="n"/>
      <c r="AI118" s="302" t="n"/>
      <c r="AJ118" s="302" t="n"/>
      <c r="AK118" s="288">
        <f>AB33/1.17*0.17+AC33/1.16*0.16+AD33/1.11*0.11+AE33/1.1*0.1+AF33/1.09*0.09+AI33/1.03*0.03</f>
        <v/>
      </c>
      <c r="AL118" s="303" t="n"/>
    </row>
    <row r="119">
      <c r="A119" s="206" t="n"/>
      <c r="B119" s="206" t="n"/>
      <c r="C119" s="207" t="n"/>
      <c r="D119" s="229" t="inlineStr">
        <is>
          <t>材料调入+CFK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211578.27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91" t="n"/>
      <c r="X119" s="291" t="n"/>
      <c r="Y119" s="291" t="n"/>
      <c r="Z119" s="291" t="n"/>
      <c r="AA119" s="291" t="n"/>
      <c r="AB119" s="291" t="n"/>
      <c r="AC119" s="291" t="n"/>
      <c r="AD119" s="291" t="n"/>
      <c r="AE119" s="291" t="n"/>
      <c r="AF119" s="291" t="n"/>
      <c r="AG119" s="291" t="n"/>
      <c r="AH119" s="291" t="n"/>
      <c r="AI119" s="291" t="n"/>
      <c r="AJ119" s="291" t="n"/>
      <c r="AK119" s="291" t="n"/>
      <c r="AL119" s="291" t="n"/>
    </row>
    <row r="120">
      <c r="A120" s="206" t="n"/>
      <c r="B120" s="206" t="n"/>
      <c r="C120" s="207" t="n"/>
      <c r="D120" s="229" t="inlineStr">
        <is>
          <t>材料调出+XSD</t>
        </is>
      </c>
      <c r="E120" s="206" t="n"/>
      <c r="F120" s="206" t="n"/>
      <c r="G120" s="206" t="n"/>
      <c r="H120" s="206" t="n"/>
      <c r="I120" s="206" t="n"/>
      <c r="J120" s="206" t="n"/>
      <c r="K120" s="208" t="n"/>
      <c r="L120" s="206" t="n"/>
      <c r="M120" s="210" t="n">
        <v>3278855.9</v>
      </c>
      <c r="N120" s="206" t="n"/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06" t="n"/>
      <c r="U120" s="206" t="n"/>
      <c r="V120" s="206" t="n"/>
      <c r="W120" s="291" t="n"/>
      <c r="X120" s="291" t="n"/>
      <c r="Y120" s="291" t="n"/>
      <c r="Z120" s="291" t="n"/>
      <c r="AA120" s="291" t="n"/>
      <c r="AB120" s="291" t="n"/>
      <c r="AC120" s="291" t="n"/>
      <c r="AD120" s="291" t="n"/>
      <c r="AE120" s="291" t="n"/>
      <c r="AF120" s="291" t="n"/>
      <c r="AG120" s="291" t="n"/>
      <c r="AH120" s="291" t="n"/>
      <c r="AI120" s="291" t="n"/>
      <c r="AJ120" s="291" t="n"/>
      <c r="AK120" s="291" t="n"/>
      <c r="AL120" s="291" t="n"/>
    </row>
    <row r="121">
      <c r="A121" s="206" t="n"/>
      <c r="B121" s="206" t="n"/>
      <c r="C121" s="207" t="n"/>
      <c r="D121" s="229" t="inlineStr">
        <is>
          <t>材料调出+SQD</t>
        </is>
      </c>
      <c r="E121" s="206" t="n"/>
      <c r="F121" s="206" t="n"/>
      <c r="G121" s="206" t="n"/>
      <c r="H121" s="206" t="n"/>
      <c r="I121" s="206" t="n"/>
      <c r="J121" s="206" t="n"/>
      <c r="K121" s="208" t="n"/>
      <c r="L121" s="206" t="n"/>
      <c r="M121" s="210" t="n">
        <v>-1176782.31</v>
      </c>
      <c r="N121" s="206" t="n"/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06" t="n"/>
      <c r="U121" s="206" t="n"/>
      <c r="V121" s="206" t="n"/>
      <c r="W121" s="291" t="n"/>
      <c r="X121" s="291" t="n"/>
      <c r="Y121" s="291" t="n"/>
      <c r="Z121" s="291" t="n"/>
      <c r="AA121" s="291" t="n"/>
      <c r="AB121" s="291" t="n"/>
      <c r="AC121" s="291" t="n"/>
      <c r="AD121" s="291" t="n"/>
      <c r="AE121" s="291" t="n"/>
      <c r="AF121" s="291" t="n"/>
      <c r="AG121" s="291" t="n"/>
      <c r="AH121" s="291" t="n"/>
      <c r="AI121" s="291" t="n"/>
      <c r="AJ121" s="291" t="n"/>
      <c r="AK121" s="291" t="n"/>
      <c r="AL121" s="291" t="n"/>
    </row>
    <row r="122">
      <c r="A122" s="206" t="n"/>
      <c r="B122" s="206" t="n"/>
      <c r="C122" s="207" t="n"/>
      <c r="D122" s="229" t="inlineStr">
        <is>
          <t>废旧物资消耗</t>
        </is>
      </c>
      <c r="E122" s="206" t="n"/>
      <c r="F122" s="206" t="n"/>
      <c r="G122" s="206" t="n"/>
      <c r="H122" s="206" t="n"/>
      <c r="I122" s="206" t="n"/>
      <c r="J122" s="206" t="n"/>
      <c r="K122" s="208" t="n"/>
      <c r="L122" s="206" t="n"/>
      <c r="M122" s="210" t="n">
        <v>-1401180.1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  <c r="W122" s="291" t="n"/>
      <c r="X122" s="291" t="n"/>
      <c r="Y122" s="291" t="n"/>
      <c r="Z122" s="291" t="n"/>
      <c r="AA122" s="291" t="n"/>
      <c r="AB122" s="291" t="n"/>
      <c r="AC122" s="291" t="n"/>
      <c r="AD122" s="291" t="n"/>
      <c r="AE122" s="291" t="n"/>
      <c r="AF122" s="291" t="n"/>
      <c r="AG122" s="291" t="n"/>
      <c r="AH122" s="291" t="n"/>
      <c r="AI122" s="291" t="n"/>
      <c r="AJ122" s="291" t="n"/>
      <c r="AK122" s="291" t="n"/>
      <c r="AL122" s="291" t="n"/>
    </row>
    <row r="123">
      <c r="A123" s="206" t="n"/>
      <c r="B123" s="206" t="n"/>
      <c r="C123" s="207" t="n"/>
      <c r="D123" s="229" t="inlineStr">
        <is>
          <t>废旧物资消耗（SQD）</t>
        </is>
      </c>
      <c r="E123" s="206" t="n"/>
      <c r="F123" s="206" t="n"/>
      <c r="G123" s="206" t="n"/>
      <c r="H123" s="206" t="n"/>
      <c r="I123" s="206" t="n"/>
      <c r="J123" s="206" t="n"/>
      <c r="K123" s="208" t="n"/>
      <c r="L123" s="206" t="n"/>
      <c r="M123" s="210" t="n">
        <v>7911.36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1" t="n"/>
      <c r="X123" s="291" t="n"/>
      <c r="Y123" s="291" t="n"/>
      <c r="Z123" s="291" t="n"/>
      <c r="AA123" s="291" t="n"/>
      <c r="AB123" s="291" t="n"/>
      <c r="AC123" s="291" t="n"/>
      <c r="AD123" s="291" t="n"/>
      <c r="AE123" s="291" t="n"/>
      <c r="AF123" s="291" t="n"/>
      <c r="AG123" s="291" t="n"/>
      <c r="AH123" s="291" t="n"/>
      <c r="AI123" s="291" t="n"/>
      <c r="AJ123" s="291" t="n"/>
      <c r="AK123" s="291" t="n"/>
      <c r="AL123" s="291" t="n"/>
    </row>
    <row r="124">
      <c r="A124" s="296" t="n"/>
      <c r="B124" s="297" t="n"/>
      <c r="C124" s="297" t="n"/>
      <c r="D124" s="298" t="inlineStr">
        <is>
          <t>材料费小计：</t>
        </is>
      </c>
      <c r="E124" s="299">
        <f>SUM(E66:E118)</f>
        <v/>
      </c>
      <c r="F124" s="299">
        <f>SUM(F66:F118)</f>
        <v/>
      </c>
      <c r="G124" s="299">
        <f>SUM(G66:G118)</f>
        <v/>
      </c>
      <c r="H124" s="299">
        <f>SUM(H66:H118)</f>
        <v/>
      </c>
      <c r="I124" s="299">
        <f>SUM(I66:I118)</f>
        <v/>
      </c>
      <c r="J124" s="299">
        <f>SUM(J66:J118)</f>
        <v/>
      </c>
      <c r="K124" s="299">
        <f>SUM(K66:K118)</f>
        <v/>
      </c>
      <c r="L124" s="299">
        <f>SUM(L66:L118)</f>
        <v/>
      </c>
      <c r="M124" s="299">
        <f>SUM(M66:M118)</f>
        <v/>
      </c>
      <c r="N124" s="299">
        <f>SUM(N66:N118)</f>
        <v/>
      </c>
      <c r="O124" s="299">
        <f>SUM(O66:O118)</f>
        <v/>
      </c>
      <c r="P124" s="299">
        <f>SUM(P66:P118)</f>
        <v/>
      </c>
      <c r="Q124" s="299">
        <f>SUM(Q66:Q118)</f>
        <v/>
      </c>
      <c r="R124" s="299">
        <f>SUM(R66:R118)</f>
        <v/>
      </c>
      <c r="S124" s="299">
        <f>SUM(S66:S118)</f>
        <v/>
      </c>
      <c r="T124" s="299">
        <f>SUM(T66:T118)</f>
        <v/>
      </c>
      <c r="U124" s="299">
        <f>SUM(U66:U118)</f>
        <v/>
      </c>
      <c r="V124" s="299">
        <f>SUM(V66:V118)</f>
        <v/>
      </c>
      <c r="W124" s="299">
        <f>SUM(W66:W118)</f>
        <v/>
      </c>
      <c r="X124" s="299">
        <f>SUM(X66:X118)</f>
        <v/>
      </c>
      <c r="Y124" s="299">
        <f>SUM(Y66:Y118)</f>
        <v/>
      </c>
      <c r="Z124" s="299">
        <f>SUM(Z66:Z118)</f>
        <v/>
      </c>
      <c r="AA124" s="299">
        <f>SUM(AA66:AA118)</f>
        <v/>
      </c>
      <c r="AB124" s="299">
        <f>SUM(AB66:AB118)</f>
        <v/>
      </c>
      <c r="AC124" s="299">
        <f>SUM(AC66:AC118)</f>
        <v/>
      </c>
      <c r="AD124" s="299">
        <f>SUM(AD66:AD118)</f>
        <v/>
      </c>
      <c r="AE124" s="299">
        <f>SUM(AE66:AE118)</f>
        <v/>
      </c>
      <c r="AF124" s="299">
        <f>SUM(AF66:AF118)</f>
        <v/>
      </c>
      <c r="AG124" s="299">
        <f>SUM(AG66:AG118)</f>
        <v/>
      </c>
      <c r="AH124" s="299">
        <f>SUM(AH66:AH118)</f>
        <v/>
      </c>
      <c r="AI124" s="299">
        <f>SUM(AI66:AI118)</f>
        <v/>
      </c>
      <c r="AJ124" s="299">
        <f>SUM(AJ66:AJ118)</f>
        <v/>
      </c>
      <c r="AK124" s="299">
        <f>SUM(AK66:AK118)</f>
        <v/>
      </c>
      <c r="AL124" s="289" t="n"/>
    </row>
    <row r="125">
      <c r="A125" s="280" t="n"/>
      <c r="B125" s="281" t="n"/>
      <c r="C125" s="281" t="n"/>
      <c r="D125" s="300" t="inlineStr">
        <is>
          <t>(四）机械租赁费</t>
        </is>
      </c>
      <c r="E125" s="293" t="n"/>
      <c r="F125" s="293" t="n"/>
      <c r="G125" s="293" t="n"/>
      <c r="H125" s="283" t="n"/>
      <c r="I125" s="283" t="n"/>
      <c r="J125" s="283" t="n"/>
      <c r="K125" s="284" t="n">
        <v>0</v>
      </c>
      <c r="L125" s="285">
        <f>J125-K125</f>
        <v/>
      </c>
      <c r="M125" s="286" t="n"/>
      <c r="N125" s="286" t="n"/>
      <c r="O125" s="283">
        <f>L125-M125</f>
        <v/>
      </c>
      <c r="P125" s="283">
        <f>K125-N125</f>
        <v/>
      </c>
      <c r="Q125" s="283">
        <f>M125+O125</f>
        <v/>
      </c>
      <c r="R125" s="283">
        <f>M125+N125+O125+P125</f>
        <v/>
      </c>
      <c r="S125" s="287">
        <f>SUM(T125:V125)</f>
        <v/>
      </c>
      <c r="T125" s="287" t="n"/>
      <c r="U125" s="287" t="n"/>
      <c r="V125" s="287" t="n"/>
      <c r="W125" s="287" t="n"/>
      <c r="X125" s="287" t="n"/>
      <c r="Y125" s="287" t="n"/>
      <c r="Z125" s="287" t="n"/>
      <c r="AA125" s="287" t="n"/>
      <c r="AB125" s="287" t="n"/>
      <c r="AC125" s="287" t="n"/>
      <c r="AD125" s="287" t="n"/>
      <c r="AE125" s="287" t="n"/>
      <c r="AF125" s="287" t="n"/>
      <c r="AG125" s="287" t="n"/>
      <c r="AH125" s="287" t="n"/>
      <c r="AI125" s="287" t="n"/>
      <c r="AJ125" s="287" t="n"/>
      <c r="AK125" s="288">
        <f>AB35/1.17*0.17+AC35/1.16*0.16+AD35/1.11*0.11+AE35/1.1*0.1+AF35/1.09*0.09+AI35/1.03*0.03</f>
        <v/>
      </c>
      <c r="AL125" s="289" t="n"/>
    </row>
    <row r="126">
      <c r="A126" s="206" t="n">
        <v>1</v>
      </c>
      <c r="B126" s="206" t="inlineStr">
        <is>
          <t>100217442</t>
        </is>
      </c>
      <c r="C126" s="207" t="inlineStr">
        <is>
          <t>中建四局0200202101805001</t>
        </is>
      </c>
      <c r="D126" s="207" t="inlineStr">
        <is>
          <t>任丘市嘉宇运输有限公司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39943.9</v>
      </c>
      <c r="N126" s="210" t="n">
        <v>3594.95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43538.85</v>
      </c>
      <c r="U126" s="206" t="n"/>
      <c r="V126" s="206" t="n"/>
      <c r="W126" s="291" t="n"/>
      <c r="X126" s="291" t="n"/>
      <c r="Y126" s="291" t="n"/>
      <c r="Z126" s="291" t="n"/>
      <c r="AA126" s="291" t="n"/>
      <c r="AB126" s="291" t="n"/>
      <c r="AC126" s="291" t="n"/>
      <c r="AD126" s="291" t="n"/>
      <c r="AE126" s="291" t="n"/>
      <c r="AF126" s="291" t="n"/>
      <c r="AG126" s="291" t="n"/>
      <c r="AH126" s="291" t="n"/>
      <c r="AI126" s="291" t="n"/>
      <c r="AJ126" s="291" t="n"/>
      <c r="AK126" s="291" t="n"/>
      <c r="AL126" s="291" t="n"/>
    </row>
    <row r="127">
      <c r="A127" s="206" t="n">
        <v>2</v>
      </c>
      <c r="B127" s="206" t="inlineStr">
        <is>
          <t>100051486</t>
        </is>
      </c>
      <c r="C127" s="207" t="inlineStr">
        <is>
          <t>中建四局0200202101805009</t>
        </is>
      </c>
      <c r="D127" s="207" t="inlineStr">
        <is>
          <t>佛山市赢鑫建筑机械租赁有限公司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5518783.19</v>
      </c>
      <c r="N127" s="210" t="n">
        <v>738597.9399999999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6405720.63</v>
      </c>
      <c r="U127" s="206" t="n"/>
      <c r="V127" s="206" t="n"/>
      <c r="W127" s="291" t="n"/>
      <c r="X127" s="291" t="n"/>
      <c r="Y127" s="291" t="n"/>
      <c r="Z127" s="291" t="n"/>
      <c r="AA127" s="291" t="n"/>
      <c r="AB127" s="291" t="n"/>
      <c r="AC127" s="291" t="n"/>
      <c r="AD127" s="291" t="n"/>
      <c r="AE127" s="291" t="n"/>
      <c r="AF127" s="291" t="n"/>
      <c r="AG127" s="291" t="n"/>
      <c r="AH127" s="291" t="n"/>
      <c r="AI127" s="291" t="n"/>
      <c r="AJ127" s="291" t="n"/>
      <c r="AK127" s="291" t="n"/>
      <c r="AL127" s="291" t="n"/>
    </row>
    <row r="128">
      <c r="A128" s="206" t="n">
        <v>3</v>
      </c>
      <c r="B128" s="206" t="inlineStr">
        <is>
          <t>200363935</t>
        </is>
      </c>
      <c r="C128" s="207" t="inlineStr">
        <is>
          <t>中建四局0200202101805006</t>
        </is>
      </c>
      <c r="D128" s="207" t="inlineStr">
        <is>
          <t>佛山市雄壮建筑工程有限公司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1197689.75</v>
      </c>
      <c r="N128" s="210" t="n">
        <v>36663.97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1258000</v>
      </c>
      <c r="U128" s="206" t="n"/>
      <c r="V128" s="206" t="n"/>
      <c r="W128" s="291" t="n"/>
      <c r="X128" s="291" t="n"/>
      <c r="Y128" s="291" t="n"/>
      <c r="Z128" s="291" t="n"/>
      <c r="AA128" s="291" t="n"/>
      <c r="AB128" s="291" t="n"/>
      <c r="AC128" s="291" t="n"/>
      <c r="AD128" s="291" t="n"/>
      <c r="AE128" s="291" t="n"/>
      <c r="AF128" s="291" t="n"/>
      <c r="AG128" s="291" t="n"/>
      <c r="AH128" s="291" t="n"/>
      <c r="AI128" s="291" t="n"/>
      <c r="AJ128" s="291" t="n"/>
      <c r="AK128" s="291" t="n"/>
      <c r="AL128" s="291" t="n"/>
    </row>
    <row r="129">
      <c r="A129" s="206" t="n">
        <v>4</v>
      </c>
      <c r="B129" s="206" t="inlineStr">
        <is>
          <t>200477323</t>
        </is>
      </c>
      <c r="C129" s="207" t="inlineStr">
        <is>
          <t>中建四局0200202101805011</t>
        </is>
      </c>
      <c r="D129" s="207" t="inlineStr">
        <is>
          <t>佛山市霸伟建筑工程有限公司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947713.86</v>
      </c>
      <c r="N129" s="210" t="n">
        <v>29244.62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999000</v>
      </c>
      <c r="U129" s="206" t="n"/>
      <c r="V129" s="206" t="n"/>
      <c r="W129" s="291" t="n"/>
      <c r="X129" s="291" t="n"/>
      <c r="Y129" s="291" t="n"/>
      <c r="Z129" s="291" t="n"/>
      <c r="AA129" s="291" t="n"/>
      <c r="AB129" s="291" t="n"/>
      <c r="AC129" s="291" t="n"/>
      <c r="AD129" s="291" t="n"/>
      <c r="AE129" s="291" t="n"/>
      <c r="AF129" s="291" t="n"/>
      <c r="AG129" s="291" t="n"/>
      <c r="AH129" s="291" t="n"/>
      <c r="AI129" s="291" t="n"/>
      <c r="AJ129" s="291" t="n"/>
      <c r="AK129" s="291" t="n"/>
      <c r="AL129" s="291" t="n"/>
    </row>
    <row r="130">
      <c r="A130" s="206" t="n">
        <v>5</v>
      </c>
      <c r="B130" s="206" t="inlineStr">
        <is>
          <t>100093859</t>
        </is>
      </c>
      <c r="C130" s="207" t="inlineStr">
        <is>
          <t>中建四局0200202101805010</t>
        </is>
      </c>
      <c r="D130" s="207" t="inlineStr">
        <is>
          <t>嘉兴浩锐机械设备有限公司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1387247.1</v>
      </c>
      <c r="N130" s="210" t="n">
        <v>180342.12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1567589.22</v>
      </c>
      <c r="U130" s="206" t="n"/>
      <c r="V130" s="206" t="n"/>
      <c r="W130" s="291" t="n"/>
      <c r="X130" s="291" t="n"/>
      <c r="Y130" s="291" t="n"/>
      <c r="Z130" s="291" t="n"/>
      <c r="AA130" s="291" t="n"/>
      <c r="AB130" s="291" t="n"/>
      <c r="AC130" s="291" t="n"/>
      <c r="AD130" s="291" t="n"/>
      <c r="AE130" s="291" t="n"/>
      <c r="AF130" s="291" t="n"/>
      <c r="AG130" s="291" t="n"/>
      <c r="AH130" s="291" t="n"/>
      <c r="AI130" s="291" t="n"/>
      <c r="AJ130" s="291" t="n"/>
      <c r="AK130" s="291" t="n"/>
      <c r="AL130" s="291" t="n"/>
    </row>
    <row r="131">
      <c r="A131" s="206" t="n">
        <v>6</v>
      </c>
      <c r="B131" s="206" t="inlineStr">
        <is>
          <t>100117504</t>
        </is>
      </c>
      <c r="C131" s="207" t="inlineStr">
        <is>
          <t>中建四局0200202101805005</t>
        </is>
      </c>
      <c r="D131" s="207" t="inlineStr">
        <is>
          <t>广州大丰工程机械设备有限公司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1065730.14</v>
      </c>
      <c r="N131" s="210" t="n">
        <v>138544.93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1204275.07</v>
      </c>
      <c r="U131" s="206" t="n"/>
      <c r="V131" s="206" t="n"/>
      <c r="W131" s="291" t="n"/>
      <c r="X131" s="291" t="n"/>
      <c r="Y131" s="291" t="n"/>
      <c r="Z131" s="291" t="n"/>
      <c r="AA131" s="291" t="n"/>
      <c r="AB131" s="291" t="n"/>
      <c r="AC131" s="291" t="n"/>
      <c r="AD131" s="291" t="n"/>
      <c r="AE131" s="291" t="n"/>
      <c r="AF131" s="291" t="n"/>
      <c r="AG131" s="291" t="n"/>
      <c r="AH131" s="291" t="n"/>
      <c r="AI131" s="291" t="n"/>
      <c r="AJ131" s="291" t="n"/>
      <c r="AK131" s="291" t="n"/>
      <c r="AL131" s="291" t="n"/>
    </row>
    <row r="132">
      <c r="A132" s="206" t="n">
        <v>7</v>
      </c>
      <c r="B132" s="206" t="inlineStr">
        <is>
          <t>200353812</t>
        </is>
      </c>
      <c r="C132" s="207" t="inlineStr">
        <is>
          <t>中建四局0200202101805007</t>
        </is>
      </c>
      <c r="D132" s="207" t="inlineStr">
        <is>
          <t>广州小老虎建筑机械租赁有限公司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11189319.59</v>
      </c>
      <c r="N132" s="210" t="n">
        <v>1022884.43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12388266.76</v>
      </c>
      <c r="U132" s="206" t="n"/>
      <c r="V132" s="206" t="n"/>
      <c r="W132" s="291" t="n"/>
      <c r="X132" s="291" t="n"/>
      <c r="Y132" s="291" t="n"/>
      <c r="Z132" s="291" t="n"/>
      <c r="AA132" s="291" t="n"/>
      <c r="AB132" s="291" t="n"/>
      <c r="AC132" s="291" t="n"/>
      <c r="AD132" s="291" t="n"/>
      <c r="AE132" s="291" t="n"/>
      <c r="AF132" s="291" t="n"/>
      <c r="AG132" s="291" t="n"/>
      <c r="AH132" s="291" t="n"/>
      <c r="AI132" s="291" t="n"/>
      <c r="AJ132" s="291" t="n"/>
      <c r="AK132" s="291" t="n"/>
      <c r="AL132" s="291" t="n"/>
    </row>
    <row r="133">
      <c r="A133" s="206" t="n">
        <v>8</v>
      </c>
      <c r="B133" s="206" t="inlineStr">
        <is>
          <t>200162948</t>
        </is>
      </c>
      <c r="C133" s="207" t="inlineStr">
        <is>
          <t>中建四局0200202101805004</t>
        </is>
      </c>
      <c r="D133" s="207" t="inlineStr">
        <is>
          <t>广州市仁发运输有限公司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183165.02</v>
      </c>
      <c r="N133" s="210" t="n">
        <v>5494.92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188659.94</v>
      </c>
      <c r="U133" s="206" t="n"/>
      <c r="V133" s="206" t="n"/>
      <c r="W133" s="291" t="n"/>
      <c r="X133" s="291" t="n"/>
      <c r="Y133" s="291" t="n"/>
      <c r="Z133" s="291" t="n"/>
      <c r="AA133" s="291" t="n"/>
      <c r="AB133" s="291" t="n"/>
      <c r="AC133" s="291" t="n"/>
      <c r="AD133" s="291" t="n"/>
      <c r="AE133" s="291" t="n"/>
      <c r="AF133" s="291" t="n"/>
      <c r="AG133" s="291" t="n"/>
      <c r="AH133" s="291" t="n"/>
      <c r="AI133" s="291" t="n"/>
      <c r="AJ133" s="291" t="n"/>
      <c r="AK133" s="291" t="n"/>
      <c r="AL133" s="291" t="n"/>
    </row>
    <row r="134">
      <c r="A134" s="206" t="n">
        <v>9</v>
      </c>
      <c r="B134" s="206" t="inlineStr">
        <is>
          <t>100217539</t>
        </is>
      </c>
      <c r="C134" s="207" t="inlineStr">
        <is>
          <t>中建四局0200202101805003</t>
        </is>
      </c>
      <c r="D134" s="207" t="inlineStr">
        <is>
          <t>广州易达运输有限公司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213962.98</v>
      </c>
      <c r="N134" s="210" t="n">
        <v>4631.78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218594.76</v>
      </c>
      <c r="U134" s="206" t="n"/>
      <c r="V134" s="206" t="n"/>
      <c r="W134" s="291" t="n"/>
      <c r="X134" s="291" t="n"/>
      <c r="Y134" s="291" t="n"/>
      <c r="Z134" s="291" t="n"/>
      <c r="AA134" s="291" t="n"/>
      <c r="AB134" s="291" t="n"/>
      <c r="AC134" s="291" t="n"/>
      <c r="AD134" s="291" t="n"/>
      <c r="AE134" s="291" t="n"/>
      <c r="AF134" s="291" t="n"/>
      <c r="AG134" s="291" t="n"/>
      <c r="AH134" s="291" t="n"/>
      <c r="AI134" s="291" t="n"/>
      <c r="AJ134" s="291" t="n"/>
      <c r="AK134" s="291" t="n"/>
      <c r="AL134" s="291" t="n"/>
    </row>
    <row r="135">
      <c r="A135" s="206" t="n">
        <v>10</v>
      </c>
      <c r="B135" s="206" t="inlineStr">
        <is>
          <t>100217502</t>
        </is>
      </c>
      <c r="C135" s="207" t="inlineStr">
        <is>
          <t>中建四局0200202101805002</t>
        </is>
      </c>
      <c r="D135" s="207" t="inlineStr">
        <is>
          <t>广州湘亿货运代理有限公司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68419.10000000001</v>
      </c>
      <c r="N135" s="210" t="n">
        <v>6157.73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74576.83</v>
      </c>
      <c r="U135" s="206" t="n"/>
      <c r="V135" s="206" t="n"/>
      <c r="W135" s="291" t="n"/>
      <c r="X135" s="291" t="n"/>
      <c r="Y135" s="291" t="n"/>
      <c r="Z135" s="291" t="n"/>
      <c r="AA135" s="291" t="n"/>
      <c r="AB135" s="291" t="n"/>
      <c r="AC135" s="291" t="n"/>
      <c r="AD135" s="291" t="n"/>
      <c r="AE135" s="291" t="n"/>
      <c r="AF135" s="291" t="n"/>
      <c r="AG135" s="291" t="n"/>
      <c r="AH135" s="291" t="n"/>
      <c r="AI135" s="291" t="n"/>
      <c r="AJ135" s="291" t="n"/>
      <c r="AK135" s="291" t="n"/>
      <c r="AL135" s="291" t="n"/>
    </row>
    <row r="136">
      <c r="A136" s="206" t="n">
        <v>11</v>
      </c>
      <c r="B136" s="206" t="n"/>
      <c r="C136" s="207" t="n"/>
      <c r="D136" s="207" t="inlineStr">
        <is>
          <t>ZGD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-709.27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1" t="n"/>
      <c r="X136" s="291" t="n"/>
      <c r="Y136" s="291" t="n"/>
      <c r="Z136" s="291" t="n"/>
      <c r="AA136" s="291" t="n"/>
      <c r="AB136" s="291" t="n"/>
      <c r="AC136" s="291" t="n"/>
      <c r="AD136" s="291" t="n"/>
      <c r="AE136" s="291" t="n"/>
      <c r="AF136" s="291" t="n"/>
      <c r="AG136" s="291" t="n"/>
      <c r="AH136" s="291" t="n"/>
      <c r="AI136" s="291" t="n"/>
      <c r="AJ136" s="291" t="n"/>
      <c r="AK136" s="291" t="n"/>
      <c r="AL136" s="291" t="n"/>
    </row>
    <row r="137">
      <c r="A137" s="206" t="n"/>
      <c r="B137" s="206" t="n"/>
      <c r="C137" s="207" t="n"/>
      <c r="D137" s="207" t="n"/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5438.34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1" t="n"/>
      <c r="X137" s="291" t="n"/>
      <c r="Y137" s="291" t="n"/>
      <c r="Z137" s="291" t="n"/>
      <c r="AA137" s="291" t="n"/>
      <c r="AB137" s="291" t="n"/>
      <c r="AC137" s="291" t="n"/>
      <c r="AD137" s="291" t="n"/>
      <c r="AE137" s="291" t="n"/>
      <c r="AF137" s="291" t="n"/>
      <c r="AG137" s="291" t="n"/>
      <c r="AH137" s="291" t="n"/>
      <c r="AI137" s="291" t="n"/>
      <c r="AJ137" s="291" t="n"/>
      <c r="AK137" s="291" t="n"/>
      <c r="AL137" s="291" t="n"/>
    </row>
    <row r="138">
      <c r="A138" s="206" t="n">
        <v>12</v>
      </c>
      <c r="B138" s="206" t="n"/>
      <c r="C138" s="207" t="n"/>
      <c r="D138" s="207" t="inlineStr">
        <is>
          <t>JXZ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30661.52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1" t="n"/>
      <c r="X138" s="291" t="n"/>
      <c r="Y138" s="291" t="n"/>
      <c r="Z138" s="291" t="n"/>
      <c r="AA138" s="291" t="n"/>
      <c r="AB138" s="291" t="n"/>
      <c r="AC138" s="291" t="n"/>
      <c r="AD138" s="291" t="n"/>
      <c r="AE138" s="291" t="n"/>
      <c r="AF138" s="291" t="n"/>
      <c r="AG138" s="291" t="n"/>
      <c r="AH138" s="291" t="n"/>
      <c r="AI138" s="291" t="n"/>
      <c r="AJ138" s="291" t="n"/>
      <c r="AK138" s="291" t="n"/>
      <c r="AL138" s="291" t="n"/>
    </row>
    <row r="139">
      <c r="A139" s="280" t="n"/>
      <c r="B139" s="281" t="n"/>
      <c r="C139" s="281" t="n"/>
      <c r="D139" s="292" t="inlineStr">
        <is>
          <t>**财务未列部分需增列***</t>
        </is>
      </c>
      <c r="E139" s="311" t="n"/>
      <c r="F139" s="311" t="n"/>
      <c r="G139" s="311" t="n"/>
      <c r="H139" s="283" t="n"/>
      <c r="I139" s="283" t="n"/>
      <c r="J139" s="283" t="n"/>
      <c r="K139" s="284" t="n">
        <v>0</v>
      </c>
      <c r="L139" s="285">
        <f>J139-K139</f>
        <v/>
      </c>
      <c r="M139" s="312" t="n"/>
      <c r="N139" s="312" t="n"/>
      <c r="O139" s="283">
        <f>L139-M139</f>
        <v/>
      </c>
      <c r="P139" s="283">
        <f>K139-N139</f>
        <v/>
      </c>
      <c r="Q139" s="283">
        <f>M139+O139</f>
        <v/>
      </c>
      <c r="R139" s="283">
        <f>M139+N139+O139+P139</f>
        <v/>
      </c>
      <c r="S139" s="287">
        <f>SUM(T139:V139)</f>
        <v/>
      </c>
      <c r="T139" s="312" t="n"/>
      <c r="U139" s="312" t="n"/>
      <c r="V139" s="312" t="n"/>
      <c r="W139" s="312" t="n"/>
      <c r="X139" s="312" t="n"/>
      <c r="Y139" s="312" t="n"/>
      <c r="Z139" s="312" t="n"/>
      <c r="AA139" s="287" t="n"/>
      <c r="AB139" s="288" t="n"/>
      <c r="AC139" s="288" t="n"/>
      <c r="AD139" s="288" t="n"/>
      <c r="AE139" s="288" t="n"/>
      <c r="AF139" s="288" t="n"/>
      <c r="AG139" s="288" t="n"/>
      <c r="AH139" s="288" t="n"/>
      <c r="AI139" s="288" t="n"/>
      <c r="AJ139" s="288" t="n"/>
      <c r="AK139" s="288">
        <f>AB37/1.17*0.17+AC37/1.16*0.16+AD37/1.11*0.11+AE37/1.1*0.1+AF37/1.09*0.09+AI37/1.03*0.03</f>
        <v/>
      </c>
      <c r="AL139" s="295" t="n"/>
    </row>
    <row r="140">
      <c r="A140" s="296" t="n"/>
      <c r="B140" s="297" t="n"/>
      <c r="C140" s="297" t="n"/>
      <c r="D140" s="313" t="inlineStr">
        <is>
          <t>机械费小计：</t>
        </is>
      </c>
      <c r="E140" s="314" t="n"/>
      <c r="F140" s="314" t="n"/>
      <c r="G140" s="314" t="n"/>
      <c r="H140" s="299">
        <f>SUM(H125:H139)</f>
        <v/>
      </c>
      <c r="I140" s="299">
        <f>SUM(I125:I139)</f>
        <v/>
      </c>
      <c r="J140" s="299">
        <f>SUM(J125:J139)</f>
        <v/>
      </c>
      <c r="K140" s="299">
        <f>SUM(K125:K139)</f>
        <v/>
      </c>
      <c r="L140" s="315">
        <f>SUM(L125:L139)</f>
        <v/>
      </c>
      <c r="M140" s="299">
        <f>SUM(M125:M139)</f>
        <v/>
      </c>
      <c r="N140" s="299">
        <f>SUM(N125:N139)</f>
        <v/>
      </c>
      <c r="O140" s="299">
        <f>SUM(O125:O139)</f>
        <v/>
      </c>
      <c r="P140" s="299">
        <f>SUM(P125:P139)</f>
        <v/>
      </c>
      <c r="Q140" s="299">
        <f>SUM(Q125:Q139)</f>
        <v/>
      </c>
      <c r="R140" s="299">
        <f>SUM(R125:R139)</f>
        <v/>
      </c>
      <c r="S140" s="299">
        <f>SUM(S125:S139)</f>
        <v/>
      </c>
      <c r="T140" s="299" t="n"/>
      <c r="U140" s="299" t="n"/>
      <c r="V140" s="299" t="n"/>
      <c r="W140" s="299" t="n"/>
      <c r="X140" s="299" t="n"/>
      <c r="Y140" s="299" t="n"/>
      <c r="Z140" s="299">
        <f>SUM(Z125:Z139)</f>
        <v/>
      </c>
      <c r="AA140" s="299">
        <f>SUM(AA125:AA139)</f>
        <v/>
      </c>
      <c r="AB140" s="299" t="n"/>
      <c r="AC140" s="299" t="n"/>
      <c r="AD140" s="299" t="n"/>
      <c r="AE140" s="299" t="n"/>
      <c r="AF140" s="299" t="n"/>
      <c r="AG140" s="299" t="n"/>
      <c r="AH140" s="299" t="n"/>
      <c r="AI140" s="299" t="n"/>
      <c r="AJ140" s="299" t="n"/>
      <c r="AK140" s="299" t="n"/>
      <c r="AL140" s="289" t="n"/>
    </row>
    <row r="141">
      <c r="A141" s="280" t="n"/>
      <c r="B141" s="281" t="n"/>
      <c r="C141" s="281" t="n"/>
      <c r="D141" s="300" t="inlineStr">
        <is>
          <t>（五）其他直接费</t>
        </is>
      </c>
      <c r="E141" s="293" t="n"/>
      <c r="F141" s="293" t="n"/>
      <c r="G141" s="293" t="n"/>
      <c r="H141" s="283" t="n"/>
      <c r="I141" s="283" t="n"/>
      <c r="J141" s="286" t="n">
        <v>0</v>
      </c>
      <c r="K141" s="284" t="n">
        <v>0</v>
      </c>
      <c r="L141" s="285">
        <f>J141-N141-P141</f>
        <v/>
      </c>
      <c r="M141" s="286" t="n"/>
      <c r="N141" s="286" t="n"/>
      <c r="O141" s="283">
        <f>L141-M141</f>
        <v/>
      </c>
      <c r="P141" s="283">
        <f>K141-N141</f>
        <v/>
      </c>
      <c r="Q141" s="283">
        <f>M141+O141</f>
        <v/>
      </c>
      <c r="R141" s="283">
        <f>M141+N141+O141+P141</f>
        <v/>
      </c>
      <c r="S141" s="287">
        <f>SUM(T141:V141)</f>
        <v/>
      </c>
      <c r="T141" s="287" t="n"/>
      <c r="U141" s="287" t="n"/>
      <c r="V141" s="287" t="n"/>
      <c r="W141" s="287" t="n"/>
      <c r="X141" s="287" t="n"/>
      <c r="Y141" s="287" t="n"/>
      <c r="Z141" s="287" t="n"/>
      <c r="AA141" s="287" t="n"/>
      <c r="AB141" s="287" t="n"/>
      <c r="AC141" s="287" t="n"/>
      <c r="AD141" s="287" t="n"/>
      <c r="AE141" s="287" t="n"/>
      <c r="AF141" s="287" t="n"/>
      <c r="AG141" s="287" t="n"/>
      <c r="AH141" s="287" t="n"/>
      <c r="AI141" s="287" t="n"/>
      <c r="AJ141" s="287" t="n"/>
      <c r="AK141" s="288" t="n"/>
      <c r="AL141" s="289" t="n"/>
    </row>
    <row r="142">
      <c r="A142" s="206" t="n">
        <v>1</v>
      </c>
      <c r="B142" s="206" t="n"/>
      <c r="C142" s="207" t="n"/>
      <c r="D142" s="207" t="inlineStr">
        <is>
          <t>保险费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2060794.4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1" t="n"/>
      <c r="X142" s="291" t="n"/>
      <c r="Y142" s="291" t="n"/>
      <c r="Z142" s="291" t="n"/>
      <c r="AA142" s="291" t="n"/>
      <c r="AB142" s="291" t="n"/>
      <c r="AC142" s="291" t="n"/>
      <c r="AD142" s="291" t="n"/>
      <c r="AE142" s="291" t="n"/>
      <c r="AF142" s="291" t="n"/>
      <c r="AG142" s="291" t="n"/>
      <c r="AH142" s="291" t="n"/>
      <c r="AI142" s="291" t="n"/>
      <c r="AJ142" s="291" t="n"/>
      <c r="AK142" s="291" t="n"/>
      <c r="AL142" s="291" t="n"/>
    </row>
    <row r="143">
      <c r="A143" s="206" t="n">
        <v>2</v>
      </c>
      <c r="B143" s="206" t="n"/>
      <c r="C143" s="207" t="n"/>
      <c r="D143" s="207" t="inlineStr">
        <is>
          <t>其他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4351039.99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1" t="n"/>
      <c r="X143" s="291" t="n"/>
      <c r="Y143" s="291" t="n"/>
      <c r="Z143" s="291" t="n"/>
      <c r="AA143" s="291" t="n"/>
      <c r="AB143" s="291" t="n"/>
      <c r="AC143" s="291" t="n"/>
      <c r="AD143" s="291" t="n"/>
      <c r="AE143" s="291" t="n"/>
      <c r="AF143" s="291" t="n"/>
      <c r="AG143" s="291" t="n"/>
      <c r="AH143" s="291" t="n"/>
      <c r="AI143" s="291" t="n"/>
      <c r="AJ143" s="291" t="n"/>
      <c r="AK143" s="291" t="n"/>
      <c r="AL143" s="291" t="n"/>
    </row>
    <row r="144">
      <c r="A144" s="206" t="n">
        <v>3</v>
      </c>
      <c r="B144" s="206" t="n"/>
      <c r="C144" s="207" t="n"/>
      <c r="D144" s="207" t="inlineStr">
        <is>
          <t>咨询费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1165.05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1" t="n"/>
      <c r="X144" s="291" t="n"/>
      <c r="Y144" s="291" t="n"/>
      <c r="Z144" s="291" t="n"/>
      <c r="AA144" s="291" t="n"/>
      <c r="AB144" s="291" t="n"/>
      <c r="AC144" s="291" t="n"/>
      <c r="AD144" s="291" t="n"/>
      <c r="AE144" s="291" t="n"/>
      <c r="AF144" s="291" t="n"/>
      <c r="AG144" s="291" t="n"/>
      <c r="AH144" s="291" t="n"/>
      <c r="AI144" s="291" t="n"/>
      <c r="AJ144" s="291" t="n"/>
      <c r="AK144" s="291" t="n"/>
      <c r="AL144" s="291" t="n"/>
    </row>
    <row r="145">
      <c r="A145" s="206" t="n">
        <v>4</v>
      </c>
      <c r="B145" s="206" t="n"/>
      <c r="C145" s="207" t="n"/>
      <c r="D145" s="207" t="inlineStr">
        <is>
          <t>检验试验费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2298882.29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1" t="n"/>
      <c r="X145" s="291" t="n"/>
      <c r="Y145" s="291" t="n"/>
      <c r="Z145" s="291" t="n"/>
      <c r="AA145" s="291" t="n"/>
      <c r="AB145" s="291" t="n"/>
      <c r="AC145" s="291" t="n"/>
      <c r="AD145" s="291" t="n"/>
      <c r="AE145" s="291" t="n"/>
      <c r="AF145" s="291" t="n"/>
      <c r="AG145" s="291" t="n"/>
      <c r="AH145" s="291" t="n"/>
      <c r="AI145" s="291" t="n"/>
      <c r="AJ145" s="291" t="n"/>
      <c r="AK145" s="291" t="n"/>
      <c r="AL145" s="291" t="n"/>
    </row>
    <row r="146">
      <c r="A146" s="206" t="n">
        <v>5</v>
      </c>
      <c r="B146" s="206" t="n"/>
      <c r="C146" s="207" t="n"/>
      <c r="D146" s="207" t="inlineStr">
        <is>
          <t>水电费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8300988.65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1" t="n"/>
      <c r="X146" s="291" t="n"/>
      <c r="Y146" s="291" t="n"/>
      <c r="Z146" s="291" t="n"/>
      <c r="AA146" s="291" t="n"/>
      <c r="AB146" s="291" t="n"/>
      <c r="AC146" s="291" t="n"/>
      <c r="AD146" s="291" t="n"/>
      <c r="AE146" s="291" t="n"/>
      <c r="AF146" s="291" t="n"/>
      <c r="AG146" s="291" t="n"/>
      <c r="AH146" s="291" t="n"/>
      <c r="AI146" s="291" t="n"/>
      <c r="AJ146" s="291" t="n"/>
      <c r="AK146" s="291" t="n"/>
      <c r="AL146" s="291" t="n"/>
    </row>
    <row r="147">
      <c r="A147" s="280" t="n"/>
      <c r="B147" s="281" t="n"/>
      <c r="C147" s="281" t="n"/>
      <c r="D147" s="292" t="inlineStr">
        <is>
          <t>**财务未列部分需增列***</t>
        </is>
      </c>
      <c r="E147" s="293" t="n"/>
      <c r="F147" s="293" t="n"/>
      <c r="G147" s="293" t="n"/>
      <c r="H147" s="283" t="n"/>
      <c r="I147" s="283" t="n"/>
      <c r="J147" s="286" t="n"/>
      <c r="K147" s="284" t="n"/>
      <c r="L147" s="285">
        <f>J147-K147</f>
        <v/>
      </c>
      <c r="M147" s="316" t="n"/>
      <c r="N147" s="316" t="n"/>
      <c r="O147" s="283">
        <f>L147-M147</f>
        <v/>
      </c>
      <c r="P147" s="283">
        <f>K147-N147</f>
        <v/>
      </c>
      <c r="Q147" s="283">
        <f>M147+O147</f>
        <v/>
      </c>
      <c r="R147" s="283">
        <f>M147+N147+O147+P147</f>
        <v/>
      </c>
      <c r="S147" s="287">
        <f>SUM(T147:V147)</f>
        <v/>
      </c>
      <c r="T147" s="316" t="n"/>
      <c r="U147" s="316" t="n"/>
      <c r="V147" s="316" t="n"/>
      <c r="W147" s="316" t="n"/>
      <c r="X147" s="316" t="n"/>
      <c r="Y147" s="316" t="n"/>
      <c r="Z147" s="283">
        <f>SUM(AA45:AJ45)</f>
        <v/>
      </c>
      <c r="AA147" s="287" t="n"/>
      <c r="AB147" s="287" t="n"/>
      <c r="AC147" s="287" t="n"/>
      <c r="AD147" s="287" t="n"/>
      <c r="AE147" s="287" t="n"/>
      <c r="AF147" s="287" t="n"/>
      <c r="AG147" s="287" t="n"/>
      <c r="AH147" s="287" t="n"/>
      <c r="AI147" s="287" t="n"/>
      <c r="AJ147" s="287" t="n"/>
      <c r="AK147" s="288" t="n"/>
      <c r="AL147" s="289" t="n"/>
    </row>
    <row r="148">
      <c r="A148" s="317" t="n"/>
      <c r="B148" s="318" t="n"/>
      <c r="C148" s="318" t="n"/>
      <c r="D148" s="313" t="inlineStr">
        <is>
          <t>其他直接费小计：</t>
        </is>
      </c>
      <c r="E148" s="319" t="n"/>
      <c r="F148" s="319" t="n"/>
      <c r="G148" s="319" t="n"/>
      <c r="H148" s="299">
        <f>SUM(H141:H147)</f>
        <v/>
      </c>
      <c r="I148" s="299">
        <f>SUM(I141:I147)</f>
        <v/>
      </c>
      <c r="J148" s="299">
        <f>SUM(J141:J147)</f>
        <v/>
      </c>
      <c r="K148" s="299">
        <f>SUM(K141:K147)</f>
        <v/>
      </c>
      <c r="L148" s="315">
        <f>SUM(L141:L147)</f>
        <v/>
      </c>
      <c r="M148" s="299">
        <f>SUM(M141:M147)</f>
        <v/>
      </c>
      <c r="N148" s="299">
        <f>SUM(N141:N147)</f>
        <v/>
      </c>
      <c r="O148" s="299">
        <f>L148-M148</f>
        <v/>
      </c>
      <c r="P148" s="299">
        <f>SUM(P141:P147)</f>
        <v/>
      </c>
      <c r="Q148" s="299">
        <f>M148+O148</f>
        <v/>
      </c>
      <c r="R148" s="299">
        <f>SUM(R141:R147)</f>
        <v/>
      </c>
      <c r="S148" s="299">
        <f>SUM(S141:S147)</f>
        <v/>
      </c>
      <c r="T148" s="299" t="n"/>
      <c r="U148" s="299" t="n"/>
      <c r="V148" s="299" t="n"/>
      <c r="W148" s="299" t="n"/>
      <c r="X148" s="299" t="n"/>
      <c r="Y148" s="299" t="n"/>
      <c r="Z148" s="299">
        <f>SUM(Z141:Z147)</f>
        <v/>
      </c>
      <c r="AA148" s="299">
        <f>SUM(AA141:AA147)</f>
        <v/>
      </c>
      <c r="AB148" s="299">
        <f>SUM(AB141:AB147)</f>
        <v/>
      </c>
      <c r="AC148" s="299">
        <f>SUM(AC141:AC147)</f>
        <v/>
      </c>
      <c r="AD148" s="299">
        <f>SUM(AD141:AD147)</f>
        <v/>
      </c>
      <c r="AE148" s="299">
        <f>SUM(AE141:AE147)</f>
        <v/>
      </c>
      <c r="AF148" s="299">
        <f>SUM(AF141:AF147)</f>
        <v/>
      </c>
      <c r="AG148" s="299" t="n"/>
      <c r="AH148" s="299" t="n"/>
      <c r="AI148" s="299">
        <f>SUM(AI141:AI147)</f>
        <v/>
      </c>
      <c r="AJ148" s="299">
        <f>SUM(AJ141:AJ147)</f>
        <v/>
      </c>
      <c r="AK148" s="299">
        <f>SUM(AK141:AK147)</f>
        <v/>
      </c>
      <c r="AL148" s="289" t="n"/>
    </row>
    <row r="149">
      <c r="A149" s="280" t="n"/>
      <c r="B149" s="281" t="n"/>
      <c r="C149" s="281" t="n"/>
      <c r="D149" s="300" t="inlineStr">
        <is>
          <t>（六）间接费</t>
        </is>
      </c>
      <c r="E149" s="293" t="n"/>
      <c r="F149" s="293" t="n"/>
      <c r="G149" s="293" t="n"/>
      <c r="H149" s="286" t="n"/>
      <c r="I149" s="283" t="n"/>
      <c r="J149" s="283" t="n">
        <v>0</v>
      </c>
      <c r="K149" s="284" t="n">
        <v>0</v>
      </c>
      <c r="L149" s="285">
        <f>J149-N149-P149</f>
        <v/>
      </c>
      <c r="M149" s="286" t="n"/>
      <c r="N149" s="286" t="n"/>
      <c r="O149" s="283">
        <f>L149-M149</f>
        <v/>
      </c>
      <c r="P149" s="283">
        <f>K149-N149</f>
        <v/>
      </c>
      <c r="Q149" s="283">
        <f>M149+O149</f>
        <v/>
      </c>
      <c r="R149" s="283">
        <f>M149+N149+O149+P149</f>
        <v/>
      </c>
      <c r="S149" s="287">
        <f>SUM(T149:V149)</f>
        <v/>
      </c>
      <c r="T149" s="287" t="n"/>
      <c r="U149" s="287" t="n"/>
      <c r="V149" s="287" t="n"/>
      <c r="W149" s="287" t="n"/>
      <c r="X149" s="287" t="n"/>
      <c r="Y149" s="287" t="n"/>
      <c r="Z149" s="287" t="n"/>
      <c r="AA149" s="287" t="n"/>
      <c r="AB149" s="287" t="n"/>
      <c r="AC149" s="287" t="n"/>
      <c r="AD149" s="287" t="n"/>
      <c r="AE149" s="287" t="n"/>
      <c r="AF149" s="287" t="n"/>
      <c r="AG149" s="287" t="n"/>
      <c r="AH149" s="287" t="n"/>
      <c r="AI149" s="287" t="n"/>
      <c r="AJ149" s="287" t="n"/>
      <c r="AK149" s="288" t="n"/>
      <c r="AL149" s="289" t="n"/>
    </row>
    <row r="150">
      <c r="A150" s="206" t="n">
        <v>1</v>
      </c>
      <c r="B150" s="206" t="n"/>
      <c r="C150" s="207" t="n"/>
      <c r="D150" s="207" t="inlineStr">
        <is>
          <t>ZGD-境内差旅费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227.68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1" t="n"/>
      <c r="X150" s="291" t="n"/>
      <c r="Y150" s="291" t="n"/>
      <c r="Z150" s="291" t="n"/>
      <c r="AA150" s="291" t="n"/>
      <c r="AB150" s="291" t="n"/>
      <c r="AC150" s="291" t="n"/>
      <c r="AD150" s="291" t="n"/>
      <c r="AE150" s="291" t="n"/>
      <c r="AF150" s="291" t="n"/>
      <c r="AG150" s="291" t="n"/>
      <c r="AH150" s="291" t="n"/>
      <c r="AI150" s="291" t="n"/>
      <c r="AJ150" s="291" t="n"/>
      <c r="AK150" s="291" t="n"/>
      <c r="AL150" s="291" t="n"/>
    </row>
    <row r="151">
      <c r="A151" s="206" t="n">
        <v>2</v>
      </c>
      <c r="B151" s="206" t="n"/>
      <c r="C151" s="207" t="n"/>
      <c r="D151" s="207" t="inlineStr">
        <is>
          <t>ZGD-工会经费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115907.8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1" t="n"/>
      <c r="X151" s="291" t="n"/>
      <c r="Y151" s="291" t="n"/>
      <c r="Z151" s="291" t="n"/>
      <c r="AA151" s="291" t="n"/>
      <c r="AB151" s="291" t="n"/>
      <c r="AC151" s="291" t="n"/>
      <c r="AD151" s="291" t="n"/>
      <c r="AE151" s="291" t="n"/>
      <c r="AF151" s="291" t="n"/>
      <c r="AG151" s="291" t="n"/>
      <c r="AH151" s="291" t="n"/>
      <c r="AI151" s="291" t="n"/>
      <c r="AJ151" s="291" t="n"/>
      <c r="AK151" s="291" t="n"/>
      <c r="AL151" s="291" t="n"/>
    </row>
    <row r="152">
      <c r="A152" s="206" t="n">
        <v>3</v>
      </c>
      <c r="B152" s="206" t="n"/>
      <c r="C152" s="207" t="n"/>
      <c r="D152" s="207" t="inlineStr">
        <is>
          <t>ZGD-工资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-42912.81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1" t="n"/>
      <c r="X152" s="291" t="n"/>
      <c r="Y152" s="291" t="n"/>
      <c r="Z152" s="291" t="n"/>
      <c r="AA152" s="291" t="n"/>
      <c r="AB152" s="291" t="n"/>
      <c r="AC152" s="291" t="n"/>
      <c r="AD152" s="291" t="n"/>
      <c r="AE152" s="291" t="n"/>
      <c r="AF152" s="291" t="n"/>
      <c r="AG152" s="291" t="n"/>
      <c r="AH152" s="291" t="n"/>
      <c r="AI152" s="291" t="n"/>
      <c r="AJ152" s="291" t="n"/>
      <c r="AK152" s="291" t="n"/>
      <c r="AL152" s="291" t="n"/>
    </row>
    <row r="153">
      <c r="A153" s="206" t="n">
        <v>4</v>
      </c>
      <c r="B153" s="206" t="n"/>
      <c r="C153" s="207" t="n"/>
      <c r="D153" s="207" t="inlineStr">
        <is>
          <t>ZGD-折旧费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709.35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1" t="n"/>
      <c r="X153" s="291" t="n"/>
      <c r="Y153" s="291" t="n"/>
      <c r="Z153" s="291" t="n"/>
      <c r="AA153" s="291" t="n"/>
      <c r="AB153" s="291" t="n"/>
      <c r="AC153" s="291" t="n"/>
      <c r="AD153" s="291" t="n"/>
      <c r="AE153" s="291" t="n"/>
      <c r="AF153" s="291" t="n"/>
      <c r="AG153" s="291" t="n"/>
      <c r="AH153" s="291" t="n"/>
      <c r="AI153" s="291" t="n"/>
      <c r="AJ153" s="291" t="n"/>
      <c r="AK153" s="291" t="n"/>
      <c r="AL153" s="291" t="n"/>
    </row>
    <row r="154">
      <c r="A154" s="206" t="n">
        <v>5</v>
      </c>
      <c r="B154" s="206" t="n"/>
      <c r="C154" s="207" t="n"/>
      <c r="D154" s="207" t="inlineStr">
        <is>
          <t>书报资料费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220.88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1" t="n"/>
      <c r="X154" s="291" t="n"/>
      <c r="Y154" s="291" t="n"/>
      <c r="Z154" s="291" t="n"/>
      <c r="AA154" s="291" t="n"/>
      <c r="AB154" s="291" t="n"/>
      <c r="AC154" s="291" t="n"/>
      <c r="AD154" s="291" t="n"/>
      <c r="AE154" s="291" t="n"/>
      <c r="AF154" s="291" t="n"/>
      <c r="AG154" s="291" t="n"/>
      <c r="AH154" s="291" t="n"/>
      <c r="AI154" s="291" t="n"/>
      <c r="AJ154" s="291" t="n"/>
      <c r="AK154" s="291" t="n"/>
      <c r="AL154" s="291" t="n"/>
    </row>
    <row r="155">
      <c r="A155" s="206" t="n">
        <v>6</v>
      </c>
      <c r="B155" s="206" t="n"/>
      <c r="C155" s="207" t="n"/>
      <c r="D155" s="207" t="inlineStr">
        <is>
          <t>企业年金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186548.56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1" t="n"/>
      <c r="X155" s="291" t="n"/>
      <c r="Y155" s="291" t="n"/>
      <c r="Z155" s="291" t="n"/>
      <c r="AA155" s="291" t="n"/>
      <c r="AB155" s="291" t="n"/>
      <c r="AC155" s="291" t="n"/>
      <c r="AD155" s="291" t="n"/>
      <c r="AE155" s="291" t="n"/>
      <c r="AF155" s="291" t="n"/>
      <c r="AG155" s="291" t="n"/>
      <c r="AH155" s="291" t="n"/>
      <c r="AI155" s="291" t="n"/>
      <c r="AJ155" s="291" t="n"/>
      <c r="AK155" s="291" t="n"/>
      <c r="AL155" s="291" t="n"/>
    </row>
    <row r="156">
      <c r="A156" s="206" t="n">
        <v>7</v>
      </c>
      <c r="B156" s="206" t="n"/>
      <c r="C156" s="207" t="n"/>
      <c r="D156" s="207" t="inlineStr">
        <is>
          <t>会议费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5867.37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1" t="n"/>
      <c r="X156" s="291" t="n"/>
      <c r="Y156" s="291" t="n"/>
      <c r="Z156" s="291" t="n"/>
      <c r="AA156" s="291" t="n"/>
      <c r="AB156" s="291" t="n"/>
      <c r="AC156" s="291" t="n"/>
      <c r="AD156" s="291" t="n"/>
      <c r="AE156" s="291" t="n"/>
      <c r="AF156" s="291" t="n"/>
      <c r="AG156" s="291" t="n"/>
      <c r="AH156" s="291" t="n"/>
      <c r="AI156" s="291" t="n"/>
      <c r="AJ156" s="291" t="n"/>
      <c r="AK156" s="291" t="n"/>
      <c r="AL156" s="291" t="n"/>
    </row>
    <row r="157">
      <c r="A157" s="206" t="n">
        <v>8</v>
      </c>
      <c r="B157" s="206" t="n"/>
      <c r="C157" s="207" t="n"/>
      <c r="D157" s="207" t="inlineStr">
        <is>
          <t>住房公积金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921583.74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1" t="n"/>
      <c r="X157" s="291" t="n"/>
      <c r="Y157" s="291" t="n"/>
      <c r="Z157" s="291" t="n"/>
      <c r="AA157" s="291" t="n"/>
      <c r="AB157" s="291" t="n"/>
      <c r="AC157" s="291" t="n"/>
      <c r="AD157" s="291" t="n"/>
      <c r="AE157" s="291" t="n"/>
      <c r="AF157" s="291" t="n"/>
      <c r="AG157" s="291" t="n"/>
      <c r="AH157" s="291" t="n"/>
      <c r="AI157" s="291" t="n"/>
      <c r="AJ157" s="291" t="n"/>
      <c r="AK157" s="291" t="n"/>
      <c r="AL157" s="291" t="n"/>
    </row>
    <row r="158">
      <c r="A158" s="206" t="n">
        <v>9</v>
      </c>
      <c r="B158" s="206" t="n"/>
      <c r="C158" s="207" t="n"/>
      <c r="D158" s="207" t="inlineStr">
        <is>
          <t>保险费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4245.28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1" t="n"/>
      <c r="X158" s="291" t="n"/>
      <c r="Y158" s="291" t="n"/>
      <c r="Z158" s="291" t="n"/>
      <c r="AA158" s="291" t="n"/>
      <c r="AB158" s="291" t="n"/>
      <c r="AC158" s="291" t="n"/>
      <c r="AD158" s="291" t="n"/>
      <c r="AE158" s="291" t="n"/>
      <c r="AF158" s="291" t="n"/>
      <c r="AG158" s="291" t="n"/>
      <c r="AH158" s="291" t="n"/>
      <c r="AI158" s="291" t="n"/>
      <c r="AJ158" s="291" t="n"/>
      <c r="AK158" s="291" t="n"/>
      <c r="AL158" s="291" t="n"/>
    </row>
    <row r="159">
      <c r="A159" s="206" t="n">
        <v>10</v>
      </c>
      <c r="B159" s="206" t="n"/>
      <c r="C159" s="207" t="n"/>
      <c r="D159" s="207" t="inlineStr">
        <is>
          <t>修理费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27769.38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1" t="n"/>
      <c r="X159" s="291" t="n"/>
      <c r="Y159" s="291" t="n"/>
      <c r="Z159" s="291" t="n"/>
      <c r="AA159" s="291" t="n"/>
      <c r="AB159" s="291" t="n"/>
      <c r="AC159" s="291" t="n"/>
      <c r="AD159" s="291" t="n"/>
      <c r="AE159" s="291" t="n"/>
      <c r="AF159" s="291" t="n"/>
      <c r="AG159" s="291" t="n"/>
      <c r="AH159" s="291" t="n"/>
      <c r="AI159" s="291" t="n"/>
      <c r="AJ159" s="291" t="n"/>
      <c r="AK159" s="291" t="n"/>
      <c r="AL159" s="291" t="n"/>
    </row>
    <row r="160">
      <c r="A160" s="206" t="n">
        <v>11</v>
      </c>
      <c r="B160" s="206" t="n"/>
      <c r="C160" s="207" t="n"/>
      <c r="D160" s="207" t="inlineStr">
        <is>
          <t>其他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445466.64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1" t="n"/>
      <c r="X160" s="291" t="n"/>
      <c r="Y160" s="291" t="n"/>
      <c r="Z160" s="291" t="n"/>
      <c r="AA160" s="291" t="n"/>
      <c r="AB160" s="291" t="n"/>
      <c r="AC160" s="291" t="n"/>
      <c r="AD160" s="291" t="n"/>
      <c r="AE160" s="291" t="n"/>
      <c r="AF160" s="291" t="n"/>
      <c r="AG160" s="291" t="n"/>
      <c r="AH160" s="291" t="n"/>
      <c r="AI160" s="291" t="n"/>
      <c r="AJ160" s="291" t="n"/>
      <c r="AK160" s="291" t="n"/>
      <c r="AL160" s="291" t="n"/>
    </row>
    <row r="161">
      <c r="A161" s="206" t="n">
        <v>12</v>
      </c>
      <c r="B161" s="206" t="n"/>
      <c r="C161" s="207" t="n"/>
      <c r="D161" s="207" t="inlineStr">
        <is>
          <t>其他补充保险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87.84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1" t="n"/>
      <c r="X161" s="291" t="n"/>
      <c r="Y161" s="291" t="n"/>
      <c r="Z161" s="291" t="n"/>
      <c r="AA161" s="291" t="n"/>
      <c r="AB161" s="291" t="n"/>
      <c r="AC161" s="291" t="n"/>
      <c r="AD161" s="291" t="n"/>
      <c r="AE161" s="291" t="n"/>
      <c r="AF161" s="291" t="n"/>
      <c r="AG161" s="291" t="n"/>
      <c r="AH161" s="291" t="n"/>
      <c r="AI161" s="291" t="n"/>
      <c r="AJ161" s="291" t="n"/>
      <c r="AK161" s="291" t="n"/>
      <c r="AL161" s="291" t="n"/>
    </row>
    <row r="162">
      <c r="A162" s="206" t="n">
        <v>13</v>
      </c>
      <c r="B162" s="206" t="n"/>
      <c r="C162" s="207" t="n"/>
      <c r="D162" s="207" t="inlineStr">
        <is>
          <t>冲晒印刷费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112428.15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1" t="n"/>
      <c r="X162" s="291" t="n"/>
      <c r="Y162" s="291" t="n"/>
      <c r="Z162" s="291" t="n"/>
      <c r="AA162" s="291" t="n"/>
      <c r="AB162" s="291" t="n"/>
      <c r="AC162" s="291" t="n"/>
      <c r="AD162" s="291" t="n"/>
      <c r="AE162" s="291" t="n"/>
      <c r="AF162" s="291" t="n"/>
      <c r="AG162" s="291" t="n"/>
      <c r="AH162" s="291" t="n"/>
      <c r="AI162" s="291" t="n"/>
      <c r="AJ162" s="291" t="n"/>
      <c r="AK162" s="291" t="n"/>
      <c r="AL162" s="291" t="n"/>
    </row>
    <row r="163">
      <c r="A163" s="206" t="n">
        <v>14</v>
      </c>
      <c r="B163" s="206" t="n"/>
      <c r="C163" s="207" t="n"/>
      <c r="D163" s="207" t="inlineStr">
        <is>
          <t>办公用品费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607692.39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1" t="n"/>
      <c r="X163" s="291" t="n"/>
      <c r="Y163" s="291" t="n"/>
      <c r="Z163" s="291" t="n"/>
      <c r="AA163" s="291" t="n"/>
      <c r="AB163" s="291" t="n"/>
      <c r="AC163" s="291" t="n"/>
      <c r="AD163" s="291" t="n"/>
      <c r="AE163" s="291" t="n"/>
      <c r="AF163" s="291" t="n"/>
      <c r="AG163" s="291" t="n"/>
      <c r="AH163" s="291" t="n"/>
      <c r="AI163" s="291" t="n"/>
      <c r="AJ163" s="291" t="n"/>
      <c r="AK163" s="291" t="n"/>
      <c r="AL163" s="291" t="n"/>
    </row>
    <row r="164">
      <c r="A164" s="206" t="n">
        <v>15</v>
      </c>
      <c r="B164" s="206" t="n"/>
      <c r="C164" s="207" t="n"/>
      <c r="D164" s="207" t="inlineStr">
        <is>
          <t>医疗保险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453554.98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1" t="n"/>
      <c r="X164" s="291" t="n"/>
      <c r="Y164" s="291" t="n"/>
      <c r="Z164" s="291" t="n"/>
      <c r="AA164" s="291" t="n"/>
      <c r="AB164" s="291" t="n"/>
      <c r="AC164" s="291" t="n"/>
      <c r="AD164" s="291" t="n"/>
      <c r="AE164" s="291" t="n"/>
      <c r="AF164" s="291" t="n"/>
      <c r="AG164" s="291" t="n"/>
      <c r="AH164" s="291" t="n"/>
      <c r="AI164" s="291" t="n"/>
      <c r="AJ164" s="291" t="n"/>
      <c r="AK164" s="291" t="n"/>
      <c r="AL164" s="291" t="n"/>
    </row>
    <row r="165">
      <c r="A165" s="206" t="n">
        <v>16</v>
      </c>
      <c r="B165" s="206" t="n"/>
      <c r="C165" s="207" t="n"/>
      <c r="D165" s="207" t="inlineStr">
        <is>
          <t>基本养老保险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1111816.95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1" t="n"/>
      <c r="X165" s="291" t="n"/>
      <c r="Y165" s="291" t="n"/>
      <c r="Z165" s="291" t="n"/>
      <c r="AA165" s="291" t="n"/>
      <c r="AB165" s="291" t="n"/>
      <c r="AC165" s="291" t="n"/>
      <c r="AD165" s="291" t="n"/>
      <c r="AE165" s="291" t="n"/>
      <c r="AF165" s="291" t="n"/>
      <c r="AG165" s="291" t="n"/>
      <c r="AH165" s="291" t="n"/>
      <c r="AI165" s="291" t="n"/>
      <c r="AJ165" s="291" t="n"/>
      <c r="AK165" s="291" t="n"/>
      <c r="AL165" s="291" t="n"/>
    </row>
    <row r="166">
      <c r="A166" s="206" t="n">
        <v>17</v>
      </c>
      <c r="B166" s="206" t="n"/>
      <c r="C166" s="207" t="n"/>
      <c r="D166" s="207" t="inlineStr">
        <is>
          <t>境内差旅费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28860.18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1" t="n"/>
      <c r="X166" s="291" t="n"/>
      <c r="Y166" s="291" t="n"/>
      <c r="Z166" s="291" t="n"/>
      <c r="AA166" s="291" t="n"/>
      <c r="AB166" s="291" t="n"/>
      <c r="AC166" s="291" t="n"/>
      <c r="AD166" s="291" t="n"/>
      <c r="AE166" s="291" t="n"/>
      <c r="AF166" s="291" t="n"/>
      <c r="AG166" s="291" t="n"/>
      <c r="AH166" s="291" t="n"/>
      <c r="AI166" s="291" t="n"/>
      <c r="AJ166" s="291" t="n"/>
      <c r="AK166" s="291" t="n"/>
      <c r="AL166" s="291" t="n"/>
    </row>
    <row r="167">
      <c r="A167" s="206" t="n">
        <v>18</v>
      </c>
      <c r="B167" s="206" t="n"/>
      <c r="C167" s="207" t="n"/>
      <c r="D167" s="207" t="inlineStr">
        <is>
          <t>失业保险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45975.32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1" t="n"/>
      <c r="X167" s="291" t="n"/>
      <c r="Y167" s="291" t="n"/>
      <c r="Z167" s="291" t="n"/>
      <c r="AA167" s="291" t="n"/>
      <c r="AB167" s="291" t="n"/>
      <c r="AC167" s="291" t="n"/>
      <c r="AD167" s="291" t="n"/>
      <c r="AE167" s="291" t="n"/>
      <c r="AF167" s="291" t="n"/>
      <c r="AG167" s="291" t="n"/>
      <c r="AH167" s="291" t="n"/>
      <c r="AI167" s="291" t="n"/>
      <c r="AJ167" s="291" t="n"/>
      <c r="AK167" s="291" t="n"/>
      <c r="AL167" s="291" t="n"/>
    </row>
    <row r="168">
      <c r="A168" s="206" t="n">
        <v>19</v>
      </c>
      <c r="B168" s="206" t="n"/>
      <c r="C168" s="207" t="n"/>
      <c r="D168" s="207" t="inlineStr">
        <is>
          <t>工会经费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150995.69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1" t="n"/>
      <c r="X168" s="291" t="n"/>
      <c r="Y168" s="291" t="n"/>
      <c r="Z168" s="291" t="n"/>
      <c r="AA168" s="291" t="n"/>
      <c r="AB168" s="291" t="n"/>
      <c r="AC168" s="291" t="n"/>
      <c r="AD168" s="291" t="n"/>
      <c r="AE168" s="291" t="n"/>
      <c r="AF168" s="291" t="n"/>
      <c r="AG168" s="291" t="n"/>
      <c r="AH168" s="291" t="n"/>
      <c r="AI168" s="291" t="n"/>
      <c r="AJ168" s="291" t="n"/>
      <c r="AK168" s="291" t="n"/>
      <c r="AL168" s="291" t="n"/>
    </row>
    <row r="169">
      <c r="A169" s="206" t="n">
        <v>20</v>
      </c>
      <c r="B169" s="206" t="n"/>
      <c r="C169" s="207" t="n"/>
      <c r="D169" s="207" t="inlineStr">
        <is>
          <t>工伤保险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43560.14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1" t="n"/>
      <c r="X169" s="291" t="n"/>
      <c r="Y169" s="291" t="n"/>
      <c r="Z169" s="291" t="n"/>
      <c r="AA169" s="291" t="n"/>
      <c r="AB169" s="291" t="n"/>
      <c r="AC169" s="291" t="n"/>
      <c r="AD169" s="291" t="n"/>
      <c r="AE169" s="291" t="n"/>
      <c r="AF169" s="291" t="n"/>
      <c r="AG169" s="291" t="n"/>
      <c r="AH169" s="291" t="n"/>
      <c r="AI169" s="291" t="n"/>
      <c r="AJ169" s="291" t="n"/>
      <c r="AK169" s="291" t="n"/>
      <c r="AL169" s="291" t="n"/>
    </row>
    <row r="170">
      <c r="A170" s="206" t="n">
        <v>21</v>
      </c>
      <c r="B170" s="206" t="n"/>
      <c r="C170" s="207" t="n"/>
      <c r="D170" s="207" t="inlineStr">
        <is>
          <t>工资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21079637.05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1" t="n"/>
      <c r="X170" s="291" t="n"/>
      <c r="Y170" s="291" t="n"/>
      <c r="Z170" s="291" t="n"/>
      <c r="AA170" s="291" t="n"/>
      <c r="AB170" s="291" t="n"/>
      <c r="AC170" s="291" t="n"/>
      <c r="AD170" s="291" t="n"/>
      <c r="AE170" s="291" t="n"/>
      <c r="AF170" s="291" t="n"/>
      <c r="AG170" s="291" t="n"/>
      <c r="AH170" s="291" t="n"/>
      <c r="AI170" s="291" t="n"/>
      <c r="AJ170" s="291" t="n"/>
      <c r="AK170" s="291" t="n"/>
      <c r="AL170" s="291" t="n"/>
    </row>
    <row r="171">
      <c r="A171" s="206" t="n">
        <v>22</v>
      </c>
      <c r="B171" s="206" t="n"/>
      <c r="C171" s="207" t="n"/>
      <c r="D171" s="207" t="inlineStr">
        <is>
          <t>市内交通费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5663.74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1" t="n"/>
      <c r="X171" s="291" t="n"/>
      <c r="Y171" s="291" t="n"/>
      <c r="Z171" s="291" t="n"/>
      <c r="AA171" s="291" t="n"/>
      <c r="AB171" s="291" t="n"/>
      <c r="AC171" s="291" t="n"/>
      <c r="AD171" s="291" t="n"/>
      <c r="AE171" s="291" t="n"/>
      <c r="AF171" s="291" t="n"/>
      <c r="AG171" s="291" t="n"/>
      <c r="AH171" s="291" t="n"/>
      <c r="AI171" s="291" t="n"/>
      <c r="AJ171" s="291" t="n"/>
      <c r="AK171" s="291" t="n"/>
      <c r="AL171" s="291" t="n"/>
    </row>
    <row r="172">
      <c r="A172" s="206" t="n">
        <v>23</v>
      </c>
      <c r="B172" s="206" t="n"/>
      <c r="C172" s="207" t="n"/>
      <c r="D172" s="207" t="inlineStr">
        <is>
          <t>律师费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14327.83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1" t="n"/>
      <c r="X172" s="291" t="n"/>
      <c r="Y172" s="291" t="n"/>
      <c r="Z172" s="291" t="n"/>
      <c r="AA172" s="291" t="n"/>
      <c r="AB172" s="291" t="n"/>
      <c r="AC172" s="291" t="n"/>
      <c r="AD172" s="291" t="n"/>
      <c r="AE172" s="291" t="n"/>
      <c r="AF172" s="291" t="n"/>
      <c r="AG172" s="291" t="n"/>
      <c r="AH172" s="291" t="n"/>
      <c r="AI172" s="291" t="n"/>
      <c r="AJ172" s="291" t="n"/>
      <c r="AK172" s="291" t="n"/>
      <c r="AL172" s="291" t="n"/>
    </row>
    <row r="173">
      <c r="A173" s="206" t="n">
        <v>24</v>
      </c>
      <c r="B173" s="206" t="n"/>
      <c r="C173" s="207" t="n"/>
      <c r="D173" s="207" t="inlineStr">
        <is>
          <t>折旧费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65460.13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1" t="n"/>
      <c r="X173" s="291" t="n"/>
      <c r="Y173" s="291" t="n"/>
      <c r="Z173" s="291" t="n"/>
      <c r="AA173" s="291" t="n"/>
      <c r="AB173" s="291" t="n"/>
      <c r="AC173" s="291" t="n"/>
      <c r="AD173" s="291" t="n"/>
      <c r="AE173" s="291" t="n"/>
      <c r="AF173" s="291" t="n"/>
      <c r="AG173" s="291" t="n"/>
      <c r="AH173" s="291" t="n"/>
      <c r="AI173" s="291" t="n"/>
      <c r="AJ173" s="291" t="n"/>
      <c r="AK173" s="291" t="n"/>
      <c r="AL173" s="291" t="n"/>
    </row>
    <row r="174">
      <c r="A174" s="206" t="n">
        <v>25</v>
      </c>
      <c r="B174" s="206" t="n"/>
      <c r="C174" s="207" t="n"/>
      <c r="D174" s="207" t="inlineStr">
        <is>
          <t>水电费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1915223.39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1" t="n"/>
      <c r="X174" s="291" t="n"/>
      <c r="Y174" s="291" t="n"/>
      <c r="Z174" s="291" t="n"/>
      <c r="AA174" s="291" t="n"/>
      <c r="AB174" s="291" t="n"/>
      <c r="AC174" s="291" t="n"/>
      <c r="AD174" s="291" t="n"/>
      <c r="AE174" s="291" t="n"/>
      <c r="AF174" s="291" t="n"/>
      <c r="AG174" s="291" t="n"/>
      <c r="AH174" s="291" t="n"/>
      <c r="AI174" s="291" t="n"/>
      <c r="AJ174" s="291" t="n"/>
      <c r="AK174" s="291" t="n"/>
      <c r="AL174" s="291" t="n"/>
    </row>
    <row r="175">
      <c r="A175" s="206" t="n">
        <v>26</v>
      </c>
      <c r="B175" s="206" t="n"/>
      <c r="C175" s="207" t="n"/>
      <c r="D175" s="207" t="inlineStr">
        <is>
          <t>燃油费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210747.51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1" t="n"/>
      <c r="X175" s="291" t="n"/>
      <c r="Y175" s="291" t="n"/>
      <c r="Z175" s="291" t="n"/>
      <c r="AA175" s="291" t="n"/>
      <c r="AB175" s="291" t="n"/>
      <c r="AC175" s="291" t="n"/>
      <c r="AD175" s="291" t="n"/>
      <c r="AE175" s="291" t="n"/>
      <c r="AF175" s="291" t="n"/>
      <c r="AG175" s="291" t="n"/>
      <c r="AH175" s="291" t="n"/>
      <c r="AI175" s="291" t="n"/>
      <c r="AJ175" s="291" t="n"/>
      <c r="AK175" s="291" t="n"/>
      <c r="AL175" s="291" t="n"/>
    </row>
    <row r="176">
      <c r="A176" s="206" t="n">
        <v>27</v>
      </c>
      <c r="B176" s="206" t="n"/>
      <c r="C176" s="207" t="n"/>
      <c r="D176" s="207" t="inlineStr">
        <is>
          <t>物业租赁费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223298.47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1" t="n"/>
      <c r="X176" s="291" t="n"/>
      <c r="Y176" s="291" t="n"/>
      <c r="Z176" s="291" t="n"/>
      <c r="AA176" s="291" t="n"/>
      <c r="AB176" s="291" t="n"/>
      <c r="AC176" s="291" t="n"/>
      <c r="AD176" s="291" t="n"/>
      <c r="AE176" s="291" t="n"/>
      <c r="AF176" s="291" t="n"/>
      <c r="AG176" s="291" t="n"/>
      <c r="AH176" s="291" t="n"/>
      <c r="AI176" s="291" t="n"/>
      <c r="AJ176" s="291" t="n"/>
      <c r="AK176" s="291" t="n"/>
      <c r="AL176" s="291" t="n"/>
    </row>
    <row r="177">
      <c r="A177" s="206" t="n">
        <v>28</v>
      </c>
      <c r="B177" s="206" t="n"/>
      <c r="C177" s="207" t="n"/>
      <c r="D177" s="207" t="inlineStr">
        <is>
          <t>物业管理费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463287.94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1" t="n"/>
      <c r="X177" s="291" t="n"/>
      <c r="Y177" s="291" t="n"/>
      <c r="Z177" s="291" t="n"/>
      <c r="AA177" s="291" t="n"/>
      <c r="AB177" s="291" t="n"/>
      <c r="AC177" s="291" t="n"/>
      <c r="AD177" s="291" t="n"/>
      <c r="AE177" s="291" t="n"/>
      <c r="AF177" s="291" t="n"/>
      <c r="AG177" s="291" t="n"/>
      <c r="AH177" s="291" t="n"/>
      <c r="AI177" s="291" t="n"/>
      <c r="AJ177" s="291" t="n"/>
      <c r="AK177" s="291" t="n"/>
      <c r="AL177" s="291" t="n"/>
    </row>
    <row r="178">
      <c r="A178" s="206" t="n">
        <v>29</v>
      </c>
      <c r="B178" s="206" t="n"/>
      <c r="C178" s="207" t="n"/>
      <c r="D178" s="207" t="inlineStr">
        <is>
          <t>物料消耗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4059.41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1" t="n"/>
      <c r="X178" s="291" t="n"/>
      <c r="Y178" s="291" t="n"/>
      <c r="Z178" s="291" t="n"/>
      <c r="AA178" s="291" t="n"/>
      <c r="AB178" s="291" t="n"/>
      <c r="AC178" s="291" t="n"/>
      <c r="AD178" s="291" t="n"/>
      <c r="AE178" s="291" t="n"/>
      <c r="AF178" s="291" t="n"/>
      <c r="AG178" s="291" t="n"/>
      <c r="AH178" s="291" t="n"/>
      <c r="AI178" s="291" t="n"/>
      <c r="AJ178" s="291" t="n"/>
      <c r="AK178" s="291" t="n"/>
      <c r="AL178" s="291" t="n"/>
    </row>
    <row r="179">
      <c r="A179" s="206" t="n">
        <v>30</v>
      </c>
      <c r="B179" s="206" t="n"/>
      <c r="C179" s="207" t="n"/>
      <c r="D179" s="207" t="inlineStr">
        <is>
          <t>生育保险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4798.28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1" t="n"/>
      <c r="X179" s="291" t="n"/>
      <c r="Y179" s="291" t="n"/>
      <c r="Z179" s="291" t="n"/>
      <c r="AA179" s="291" t="n"/>
      <c r="AB179" s="291" t="n"/>
      <c r="AC179" s="291" t="n"/>
      <c r="AD179" s="291" t="n"/>
      <c r="AE179" s="291" t="n"/>
      <c r="AF179" s="291" t="n"/>
      <c r="AG179" s="291" t="n"/>
      <c r="AH179" s="291" t="n"/>
      <c r="AI179" s="291" t="n"/>
      <c r="AJ179" s="291" t="n"/>
      <c r="AK179" s="291" t="n"/>
      <c r="AL179" s="291" t="n"/>
    </row>
    <row r="180">
      <c r="A180" s="206" t="n">
        <v>31</v>
      </c>
      <c r="B180" s="206" t="n"/>
      <c r="C180" s="207" t="n"/>
      <c r="D180" s="207" t="inlineStr">
        <is>
          <t>社保及公积金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1410339.33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1" t="n"/>
      <c r="X180" s="291" t="n"/>
      <c r="Y180" s="291" t="n"/>
      <c r="Z180" s="291" t="n"/>
      <c r="AA180" s="291" t="n"/>
      <c r="AB180" s="291" t="n"/>
      <c r="AC180" s="291" t="n"/>
      <c r="AD180" s="291" t="n"/>
      <c r="AE180" s="291" t="n"/>
      <c r="AF180" s="291" t="n"/>
      <c r="AG180" s="291" t="n"/>
      <c r="AH180" s="291" t="n"/>
      <c r="AI180" s="291" t="n"/>
      <c r="AJ180" s="291" t="n"/>
      <c r="AK180" s="291" t="n"/>
      <c r="AL180" s="291" t="n"/>
    </row>
    <row r="181">
      <c r="A181" s="206" t="n">
        <v>32</v>
      </c>
      <c r="B181" s="206" t="n"/>
      <c r="C181" s="207" t="n"/>
      <c r="D181" s="207" t="inlineStr">
        <is>
          <t>租车费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429894.83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1" t="n"/>
      <c r="X181" s="291" t="n"/>
      <c r="Y181" s="291" t="n"/>
      <c r="Z181" s="291" t="n"/>
      <c r="AA181" s="291" t="n"/>
      <c r="AB181" s="291" t="n"/>
      <c r="AC181" s="291" t="n"/>
      <c r="AD181" s="291" t="n"/>
      <c r="AE181" s="291" t="n"/>
      <c r="AF181" s="291" t="n"/>
      <c r="AG181" s="291" t="n"/>
      <c r="AH181" s="291" t="n"/>
      <c r="AI181" s="291" t="n"/>
      <c r="AJ181" s="291" t="n"/>
      <c r="AK181" s="291" t="n"/>
      <c r="AL181" s="291" t="n"/>
    </row>
    <row r="182">
      <c r="A182" s="206" t="n">
        <v>33</v>
      </c>
      <c r="B182" s="206" t="n"/>
      <c r="C182" s="207" t="n"/>
      <c r="D182" s="207" t="inlineStr">
        <is>
          <t>维修保养费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34521.89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1" t="n"/>
      <c r="X182" s="291" t="n"/>
      <c r="Y182" s="291" t="n"/>
      <c r="Z182" s="291" t="n"/>
      <c r="AA182" s="291" t="n"/>
      <c r="AB182" s="291" t="n"/>
      <c r="AC182" s="291" t="n"/>
      <c r="AD182" s="291" t="n"/>
      <c r="AE182" s="291" t="n"/>
      <c r="AF182" s="291" t="n"/>
      <c r="AG182" s="291" t="n"/>
      <c r="AH182" s="291" t="n"/>
      <c r="AI182" s="291" t="n"/>
      <c r="AJ182" s="291" t="n"/>
      <c r="AK182" s="291" t="n"/>
      <c r="AL182" s="291" t="n"/>
    </row>
    <row r="183">
      <c r="A183" s="206" t="n">
        <v>34</v>
      </c>
      <c r="B183" s="206" t="n"/>
      <c r="C183" s="207" t="n"/>
      <c r="D183" s="207" t="inlineStr">
        <is>
          <t>网络使用费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114830.51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1" t="n"/>
      <c r="X183" s="291" t="n"/>
      <c r="Y183" s="291" t="n"/>
      <c r="Z183" s="291" t="n"/>
      <c r="AA183" s="291" t="n"/>
      <c r="AB183" s="291" t="n"/>
      <c r="AC183" s="291" t="n"/>
      <c r="AD183" s="291" t="n"/>
      <c r="AE183" s="291" t="n"/>
      <c r="AF183" s="291" t="n"/>
      <c r="AG183" s="291" t="n"/>
      <c r="AH183" s="291" t="n"/>
      <c r="AI183" s="291" t="n"/>
      <c r="AJ183" s="291" t="n"/>
      <c r="AK183" s="291" t="n"/>
      <c r="AL183" s="291" t="n"/>
    </row>
    <row r="184">
      <c r="A184" s="206" t="n">
        <v>35</v>
      </c>
      <c r="B184" s="206" t="n"/>
      <c r="C184" s="207" t="n"/>
      <c r="D184" s="207" t="inlineStr">
        <is>
          <t>职工教育经费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135820.32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1" t="n"/>
      <c r="X184" s="291" t="n"/>
      <c r="Y184" s="291" t="n"/>
      <c r="Z184" s="291" t="n"/>
      <c r="AA184" s="291" t="n"/>
      <c r="AB184" s="291" t="n"/>
      <c r="AC184" s="291" t="n"/>
      <c r="AD184" s="291" t="n"/>
      <c r="AE184" s="291" t="n"/>
      <c r="AF184" s="291" t="n"/>
      <c r="AG184" s="291" t="n"/>
      <c r="AH184" s="291" t="n"/>
      <c r="AI184" s="291" t="n"/>
      <c r="AJ184" s="291" t="n"/>
      <c r="AK184" s="291" t="n"/>
      <c r="AL184" s="291" t="n"/>
    </row>
    <row r="185">
      <c r="A185" s="206" t="n">
        <v>36</v>
      </c>
      <c r="B185" s="206" t="n"/>
      <c r="C185" s="207" t="n"/>
      <c r="D185" s="207" t="inlineStr">
        <is>
          <t>职工福利费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824342.88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1" t="n"/>
      <c r="X185" s="291" t="n"/>
      <c r="Y185" s="291" t="n"/>
      <c r="Z185" s="291" t="n"/>
      <c r="AA185" s="291" t="n"/>
      <c r="AB185" s="291" t="n"/>
      <c r="AC185" s="291" t="n"/>
      <c r="AD185" s="291" t="n"/>
      <c r="AE185" s="291" t="n"/>
      <c r="AF185" s="291" t="n"/>
      <c r="AG185" s="291" t="n"/>
      <c r="AH185" s="291" t="n"/>
      <c r="AI185" s="291" t="n"/>
      <c r="AJ185" s="291" t="n"/>
      <c r="AK185" s="291" t="n"/>
      <c r="AL185" s="291" t="n"/>
    </row>
    <row r="186">
      <c r="A186" s="206" t="n">
        <v>37</v>
      </c>
      <c r="B186" s="206" t="n"/>
      <c r="C186" s="207" t="n"/>
      <c r="D186" s="207" t="inlineStr">
        <is>
          <t>补充医疗保险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7322.89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1" t="n"/>
      <c r="X186" s="291" t="n"/>
      <c r="Y186" s="291" t="n"/>
      <c r="Z186" s="291" t="n"/>
      <c r="AA186" s="291" t="n"/>
      <c r="AB186" s="291" t="n"/>
      <c r="AC186" s="291" t="n"/>
      <c r="AD186" s="291" t="n"/>
      <c r="AE186" s="291" t="n"/>
      <c r="AF186" s="291" t="n"/>
      <c r="AG186" s="291" t="n"/>
      <c r="AH186" s="291" t="n"/>
      <c r="AI186" s="291" t="n"/>
      <c r="AJ186" s="291" t="n"/>
      <c r="AK186" s="291" t="n"/>
      <c r="AL186" s="291" t="n"/>
    </row>
    <row r="187">
      <c r="A187" s="206" t="n">
        <v>38</v>
      </c>
      <c r="B187" s="206" t="n"/>
      <c r="C187" s="207" t="n"/>
      <c r="D187" s="207" t="inlineStr">
        <is>
          <t>诉讼费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36638.87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1" t="n"/>
      <c r="X187" s="291" t="n"/>
      <c r="Y187" s="291" t="n"/>
      <c r="Z187" s="291" t="n"/>
      <c r="AA187" s="291" t="n"/>
      <c r="AB187" s="291" t="n"/>
      <c r="AC187" s="291" t="n"/>
      <c r="AD187" s="291" t="n"/>
      <c r="AE187" s="291" t="n"/>
      <c r="AF187" s="291" t="n"/>
      <c r="AG187" s="291" t="n"/>
      <c r="AH187" s="291" t="n"/>
      <c r="AI187" s="291" t="n"/>
      <c r="AJ187" s="291" t="n"/>
      <c r="AK187" s="291" t="n"/>
      <c r="AL187" s="291" t="n"/>
    </row>
    <row r="188">
      <c r="A188" s="206" t="n">
        <v>39</v>
      </c>
      <c r="B188" s="206" t="n"/>
      <c r="C188" s="207" t="n"/>
      <c r="D188" s="207" t="inlineStr">
        <is>
          <t>路桥及停车费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78817.39999999999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91" t="n"/>
      <c r="X188" s="291" t="n"/>
      <c r="Y188" s="291" t="n"/>
      <c r="Z188" s="291" t="n"/>
      <c r="AA188" s="291" t="n"/>
      <c r="AB188" s="291" t="n"/>
      <c r="AC188" s="291" t="n"/>
      <c r="AD188" s="291" t="n"/>
      <c r="AE188" s="291" t="n"/>
      <c r="AF188" s="291" t="n"/>
      <c r="AG188" s="291" t="n"/>
      <c r="AH188" s="291" t="n"/>
      <c r="AI188" s="291" t="n"/>
      <c r="AJ188" s="291" t="n"/>
      <c r="AK188" s="291" t="n"/>
      <c r="AL188" s="291" t="n"/>
    </row>
    <row r="189">
      <c r="A189" s="206" t="n">
        <v>40</v>
      </c>
      <c r="B189" s="206" t="n"/>
      <c r="C189" s="207" t="n"/>
      <c r="D189" s="207" t="inlineStr">
        <is>
          <t>软件费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209326.47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1" t="n"/>
      <c r="X189" s="291" t="n"/>
      <c r="Y189" s="291" t="n"/>
      <c r="Z189" s="291" t="n"/>
      <c r="AA189" s="291" t="n"/>
      <c r="AB189" s="291" t="n"/>
      <c r="AC189" s="291" t="n"/>
      <c r="AD189" s="291" t="n"/>
      <c r="AE189" s="291" t="n"/>
      <c r="AF189" s="291" t="n"/>
      <c r="AG189" s="291" t="n"/>
      <c r="AH189" s="291" t="n"/>
      <c r="AI189" s="291" t="n"/>
      <c r="AJ189" s="291" t="n"/>
      <c r="AK189" s="291" t="n"/>
      <c r="AL189" s="291" t="n"/>
    </row>
    <row r="190">
      <c r="A190" s="206" t="n">
        <v>41</v>
      </c>
      <c r="B190" s="206" t="n"/>
      <c r="C190" s="207" t="n"/>
      <c r="D190" s="207" t="inlineStr">
        <is>
          <t>通信费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192969.09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1" t="n"/>
      <c r="X190" s="291" t="n"/>
      <c r="Y190" s="291" t="n"/>
      <c r="Z190" s="291" t="n"/>
      <c r="AA190" s="291" t="n"/>
      <c r="AB190" s="291" t="n"/>
      <c r="AC190" s="291" t="n"/>
      <c r="AD190" s="291" t="n"/>
      <c r="AE190" s="291" t="n"/>
      <c r="AF190" s="291" t="n"/>
      <c r="AG190" s="291" t="n"/>
      <c r="AH190" s="291" t="n"/>
      <c r="AI190" s="291" t="n"/>
      <c r="AJ190" s="291" t="n"/>
      <c r="AK190" s="291" t="n"/>
      <c r="AL190" s="291" t="n"/>
    </row>
    <row r="191">
      <c r="A191" s="206" t="n">
        <v>42</v>
      </c>
      <c r="B191" s="206" t="n"/>
      <c r="C191" s="207" t="n"/>
      <c r="D191" s="207" t="inlineStr">
        <is>
          <t>邮寄费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1030.72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1" t="n"/>
      <c r="X191" s="291" t="n"/>
      <c r="Y191" s="291" t="n"/>
      <c r="Z191" s="291" t="n"/>
      <c r="AA191" s="291" t="n"/>
      <c r="AB191" s="291" t="n"/>
      <c r="AC191" s="291" t="n"/>
      <c r="AD191" s="291" t="n"/>
      <c r="AE191" s="291" t="n"/>
      <c r="AF191" s="291" t="n"/>
      <c r="AG191" s="291" t="n"/>
      <c r="AH191" s="291" t="n"/>
      <c r="AI191" s="291" t="n"/>
      <c r="AJ191" s="291" t="n"/>
      <c r="AK191" s="291" t="n"/>
      <c r="AL191" s="291" t="n"/>
    </row>
    <row r="192">
      <c r="A192" s="280" t="n"/>
      <c r="B192" s="281" t="n"/>
      <c r="C192" s="281" t="n"/>
      <c r="D192" s="292" t="inlineStr">
        <is>
          <t>**财务未列部分需增列***</t>
        </is>
      </c>
      <c r="E192" s="293" t="n"/>
      <c r="F192" s="293" t="n"/>
      <c r="G192" s="293" t="n"/>
      <c r="H192" s="316" t="n"/>
      <c r="I192" s="283" t="n"/>
      <c r="J192" s="316" t="n"/>
      <c r="K192" s="284" t="n"/>
      <c r="L192" s="285" t="n"/>
      <c r="M192" s="316" t="n"/>
      <c r="N192" s="283" t="n"/>
      <c r="O192" s="283">
        <f>L192-M192</f>
        <v/>
      </c>
      <c r="P192" s="283">
        <f>K192-N192</f>
        <v/>
      </c>
      <c r="Q192" s="283">
        <f>M192+O192</f>
        <v/>
      </c>
      <c r="R192" s="283">
        <f>M192+N192+O192+P192</f>
        <v/>
      </c>
      <c r="S192" s="287">
        <f>SUM(T192:V192)</f>
        <v/>
      </c>
      <c r="T192" s="316" t="n"/>
      <c r="U192" s="316" t="n"/>
      <c r="V192" s="316" t="n"/>
      <c r="W192" s="316" t="n"/>
      <c r="X192" s="316" t="n"/>
      <c r="Y192" s="316" t="n"/>
      <c r="Z192" s="316" t="n"/>
      <c r="AA192" s="287" t="n"/>
      <c r="AB192" s="288" t="n"/>
      <c r="AC192" s="288" t="n"/>
      <c r="AD192" s="288" t="n"/>
      <c r="AE192" s="288" t="n"/>
      <c r="AF192" s="288" t="n"/>
      <c r="AG192" s="288" t="n"/>
      <c r="AH192" s="288" t="n"/>
      <c r="AI192" s="288" t="n"/>
      <c r="AJ192" s="288" t="n"/>
      <c r="AK192" s="288" t="n"/>
      <c r="AL192" s="295" t="n"/>
    </row>
    <row r="193">
      <c r="A193" s="317" t="n"/>
      <c r="B193" s="318" t="n"/>
      <c r="C193" s="318" t="n"/>
      <c r="D193" s="313" t="inlineStr">
        <is>
          <t>间接费小计：</t>
        </is>
      </c>
      <c r="E193" s="319" t="n"/>
      <c r="F193" s="319" t="n"/>
      <c r="G193" s="319" t="n"/>
      <c r="H193" s="299">
        <f>SUM(H149:H192)</f>
        <v/>
      </c>
      <c r="I193" s="299">
        <f>SUM(I149:I192)</f>
        <v/>
      </c>
      <c r="J193" s="299">
        <f>SUM(J149:J192)</f>
        <v/>
      </c>
      <c r="K193" s="299">
        <f>SUM(K149:K192)</f>
        <v/>
      </c>
      <c r="L193" s="315">
        <f>SUM(L149:L192)</f>
        <v/>
      </c>
      <c r="M193" s="315">
        <f>SUM(M149:M192)</f>
        <v/>
      </c>
      <c r="N193" s="315">
        <f>SUM(N149:N192)</f>
        <v/>
      </c>
      <c r="O193" s="315">
        <f>SUM(O149:O192)</f>
        <v/>
      </c>
      <c r="P193" s="315">
        <f>SUM(P149:P192)</f>
        <v/>
      </c>
      <c r="Q193" s="315">
        <f>SUM(Q149:Q192)</f>
        <v/>
      </c>
      <c r="R193" s="315">
        <f>SUM(R149:R192)</f>
        <v/>
      </c>
      <c r="S193" s="315">
        <f>SUM(S149:S192)</f>
        <v/>
      </c>
      <c r="T193" s="315" t="n"/>
      <c r="U193" s="315" t="n"/>
      <c r="V193" s="315" t="n"/>
      <c r="W193" s="315" t="n"/>
      <c r="X193" s="315" t="n"/>
      <c r="Y193" s="315" t="n"/>
      <c r="Z193" s="315">
        <f>SUM(Z149:Z192)</f>
        <v/>
      </c>
      <c r="AA193" s="315">
        <f>SUM(AA149:AA192)</f>
        <v/>
      </c>
      <c r="AB193" s="315">
        <f>SUM(AB149:AB192)</f>
        <v/>
      </c>
      <c r="AC193" s="315">
        <f>SUM(AC149:AC192)</f>
        <v/>
      </c>
      <c r="AD193" s="315">
        <f>SUM(AD149:AD192)</f>
        <v/>
      </c>
      <c r="AE193" s="315">
        <f>SUM(AE149:AE192)</f>
        <v/>
      </c>
      <c r="AF193" s="315">
        <f>SUM(AF149:AF192)</f>
        <v/>
      </c>
      <c r="AG193" s="315" t="n"/>
      <c r="AH193" s="315" t="n"/>
      <c r="AI193" s="315">
        <f>SUM(AI149:AI192)</f>
        <v/>
      </c>
      <c r="AJ193" s="315">
        <f>SUM(AJ149:AJ192)</f>
        <v/>
      </c>
      <c r="AK193" s="315">
        <f>SUM(AK149:AK192)</f>
        <v/>
      </c>
      <c r="AL193" s="295" t="n"/>
    </row>
    <row r="194">
      <c r="A194" s="280" t="n"/>
      <c r="B194" s="281" t="n"/>
      <c r="C194" s="281" t="n"/>
      <c r="D194" s="300" t="inlineStr">
        <is>
          <t>（七）安全费</t>
        </is>
      </c>
      <c r="E194" s="293" t="n"/>
      <c r="F194" s="293" t="n"/>
      <c r="G194" s="293" t="n"/>
      <c r="H194" s="283" t="n"/>
      <c r="I194" s="283" t="n"/>
      <c r="J194" s="286" t="n">
        <v>0</v>
      </c>
      <c r="K194" s="320" t="n"/>
      <c r="L194" s="285">
        <f>J194-N194-P194</f>
        <v/>
      </c>
      <c r="M194" s="283" t="n"/>
      <c r="N194" s="283" t="n"/>
      <c r="O194" s="283">
        <f>L194-M194</f>
        <v/>
      </c>
      <c r="P194" s="283">
        <f>K194-N194</f>
        <v/>
      </c>
      <c r="Q194" s="283">
        <f>M194+O194</f>
        <v/>
      </c>
      <c r="R194" s="283">
        <f>M194+N194+O194+P194</f>
        <v/>
      </c>
      <c r="S194" s="287">
        <f>SUM(T194:V194)</f>
        <v/>
      </c>
      <c r="T194" s="316" t="n"/>
      <c r="U194" s="316" t="n"/>
      <c r="V194" s="316" t="n"/>
      <c r="W194" s="316" t="n"/>
      <c r="X194" s="316" t="n"/>
      <c r="Y194" s="316" t="n"/>
      <c r="Z194" s="312" t="n"/>
      <c r="AA194" s="287" t="n"/>
      <c r="AB194" s="288" t="n"/>
      <c r="AC194" s="288" t="n"/>
      <c r="AD194" s="288" t="n"/>
      <c r="AE194" s="288" t="n"/>
      <c r="AF194" s="288" t="n"/>
      <c r="AG194" s="288" t="n"/>
      <c r="AH194" s="288" t="n"/>
      <c r="AI194" s="288" t="n"/>
      <c r="AJ194" s="288" t="n"/>
      <c r="AK194" s="288" t="n"/>
      <c r="AL194" s="295" t="n"/>
    </row>
    <row r="195">
      <c r="A195" s="206" t="n">
        <v>1</v>
      </c>
      <c r="B195" s="206" t="n"/>
      <c r="C195" s="207" t="n"/>
      <c r="D195" s="207" t="inlineStr">
        <is>
          <t>ZGD-安全生产-分包工程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7872000.25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91" t="n"/>
      <c r="X195" s="291" t="n"/>
      <c r="Y195" s="291" t="n"/>
      <c r="Z195" s="291" t="n"/>
      <c r="AA195" s="291" t="n"/>
      <c r="AB195" s="291" t="n"/>
      <c r="AC195" s="291" t="n"/>
      <c r="AD195" s="291" t="n"/>
      <c r="AE195" s="291" t="n"/>
      <c r="AF195" s="291" t="n"/>
      <c r="AG195" s="291" t="n"/>
      <c r="AH195" s="291" t="n"/>
      <c r="AI195" s="291" t="n"/>
      <c r="AJ195" s="291" t="n"/>
      <c r="AK195" s="291" t="n"/>
      <c r="AL195" s="291" t="n"/>
    </row>
    <row r="196">
      <c r="A196" s="206" t="n">
        <v>2</v>
      </c>
      <c r="B196" s="206" t="n"/>
      <c r="C196" s="207" t="n"/>
      <c r="D196" s="207" t="inlineStr">
        <is>
          <t>安全生产-人工费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2852405.63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91" t="n"/>
      <c r="X196" s="291" t="n"/>
      <c r="Y196" s="291" t="n"/>
      <c r="Z196" s="291" t="n"/>
      <c r="AA196" s="291" t="n"/>
      <c r="AB196" s="291" t="n"/>
      <c r="AC196" s="291" t="n"/>
      <c r="AD196" s="291" t="n"/>
      <c r="AE196" s="291" t="n"/>
      <c r="AF196" s="291" t="n"/>
      <c r="AG196" s="291" t="n"/>
      <c r="AH196" s="291" t="n"/>
      <c r="AI196" s="291" t="n"/>
      <c r="AJ196" s="291" t="n"/>
      <c r="AK196" s="291" t="n"/>
      <c r="AL196" s="291" t="n"/>
    </row>
    <row r="197">
      <c r="A197" s="206" t="n">
        <v>3</v>
      </c>
      <c r="B197" s="206" t="n"/>
      <c r="C197" s="207" t="n"/>
      <c r="D197" s="207" t="inlineStr">
        <is>
          <t>安全生产-分包工程</t>
        </is>
      </c>
      <c r="E197" s="206" t="n"/>
      <c r="F197" s="206" t="n"/>
      <c r="G197" s="206" t="n"/>
      <c r="H197" s="206" t="n"/>
      <c r="I197" s="206" t="n"/>
      <c r="J197" s="206">
        <f>H197+I197</f>
        <v/>
      </c>
      <c r="K197" s="208" t="n"/>
      <c r="L197" s="206">
        <f>J197-K197</f>
        <v/>
      </c>
      <c r="M197" s="210" t="n">
        <v>4674095.6</v>
      </c>
      <c r="N197" s="206" t="n"/>
      <c r="O197" s="206">
        <f>L197-M197</f>
        <v/>
      </c>
      <c r="P197" s="206">
        <f>K197-N197</f>
        <v/>
      </c>
      <c r="Q197" s="206">
        <f>M197+O197</f>
        <v/>
      </c>
      <c r="R197" s="206">
        <f>M197+N197+O197+P197</f>
        <v/>
      </c>
      <c r="S197" s="206" t="n"/>
      <c r="T197" s="206" t="n"/>
      <c r="U197" s="206" t="n"/>
      <c r="V197" s="206" t="n"/>
      <c r="W197" s="291" t="n"/>
      <c r="X197" s="291" t="n"/>
      <c r="Y197" s="291" t="n"/>
      <c r="Z197" s="291" t="n"/>
      <c r="AA197" s="291" t="n"/>
      <c r="AB197" s="291" t="n"/>
      <c r="AC197" s="291" t="n"/>
      <c r="AD197" s="291" t="n"/>
      <c r="AE197" s="291" t="n"/>
      <c r="AF197" s="291" t="n"/>
      <c r="AG197" s="291" t="n"/>
      <c r="AH197" s="291" t="n"/>
      <c r="AI197" s="291" t="n"/>
      <c r="AJ197" s="291" t="n"/>
      <c r="AK197" s="291" t="n"/>
      <c r="AL197" s="291" t="n"/>
    </row>
    <row r="198">
      <c r="A198" s="206" t="n">
        <v>4</v>
      </c>
      <c r="B198" s="206" t="n"/>
      <c r="C198" s="207" t="n"/>
      <c r="D198" s="207" t="inlineStr">
        <is>
          <t>安全生产-机械使用</t>
        </is>
      </c>
      <c r="E198" s="206" t="n"/>
      <c r="F198" s="206" t="n"/>
      <c r="G198" s="206" t="n"/>
      <c r="H198" s="206" t="n"/>
      <c r="I198" s="206" t="n"/>
      <c r="J198" s="206">
        <f>H198+I198</f>
        <v/>
      </c>
      <c r="K198" s="208" t="n"/>
      <c r="L198" s="206">
        <f>J198-K198</f>
        <v/>
      </c>
      <c r="M198" s="210" t="n">
        <v>326856.87</v>
      </c>
      <c r="N198" s="206" t="n"/>
      <c r="O198" s="206">
        <f>L198-M198</f>
        <v/>
      </c>
      <c r="P198" s="206">
        <f>K198-N198</f>
        <v/>
      </c>
      <c r="Q198" s="206">
        <f>M198+O198</f>
        <v/>
      </c>
      <c r="R198" s="206">
        <f>M198+N198+O198+P198</f>
        <v/>
      </c>
      <c r="S198" s="206" t="n"/>
      <c r="T198" s="206" t="n"/>
      <c r="U198" s="206" t="n"/>
      <c r="V198" s="206" t="n"/>
      <c r="W198" s="291" t="n"/>
      <c r="X198" s="291" t="n"/>
      <c r="Y198" s="291" t="n"/>
      <c r="Z198" s="291" t="n"/>
      <c r="AA198" s="291" t="n"/>
      <c r="AB198" s="291" t="n"/>
      <c r="AC198" s="291" t="n"/>
      <c r="AD198" s="291" t="n"/>
      <c r="AE198" s="291" t="n"/>
      <c r="AF198" s="291" t="n"/>
      <c r="AG198" s="291" t="n"/>
      <c r="AH198" s="291" t="n"/>
      <c r="AI198" s="291" t="n"/>
      <c r="AJ198" s="291" t="n"/>
      <c r="AK198" s="291" t="n"/>
      <c r="AL198" s="291" t="n"/>
    </row>
    <row r="199">
      <c r="A199" s="206" t="n">
        <v>5</v>
      </c>
      <c r="B199" s="206" t="n"/>
      <c r="C199" s="207" t="n"/>
      <c r="D199" s="207" t="inlineStr">
        <is>
          <t>安全生产费-报销</t>
        </is>
      </c>
      <c r="E199" s="206" t="n"/>
      <c r="F199" s="206" t="n"/>
      <c r="G199" s="206" t="n"/>
      <c r="H199" s="206" t="n"/>
      <c r="I199" s="206" t="n"/>
      <c r="J199" s="206">
        <f>H199+I199</f>
        <v/>
      </c>
      <c r="K199" s="208" t="n"/>
      <c r="L199" s="206">
        <f>J199-K199</f>
        <v/>
      </c>
      <c r="M199" s="210" t="n">
        <v>2066826.1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  <c r="W199" s="291" t="n"/>
      <c r="X199" s="291" t="n"/>
      <c r="Y199" s="291" t="n"/>
      <c r="Z199" s="291" t="n"/>
      <c r="AA199" s="291" t="n"/>
      <c r="AB199" s="291" t="n"/>
      <c r="AC199" s="291" t="n"/>
      <c r="AD199" s="291" t="n"/>
      <c r="AE199" s="291" t="n"/>
      <c r="AF199" s="291" t="n"/>
      <c r="AG199" s="291" t="n"/>
      <c r="AH199" s="291" t="n"/>
      <c r="AI199" s="291" t="n"/>
      <c r="AJ199" s="291" t="n"/>
      <c r="AK199" s="291" t="n"/>
      <c r="AL199" s="291" t="n"/>
    </row>
    <row r="200">
      <c r="A200" s="317" t="n"/>
      <c r="B200" s="318" t="n"/>
      <c r="C200" s="318" t="n"/>
      <c r="D200" s="313" t="inlineStr">
        <is>
          <t>安全费小计：</t>
        </is>
      </c>
      <c r="E200" s="313" t="n"/>
      <c r="F200" s="313" t="n"/>
      <c r="G200" s="313" t="n"/>
      <c r="H200" s="299">
        <f>SUM(H194:H199)</f>
        <v/>
      </c>
      <c r="I200" s="299">
        <f>SUM(I194:I199)</f>
        <v/>
      </c>
      <c r="J200" s="299" t="n">
        <v>0</v>
      </c>
      <c r="K200" s="299" t="n">
        <v>0</v>
      </c>
      <c r="L200" s="321">
        <f>J200-K200</f>
        <v/>
      </c>
      <c r="M200" s="315">
        <f>SUM(M194:M199)</f>
        <v/>
      </c>
      <c r="N200" s="315">
        <f>SUM(N194:N199)</f>
        <v/>
      </c>
      <c r="O200" s="315">
        <f>SUM(O194:O199)</f>
        <v/>
      </c>
      <c r="P200" s="315">
        <f>SUM(P194:P199)</f>
        <v/>
      </c>
      <c r="Q200" s="315">
        <f>SUM(Q194:Q199)</f>
        <v/>
      </c>
      <c r="R200" s="315">
        <f>SUM(R194:R199)</f>
        <v/>
      </c>
      <c r="S200" s="315">
        <f>SUM(S194:S199)</f>
        <v/>
      </c>
      <c r="T200" s="322" t="n"/>
      <c r="U200" s="322" t="n"/>
      <c r="V200" s="322" t="n"/>
      <c r="W200" s="322" t="n"/>
      <c r="X200" s="322" t="n"/>
      <c r="Y200" s="322" t="n"/>
      <c r="Z200" s="322" t="n"/>
      <c r="AA200" s="322">
        <f>SUM(AA194:AA199)</f>
        <v/>
      </c>
      <c r="AB200" s="322">
        <f>SUM(AB194:AB199)</f>
        <v/>
      </c>
      <c r="AC200" s="322">
        <f>SUM(AC194:AC199)</f>
        <v/>
      </c>
      <c r="AD200" s="322">
        <f>SUM(AD194:AD199)</f>
        <v/>
      </c>
      <c r="AE200" s="322">
        <f>SUM(AE194:AE199)</f>
        <v/>
      </c>
      <c r="AF200" s="322">
        <f>SUM(AF194:AF199)</f>
        <v/>
      </c>
      <c r="AG200" s="322" t="n"/>
      <c r="AH200" s="322" t="n"/>
      <c r="AI200" s="322">
        <f>SUM(AI194:AI199)</f>
        <v/>
      </c>
      <c r="AJ200" s="322">
        <f>SUM(AJ194:AJ199)</f>
        <v/>
      </c>
      <c r="AK200" s="322">
        <f>SUM(AK194:AK199)</f>
        <v/>
      </c>
      <c r="AL200" s="323" t="n"/>
    </row>
    <row r="201">
      <c r="A201" s="317" t="n"/>
      <c r="B201" s="318" t="n"/>
      <c r="C201" s="318" t="n"/>
      <c r="D201" s="313" t="inlineStr">
        <is>
          <t>三、成本合计：</t>
        </is>
      </c>
      <c r="E201" s="319" t="n"/>
      <c r="F201" s="319" t="n"/>
      <c r="G201" s="319" t="n"/>
      <c r="H201" s="299">
        <f>H34+H65+H124+H140+H148+H193+H200</f>
        <v/>
      </c>
      <c r="I201" s="299">
        <f>I34+I65+I124+I140+I148+I193+I200</f>
        <v/>
      </c>
      <c r="J201" s="299">
        <f>J34+J65+J124+J140+J148+J193+J200</f>
        <v/>
      </c>
      <c r="K201" s="299">
        <f>K34+K65+K124+K140+K148+K193+K200</f>
        <v/>
      </c>
      <c r="L201" s="315">
        <f>L34+L65+L124+L140+L148+L193+L200</f>
        <v/>
      </c>
      <c r="M201" s="322">
        <f>M34+M65+M124+M140+M148+M193+M200</f>
        <v/>
      </c>
      <c r="N201" s="322">
        <f>N34+N65+N124+N140+N148+N193+N200</f>
        <v/>
      </c>
      <c r="O201" s="322">
        <f>O34+O65+O124+O140+O148+O193+O200</f>
        <v/>
      </c>
      <c r="P201" s="322">
        <f>P34+P65+P124+P140+P148+P193+P200</f>
        <v/>
      </c>
      <c r="Q201" s="322">
        <f>Q34+Q65+Q124+Q140+Q148+Q193+Q200</f>
        <v/>
      </c>
      <c r="R201" s="322">
        <f>R34+R65+R124+R140+R148+R193+R200</f>
        <v/>
      </c>
      <c r="S201" s="322">
        <f>S34+S65+S124+S140+S148+S193+S200</f>
        <v/>
      </c>
      <c r="T201" s="322" t="n"/>
      <c r="U201" s="322" t="n"/>
      <c r="V201" s="322" t="n"/>
      <c r="W201" s="322" t="n"/>
      <c r="X201" s="322" t="n"/>
      <c r="Y201" s="322" t="n"/>
      <c r="Z201" s="322">
        <f>Z34+Z65+Z124+Z140+Z148+Z193+Z200</f>
        <v/>
      </c>
      <c r="AA201" s="322">
        <f>AA34+AA65+AA124+AA140+AA148+AA193+AA200</f>
        <v/>
      </c>
      <c r="AB201" s="322">
        <f>AB34+AB65+AB124+AB140+AB148+AB193+AB200</f>
        <v/>
      </c>
      <c r="AC201" s="322">
        <f>AC34+AC65+AC124+AC140+AC148+AC193+AC200</f>
        <v/>
      </c>
      <c r="AD201" s="322">
        <f>AD34+AD65+AD124+AD140+AD148+AD193+AD200</f>
        <v/>
      </c>
      <c r="AE201" s="322">
        <f>AE34+AE65+AE124+AE140+AE148+AE193+AE200</f>
        <v/>
      </c>
      <c r="AF201" s="322">
        <f>AF34+AF65+AF124+AF140+AF148+AF193+AF200</f>
        <v/>
      </c>
      <c r="AG201" s="322" t="n"/>
      <c r="AH201" s="322" t="n"/>
      <c r="AI201" s="322">
        <f>AI34+AI65+AI124+AI140+AI148+AI193+AI200</f>
        <v/>
      </c>
      <c r="AJ201" s="322">
        <f>AJ34+AJ65+AJ124+AJ140+AJ148+AJ193+AJ200</f>
        <v/>
      </c>
      <c r="AK201" s="322">
        <f>AK34+AK65+AK124+AK140+AK148+AK193+AK200</f>
        <v/>
      </c>
      <c r="AL201" s="323" t="n"/>
    </row>
    <row r="202">
      <c r="A202" s="317" t="n"/>
      <c r="B202" s="318" t="n"/>
      <c r="C202" s="318" t="n"/>
      <c r="D202" s="313" t="inlineStr">
        <is>
          <t>四、计提保修金</t>
        </is>
      </c>
      <c r="E202" s="319" t="inlineStr">
        <is>
          <t>（在建：房建0.6%，其它0.4%；在保修期间的按0.3~0.5%自行确定;保修期结束为0）</t>
        </is>
      </c>
      <c r="F202" s="319" t="n"/>
      <c r="G202" s="319" t="n"/>
      <c r="H202" s="299" t="n"/>
      <c r="I202" s="299" t="n"/>
      <c r="J202" s="299">
        <f>H202+I202</f>
        <v/>
      </c>
      <c r="K202" s="299" t="n"/>
      <c r="L202" s="315">
        <f>J202-K202</f>
        <v/>
      </c>
      <c r="M202" s="322" t="n"/>
      <c r="N202" s="322" t="n"/>
      <c r="O202" s="322">
        <f>L202-M202</f>
        <v/>
      </c>
      <c r="P202" s="322">
        <f>K202-N202</f>
        <v/>
      </c>
      <c r="Q202" s="322">
        <f>M202+O202</f>
        <v/>
      </c>
      <c r="R202" s="322">
        <f>M202+N202+O202+P202</f>
        <v/>
      </c>
      <c r="S202" s="322">
        <f>SUM(T202:V202)</f>
        <v/>
      </c>
      <c r="T202" s="322" t="n"/>
      <c r="U202" s="322" t="n"/>
      <c r="V202" s="322" t="n"/>
      <c r="W202" s="322" t="n"/>
      <c r="X202" s="322" t="n"/>
      <c r="Y202" s="322" t="n"/>
      <c r="Z202" s="322" t="n"/>
      <c r="AA202" s="322">
        <f>Q69-S69</f>
        <v/>
      </c>
      <c r="AB202" s="322" t="n"/>
      <c r="AC202" s="322" t="n"/>
      <c r="AD202" s="322" t="n"/>
      <c r="AE202" s="322" t="n"/>
      <c r="AF202" s="322" t="n"/>
      <c r="AG202" s="322" t="n"/>
      <c r="AH202" s="322" t="n"/>
      <c r="AI202" s="322" t="n"/>
      <c r="AJ202" s="322" t="n"/>
      <c r="AK202" s="322" t="n"/>
      <c r="AL202" s="323" t="n"/>
    </row>
    <row r="203">
      <c r="A203" s="317" t="n"/>
      <c r="B203" s="318" t="n"/>
      <c r="C203" s="318" t="n"/>
      <c r="D203" s="313" t="inlineStr">
        <is>
          <t>五、过程节点奖金</t>
        </is>
      </c>
      <c r="E203" s="319" t="n"/>
      <c r="F203" s="319" t="n"/>
      <c r="G203" s="319" t="n"/>
      <c r="H203" s="299" t="n"/>
      <c r="I203" s="299" t="n"/>
      <c r="J203" s="299">
        <f>H203+I203</f>
        <v/>
      </c>
      <c r="K203" s="299" t="n"/>
      <c r="L203" s="315">
        <f>J203-K203</f>
        <v/>
      </c>
      <c r="M203" s="322" t="n"/>
      <c r="N203" s="322" t="n"/>
      <c r="O203" s="322">
        <f>L203-M203</f>
        <v/>
      </c>
      <c r="P203" s="322">
        <f>K203-N203</f>
        <v/>
      </c>
      <c r="Q203" s="322">
        <f>M203+O203</f>
        <v/>
      </c>
      <c r="R203" s="322">
        <f>M203+N203+O203+P203</f>
        <v/>
      </c>
      <c r="S203" s="322">
        <f>SUM(T203:V203)</f>
        <v/>
      </c>
      <c r="T203" s="322" t="n"/>
      <c r="U203" s="322" t="n"/>
      <c r="V203" s="322" t="n"/>
      <c r="W203" s="322" t="n"/>
      <c r="X203" s="322" t="n"/>
      <c r="Y203" s="322" t="n"/>
      <c r="Z203" s="322" t="n"/>
      <c r="AA203" s="322" t="n"/>
      <c r="AB203" s="322" t="n"/>
      <c r="AC203" s="322" t="n"/>
      <c r="AD203" s="322" t="n"/>
      <c r="AE203" s="322" t="n"/>
      <c r="AF203" s="322" t="n"/>
      <c r="AG203" s="322" t="n"/>
      <c r="AH203" s="322" t="n"/>
      <c r="AI203" s="322" t="n"/>
      <c r="AJ203" s="322" t="n"/>
      <c r="AK203" s="322" t="n"/>
      <c r="AL203" s="323" t="n"/>
    </row>
    <row r="204">
      <c r="A204" s="317" t="n"/>
      <c r="B204" s="318" t="n"/>
      <c r="C204" s="318" t="n"/>
      <c r="D204" s="313" t="inlineStr">
        <is>
          <t>六、资金占用费用</t>
        </is>
      </c>
      <c r="E204" s="319" t="n"/>
      <c r="F204" s="319" t="n"/>
      <c r="G204" s="319" t="n"/>
      <c r="H204" s="299" t="n"/>
      <c r="I204" s="299" t="n"/>
      <c r="J204" s="299">
        <f>H204+I204</f>
        <v/>
      </c>
      <c r="K204" s="299" t="n"/>
      <c r="L204" s="315">
        <f>J204-K204</f>
        <v/>
      </c>
      <c r="M204" s="324" t="n">
        <v>6780777.21</v>
      </c>
      <c r="N204" s="322" t="n"/>
      <c r="O204" s="322">
        <f>L204-M204</f>
        <v/>
      </c>
      <c r="P204" s="322">
        <f>K204-N204</f>
        <v/>
      </c>
      <c r="Q204" s="322">
        <f>M204+O204</f>
        <v/>
      </c>
      <c r="R204" s="322">
        <f>M204+N204+O204+P204</f>
        <v/>
      </c>
      <c r="S204" s="322">
        <f>SUM(T204:V204)</f>
        <v/>
      </c>
      <c r="T204" s="322" t="n"/>
      <c r="U204" s="322" t="n"/>
      <c r="V204" s="322" t="n"/>
      <c r="W204" s="322" t="n"/>
      <c r="X204" s="322" t="n"/>
      <c r="Y204" s="322" t="n"/>
      <c r="Z204" s="322" t="n"/>
      <c r="AA204" s="322" t="n"/>
      <c r="AB204" s="322" t="n"/>
      <c r="AC204" s="322" t="n"/>
      <c r="AD204" s="322" t="n"/>
      <c r="AE204" s="322" t="n"/>
      <c r="AF204" s="322" t="n"/>
      <c r="AG204" s="322" t="n"/>
      <c r="AH204" s="322" t="n"/>
      <c r="AI204" s="322" t="n"/>
      <c r="AJ204" s="322" t="n"/>
      <c r="AK204" s="322" t="n"/>
      <c r="AL204" s="323" t="n"/>
    </row>
    <row r="205">
      <c r="A205" s="317" t="n"/>
      <c r="B205" s="318" t="n"/>
      <c r="C205" s="318" t="n"/>
      <c r="D205" s="313" t="inlineStr">
        <is>
          <t>七、局投资收益（局投资项目选填）</t>
        </is>
      </c>
      <c r="E205" s="319" t="n"/>
      <c r="F205" s="319" t="n"/>
      <c r="G205" s="319" t="n"/>
      <c r="H205" s="299" t="n"/>
      <c r="I205" s="299" t="n"/>
      <c r="J205" s="299">
        <f>H205+I205</f>
        <v/>
      </c>
      <c r="K205" s="299" t="n"/>
      <c r="L205" s="315">
        <f>J205-K205</f>
        <v/>
      </c>
      <c r="M205" s="322" t="n"/>
      <c r="N205" s="322" t="n"/>
      <c r="O205" s="322">
        <f>L205-M205</f>
        <v/>
      </c>
      <c r="P205" s="322">
        <f>K205-N205</f>
        <v/>
      </c>
      <c r="Q205" s="322">
        <f>M205+O205</f>
        <v/>
      </c>
      <c r="R205" s="322">
        <f>M205+N205+O205+P205</f>
        <v/>
      </c>
      <c r="S205" s="322">
        <f>SUM(T205:V205)</f>
        <v/>
      </c>
      <c r="T205" s="322" t="n"/>
      <c r="U205" s="322" t="n"/>
      <c r="V205" s="322" t="n"/>
      <c r="W205" s="322" t="n"/>
      <c r="X205" s="322" t="n"/>
      <c r="Y205" s="322" t="n"/>
      <c r="Z205" s="322" t="n"/>
      <c r="AA205" s="322" t="n"/>
      <c r="AB205" s="322" t="n"/>
      <c r="AC205" s="322" t="n"/>
      <c r="AD205" s="322" t="n"/>
      <c r="AE205" s="322" t="n"/>
      <c r="AF205" s="322" t="n"/>
      <c r="AG205" s="322" t="n"/>
      <c r="AH205" s="322" t="n"/>
      <c r="AI205" s="322" t="n"/>
      <c r="AJ205" s="322" t="n"/>
      <c r="AK205" s="322" t="n"/>
      <c r="AL205" s="323" t="n"/>
    </row>
    <row r="206">
      <c r="A206" s="317" t="n"/>
      <c r="B206" s="318" t="n"/>
      <c r="C206" s="318" t="n"/>
      <c r="D206" s="313" t="inlineStr">
        <is>
          <t>八、研发费用</t>
        </is>
      </c>
      <c r="E206" s="319" t="n"/>
      <c r="F206" s="319" t="n"/>
      <c r="G206" s="319" t="n"/>
      <c r="H206" s="299" t="n"/>
      <c r="I206" s="299" t="n"/>
      <c r="J206" s="299">
        <f>H206+I206</f>
        <v/>
      </c>
      <c r="K206" s="299" t="n"/>
      <c r="L206" s="315">
        <f>J206-K206</f>
        <v/>
      </c>
      <c r="M206" s="322">
        <f>SUM(M207:M211)</f>
        <v/>
      </c>
      <c r="N206" s="322">
        <f>SUM(N207:N211)</f>
        <v/>
      </c>
      <c r="O206" s="322">
        <f>SUM(O207:O211)</f>
        <v/>
      </c>
      <c r="P206" s="322">
        <f>SUM(P207:P211)</f>
        <v/>
      </c>
      <c r="Q206" s="322">
        <f>SUM(Q207:Q211)</f>
        <v/>
      </c>
      <c r="R206" s="322">
        <f>SUM(R207:R211)</f>
        <v/>
      </c>
      <c r="S206" s="322">
        <f>SUM(S207:S211)</f>
        <v/>
      </c>
      <c r="T206" s="322">
        <f>SUM(T207:T211)</f>
        <v/>
      </c>
      <c r="U206" s="322">
        <f>SUM(U207:U211)</f>
        <v/>
      </c>
      <c r="V206" s="322">
        <f>SUM(V207:V211)</f>
        <v/>
      </c>
      <c r="W206" s="322">
        <f>SUM(W207:W211)</f>
        <v/>
      </c>
      <c r="X206" s="322">
        <f>SUM(X207:X211)</f>
        <v/>
      </c>
      <c r="Y206" s="322">
        <f>SUM(Y207:Y211)</f>
        <v/>
      </c>
      <c r="Z206" s="322">
        <f>SUM(Z207:Z211)</f>
        <v/>
      </c>
      <c r="AA206" s="322">
        <f>SUM(AA207:AA211)</f>
        <v/>
      </c>
      <c r="AB206" s="322">
        <f>SUM(AB207:AB211)</f>
        <v/>
      </c>
      <c r="AC206" s="322">
        <f>SUM(AC207:AC211)</f>
        <v/>
      </c>
      <c r="AD206" s="322">
        <f>SUM(AD207:AD211)</f>
        <v/>
      </c>
      <c r="AE206" s="322">
        <f>SUM(AE207:AE211)</f>
        <v/>
      </c>
      <c r="AF206" s="322">
        <f>SUM(AF207:AF211)</f>
        <v/>
      </c>
      <c r="AG206" s="322">
        <f>SUM(AG207:AG211)</f>
        <v/>
      </c>
      <c r="AH206" s="322">
        <f>SUM(AH207:AH211)</f>
        <v/>
      </c>
      <c r="AI206" s="322">
        <f>SUM(AI207:AI211)</f>
        <v/>
      </c>
      <c r="AJ206" s="322">
        <f>SUM(AJ207:AJ211)</f>
        <v/>
      </c>
      <c r="AK206" s="322">
        <f>SUM(AK207:AK211)</f>
        <v/>
      </c>
      <c r="AL206" s="323" t="n"/>
    </row>
    <row r="207">
      <c r="A207" s="206" t="n">
        <v>1</v>
      </c>
      <c r="B207" s="206" t="n"/>
      <c r="C207" s="207" t="n"/>
      <c r="D207" s="207" t="inlineStr">
        <is>
          <t>研发费用-人工成本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2069939.18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91" t="n"/>
      <c r="X207" s="291" t="n"/>
      <c r="Y207" s="291" t="n"/>
      <c r="Z207" s="291" t="n"/>
      <c r="AA207" s="291" t="n"/>
      <c r="AB207" s="291" t="n"/>
      <c r="AC207" s="291" t="n"/>
      <c r="AD207" s="291" t="n"/>
      <c r="AE207" s="291" t="n"/>
      <c r="AF207" s="291" t="n"/>
      <c r="AG207" s="291" t="n"/>
      <c r="AH207" s="291" t="n"/>
      <c r="AI207" s="291" t="n"/>
      <c r="AJ207" s="291" t="n"/>
      <c r="AK207" s="291" t="n"/>
      <c r="AL207" s="291" t="n"/>
    </row>
    <row r="208">
      <c r="A208" s="206" t="n">
        <v>2</v>
      </c>
      <c r="B208" s="206" t="n"/>
      <c r="C208" s="207" t="n"/>
      <c r="D208" s="207" t="inlineStr">
        <is>
          <t>研发费用-内部结转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2358.5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91" t="n"/>
      <c r="X208" s="291" t="n"/>
      <c r="Y208" s="291" t="n"/>
      <c r="Z208" s="291" t="n"/>
      <c r="AA208" s="291" t="n"/>
      <c r="AB208" s="291" t="n"/>
      <c r="AC208" s="291" t="n"/>
      <c r="AD208" s="291" t="n"/>
      <c r="AE208" s="291" t="n"/>
      <c r="AF208" s="291" t="n"/>
      <c r="AG208" s="291" t="n"/>
      <c r="AH208" s="291" t="n"/>
      <c r="AI208" s="291" t="n"/>
      <c r="AJ208" s="291" t="n"/>
      <c r="AK208" s="291" t="n"/>
      <c r="AL208" s="291" t="n"/>
    </row>
    <row r="209">
      <c r="A209" s="206" t="n">
        <v>3</v>
      </c>
      <c r="B209" s="206" t="n"/>
      <c r="C209" s="207" t="n"/>
      <c r="D209" s="207" t="inlineStr">
        <is>
          <t>研发费用-折旧</t>
        </is>
      </c>
      <c r="E209" s="206" t="n"/>
      <c r="F209" s="206" t="n"/>
      <c r="G209" s="206" t="n"/>
      <c r="H209" s="206" t="n"/>
      <c r="I209" s="206" t="n"/>
      <c r="J209" s="206" t="n"/>
      <c r="K209" s="206" t="n"/>
      <c r="L209" s="206" t="n"/>
      <c r="M209" s="210" t="n">
        <v>6857.02</v>
      </c>
      <c r="N209" s="206" t="n"/>
      <c r="O209" s="206">
        <f>L209-M209</f>
        <v/>
      </c>
      <c r="P209" s="206">
        <f>K209-N209</f>
        <v/>
      </c>
      <c r="Q209" s="206">
        <f>M209+O209</f>
        <v/>
      </c>
      <c r="R209" s="206">
        <f>M209+N209+O209+P209</f>
        <v/>
      </c>
      <c r="S209" s="206" t="n"/>
      <c r="T209" s="206" t="n"/>
      <c r="U209" s="206" t="n"/>
      <c r="V209" s="206" t="n"/>
      <c r="W209" s="291" t="n"/>
      <c r="X209" s="291" t="n"/>
      <c r="Y209" s="291" t="n"/>
      <c r="Z209" s="291" t="n"/>
      <c r="AA209" s="291" t="n"/>
      <c r="AB209" s="291" t="n"/>
      <c r="AC209" s="291" t="n"/>
      <c r="AD209" s="291" t="n"/>
      <c r="AE209" s="291" t="n"/>
      <c r="AF209" s="291" t="n"/>
      <c r="AG209" s="291" t="n"/>
      <c r="AH209" s="291" t="n"/>
      <c r="AI209" s="291" t="n"/>
      <c r="AJ209" s="291" t="n"/>
      <c r="AK209" s="291" t="n"/>
      <c r="AL209" s="291" t="n"/>
    </row>
    <row r="210">
      <c r="A210" s="206" t="n">
        <v>4</v>
      </c>
      <c r="B210" s="206" t="n"/>
      <c r="C210" s="207" t="n"/>
      <c r="D210" s="207" t="inlineStr">
        <is>
          <t>研发费用-机械租赁</t>
        </is>
      </c>
      <c r="E210" s="206" t="n"/>
      <c r="F210" s="206" t="n"/>
      <c r="G210" s="206" t="n"/>
      <c r="H210" s="206" t="n"/>
      <c r="I210" s="206" t="n"/>
      <c r="J210" s="206" t="n"/>
      <c r="K210" s="206" t="n"/>
      <c r="L210" s="206" t="n"/>
      <c r="M210" s="210" t="n">
        <v>63495</v>
      </c>
      <c r="N210" s="206" t="n"/>
      <c r="O210" s="206">
        <f>L210-M210</f>
        <v/>
      </c>
      <c r="P210" s="206">
        <f>K210-N210</f>
        <v/>
      </c>
      <c r="Q210" s="206">
        <f>M210+O210</f>
        <v/>
      </c>
      <c r="R210" s="206">
        <f>M210+N210+O210+P210</f>
        <v/>
      </c>
      <c r="S210" s="206" t="n"/>
      <c r="T210" s="206" t="n"/>
      <c r="U210" s="206" t="n"/>
      <c r="V210" s="206" t="n"/>
      <c r="W210" s="291" t="n"/>
      <c r="X210" s="291" t="n"/>
      <c r="Y210" s="291" t="n"/>
      <c r="Z210" s="291" t="n"/>
      <c r="AA210" s="291" t="n"/>
      <c r="AB210" s="291" t="n"/>
      <c r="AC210" s="291" t="n"/>
      <c r="AD210" s="291" t="n"/>
      <c r="AE210" s="291" t="n"/>
      <c r="AF210" s="291" t="n"/>
      <c r="AG210" s="291" t="n"/>
      <c r="AH210" s="291" t="n"/>
      <c r="AI210" s="291" t="n"/>
      <c r="AJ210" s="291" t="n"/>
      <c r="AK210" s="291" t="n"/>
      <c r="AL210" s="291" t="n"/>
    </row>
    <row r="211">
      <c r="A211" s="206" t="n">
        <v>5</v>
      </c>
      <c r="B211" s="206" t="n"/>
      <c r="C211" s="207" t="n"/>
      <c r="D211" s="207" t="inlineStr">
        <is>
          <t>研发费用-材料费</t>
        </is>
      </c>
      <c r="E211" s="206" t="n"/>
      <c r="F211" s="206" t="n"/>
      <c r="G211" s="206" t="n"/>
      <c r="H211" s="206" t="n"/>
      <c r="I211" s="206" t="n"/>
      <c r="J211" s="206" t="n"/>
      <c r="K211" s="206" t="n"/>
      <c r="L211" s="206" t="n"/>
      <c r="M211" s="210" t="n">
        <v>25030932</v>
      </c>
      <c r="N211" s="206" t="n"/>
      <c r="O211" s="206">
        <f>L211-M211</f>
        <v/>
      </c>
      <c r="P211" s="206">
        <f>K211-N211</f>
        <v/>
      </c>
      <c r="Q211" s="206">
        <f>M211+O211</f>
        <v/>
      </c>
      <c r="R211" s="206">
        <f>M211+N211+O211+P211</f>
        <v/>
      </c>
      <c r="S211" s="206" t="n"/>
      <c r="T211" s="206" t="n"/>
      <c r="U211" s="206" t="n"/>
      <c r="V211" s="206" t="n"/>
      <c r="W211" s="291" t="n"/>
      <c r="X211" s="291" t="n"/>
      <c r="Y211" s="291" t="n"/>
      <c r="Z211" s="291" t="n"/>
      <c r="AA211" s="291" t="n"/>
      <c r="AB211" s="291" t="n"/>
      <c r="AC211" s="291" t="n"/>
      <c r="AD211" s="291" t="n"/>
      <c r="AE211" s="291" t="n"/>
      <c r="AF211" s="291" t="n"/>
      <c r="AG211" s="291" t="n"/>
      <c r="AH211" s="291" t="n"/>
      <c r="AI211" s="291" t="n"/>
      <c r="AJ211" s="291" t="n"/>
      <c r="AK211" s="291" t="n"/>
      <c r="AL211" s="291" t="n"/>
    </row>
    <row r="212">
      <c r="A212" s="296" t="n"/>
      <c r="B212" s="297" t="n"/>
      <c r="C212" s="297" t="n"/>
      <c r="D212" s="313" t="inlineStr">
        <is>
          <t>九、成本及费用合计（三+四+五+六+七）</t>
        </is>
      </c>
      <c r="E212" s="314" t="n"/>
      <c r="F212" s="314" t="n"/>
      <c r="G212" s="314" t="n"/>
      <c r="H212" s="299">
        <f>H201+H202+H203+H204+H205+H206</f>
        <v/>
      </c>
      <c r="I212" s="299">
        <f>I201+I202+I203+I204+I205+I206</f>
        <v/>
      </c>
      <c r="J212" s="325">
        <f>J201+J202+J203+J204+J205+J206</f>
        <v/>
      </c>
      <c r="K212" s="299">
        <f>K201+K202+K203+K204+K205+K206</f>
        <v/>
      </c>
      <c r="L212" s="326">
        <f>L201+L202+L203+L204+L205+L206</f>
        <v/>
      </c>
      <c r="M212" s="326">
        <f>M201+M202+M203+M204+M205+M206</f>
        <v/>
      </c>
      <c r="N212" s="326">
        <f>N201+N202+N203+N204+N205+N206</f>
        <v/>
      </c>
      <c r="O212" s="326">
        <f>O201+O202+O203+O204+O205+O206</f>
        <v/>
      </c>
      <c r="P212" s="326">
        <f>P201+P202+P203+P204+P205+P206</f>
        <v/>
      </c>
      <c r="Q212" s="326">
        <f>Q201+Q202+Q203+Q204+Q205+Q206</f>
        <v/>
      </c>
      <c r="R212" s="326">
        <f>R201+R202+R203+R204+R205+R206</f>
        <v/>
      </c>
      <c r="S212" s="322">
        <f>S201+S202+S203+S204+S205+S206</f>
        <v/>
      </c>
      <c r="T212" s="322" t="n"/>
      <c r="U212" s="322" t="n"/>
      <c r="V212" s="322" t="n"/>
      <c r="W212" s="322" t="n"/>
      <c r="X212" s="322" t="n"/>
      <c r="Y212" s="322" t="n"/>
      <c r="Z212" s="322">
        <f>Z201+Z202+Z203+Z204+Z205+Z206</f>
        <v/>
      </c>
      <c r="AA212" s="322">
        <f>AA201+AA202+AA203+AA204+AA205+AA206</f>
        <v/>
      </c>
      <c r="AB212" s="327" t="n"/>
      <c r="AC212" s="327" t="n"/>
      <c r="AD212" s="327" t="n"/>
      <c r="AE212" s="327" t="n"/>
      <c r="AF212" s="327" t="n"/>
      <c r="AG212" s="327" t="n"/>
      <c r="AH212" s="327" t="n"/>
      <c r="AI212" s="327" t="n"/>
      <c r="AJ212" s="327" t="n"/>
      <c r="AK212" s="328" t="n"/>
      <c r="AL212" s="329" t="n"/>
    </row>
    <row r="213">
      <c r="A213" s="296" t="n"/>
      <c r="B213" s="297" t="n"/>
      <c r="C213" s="297" t="n"/>
      <c r="D213" s="313" t="inlineStr">
        <is>
          <t>十、增值税实际税负（按财务数据）</t>
        </is>
      </c>
      <c r="E213" s="314" t="inlineStr">
        <is>
          <t>根据财务账面实际已缴纳增值税额+尚需缴纳的增值税额</t>
        </is>
      </c>
      <c r="F213" s="314" t="n"/>
      <c r="G213" s="314" t="n"/>
      <c r="H213" s="299" t="n"/>
      <c r="I213" s="299" t="n"/>
      <c r="J213" s="325">
        <f>H78+I78</f>
        <v/>
      </c>
      <c r="K213" s="299" t="inlineStr">
        <is>
          <t>/</t>
        </is>
      </c>
      <c r="L213" s="326" t="inlineStr">
        <is>
          <t>/</t>
        </is>
      </c>
      <c r="M213" s="326" t="n"/>
      <c r="N213" s="326">
        <f>N6-N77</f>
        <v/>
      </c>
      <c r="O213" s="326" t="n"/>
      <c r="P213" s="326" t="n"/>
      <c r="Q213" s="326" t="inlineStr">
        <is>
          <t>/</t>
        </is>
      </c>
      <c r="R213" s="326">
        <f>N78+P78</f>
        <v/>
      </c>
      <c r="S213" s="322" t="n"/>
      <c r="T213" s="322" t="n"/>
      <c r="U213" s="322" t="n"/>
      <c r="V213" s="322" t="n"/>
      <c r="W213" s="322" t="n"/>
      <c r="X213" s="322" t="n"/>
      <c r="Y213" s="322" t="n"/>
      <c r="Z213" s="322" t="n"/>
      <c r="AA213" s="322" t="n"/>
      <c r="AB213" s="327" t="n"/>
      <c r="AC213" s="327" t="n"/>
      <c r="AD213" s="327" t="n"/>
      <c r="AE213" s="327" t="n"/>
      <c r="AF213" s="327" t="n"/>
      <c r="AG213" s="327" t="n"/>
      <c r="AH213" s="327" t="n"/>
      <c r="AI213" s="327" t="n"/>
      <c r="AJ213" s="327" t="n"/>
      <c r="AK213" s="328" t="n"/>
      <c r="AL213" s="329" t="n"/>
    </row>
    <row r="214">
      <c r="A214" s="296" t="n"/>
      <c r="B214" s="297" t="n"/>
      <c r="C214" s="297" t="n"/>
      <c r="D214" s="313" t="inlineStr">
        <is>
          <t>十一、税金及附加（按财务数据）</t>
        </is>
      </c>
      <c r="E214" s="314" t="inlineStr">
        <is>
          <t>根据财务账面实际已缴纳税金及附加+尚需缴纳的税金及附加</t>
        </is>
      </c>
      <c r="F214" s="314" t="n"/>
      <c r="G214" s="314" t="n"/>
      <c r="H214" s="299" t="n"/>
      <c r="I214" s="299" t="n"/>
      <c r="J214" s="325">
        <f>H79+I79</f>
        <v/>
      </c>
      <c r="K214" s="299" t="n"/>
      <c r="L214" s="326">
        <f>J79</f>
        <v/>
      </c>
      <c r="M214" s="330" t="n">
        <v>349670.26</v>
      </c>
      <c r="N214" s="326" t="n"/>
      <c r="O214" s="326">
        <f>L79-M79</f>
        <v/>
      </c>
      <c r="P214" s="326" t="n"/>
      <c r="Q214" s="326">
        <f>M79+O79</f>
        <v/>
      </c>
      <c r="R214" s="326">
        <f>Q79</f>
        <v/>
      </c>
      <c r="S214" s="322" t="n"/>
      <c r="T214" s="322" t="n"/>
      <c r="U214" s="322" t="n"/>
      <c r="V214" s="322" t="n"/>
      <c r="W214" s="322" t="n"/>
      <c r="X214" s="322" t="n"/>
      <c r="Y214" s="322" t="n"/>
      <c r="Z214" s="322" t="n"/>
      <c r="AA214" s="322" t="n"/>
      <c r="AB214" s="327" t="n"/>
      <c r="AC214" s="327" t="n"/>
      <c r="AD214" s="327" t="n"/>
      <c r="AE214" s="327" t="n"/>
      <c r="AF214" s="327" t="n"/>
      <c r="AG214" s="327" t="n"/>
      <c r="AH214" s="327" t="n"/>
      <c r="AI214" s="327" t="n"/>
      <c r="AJ214" s="327" t="n"/>
      <c r="AK214" s="328" t="n"/>
      <c r="AL214" s="329" t="n"/>
    </row>
    <row r="215">
      <c r="A215" s="296" t="n"/>
      <c r="B215" s="297" t="n"/>
      <c r="C215" s="297" t="n"/>
      <c r="D215" s="313" t="inlineStr">
        <is>
          <t>十二、利润</t>
        </is>
      </c>
      <c r="E215" s="314" t="n"/>
      <c r="F215" s="314" t="n"/>
      <c r="G215" s="314" t="n"/>
      <c r="H215" s="299" t="n"/>
      <c r="I215" s="299" t="n"/>
      <c r="J215" s="325">
        <f>J6-J212-J213-J214</f>
        <v/>
      </c>
      <c r="K215" s="299" t="n"/>
      <c r="L215" s="326" t="n"/>
      <c r="M215" s="326" t="n"/>
      <c r="N215" s="326" t="n"/>
      <c r="O215" s="326" t="n"/>
      <c r="P215" s="326" t="n"/>
      <c r="Q215" s="326" t="n"/>
      <c r="R215" s="326" t="n"/>
      <c r="S215" s="322" t="n"/>
      <c r="T215" s="322" t="n"/>
      <c r="U215" s="322" t="n"/>
      <c r="V215" s="322" t="n"/>
      <c r="W215" s="322" t="n"/>
      <c r="X215" s="322" t="n"/>
      <c r="Y215" s="322" t="n"/>
      <c r="Z215" s="322" t="n"/>
      <c r="AA215" s="322" t="n"/>
      <c r="AB215" s="327" t="n"/>
      <c r="AC215" s="327" t="n"/>
      <c r="AD215" s="327" t="n"/>
      <c r="AE215" s="327" t="n"/>
      <c r="AF215" s="327" t="n"/>
      <c r="AG215" s="327" t="n"/>
      <c r="AH215" s="327" t="n"/>
      <c r="AI215" s="327" t="n"/>
      <c r="AJ215" s="327" t="n"/>
      <c r="AK215" s="328" t="n"/>
      <c r="AL215" s="329" t="n"/>
    </row>
    <row r="216">
      <c r="A216" s="331" t="n"/>
      <c r="B216" s="332" t="n"/>
      <c r="C216" s="332" t="n"/>
      <c r="D216" s="333" t="inlineStr">
        <is>
          <t>十三、利润率</t>
        </is>
      </c>
      <c r="E216" s="334" t="n"/>
      <c r="F216" s="334" t="n"/>
      <c r="G216" s="334" t="n"/>
      <c r="H216" s="335" t="n"/>
      <c r="I216" s="335" t="n"/>
      <c r="J216" s="335">
        <f>J215/J6</f>
        <v/>
      </c>
      <c r="K216" s="335" t="n"/>
      <c r="L216" s="336">
        <f>L215/L6</f>
        <v/>
      </c>
      <c r="M216" s="336">
        <f>M215/M6</f>
        <v/>
      </c>
      <c r="N216" s="336" t="n"/>
      <c r="O216" s="336" t="n"/>
      <c r="P216" s="336" t="n"/>
      <c r="Q216" s="336">
        <f>Q215/Q6</f>
        <v/>
      </c>
      <c r="R216" s="336">
        <f>R215/R6</f>
        <v/>
      </c>
      <c r="S216" s="337" t="n"/>
      <c r="T216" s="337" t="n"/>
      <c r="U216" s="337" t="n"/>
      <c r="V216" s="337" t="n"/>
      <c r="W216" s="337" t="n"/>
      <c r="X216" s="337" t="n"/>
      <c r="Y216" s="337" t="n"/>
      <c r="Z216" s="337" t="n"/>
      <c r="AA216" s="337" t="n"/>
      <c r="AB216" s="338" t="n"/>
      <c r="AC216" s="338" t="n"/>
      <c r="AD216" s="338" t="n"/>
      <c r="AE216" s="338" t="n"/>
      <c r="AF216" s="338" t="n"/>
      <c r="AG216" s="338" t="n"/>
      <c r="AH216" s="338" t="n"/>
      <c r="AI216" s="338" t="n"/>
      <c r="AJ216" s="338" t="n"/>
      <c r="AK216" s="339" t="n"/>
      <c r="AL216" s="340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49" t="n"/>
      <c r="I217" s="249" t="n"/>
      <c r="J217" s="250" t="inlineStr">
        <is>
          <t>含税利润率</t>
        </is>
      </c>
      <c r="K217" s="251" t="n"/>
      <c r="L217" s="252" t="inlineStr">
        <is>
          <t>不含税利润率</t>
        </is>
      </c>
      <c r="M217" s="253" t="n"/>
      <c r="N217" s="253" t="n"/>
      <c r="O217" s="253" t="n"/>
      <c r="P217" s="253" t="n"/>
      <c r="Q217" s="253" t="n"/>
      <c r="R217" s="253" t="n"/>
      <c r="S217" s="253" t="n"/>
      <c r="T217" s="253" t="n"/>
      <c r="U217" s="253" t="n"/>
      <c r="V217" s="253" t="n"/>
      <c r="W217" s="253" t="n"/>
      <c r="X217" s="253" t="n"/>
      <c r="Y217" s="253" t="n"/>
      <c r="Z217" s="254" t="n"/>
      <c r="AA217" s="162" t="n"/>
      <c r="AB217" s="255" t="n"/>
      <c r="AC217" s="255" t="n"/>
      <c r="AD217" s="255" t="n"/>
      <c r="AE217" s="255" t="n"/>
      <c r="AF217" s="255" t="n"/>
      <c r="AG217" s="255" t="n"/>
      <c r="AH217" s="255" t="n"/>
      <c r="AI217" s="255" t="n"/>
      <c r="AJ217" s="255" t="n"/>
      <c r="AK217" s="255" t="n"/>
      <c r="AL217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2026-04-24T05:19:47Z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