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0" fontId="33" fillId="4" borderId="17" applyAlignment="1" pivotButton="0" quotePrefix="0" xfId="0">
      <alignment horizontal="left" vertical="center" wrapText="1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40" authorId="1" shapeId="0">
      <text>
        <t xml:space="preserve">**同财务账面合同履约成本/工程施工成本/机械租赁费数据一致**
</t>
      </text>
    </comment>
    <comment ref="M148" authorId="0" shapeId="0">
      <text>
        <t>于:
**同财务账面合同履约成本/工程施工成本其他直接费数据一致**</t>
      </text>
    </comment>
    <comment ref="M193" authorId="1" shapeId="0">
      <text>
        <t>**同财务账面合同履约成本/工程施工成本/间接费数据一致**</t>
      </text>
    </comment>
    <comment ref="D202" authorId="2" shapeId="0">
      <text>
        <t>（在建：房建0.6%，其它0.4%；在保修期间的按0.3~0.5%自行确定;保修期结束为0）</t>
      </text>
    </comment>
    <comment ref="E216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7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5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202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33" t="n"/>
      <c r="B71" s="199" t="n"/>
      <c r="C71" s="199" t="n"/>
      <c r="D71" s="189" t="inlineStr">
        <is>
          <t>（2）自行采购</t>
        </is>
      </c>
      <c r="E71" s="219" t="n"/>
      <c r="F71" s="219" t="n"/>
      <c r="G71" s="219" t="n"/>
      <c r="H71" s="189" t="n"/>
      <c r="I71" s="189" t="n"/>
      <c r="J71" s="189" t="n"/>
      <c r="K71" s="201" t="n"/>
      <c r="L71" s="202" t="n"/>
      <c r="M71" s="189" t="n"/>
      <c r="N71" s="189" t="n"/>
      <c r="O71" s="189">
        <f>L71-M71</f>
        <v/>
      </c>
      <c r="P71" s="189">
        <f>K71-N71</f>
        <v/>
      </c>
      <c r="Q71" s="189">
        <f>M71+O71</f>
        <v/>
      </c>
      <c r="R71" s="189">
        <f>M71+N71+O71+P71</f>
        <v/>
      </c>
      <c r="S71" s="203">
        <f>SUM(T71:V71)</f>
        <v/>
      </c>
      <c r="T71" s="203" t="n"/>
      <c r="U71" s="203" t="n"/>
      <c r="V71" s="203" t="n"/>
      <c r="W71" s="203" t="n"/>
      <c r="X71" s="203" t="n"/>
      <c r="Y71" s="203" t="n"/>
      <c r="Z71" s="189">
        <f>SUM(AA29:AJ29)</f>
        <v/>
      </c>
      <c r="AA71" s="203" t="n"/>
      <c r="AB71" s="220" t="n"/>
      <c r="AC71" s="220" t="n"/>
      <c r="AD71" s="220" t="n"/>
      <c r="AE71" s="220" t="n"/>
      <c r="AF71" s="220" t="n"/>
      <c r="AG71" s="220" t="n"/>
      <c r="AH71" s="220" t="n"/>
      <c r="AI71" s="220" t="n"/>
      <c r="AJ71" s="220" t="n"/>
      <c r="AK71" s="188">
        <f>AB29/1.17*0.17+AC29/1.16*0.16+AD29/1.11*0.11+AE29/1.1*0.1+AF29/1.09*0.09+AI29/1.03*0.03</f>
        <v/>
      </c>
      <c r="AL71" s="221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43</v>
      </c>
      <c r="B114" s="206" t="n"/>
      <c r="C114" s="207" t="n"/>
      <c r="D114" s="207" t="inlineStr">
        <is>
          <t>减：研发领用材料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33" t="n">
        <v>44</v>
      </c>
      <c r="B115" s="199" t="n"/>
      <c r="C115" s="199" t="n"/>
      <c r="D115" s="218" t="inlineStr">
        <is>
          <t>材料调入</t>
        </is>
      </c>
      <c r="E115" s="199" t="n"/>
      <c r="F115" s="199" t="n"/>
      <c r="G115" s="199" t="n"/>
      <c r="H115" s="189" t="n"/>
      <c r="I115" s="189" t="n"/>
      <c r="J115" s="189" t="n"/>
      <c r="K115" s="201" t="n"/>
      <c r="L115" s="202" t="n"/>
      <c r="M115" s="223" t="n">
        <v>17996069.15</v>
      </c>
      <c r="N115" s="189" t="n"/>
      <c r="O115" s="189">
        <f>L115-M115</f>
        <v/>
      </c>
      <c r="P115" s="189">
        <f>K115-N115</f>
        <v/>
      </c>
      <c r="Q115" s="189">
        <f>M115+O115</f>
        <v/>
      </c>
      <c r="R115" s="189">
        <f>M115+N115+O115+P115</f>
        <v/>
      </c>
      <c r="S115" s="203">
        <f>SUM(T115:V115)</f>
        <v/>
      </c>
      <c r="T115" s="203" t="n"/>
      <c r="U115" s="203" t="n"/>
      <c r="V115" s="203" t="n"/>
      <c r="W115" s="203" t="n"/>
      <c r="X115" s="203" t="n"/>
      <c r="Y115" s="203" t="n"/>
      <c r="Z115" s="189">
        <f>SUM(AA30:AJ30)</f>
        <v/>
      </c>
      <c r="AA115" s="203" t="n"/>
      <c r="AB115" s="220" t="n"/>
      <c r="AC115" s="220" t="n"/>
      <c r="AD115" s="220" t="n"/>
      <c r="AE115" s="220" t="n"/>
      <c r="AF115" s="220" t="n"/>
      <c r="AG115" s="220" t="n"/>
      <c r="AH115" s="220" t="n"/>
      <c r="AI115" s="220" t="n"/>
      <c r="AJ115" s="220" t="n"/>
      <c r="AK115" s="188">
        <f>AB30/1.17*0.17+AC30/1.16*0.16+AD30/1.11*0.11+AE30/1.1*0.1+AF30/1.09*0.09+AI30/1.03*0.03</f>
        <v/>
      </c>
      <c r="AL115" s="221" t="n"/>
    </row>
    <row r="116">
      <c r="A116" s="33" t="n">
        <v>45</v>
      </c>
      <c r="B116" s="199" t="n"/>
      <c r="C116" s="199" t="n"/>
      <c r="D116" s="218" t="inlineStr">
        <is>
          <t>材料调出（注：负数填报）</t>
        </is>
      </c>
      <c r="E116" s="224" t="n"/>
      <c r="F116" s="224" t="n"/>
      <c r="G116" s="224" t="n"/>
      <c r="H116" s="225" t="n"/>
      <c r="I116" s="225" t="n"/>
      <c r="J116" s="189" t="n"/>
      <c r="K116" s="201" t="n"/>
      <c r="L116" s="202" t="n"/>
      <c r="M116" s="226" t="n">
        <v>-8003517.42</v>
      </c>
      <c r="N116" s="225" t="n"/>
      <c r="O116" s="189">
        <f>L116-M116</f>
        <v/>
      </c>
      <c r="P116" s="189">
        <f>K116-N116</f>
        <v/>
      </c>
      <c r="Q116" s="189">
        <f>M116+O116</f>
        <v/>
      </c>
      <c r="R116" s="189">
        <f>M116+N116+O116+P116</f>
        <v/>
      </c>
      <c r="S116" s="203">
        <f>SUM(T116:V116)</f>
        <v/>
      </c>
      <c r="T116" s="225" t="n"/>
      <c r="U116" s="225" t="n"/>
      <c r="V116" s="225" t="n"/>
      <c r="W116" s="225" t="n"/>
      <c r="X116" s="225" t="n"/>
      <c r="Y116" s="225" t="n"/>
      <c r="Z116" s="189">
        <f>SUM(AA31:AJ31)</f>
        <v/>
      </c>
      <c r="AA116" s="225" t="n"/>
      <c r="AB116" s="227" t="n"/>
      <c r="AC116" s="227" t="n"/>
      <c r="AD116" s="227" t="n"/>
      <c r="AE116" s="227" t="n"/>
      <c r="AF116" s="227" t="n"/>
      <c r="AG116" s="227" t="n"/>
      <c r="AH116" s="227" t="n"/>
      <c r="AI116" s="227" t="n"/>
      <c r="AJ116" s="227" t="n"/>
      <c r="AK116" s="188">
        <f>AB31/1.17*0.17+AC31/1.16*0.16+AD31/1.11*0.11+AE31/1.1*0.1+AF31/1.09*0.09+AI31/1.03*0.03</f>
        <v/>
      </c>
      <c r="AL116" s="228" t="n"/>
    </row>
    <row r="117">
      <c r="A117" s="33" t="n"/>
      <c r="B117" s="199" t="n"/>
      <c r="C117" s="199" t="n"/>
      <c r="D117" s="218" t="inlineStr">
        <is>
          <t>材料库存（注：项目已结算未使用材料冲减项目成本，负数填报）</t>
        </is>
      </c>
      <c r="E117" s="224" t="n"/>
      <c r="F117" s="224" t="n"/>
      <c r="G117" s="224" t="n"/>
      <c r="H117" s="225" t="n"/>
      <c r="I117" s="225" t="n"/>
      <c r="J117" s="189" t="n"/>
      <c r="K117" s="201" t="n"/>
      <c r="L117" s="202" t="n"/>
      <c r="M117" s="225" t="n"/>
      <c r="N117" s="225" t="n"/>
      <c r="O117" s="189" t="n"/>
      <c r="P117" s="189" t="n"/>
      <c r="Q117" s="189" t="n"/>
      <c r="R117" s="189" t="n"/>
      <c r="S117" s="203" t="n"/>
      <c r="T117" s="225" t="n"/>
      <c r="U117" s="225" t="n"/>
      <c r="V117" s="225" t="n"/>
      <c r="W117" s="225" t="n"/>
      <c r="X117" s="225" t="n"/>
      <c r="Y117" s="225" t="n"/>
      <c r="Z117" s="189" t="n"/>
      <c r="AA117" s="225" t="n"/>
      <c r="AB117" s="227" t="n"/>
      <c r="AC117" s="227" t="n"/>
      <c r="AD117" s="227" t="n"/>
      <c r="AE117" s="227" t="n"/>
      <c r="AF117" s="227" t="n"/>
      <c r="AG117" s="227" t="n"/>
      <c r="AH117" s="227" t="n"/>
      <c r="AI117" s="227" t="n"/>
      <c r="AJ117" s="227" t="n"/>
      <c r="AK117" s="188" t="n"/>
      <c r="AL117" s="228" t="n"/>
    </row>
    <row r="118">
      <c r="A118" s="33" t="n"/>
      <c r="B118" s="199" t="n"/>
      <c r="C118" s="199" t="n"/>
      <c r="D118" s="211" t="inlineStr">
        <is>
          <t>**财务未列部分需增列***</t>
        </is>
      </c>
      <c r="E118" s="219" t="n"/>
      <c r="F118" s="219" t="n"/>
      <c r="G118" s="219" t="n"/>
      <c r="H118" s="189" t="n"/>
      <c r="I118" s="189" t="n"/>
      <c r="J118" s="189" t="n"/>
      <c r="K118" s="201" t="n"/>
      <c r="L118" s="202" t="n"/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220" t="n"/>
      <c r="AC118" s="220" t="n"/>
      <c r="AD118" s="220" t="n"/>
      <c r="AE118" s="220" t="n"/>
      <c r="AF118" s="220" t="n"/>
      <c r="AG118" s="220" t="n"/>
      <c r="AH118" s="220" t="n"/>
      <c r="AI118" s="220" t="n"/>
      <c r="AJ118" s="220" t="n"/>
      <c r="AK118" s="188">
        <f>AB33/1.17*0.17+AC33/1.16*0.16+AD33/1.11*0.11+AE33/1.1*0.1+AF33/1.09*0.09+AI33/1.03*0.03</f>
        <v/>
      </c>
      <c r="AL118" s="221" t="n"/>
    </row>
    <row r="119">
      <c r="A119" s="206" t="n"/>
      <c r="B119" s="206" t="n"/>
      <c r="C119" s="207" t="n"/>
      <c r="D119" s="229" t="inlineStr">
        <is>
          <t>材料调入+CFK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211578.27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206" t="n"/>
      <c r="B120" s="206" t="n"/>
      <c r="C120" s="207" t="n"/>
      <c r="D120" s="229" t="inlineStr">
        <is>
          <t>材料调出+XSD</t>
        </is>
      </c>
      <c r="E120" s="206" t="n"/>
      <c r="F120" s="206" t="n"/>
      <c r="G120" s="206" t="n"/>
      <c r="H120" s="206" t="n"/>
      <c r="I120" s="206" t="n"/>
      <c r="J120" s="206" t="n"/>
      <c r="K120" s="208" t="n"/>
      <c r="L120" s="209" t="n"/>
      <c r="M120" s="210" t="n">
        <v>3278855.9</v>
      </c>
      <c r="N120" s="206" t="n"/>
      <c r="O120" s="206">
        <f>L120-M120</f>
        <v/>
      </c>
      <c r="P120" s="206">
        <f>K120-N120</f>
        <v/>
      </c>
      <c r="Q120" s="206">
        <f>M120+O120</f>
        <v/>
      </c>
      <c r="R120" s="206">
        <f>M120+N120+O120+P120</f>
        <v/>
      </c>
      <c r="S120" s="206" t="n"/>
      <c r="T120" s="206" t="n"/>
      <c r="U120" s="206" t="n"/>
      <c r="V120" s="206" t="n"/>
    </row>
    <row r="121">
      <c r="A121" s="206" t="n"/>
      <c r="B121" s="206" t="n"/>
      <c r="C121" s="207" t="n"/>
      <c r="D121" s="229" t="inlineStr">
        <is>
          <t>材料调出+SQD</t>
        </is>
      </c>
      <c r="E121" s="206" t="n"/>
      <c r="F121" s="206" t="n"/>
      <c r="G121" s="206" t="n"/>
      <c r="H121" s="206" t="n"/>
      <c r="I121" s="206" t="n"/>
      <c r="J121" s="206" t="n"/>
      <c r="K121" s="208" t="n"/>
      <c r="L121" s="209" t="n"/>
      <c r="M121" s="210" t="n">
        <v>-1176782.31</v>
      </c>
      <c r="N121" s="206" t="n"/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06" t="n"/>
      <c r="U121" s="206" t="n"/>
      <c r="V121" s="206" t="n"/>
    </row>
    <row r="122">
      <c r="A122" s="206" t="n"/>
      <c r="B122" s="206" t="n"/>
      <c r="C122" s="207" t="n"/>
      <c r="D122" s="229" t="inlineStr">
        <is>
          <t>废旧物资消耗</t>
        </is>
      </c>
      <c r="E122" s="206" t="n"/>
      <c r="F122" s="206" t="n"/>
      <c r="G122" s="206" t="n"/>
      <c r="H122" s="206" t="n"/>
      <c r="I122" s="206" t="n"/>
      <c r="J122" s="206" t="n"/>
      <c r="K122" s="208" t="n"/>
      <c r="L122" s="209" t="n"/>
      <c r="M122" s="210" t="n">
        <v>-1401180.1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</row>
    <row r="123">
      <c r="A123" s="206" t="n"/>
      <c r="B123" s="206" t="n"/>
      <c r="C123" s="207" t="n"/>
      <c r="D123" s="229" t="inlineStr">
        <is>
          <t>废旧物资消耗（SQD）</t>
        </is>
      </c>
      <c r="E123" s="206" t="n"/>
      <c r="F123" s="206" t="n"/>
      <c r="G123" s="206" t="n"/>
      <c r="H123" s="206" t="n"/>
      <c r="I123" s="206" t="n"/>
      <c r="J123" s="206" t="n"/>
      <c r="K123" s="208" t="n"/>
      <c r="L123" s="209" t="n"/>
      <c r="M123" s="210" t="n">
        <v>7911.36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41" t="n"/>
      <c r="B124" s="215" t="n"/>
      <c r="C124" s="215" t="n"/>
      <c r="D124" s="216" t="inlineStr">
        <is>
          <t>材料费小计：</t>
        </is>
      </c>
      <c r="E124" s="217">
        <f>SUM(E66:E118)</f>
        <v/>
      </c>
      <c r="F124" s="217">
        <f>SUM(F66:F118)</f>
        <v/>
      </c>
      <c r="G124" s="217">
        <f>SUM(G66:G118)</f>
        <v/>
      </c>
      <c r="H124" s="217">
        <f>SUM(H66:H118)</f>
        <v/>
      </c>
      <c r="I124" s="217">
        <f>SUM(I66:I118)</f>
        <v/>
      </c>
      <c r="J124" s="217">
        <f>SUM(J66:J118)</f>
        <v/>
      </c>
      <c r="K124" s="217">
        <f>SUM(K66:K118)</f>
        <v/>
      </c>
      <c r="L124" s="217">
        <f>SUM(L66:L118)</f>
        <v/>
      </c>
      <c r="M124" s="217">
        <f>SUM(M66:M118)</f>
        <v/>
      </c>
      <c r="N124" s="217">
        <f>SUM(N66:N118)</f>
        <v/>
      </c>
      <c r="O124" s="217">
        <f>SUM(O66:O118)</f>
        <v/>
      </c>
      <c r="P124" s="217">
        <f>SUM(P66:P118)</f>
        <v/>
      </c>
      <c r="Q124" s="217">
        <f>SUM(Q66:Q118)</f>
        <v/>
      </c>
      <c r="R124" s="217">
        <f>SUM(R66:R118)</f>
        <v/>
      </c>
      <c r="S124" s="217">
        <f>SUM(S66:S118)</f>
        <v/>
      </c>
      <c r="T124" s="217">
        <f>SUM(T66:T118)</f>
        <v/>
      </c>
      <c r="U124" s="217">
        <f>SUM(U66:U118)</f>
        <v/>
      </c>
      <c r="V124" s="217">
        <f>SUM(V66:V118)</f>
        <v/>
      </c>
      <c r="W124" s="217">
        <f>SUM(W66:W118)</f>
        <v/>
      </c>
      <c r="X124" s="217">
        <f>SUM(X66:X118)</f>
        <v/>
      </c>
      <c r="Y124" s="217">
        <f>SUM(Y66:Y118)</f>
        <v/>
      </c>
      <c r="Z124" s="217">
        <f>SUM(Z66:Z118)</f>
        <v/>
      </c>
      <c r="AA124" s="217">
        <f>SUM(AA66:AA118)</f>
        <v/>
      </c>
      <c r="AB124" s="217">
        <f>SUM(AB66:AB118)</f>
        <v/>
      </c>
      <c r="AC124" s="217">
        <f>SUM(AC66:AC118)</f>
        <v/>
      </c>
      <c r="AD124" s="217">
        <f>SUM(AD66:AD118)</f>
        <v/>
      </c>
      <c r="AE124" s="217">
        <f>SUM(AE66:AE118)</f>
        <v/>
      </c>
      <c r="AF124" s="217">
        <f>SUM(AF66:AF118)</f>
        <v/>
      </c>
      <c r="AG124" s="217">
        <f>SUM(AG66:AG118)</f>
        <v/>
      </c>
      <c r="AH124" s="217">
        <f>SUM(AH66:AH118)</f>
        <v/>
      </c>
      <c r="AI124" s="217">
        <f>SUM(AI66:AI118)</f>
        <v/>
      </c>
      <c r="AJ124" s="217">
        <f>SUM(AJ66:AJ118)</f>
        <v/>
      </c>
      <c r="AK124" s="217">
        <f>SUM(AK66:AK118)</f>
        <v/>
      </c>
      <c r="AL124" s="204" t="n"/>
    </row>
    <row r="125">
      <c r="A125" s="33" t="n"/>
      <c r="B125" s="199" t="n"/>
      <c r="C125" s="199" t="n"/>
      <c r="D125" s="218" t="inlineStr">
        <is>
          <t>(四）机械租赁费</t>
        </is>
      </c>
      <c r="E125" s="212" t="n"/>
      <c r="F125" s="212" t="n"/>
      <c r="G125" s="212" t="n"/>
      <c r="H125" s="189" t="n"/>
      <c r="I125" s="189" t="n"/>
      <c r="J125" s="189" t="n"/>
      <c r="K125" s="201" t="n">
        <v>0</v>
      </c>
      <c r="L125" s="202">
        <f>J125-K125</f>
        <v/>
      </c>
      <c r="M125" s="184" t="n"/>
      <c r="N125" s="184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203" t="n"/>
      <c r="AC125" s="203" t="n"/>
      <c r="AD125" s="203" t="n"/>
      <c r="AE125" s="203" t="n"/>
      <c r="AF125" s="203" t="n"/>
      <c r="AG125" s="203" t="n"/>
      <c r="AH125" s="203" t="n"/>
      <c r="AI125" s="203" t="n"/>
      <c r="AJ125" s="203" t="n"/>
      <c r="AK125" s="188">
        <f>AB35/1.17*0.17+AC35/1.16*0.16+AD35/1.11*0.11+AE35/1.1*0.1+AF35/1.09*0.09+AI35/1.03*0.03</f>
        <v/>
      </c>
      <c r="AL125" s="204" t="n"/>
    </row>
    <row r="126">
      <c r="A126" s="206" t="n">
        <v>1</v>
      </c>
      <c r="B126" s="206" t="inlineStr">
        <is>
          <t>100217442</t>
        </is>
      </c>
      <c r="C126" s="207" t="inlineStr">
        <is>
          <t>中建四局0200202101805001</t>
        </is>
      </c>
      <c r="D126" s="207" t="inlineStr">
        <is>
          <t>任丘市嘉宇运输有限公司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39943.9</v>
      </c>
      <c r="N126" s="210" t="n">
        <v>3594.95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43538.85</v>
      </c>
      <c r="U126" s="206" t="n"/>
      <c r="V126" s="206" t="n"/>
    </row>
    <row r="127">
      <c r="A127" s="206" t="n">
        <v>2</v>
      </c>
      <c r="B127" s="206" t="inlineStr">
        <is>
          <t>100051486</t>
        </is>
      </c>
      <c r="C127" s="207" t="inlineStr">
        <is>
          <t>中建四局0200202101805009</t>
        </is>
      </c>
      <c r="D127" s="207" t="inlineStr">
        <is>
          <t>佛山市赢鑫建筑机械租赁有限公司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5518783.19</v>
      </c>
      <c r="N127" s="210" t="n">
        <v>738597.9399999999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6405720.63</v>
      </c>
      <c r="U127" s="206" t="n"/>
      <c r="V127" s="206" t="n"/>
    </row>
    <row r="128">
      <c r="A128" s="206" t="n">
        <v>3</v>
      </c>
      <c r="B128" s="206" t="inlineStr">
        <is>
          <t>200363935</t>
        </is>
      </c>
      <c r="C128" s="207" t="inlineStr">
        <is>
          <t>中建四局0200202101805006</t>
        </is>
      </c>
      <c r="D128" s="207" t="inlineStr">
        <is>
          <t>佛山市雄壮建筑工程有限公司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1197689.75</v>
      </c>
      <c r="N128" s="210" t="n">
        <v>36663.97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1258000</v>
      </c>
      <c r="U128" s="206" t="n"/>
      <c r="V128" s="206" t="n"/>
    </row>
    <row r="129">
      <c r="A129" s="206" t="n">
        <v>4</v>
      </c>
      <c r="B129" s="206" t="inlineStr">
        <is>
          <t>200477323</t>
        </is>
      </c>
      <c r="C129" s="207" t="inlineStr">
        <is>
          <t>中建四局0200202101805011</t>
        </is>
      </c>
      <c r="D129" s="207" t="inlineStr">
        <is>
          <t>佛山市霸伟建筑工程有限公司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947713.86</v>
      </c>
      <c r="N129" s="210" t="n">
        <v>29244.62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999000</v>
      </c>
      <c r="U129" s="206" t="n"/>
      <c r="V129" s="206" t="n"/>
    </row>
    <row r="130">
      <c r="A130" s="206" t="n">
        <v>5</v>
      </c>
      <c r="B130" s="206" t="inlineStr">
        <is>
          <t>100093859</t>
        </is>
      </c>
      <c r="C130" s="207" t="inlineStr">
        <is>
          <t>中建四局0200202101805010</t>
        </is>
      </c>
      <c r="D130" s="207" t="inlineStr">
        <is>
          <t>嘉兴浩锐机械设备有限公司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1387247.1</v>
      </c>
      <c r="N130" s="210" t="n">
        <v>180342.12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1567589.22</v>
      </c>
      <c r="U130" s="206" t="n"/>
      <c r="V130" s="206" t="n"/>
    </row>
    <row r="131">
      <c r="A131" s="206" t="n">
        <v>6</v>
      </c>
      <c r="B131" s="206" t="inlineStr">
        <is>
          <t>100117504</t>
        </is>
      </c>
      <c r="C131" s="207" t="inlineStr">
        <is>
          <t>中建四局0200202101805005</t>
        </is>
      </c>
      <c r="D131" s="207" t="inlineStr">
        <is>
          <t>广州大丰工程机械设备有限公司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1065730.14</v>
      </c>
      <c r="N131" s="210" t="n">
        <v>138544.93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1204275.07</v>
      </c>
      <c r="U131" s="206" t="n"/>
      <c r="V131" s="206" t="n"/>
    </row>
    <row r="132">
      <c r="A132" s="206" t="n">
        <v>7</v>
      </c>
      <c r="B132" s="206" t="inlineStr">
        <is>
          <t>200353812</t>
        </is>
      </c>
      <c r="C132" s="207" t="inlineStr">
        <is>
          <t>中建四局0200202101805007</t>
        </is>
      </c>
      <c r="D132" s="207" t="inlineStr">
        <is>
          <t>广州小老虎建筑机械租赁有限公司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11189319.59</v>
      </c>
      <c r="N132" s="210" t="n">
        <v>1022884.43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12388266.76</v>
      </c>
      <c r="U132" s="206" t="n"/>
      <c r="V132" s="206" t="n"/>
    </row>
    <row r="133">
      <c r="A133" s="206" t="n">
        <v>8</v>
      </c>
      <c r="B133" s="206" t="inlineStr">
        <is>
          <t>200162948</t>
        </is>
      </c>
      <c r="C133" s="207" t="inlineStr">
        <is>
          <t>中建四局0200202101805004</t>
        </is>
      </c>
      <c r="D133" s="207" t="inlineStr">
        <is>
          <t>广州市仁发运输有限公司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183165.02</v>
      </c>
      <c r="N133" s="210" t="n">
        <v>5494.92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188659.94</v>
      </c>
      <c r="U133" s="206" t="n"/>
      <c r="V133" s="206" t="n"/>
    </row>
    <row r="134">
      <c r="A134" s="206" t="n">
        <v>9</v>
      </c>
      <c r="B134" s="206" t="inlineStr">
        <is>
          <t>100217539</t>
        </is>
      </c>
      <c r="C134" s="207" t="inlineStr">
        <is>
          <t>中建四局0200202101805003</t>
        </is>
      </c>
      <c r="D134" s="207" t="inlineStr">
        <is>
          <t>广州易达运输有限公司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213962.98</v>
      </c>
      <c r="N134" s="210" t="n">
        <v>4631.78</v>
      </c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10" t="n">
        <v>218594.76</v>
      </c>
      <c r="U134" s="206" t="n"/>
      <c r="V134" s="206" t="n"/>
    </row>
    <row r="135">
      <c r="A135" s="206" t="n">
        <v>10</v>
      </c>
      <c r="B135" s="206" t="inlineStr">
        <is>
          <t>100217502</t>
        </is>
      </c>
      <c r="C135" s="207" t="inlineStr">
        <is>
          <t>中建四局0200202101805002</t>
        </is>
      </c>
      <c r="D135" s="207" t="inlineStr">
        <is>
          <t>广州湘亿货运代理有限公司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68419.10000000001</v>
      </c>
      <c r="N135" s="210" t="n">
        <v>6157.73</v>
      </c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10" t="n">
        <v>74576.83</v>
      </c>
      <c r="U135" s="206" t="n"/>
      <c r="V135" s="206" t="n"/>
    </row>
    <row r="136">
      <c r="A136" s="206" t="n">
        <v>11</v>
      </c>
      <c r="B136" s="206" t="n"/>
      <c r="C136" s="207" t="n"/>
      <c r="D136" s="207" t="inlineStr">
        <is>
          <t>ZGD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-709.27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n"/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5438.34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>
        <v>12</v>
      </c>
      <c r="B138" s="206" t="n"/>
      <c r="C138" s="207" t="n"/>
      <c r="D138" s="207" t="inlineStr">
        <is>
          <t>JXZ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30661.52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33" t="n"/>
      <c r="B139" s="199" t="n"/>
      <c r="C139" s="199" t="n"/>
      <c r="D139" s="211" t="inlineStr">
        <is>
          <t>**财务未列部分需增列***</t>
        </is>
      </c>
      <c r="E139" s="230" t="n"/>
      <c r="F139" s="230" t="n"/>
      <c r="G139" s="230" t="n"/>
      <c r="H139" s="189" t="n"/>
      <c r="I139" s="189" t="n"/>
      <c r="J139" s="189" t="n"/>
      <c r="K139" s="201" t="n">
        <v>0</v>
      </c>
      <c r="L139" s="202">
        <f>J139-K139</f>
        <v/>
      </c>
      <c r="M139" s="231" t="n"/>
      <c r="N139" s="231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31" t="n"/>
      <c r="U139" s="231" t="n"/>
      <c r="V139" s="231" t="n"/>
      <c r="W139" s="231" t="n"/>
      <c r="X139" s="231" t="n"/>
      <c r="Y139" s="231" t="n"/>
      <c r="Z139" s="231" t="n"/>
      <c r="AA139" s="203" t="n"/>
      <c r="AB139" s="188" t="n"/>
      <c r="AC139" s="188" t="n"/>
      <c r="AD139" s="188" t="n"/>
      <c r="AE139" s="188" t="n"/>
      <c r="AF139" s="188" t="n"/>
      <c r="AG139" s="188" t="n"/>
      <c r="AH139" s="188" t="n"/>
      <c r="AI139" s="188" t="n"/>
      <c r="AJ139" s="188" t="n"/>
      <c r="AK139" s="188">
        <f>AB37/1.17*0.17+AC37/1.16*0.16+AD37/1.11*0.11+AE37/1.1*0.1+AF37/1.09*0.09+AI37/1.03*0.03</f>
        <v/>
      </c>
      <c r="AL139" s="214" t="n"/>
    </row>
    <row r="140">
      <c r="A140" s="41" t="n"/>
      <c r="B140" s="215" t="n"/>
      <c r="C140" s="215" t="n"/>
      <c r="D140" s="232" t="inlineStr">
        <is>
          <t>机械费小计：</t>
        </is>
      </c>
      <c r="E140" s="233" t="n"/>
      <c r="F140" s="233" t="n"/>
      <c r="G140" s="233" t="n"/>
      <c r="H140" s="217">
        <f>SUM(H125:H139)</f>
        <v/>
      </c>
      <c r="I140" s="217">
        <f>SUM(I125:I139)</f>
        <v/>
      </c>
      <c r="J140" s="217">
        <f>SUM(J125:J139)</f>
        <v/>
      </c>
      <c r="K140" s="217">
        <f>SUM(K125:K139)</f>
        <v/>
      </c>
      <c r="L140" s="234">
        <f>SUM(L125:L139)</f>
        <v/>
      </c>
      <c r="M140" s="217">
        <f>SUM(M125:M139)</f>
        <v/>
      </c>
      <c r="N140" s="217">
        <f>SUM(N125:N139)</f>
        <v/>
      </c>
      <c r="O140" s="217">
        <f>SUM(O125:O139)</f>
        <v/>
      </c>
      <c r="P140" s="217">
        <f>SUM(P125:P139)</f>
        <v/>
      </c>
      <c r="Q140" s="217">
        <f>SUM(Q125:Q139)</f>
        <v/>
      </c>
      <c r="R140" s="217">
        <f>SUM(R125:R139)</f>
        <v/>
      </c>
      <c r="S140" s="217">
        <f>SUM(S125:S139)</f>
        <v/>
      </c>
      <c r="T140" s="217" t="n"/>
      <c r="U140" s="217" t="n"/>
      <c r="V140" s="217" t="n"/>
      <c r="W140" s="217" t="n"/>
      <c r="X140" s="217" t="n"/>
      <c r="Y140" s="217" t="n"/>
      <c r="Z140" s="217">
        <f>SUM(Z125:Z139)</f>
        <v/>
      </c>
      <c r="AA140" s="217">
        <f>SUM(AA125:AA139)</f>
        <v/>
      </c>
      <c r="AB140" s="217" t="n"/>
      <c r="AC140" s="217" t="n"/>
      <c r="AD140" s="217" t="n"/>
      <c r="AE140" s="217" t="n"/>
      <c r="AF140" s="217" t="n"/>
      <c r="AG140" s="217" t="n"/>
      <c r="AH140" s="217" t="n"/>
      <c r="AI140" s="217" t="n"/>
      <c r="AJ140" s="217" t="n"/>
      <c r="AK140" s="217" t="n"/>
      <c r="AL140" s="204" t="n"/>
    </row>
    <row r="141">
      <c r="A141" s="33" t="n"/>
      <c r="B141" s="199" t="n"/>
      <c r="C141" s="199" t="n"/>
      <c r="D141" s="218" t="inlineStr">
        <is>
          <t>（五）其他直接费</t>
        </is>
      </c>
      <c r="E141" s="212" t="n"/>
      <c r="F141" s="212" t="n"/>
      <c r="G141" s="212" t="n"/>
      <c r="H141" s="189" t="n"/>
      <c r="I141" s="189" t="n"/>
      <c r="J141" s="184" t="n">
        <v>0</v>
      </c>
      <c r="K141" s="201" t="n">
        <v>0</v>
      </c>
      <c r="L141" s="202">
        <f>J141-N141-P141</f>
        <v/>
      </c>
      <c r="M141" s="184" t="n"/>
      <c r="N141" s="184" t="n"/>
      <c r="O141" s="189">
        <f>L141-M141</f>
        <v/>
      </c>
      <c r="P141" s="189">
        <f>K141-N141</f>
        <v/>
      </c>
      <c r="Q141" s="189">
        <f>M141+O141</f>
        <v/>
      </c>
      <c r="R141" s="189">
        <f>M141+N141+O141+P141</f>
        <v/>
      </c>
      <c r="S141" s="203">
        <f>SUM(T141:V141)</f>
        <v/>
      </c>
      <c r="T141" s="203" t="n"/>
      <c r="U141" s="203" t="n"/>
      <c r="V141" s="203" t="n"/>
      <c r="W141" s="203" t="n"/>
      <c r="X141" s="203" t="n"/>
      <c r="Y141" s="203" t="n"/>
      <c r="Z141" s="203" t="n"/>
      <c r="AA141" s="203" t="n"/>
      <c r="AB141" s="203" t="n"/>
      <c r="AC141" s="203" t="n"/>
      <c r="AD141" s="203" t="n"/>
      <c r="AE141" s="203" t="n"/>
      <c r="AF141" s="203" t="n"/>
      <c r="AG141" s="203" t="n"/>
      <c r="AH141" s="203" t="n"/>
      <c r="AI141" s="203" t="n"/>
      <c r="AJ141" s="203" t="n"/>
      <c r="AK141" s="188" t="n"/>
      <c r="AL141" s="204" t="n"/>
    </row>
    <row r="142">
      <c r="A142" s="206" t="n"/>
      <c r="B142" s="206" t="n"/>
      <c r="C142" s="207" t="n"/>
      <c r="D142" s="207" t="inlineStr">
        <is>
          <t>保险费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2060794.4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其他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4351039.99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咨询费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1165.05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检验试验费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2298882.29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水电费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8300988.65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33" t="n"/>
      <c r="B147" s="199" t="n"/>
      <c r="C147" s="199" t="n"/>
      <c r="D147" s="211" t="inlineStr">
        <is>
          <t>**财务未列部分需增列***</t>
        </is>
      </c>
      <c r="E147" s="212" t="n"/>
      <c r="F147" s="212" t="n"/>
      <c r="G147" s="212" t="n"/>
      <c r="H147" s="189" t="n"/>
      <c r="I147" s="189" t="n"/>
      <c r="J147" s="184" t="n"/>
      <c r="K147" s="201" t="n"/>
      <c r="L147" s="202">
        <f>J147-K147</f>
        <v/>
      </c>
      <c r="M147" s="235" t="n"/>
      <c r="N147" s="235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35" t="n"/>
      <c r="U147" s="235" t="n"/>
      <c r="V147" s="235" t="n"/>
      <c r="W147" s="235" t="n"/>
      <c r="X147" s="235" t="n"/>
      <c r="Y147" s="235" t="n"/>
      <c r="Z147" s="189">
        <f>SUM(AA45:AJ45)</f>
        <v/>
      </c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55" t="n"/>
      <c r="B148" s="236" t="n"/>
      <c r="C148" s="236" t="n"/>
      <c r="D148" s="232" t="inlineStr">
        <is>
          <t>其他直接费小计：</t>
        </is>
      </c>
      <c r="E148" s="237" t="n"/>
      <c r="F148" s="237" t="n"/>
      <c r="G148" s="237" t="n"/>
      <c r="H148" s="217">
        <f>SUM(H141:H147)</f>
        <v/>
      </c>
      <c r="I148" s="217">
        <f>SUM(I141:I147)</f>
        <v/>
      </c>
      <c r="J148" s="217">
        <f>SUM(J141:J147)</f>
        <v/>
      </c>
      <c r="K148" s="217">
        <f>SUM(K141:K147)</f>
        <v/>
      </c>
      <c r="L148" s="234">
        <f>SUM(L141:L147)</f>
        <v/>
      </c>
      <c r="M148" s="217">
        <f>SUM(M141:M147)</f>
        <v/>
      </c>
      <c r="N148" s="217">
        <f>SUM(N141:N147)</f>
        <v/>
      </c>
      <c r="O148" s="217">
        <f>L148-M148</f>
        <v/>
      </c>
      <c r="P148" s="217">
        <f>SUM(P141:P147)</f>
        <v/>
      </c>
      <c r="Q148" s="217">
        <f>M148+O148</f>
        <v/>
      </c>
      <c r="R148" s="217">
        <f>SUM(R141:R147)</f>
        <v/>
      </c>
      <c r="S148" s="217">
        <f>SUM(S141:S147)</f>
        <v/>
      </c>
      <c r="T148" s="217" t="n"/>
      <c r="U148" s="217" t="n"/>
      <c r="V148" s="217" t="n"/>
      <c r="W148" s="217" t="n"/>
      <c r="X148" s="217" t="n"/>
      <c r="Y148" s="217" t="n"/>
      <c r="Z148" s="217">
        <f>SUM(Z141:Z147)</f>
        <v/>
      </c>
      <c r="AA148" s="217">
        <f>SUM(AA141:AA147)</f>
        <v/>
      </c>
      <c r="AB148" s="217">
        <f>SUM(AB141:AB147)</f>
        <v/>
      </c>
      <c r="AC148" s="217">
        <f>SUM(AC141:AC147)</f>
        <v/>
      </c>
      <c r="AD148" s="217">
        <f>SUM(AD141:AD147)</f>
        <v/>
      </c>
      <c r="AE148" s="217">
        <f>SUM(AE141:AE147)</f>
        <v/>
      </c>
      <c r="AF148" s="217">
        <f>SUM(AF141:AF147)</f>
        <v/>
      </c>
      <c r="AG148" s="217" t="n"/>
      <c r="AH148" s="217" t="n"/>
      <c r="AI148" s="217">
        <f>SUM(AI141:AI147)</f>
        <v/>
      </c>
      <c r="AJ148" s="217">
        <f>SUM(AJ141:AJ147)</f>
        <v/>
      </c>
      <c r="AK148" s="217">
        <f>SUM(AK141:AK147)</f>
        <v/>
      </c>
      <c r="AL148" s="204" t="n"/>
    </row>
    <row r="149">
      <c r="A149" s="33" t="n"/>
      <c r="B149" s="199" t="n"/>
      <c r="C149" s="199" t="n"/>
      <c r="D149" s="218" t="inlineStr">
        <is>
          <t>（六）间接费</t>
        </is>
      </c>
      <c r="E149" s="212" t="n"/>
      <c r="F149" s="212" t="n"/>
      <c r="G149" s="212" t="n"/>
      <c r="H149" s="184" t="n"/>
      <c r="I149" s="189" t="n"/>
      <c r="J149" s="189" t="n">
        <v>0</v>
      </c>
      <c r="K149" s="201" t="n">
        <v>0</v>
      </c>
      <c r="L149" s="202">
        <f>J149-N149-P149</f>
        <v/>
      </c>
      <c r="M149" s="184" t="n"/>
      <c r="N149" s="184" t="n"/>
      <c r="O149" s="189">
        <f>L149-M149</f>
        <v/>
      </c>
      <c r="P149" s="189">
        <f>K149-N149</f>
        <v/>
      </c>
      <c r="Q149" s="189">
        <f>M149+O149</f>
        <v/>
      </c>
      <c r="R149" s="189">
        <f>M149+N149+O149+P149</f>
        <v/>
      </c>
      <c r="S149" s="203">
        <f>SUM(T149:V149)</f>
        <v/>
      </c>
      <c r="T149" s="203" t="n"/>
      <c r="U149" s="203" t="n"/>
      <c r="V149" s="203" t="n"/>
      <c r="W149" s="203" t="n"/>
      <c r="X149" s="203" t="n"/>
      <c r="Y149" s="203" t="n"/>
      <c r="Z149" s="203" t="n"/>
      <c r="AA149" s="203" t="n"/>
      <c r="AB149" s="203" t="n"/>
      <c r="AC149" s="203" t="n"/>
      <c r="AD149" s="203" t="n"/>
      <c r="AE149" s="203" t="n"/>
      <c r="AF149" s="203" t="n"/>
      <c r="AG149" s="203" t="n"/>
      <c r="AH149" s="203" t="n"/>
      <c r="AI149" s="203" t="n"/>
      <c r="AJ149" s="203" t="n"/>
      <c r="AK149" s="188" t="n"/>
      <c r="AL149" s="204" t="n"/>
    </row>
    <row r="150">
      <c r="A150" s="206" t="n"/>
      <c r="B150" s="206" t="n"/>
      <c r="C150" s="207" t="n"/>
      <c r="D150" s="207" t="inlineStr">
        <is>
          <t>ZGD-境内差旅费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227.68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ZGD-工会经费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115907.8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ZGD-工资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-42912.81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ZGD-折旧费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709.35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书报资料费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220.88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企业年金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186548.56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会议费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5867.37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住房公积金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921583.74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保险费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4245.28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修理费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27769.38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其他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445466.64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其他补充保险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87.84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冲晒印刷费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112428.15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办公用品费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607692.39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医疗保险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453554.98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基本养老保险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1111816.95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境内差旅费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28860.18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失业保险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45975.32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工会经费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150995.69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工伤保险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43560.14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工资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21079637.05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市内交通费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5663.74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律师费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14327.83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折旧费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65460.13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水电费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1915223.39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燃油费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210747.51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物业租赁费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223298.47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物业管理费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463287.94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物料消耗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4059.41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生育保险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4798.28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社保及公积金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1410339.33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租车费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429894.83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维修保养费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34521.89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网络使用费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114830.51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职工教育经费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135820.32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职工福利费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824342.88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补充医疗保险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7322.89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诉讼费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36638.87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路桥及停车费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78817.39999999999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206" t="n"/>
      <c r="B189" s="206" t="n"/>
      <c r="C189" s="207" t="n"/>
      <c r="D189" s="207" t="inlineStr">
        <is>
          <t>软件费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209326.47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通信费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192969.09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邮寄费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1030.72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33" t="n"/>
      <c r="B192" s="199" t="n"/>
      <c r="C192" s="199" t="n"/>
      <c r="D192" s="211" t="inlineStr">
        <is>
          <t>**财务未列部分需增列***</t>
        </is>
      </c>
      <c r="E192" s="212" t="n"/>
      <c r="F192" s="212" t="n"/>
      <c r="G192" s="212" t="n"/>
      <c r="H192" s="235" t="n"/>
      <c r="I192" s="189" t="n"/>
      <c r="J192" s="235" t="n"/>
      <c r="K192" s="201" t="n"/>
      <c r="L192" s="202" t="n"/>
      <c r="M192" s="235" t="n"/>
      <c r="N192" s="189" t="n"/>
      <c r="O192" s="189">
        <f>L192-M192</f>
        <v/>
      </c>
      <c r="P192" s="189">
        <f>K192-N192</f>
        <v/>
      </c>
      <c r="Q192" s="189">
        <f>M192+O192</f>
        <v/>
      </c>
      <c r="R192" s="189">
        <f>M192+N192+O192+P192</f>
        <v/>
      </c>
      <c r="S192" s="203">
        <f>SUM(T192:V192)</f>
        <v/>
      </c>
      <c r="T192" s="235" t="n"/>
      <c r="U192" s="235" t="n"/>
      <c r="V192" s="235" t="n"/>
      <c r="W192" s="235" t="n"/>
      <c r="X192" s="235" t="n"/>
      <c r="Y192" s="235" t="n"/>
      <c r="Z192" s="235" t="n"/>
      <c r="AA192" s="203" t="n"/>
      <c r="AB192" s="188" t="n"/>
      <c r="AC192" s="188" t="n"/>
      <c r="AD192" s="188" t="n"/>
      <c r="AE192" s="188" t="n"/>
      <c r="AF192" s="188" t="n"/>
      <c r="AG192" s="188" t="n"/>
      <c r="AH192" s="188" t="n"/>
      <c r="AI192" s="188" t="n"/>
      <c r="AJ192" s="188" t="n"/>
      <c r="AK192" s="188" t="n"/>
      <c r="AL192" s="214" t="n"/>
    </row>
    <row r="193">
      <c r="A193" s="55" t="n"/>
      <c r="B193" s="236" t="n"/>
      <c r="C193" s="236" t="n"/>
      <c r="D193" s="232" t="inlineStr">
        <is>
          <t>间接费小计：</t>
        </is>
      </c>
      <c r="E193" s="237" t="n"/>
      <c r="F193" s="237" t="n"/>
      <c r="G193" s="237" t="n"/>
      <c r="H193" s="217">
        <f>SUM(H149:H192)</f>
        <v/>
      </c>
      <c r="I193" s="217">
        <f>SUM(I149:I192)</f>
        <v/>
      </c>
      <c r="J193" s="217">
        <f>SUM(J149:J192)</f>
        <v/>
      </c>
      <c r="K193" s="217">
        <f>SUM(K149:K192)</f>
        <v/>
      </c>
      <c r="L193" s="234">
        <f>SUM(L149:L192)</f>
        <v/>
      </c>
      <c r="M193" s="234">
        <f>SUM(M149:M192)</f>
        <v/>
      </c>
      <c r="N193" s="234">
        <f>SUM(N149:N192)</f>
        <v/>
      </c>
      <c r="O193" s="234">
        <f>SUM(O149:O192)</f>
        <v/>
      </c>
      <c r="P193" s="234">
        <f>SUM(P149:P192)</f>
        <v/>
      </c>
      <c r="Q193" s="234">
        <f>SUM(Q149:Q192)</f>
        <v/>
      </c>
      <c r="R193" s="234">
        <f>SUM(R149:R192)</f>
        <v/>
      </c>
      <c r="S193" s="234">
        <f>SUM(S149:S192)</f>
        <v/>
      </c>
      <c r="T193" s="234" t="n"/>
      <c r="U193" s="234" t="n"/>
      <c r="V193" s="234" t="n"/>
      <c r="W193" s="234" t="n"/>
      <c r="X193" s="234" t="n"/>
      <c r="Y193" s="234" t="n"/>
      <c r="Z193" s="234">
        <f>SUM(Z149:Z192)</f>
        <v/>
      </c>
      <c r="AA193" s="234">
        <f>SUM(AA149:AA192)</f>
        <v/>
      </c>
      <c r="AB193" s="234">
        <f>SUM(AB149:AB192)</f>
        <v/>
      </c>
      <c r="AC193" s="234">
        <f>SUM(AC149:AC192)</f>
        <v/>
      </c>
      <c r="AD193" s="234">
        <f>SUM(AD149:AD192)</f>
        <v/>
      </c>
      <c r="AE193" s="234">
        <f>SUM(AE149:AE192)</f>
        <v/>
      </c>
      <c r="AF193" s="234">
        <f>SUM(AF149:AF192)</f>
        <v/>
      </c>
      <c r="AG193" s="234" t="n"/>
      <c r="AH193" s="234" t="n"/>
      <c r="AI193" s="234">
        <f>SUM(AI149:AI192)</f>
        <v/>
      </c>
      <c r="AJ193" s="234">
        <f>SUM(AJ149:AJ192)</f>
        <v/>
      </c>
      <c r="AK193" s="234">
        <f>SUM(AK149:AK192)</f>
        <v/>
      </c>
      <c r="AL193" s="214" t="n"/>
    </row>
    <row r="194">
      <c r="A194" s="33" t="n"/>
      <c r="B194" s="199" t="n"/>
      <c r="C194" s="199" t="n"/>
      <c r="D194" s="218" t="inlineStr">
        <is>
          <t>（七）安全费</t>
        </is>
      </c>
      <c r="E194" s="212" t="n"/>
      <c r="F194" s="212" t="n"/>
      <c r="G194" s="212" t="n"/>
      <c r="H194" s="189" t="n"/>
      <c r="I194" s="189" t="n"/>
      <c r="J194" s="184" t="n">
        <v>0</v>
      </c>
      <c r="K194" s="238" t="n"/>
      <c r="L194" s="202">
        <f>J194-N194-P194</f>
        <v/>
      </c>
      <c r="M194" s="189" t="n"/>
      <c r="N194" s="189" t="n"/>
      <c r="O194" s="189">
        <f>L194-M194</f>
        <v/>
      </c>
      <c r="P194" s="189">
        <f>K194-N194</f>
        <v/>
      </c>
      <c r="Q194" s="189">
        <f>M194+O194</f>
        <v/>
      </c>
      <c r="R194" s="189">
        <f>M194+N194+O194+P194</f>
        <v/>
      </c>
      <c r="S194" s="203">
        <f>SUM(T194:V194)</f>
        <v/>
      </c>
      <c r="T194" s="235" t="n"/>
      <c r="U194" s="235" t="n"/>
      <c r="V194" s="235" t="n"/>
      <c r="W194" s="235" t="n"/>
      <c r="X194" s="235" t="n"/>
      <c r="Y194" s="235" t="n"/>
      <c r="Z194" s="231" t="n"/>
      <c r="AA194" s="203" t="n"/>
      <c r="AB194" s="188" t="n"/>
      <c r="AC194" s="188" t="n"/>
      <c r="AD194" s="188" t="n"/>
      <c r="AE194" s="188" t="n"/>
      <c r="AF194" s="188" t="n"/>
      <c r="AG194" s="188" t="n"/>
      <c r="AH194" s="188" t="n"/>
      <c r="AI194" s="188" t="n"/>
      <c r="AJ194" s="188" t="n"/>
      <c r="AK194" s="188" t="n"/>
      <c r="AL194" s="214" t="n"/>
    </row>
    <row r="195">
      <c r="A195" s="206" t="n"/>
      <c r="B195" s="206" t="n"/>
      <c r="C195" s="207" t="n"/>
      <c r="D195" s="207" t="inlineStr">
        <is>
          <t>ZGD-安全生产-分包工程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7872000.25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安全生产-人工费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2852405.63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206" t="n"/>
      <c r="B197" s="206" t="n"/>
      <c r="C197" s="207" t="n"/>
      <c r="D197" s="207" t="inlineStr">
        <is>
          <t>安全生产-分包工程</t>
        </is>
      </c>
      <c r="E197" s="206" t="n"/>
      <c r="F197" s="206" t="n"/>
      <c r="G197" s="206" t="n"/>
      <c r="H197" s="206" t="n"/>
      <c r="I197" s="206" t="n"/>
      <c r="J197" s="206">
        <f>H197+I197</f>
        <v/>
      </c>
      <c r="K197" s="208" t="n"/>
      <c r="L197" s="209">
        <f>J197-K197</f>
        <v/>
      </c>
      <c r="M197" s="210" t="n">
        <v>4674095.6</v>
      </c>
      <c r="N197" s="206" t="n"/>
      <c r="O197" s="206">
        <f>L197-M197</f>
        <v/>
      </c>
      <c r="P197" s="206">
        <f>K197-N197</f>
        <v/>
      </c>
      <c r="Q197" s="206">
        <f>M197+O197</f>
        <v/>
      </c>
      <c r="R197" s="206">
        <f>M197+N197+O197+P197</f>
        <v/>
      </c>
      <c r="S197" s="206" t="n"/>
      <c r="T197" s="206" t="n"/>
      <c r="U197" s="206" t="n"/>
      <c r="V197" s="206" t="n"/>
    </row>
    <row r="198">
      <c r="A198" s="206" t="n"/>
      <c r="B198" s="206" t="n"/>
      <c r="C198" s="207" t="n"/>
      <c r="D198" s="207" t="inlineStr">
        <is>
          <t>安全生产-机械使用</t>
        </is>
      </c>
      <c r="E198" s="206" t="n"/>
      <c r="F198" s="206" t="n"/>
      <c r="G198" s="206" t="n"/>
      <c r="H198" s="206" t="n"/>
      <c r="I198" s="206" t="n"/>
      <c r="J198" s="206">
        <f>H198+I198</f>
        <v/>
      </c>
      <c r="K198" s="208" t="n"/>
      <c r="L198" s="209">
        <f>J198-K198</f>
        <v/>
      </c>
      <c r="M198" s="210" t="n">
        <v>326856.87</v>
      </c>
      <c r="N198" s="206" t="n"/>
      <c r="O198" s="206">
        <f>L198-M198</f>
        <v/>
      </c>
      <c r="P198" s="206">
        <f>K198-N198</f>
        <v/>
      </c>
      <c r="Q198" s="206">
        <f>M198+O198</f>
        <v/>
      </c>
      <c r="R198" s="206">
        <f>M198+N198+O198+P198</f>
        <v/>
      </c>
      <c r="S198" s="206" t="n"/>
      <c r="T198" s="206" t="n"/>
      <c r="U198" s="206" t="n"/>
      <c r="V198" s="206" t="n"/>
    </row>
    <row r="199">
      <c r="A199" s="206" t="n"/>
      <c r="B199" s="206" t="n"/>
      <c r="C199" s="207" t="n"/>
      <c r="D199" s="207" t="inlineStr">
        <is>
          <t>安全生产费-报销</t>
        </is>
      </c>
      <c r="E199" s="206" t="n"/>
      <c r="F199" s="206" t="n"/>
      <c r="G199" s="206" t="n"/>
      <c r="H199" s="206" t="n"/>
      <c r="I199" s="206" t="n"/>
      <c r="J199" s="206">
        <f>H199+I199</f>
        <v/>
      </c>
      <c r="K199" s="208" t="n"/>
      <c r="L199" s="209">
        <f>J199-K199</f>
        <v/>
      </c>
      <c r="M199" s="210" t="n">
        <v>2066826.1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</row>
    <row r="200">
      <c r="A200" s="55" t="n"/>
      <c r="B200" s="236" t="n"/>
      <c r="C200" s="236" t="n"/>
      <c r="D200" s="232" t="inlineStr">
        <is>
          <t>安全费小计：</t>
        </is>
      </c>
      <c r="E200" s="232" t="n"/>
      <c r="F200" s="232" t="n"/>
      <c r="G200" s="232" t="n"/>
      <c r="H200" s="217">
        <f>SUM(H194:H199)</f>
        <v/>
      </c>
      <c r="I200" s="217">
        <f>SUM(I194:I199)</f>
        <v/>
      </c>
      <c r="J200" s="217" t="n">
        <v>0</v>
      </c>
      <c r="K200" s="217" t="n">
        <v>0</v>
      </c>
      <c r="L200" s="202">
        <f>J200-K200</f>
        <v/>
      </c>
      <c r="M200" s="234">
        <f>SUM(M194:M199)</f>
        <v/>
      </c>
      <c r="N200" s="234">
        <f>SUM(N194:N199)</f>
        <v/>
      </c>
      <c r="O200" s="234">
        <f>SUM(O194:O199)</f>
        <v/>
      </c>
      <c r="P200" s="234">
        <f>SUM(P194:P199)</f>
        <v/>
      </c>
      <c r="Q200" s="234">
        <f>SUM(Q194:Q199)</f>
        <v/>
      </c>
      <c r="R200" s="234">
        <f>SUM(R194:R199)</f>
        <v/>
      </c>
      <c r="S200" s="234">
        <f>SUM(S194:S199)</f>
        <v/>
      </c>
      <c r="T200" s="239" t="n"/>
      <c r="U200" s="239" t="n"/>
      <c r="V200" s="239" t="n"/>
      <c r="W200" s="239" t="n"/>
      <c r="X200" s="239" t="n"/>
      <c r="Y200" s="239" t="n"/>
      <c r="Z200" s="239" t="n"/>
      <c r="AA200" s="239">
        <f>SUM(AA194:AA199)</f>
        <v/>
      </c>
      <c r="AB200" s="239">
        <f>SUM(AB194:AB199)</f>
        <v/>
      </c>
      <c r="AC200" s="239">
        <f>SUM(AC194:AC199)</f>
        <v/>
      </c>
      <c r="AD200" s="239">
        <f>SUM(AD194:AD199)</f>
        <v/>
      </c>
      <c r="AE200" s="239">
        <f>SUM(AE194:AE199)</f>
        <v/>
      </c>
      <c r="AF200" s="239">
        <f>SUM(AF194:AF199)</f>
        <v/>
      </c>
      <c r="AG200" s="239" t="n"/>
      <c r="AH200" s="239" t="n"/>
      <c r="AI200" s="239">
        <f>SUM(AI194:AI199)</f>
        <v/>
      </c>
      <c r="AJ200" s="239">
        <f>SUM(AJ194:AJ199)</f>
        <v/>
      </c>
      <c r="AK200" s="239">
        <f>SUM(AK194:AK199)</f>
        <v/>
      </c>
      <c r="AL200" s="240" t="n"/>
    </row>
    <row r="201">
      <c r="A201" s="55" t="n"/>
      <c r="B201" s="236" t="n"/>
      <c r="C201" s="236" t="n"/>
      <c r="D201" s="232" t="inlineStr">
        <is>
          <t>三、成本合计：</t>
        </is>
      </c>
      <c r="E201" s="237" t="n"/>
      <c r="F201" s="237" t="n"/>
      <c r="G201" s="237" t="n"/>
      <c r="H201" s="217">
        <f>H34+H65+H124+H140+H148+H193+H200</f>
        <v/>
      </c>
      <c r="I201" s="217">
        <f>I34+I65+I124+I140+I148+I193+I200</f>
        <v/>
      </c>
      <c r="J201" s="217">
        <f>J34+J65+J124+J140+J148+J193+J200</f>
        <v/>
      </c>
      <c r="K201" s="217">
        <f>K34+K65+K124+K140+K148+K193+K200</f>
        <v/>
      </c>
      <c r="L201" s="234">
        <f>L34+L65+L124+L140+L148+L193+L200</f>
        <v/>
      </c>
      <c r="M201" s="239">
        <f>M34+M65+M124+M140+M148+M193+M200</f>
        <v/>
      </c>
      <c r="N201" s="239">
        <f>N34+N65+N124+N140+N148+N193+N200</f>
        <v/>
      </c>
      <c r="O201" s="239">
        <f>O34+O65+O124+O140+O148+O193+O200</f>
        <v/>
      </c>
      <c r="P201" s="239">
        <f>P34+P65+P124+P140+P148+P193+P200</f>
        <v/>
      </c>
      <c r="Q201" s="239">
        <f>Q34+Q65+Q124+Q140+Q148+Q193+Q200</f>
        <v/>
      </c>
      <c r="R201" s="239">
        <f>R34+R65+R124+R140+R148+R193+R200</f>
        <v/>
      </c>
      <c r="S201" s="239">
        <f>S34+S65+S124+S140+S148+S193+S200</f>
        <v/>
      </c>
      <c r="T201" s="239" t="n"/>
      <c r="U201" s="239" t="n"/>
      <c r="V201" s="239" t="n"/>
      <c r="W201" s="239" t="n"/>
      <c r="X201" s="239" t="n"/>
      <c r="Y201" s="239" t="n"/>
      <c r="Z201" s="239">
        <f>Z34+Z65+Z124+Z140+Z148+Z193+Z200</f>
        <v/>
      </c>
      <c r="AA201" s="239">
        <f>AA34+AA65+AA124+AA140+AA148+AA193+AA200</f>
        <v/>
      </c>
      <c r="AB201" s="239">
        <f>AB34+AB65+AB124+AB140+AB148+AB193+AB200</f>
        <v/>
      </c>
      <c r="AC201" s="239">
        <f>AC34+AC65+AC124+AC140+AC148+AC193+AC200</f>
        <v/>
      </c>
      <c r="AD201" s="239">
        <f>AD34+AD65+AD124+AD140+AD148+AD193+AD200</f>
        <v/>
      </c>
      <c r="AE201" s="239">
        <f>AE34+AE65+AE124+AE140+AE148+AE193+AE200</f>
        <v/>
      </c>
      <c r="AF201" s="239">
        <f>AF34+AF65+AF124+AF140+AF148+AF193+AF200</f>
        <v/>
      </c>
      <c r="AG201" s="239" t="n"/>
      <c r="AH201" s="239" t="n"/>
      <c r="AI201" s="239">
        <f>AI34+AI65+AI124+AI140+AI148+AI193+AI200</f>
        <v/>
      </c>
      <c r="AJ201" s="239">
        <f>AJ34+AJ65+AJ124+AJ140+AJ148+AJ193+AJ200</f>
        <v/>
      </c>
      <c r="AK201" s="239">
        <f>AK34+AK65+AK124+AK140+AK148+AK193+AK200</f>
        <v/>
      </c>
      <c r="AL201" s="240" t="n"/>
    </row>
    <row r="202">
      <c r="A202" s="33" t="n"/>
      <c r="B202" s="199" t="n"/>
      <c r="C202" s="199" t="n"/>
      <c r="D202" s="218" t="inlineStr">
        <is>
          <t>四、计提保修金</t>
        </is>
      </c>
      <c r="E202" s="241" t="inlineStr">
        <is>
          <t>（在建：房建0.6%，其它0.4%；在保修期间的按0.3~0.5%自行确定;保修期结束为0）</t>
        </is>
      </c>
      <c r="F202" s="241" t="n"/>
      <c r="G202" s="241" t="n"/>
      <c r="H202" s="184" t="n"/>
      <c r="I202" s="184" t="n"/>
      <c r="J202" s="184">
        <f>H202+I202</f>
        <v/>
      </c>
      <c r="K202" s="184" t="n"/>
      <c r="L202" s="202">
        <f>J202-K202</f>
        <v/>
      </c>
      <c r="M202" s="189" t="n"/>
      <c r="N202" s="189" t="n"/>
      <c r="O202" s="189">
        <f>L202-M202</f>
        <v/>
      </c>
      <c r="P202" s="189">
        <f>K202-N202</f>
        <v/>
      </c>
      <c r="Q202" s="189">
        <f>M202+O202</f>
        <v/>
      </c>
      <c r="R202" s="189">
        <f>M202+N202+O202+P202</f>
        <v/>
      </c>
      <c r="S202" s="203">
        <f>SUM(T202:V202)</f>
        <v/>
      </c>
      <c r="T202" s="203" t="n"/>
      <c r="U202" s="203" t="n"/>
      <c r="V202" s="203" t="n"/>
      <c r="W202" s="203" t="n"/>
      <c r="X202" s="203" t="n"/>
      <c r="Y202" s="203" t="n"/>
      <c r="Z202" s="203" t="n"/>
      <c r="AA202" s="203">
        <f>Q69-S69</f>
        <v/>
      </c>
      <c r="AB202" s="242" t="n"/>
      <c r="AC202" s="242" t="n"/>
      <c r="AD202" s="242" t="n"/>
      <c r="AE202" s="242" t="n"/>
      <c r="AF202" s="242" t="n"/>
      <c r="AG202" s="242" t="n"/>
      <c r="AH202" s="242" t="n"/>
      <c r="AI202" s="242" t="n"/>
      <c r="AJ202" s="242" t="n"/>
      <c r="AK202" s="188" t="n"/>
      <c r="AL202" s="240" t="n"/>
    </row>
    <row r="203">
      <c r="A203" s="33" t="n"/>
      <c r="B203" s="199" t="n"/>
      <c r="C203" s="199" t="n"/>
      <c r="D203" s="218" t="inlineStr">
        <is>
          <t>五、过程节点奖金</t>
        </is>
      </c>
      <c r="E203" s="212" t="n"/>
      <c r="F203" s="212" t="n"/>
      <c r="G203" s="212" t="n"/>
      <c r="H203" s="184" t="n"/>
      <c r="I203" s="184" t="n"/>
      <c r="J203" s="184">
        <f>H203+I203</f>
        <v/>
      </c>
      <c r="K203" s="184" t="n"/>
      <c r="L203" s="202">
        <f>J203-K203</f>
        <v/>
      </c>
      <c r="M203" s="189" t="n"/>
      <c r="N203" s="189" t="n"/>
      <c r="O203" s="189">
        <f>L203-M203</f>
        <v/>
      </c>
      <c r="P203" s="189">
        <f>K203-N203</f>
        <v/>
      </c>
      <c r="Q203" s="189">
        <f>M203+O203</f>
        <v/>
      </c>
      <c r="R203" s="189">
        <f>M203+N203+O203+P203</f>
        <v/>
      </c>
      <c r="S203" s="203">
        <f>SUM(T203:V203)</f>
        <v/>
      </c>
      <c r="T203" s="203" t="n"/>
      <c r="U203" s="203" t="n"/>
      <c r="V203" s="203" t="n"/>
      <c r="W203" s="203" t="n"/>
      <c r="X203" s="203" t="n"/>
      <c r="Y203" s="203" t="n"/>
      <c r="Z203" s="203" t="n"/>
      <c r="AA203" s="203" t="n"/>
      <c r="AB203" s="188" t="n"/>
      <c r="AC203" s="188" t="n"/>
      <c r="AD203" s="188" t="n"/>
      <c r="AE203" s="188" t="n"/>
      <c r="AF203" s="188" t="n"/>
      <c r="AG203" s="188" t="n"/>
      <c r="AH203" s="188" t="n"/>
      <c r="AI203" s="188" t="n"/>
      <c r="AJ203" s="188" t="n"/>
      <c r="AK203" s="188" t="n"/>
      <c r="AL203" s="214" t="n"/>
    </row>
    <row r="204">
      <c r="A204" s="33" t="n"/>
      <c r="B204" s="199" t="n"/>
      <c r="C204" s="199" t="n"/>
      <c r="D204" s="218" t="inlineStr">
        <is>
          <t>六、资金占用费用</t>
        </is>
      </c>
      <c r="E204" s="212" t="n"/>
      <c r="F204" s="212" t="n"/>
      <c r="G204" s="212" t="n"/>
      <c r="H204" s="189" t="n"/>
      <c r="I204" s="189" t="n"/>
      <c r="J204" s="184">
        <f>H204+I204</f>
        <v/>
      </c>
      <c r="K204" s="189" t="n"/>
      <c r="L204" s="202">
        <f>J204-K204</f>
        <v/>
      </c>
      <c r="M204" s="223" t="n">
        <v>6780777.21</v>
      </c>
      <c r="N204" s="189" t="n"/>
      <c r="O204" s="189">
        <f>L204-M204</f>
        <v/>
      </c>
      <c r="P204" s="189">
        <f>K204-N204</f>
        <v/>
      </c>
      <c r="Q204" s="189">
        <f>M204+O204</f>
        <v/>
      </c>
      <c r="R204" s="189">
        <f>M204+N204+O204+P204</f>
        <v/>
      </c>
      <c r="S204" s="203">
        <f>SUM(T204:V204)</f>
        <v/>
      </c>
      <c r="T204" s="203" t="n"/>
      <c r="U204" s="203" t="n"/>
      <c r="V204" s="203" t="n"/>
      <c r="W204" s="203" t="n"/>
      <c r="X204" s="203" t="n"/>
      <c r="Y204" s="203" t="n"/>
      <c r="Z204" s="203" t="n"/>
      <c r="AA204" s="203" t="n"/>
      <c r="AB204" s="188" t="n"/>
      <c r="AC204" s="188" t="n"/>
      <c r="AD204" s="188" t="n"/>
      <c r="AE204" s="188" t="n"/>
      <c r="AF204" s="188" t="n"/>
      <c r="AG204" s="188" t="n"/>
      <c r="AH204" s="188" t="n"/>
      <c r="AI204" s="188" t="n"/>
      <c r="AJ204" s="188" t="n"/>
      <c r="AK204" s="188" t="n"/>
      <c r="AL204" s="214" t="n"/>
    </row>
    <row r="205">
      <c r="A205" s="33" t="n"/>
      <c r="B205" s="199" t="n"/>
      <c r="C205" s="199" t="n"/>
      <c r="D205" s="218" t="inlineStr">
        <is>
          <t>七、局投资收益（局投资项目选填）</t>
        </is>
      </c>
      <c r="E205" s="212" t="n"/>
      <c r="F205" s="212" t="n"/>
      <c r="G205" s="212" t="n"/>
      <c r="H205" s="189" t="n"/>
      <c r="I205" s="189" t="n"/>
      <c r="J205" s="184">
        <f>H205+I205</f>
        <v/>
      </c>
      <c r="K205" s="189" t="n"/>
      <c r="L205" s="202">
        <f>J205-K205</f>
        <v/>
      </c>
      <c r="M205" s="189" t="n"/>
      <c r="N205" s="189" t="n"/>
      <c r="O205" s="189">
        <f>L205-M205</f>
        <v/>
      </c>
      <c r="P205" s="189">
        <f>K205-N205</f>
        <v/>
      </c>
      <c r="Q205" s="189">
        <f>M205+O205</f>
        <v/>
      </c>
      <c r="R205" s="189">
        <f>M205+N205+O205+P205</f>
        <v/>
      </c>
      <c r="S205" s="203">
        <f>SUM(T205:V205)</f>
        <v/>
      </c>
      <c r="T205" s="203" t="n"/>
      <c r="U205" s="203" t="n"/>
      <c r="V205" s="203" t="n"/>
      <c r="W205" s="203" t="n"/>
      <c r="X205" s="203" t="n"/>
      <c r="Y205" s="203" t="n"/>
      <c r="Z205" s="203" t="n"/>
      <c r="AA205" s="203" t="n"/>
      <c r="AB205" s="188" t="n"/>
      <c r="AC205" s="188" t="n"/>
      <c r="AD205" s="188" t="n"/>
      <c r="AE205" s="188" t="n"/>
      <c r="AF205" s="188" t="n"/>
      <c r="AG205" s="188" t="n"/>
      <c r="AH205" s="188" t="n"/>
      <c r="AI205" s="188" t="n"/>
      <c r="AJ205" s="188" t="n"/>
      <c r="AK205" s="188" t="n"/>
      <c r="AL205" s="214" t="n"/>
    </row>
    <row r="206">
      <c r="A206" s="55" t="n"/>
      <c r="B206" s="236" t="n"/>
      <c r="C206" s="236" t="n"/>
      <c r="D206" s="232" t="inlineStr">
        <is>
          <t>八、研发费用</t>
        </is>
      </c>
      <c r="E206" s="237" t="n"/>
      <c r="F206" s="237" t="n"/>
      <c r="G206" s="237" t="n"/>
      <c r="H206" s="217" t="n"/>
      <c r="I206" s="217" t="n"/>
      <c r="J206" s="217">
        <f>H206+I206</f>
        <v/>
      </c>
      <c r="K206" s="217" t="n"/>
      <c r="L206" s="234">
        <f>J206-K206</f>
        <v/>
      </c>
      <c r="M206" s="239">
        <f>SUM(M74:M76)</f>
        <v/>
      </c>
      <c r="N206" s="239">
        <f>SUM(N74:N76)</f>
        <v/>
      </c>
      <c r="O206" s="239">
        <f>SUM(O74:O76)</f>
        <v/>
      </c>
      <c r="P206" s="239">
        <f>SUM(P74:P76)</f>
        <v/>
      </c>
      <c r="Q206" s="239">
        <f>SUM(Q74:Q76)</f>
        <v/>
      </c>
      <c r="R206" s="239">
        <f>SUM(R74:R76)</f>
        <v/>
      </c>
      <c r="S206" s="239">
        <f>SUM(S74:S76)</f>
        <v/>
      </c>
      <c r="T206" s="239">
        <f>SUM(T74:T76)</f>
        <v/>
      </c>
      <c r="U206" s="239">
        <f>SUM(U74:U76)</f>
        <v/>
      </c>
      <c r="V206" s="239">
        <f>SUM(V74:V76)</f>
        <v/>
      </c>
      <c r="W206" s="239">
        <f>SUM(W74:W76)</f>
        <v/>
      </c>
      <c r="X206" s="239">
        <f>SUM(X74:X76)</f>
        <v/>
      </c>
      <c r="Y206" s="239">
        <f>SUM(Y74:Y76)</f>
        <v/>
      </c>
      <c r="Z206" s="239">
        <f>SUM(Z74:Z76)</f>
        <v/>
      </c>
      <c r="AA206" s="239">
        <f>SUM(AA74:AA76)</f>
        <v/>
      </c>
      <c r="AB206" s="239">
        <f>SUM(AB74:AB76)</f>
        <v/>
      </c>
      <c r="AC206" s="239">
        <f>SUM(AC74:AC76)</f>
        <v/>
      </c>
      <c r="AD206" s="239">
        <f>SUM(AD74:AD76)</f>
        <v/>
      </c>
      <c r="AE206" s="239">
        <f>SUM(AE74:AE76)</f>
        <v/>
      </c>
      <c r="AF206" s="239">
        <f>SUM(AF74:AF76)</f>
        <v/>
      </c>
      <c r="AG206" s="239">
        <f>SUM(AG74:AG76)</f>
        <v/>
      </c>
      <c r="AH206" s="239">
        <f>SUM(AH74:AH76)</f>
        <v/>
      </c>
      <c r="AI206" s="239">
        <f>SUM(AI74:AI76)</f>
        <v/>
      </c>
      <c r="AJ206" s="239">
        <f>SUM(AJ74:AJ76)</f>
        <v/>
      </c>
      <c r="AK206" s="239">
        <f>SUM(AK74:AK76)</f>
        <v/>
      </c>
      <c r="AL206" s="240" t="n"/>
    </row>
    <row r="207">
      <c r="A207" s="206" t="n"/>
      <c r="B207" s="206" t="n"/>
      <c r="C207" s="207" t="n"/>
      <c r="D207" s="207" t="inlineStr">
        <is>
          <t>研发费用-人工成本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2069939.18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研发费用-内部结转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2358.5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206" t="n"/>
      <c r="B209" s="206" t="n"/>
      <c r="C209" s="207" t="n"/>
      <c r="D209" s="207" t="inlineStr">
        <is>
          <t>研发费用-折旧</t>
        </is>
      </c>
      <c r="E209" s="206" t="n"/>
      <c r="F209" s="206" t="n"/>
      <c r="G209" s="206" t="n"/>
      <c r="H209" s="206" t="n"/>
      <c r="I209" s="206" t="n"/>
      <c r="J209" s="206" t="n"/>
      <c r="K209" s="206" t="n"/>
      <c r="L209" s="206" t="n"/>
      <c r="M209" s="210" t="n">
        <v>6857.02</v>
      </c>
      <c r="N209" s="206" t="n"/>
      <c r="O209" s="206">
        <f>L209-M209</f>
        <v/>
      </c>
      <c r="P209" s="206">
        <f>K209-N209</f>
        <v/>
      </c>
      <c r="Q209" s="206">
        <f>M209+O209</f>
        <v/>
      </c>
      <c r="R209" s="206">
        <f>M209+N209+O209+P209</f>
        <v/>
      </c>
      <c r="S209" s="206" t="n"/>
      <c r="T209" s="206" t="n"/>
      <c r="U209" s="206" t="n"/>
      <c r="V209" s="206" t="n"/>
    </row>
    <row r="210">
      <c r="A210" s="206" t="n"/>
      <c r="B210" s="206" t="n"/>
      <c r="C210" s="207" t="n"/>
      <c r="D210" s="207" t="inlineStr">
        <is>
          <t>研发费用-机械租赁</t>
        </is>
      </c>
      <c r="E210" s="206" t="n"/>
      <c r="F210" s="206" t="n"/>
      <c r="G210" s="206" t="n"/>
      <c r="H210" s="206" t="n"/>
      <c r="I210" s="206" t="n"/>
      <c r="J210" s="206" t="n"/>
      <c r="K210" s="206" t="n"/>
      <c r="L210" s="206" t="n"/>
      <c r="M210" s="210" t="n">
        <v>63495</v>
      </c>
      <c r="N210" s="206" t="n"/>
      <c r="O210" s="206">
        <f>L210-M210</f>
        <v/>
      </c>
      <c r="P210" s="206">
        <f>K210-N210</f>
        <v/>
      </c>
      <c r="Q210" s="206">
        <f>M210+O210</f>
        <v/>
      </c>
      <c r="R210" s="206">
        <f>M210+N210+O210+P210</f>
        <v/>
      </c>
      <c r="S210" s="206" t="n"/>
      <c r="T210" s="206" t="n"/>
      <c r="U210" s="206" t="n"/>
      <c r="V210" s="206" t="n"/>
    </row>
    <row r="211">
      <c r="A211" s="206" t="n"/>
      <c r="B211" s="206" t="n"/>
      <c r="C211" s="207" t="n"/>
      <c r="D211" s="207" t="inlineStr">
        <is>
          <t>研发费用-材料费</t>
        </is>
      </c>
      <c r="E211" s="206" t="n"/>
      <c r="F211" s="206" t="n"/>
      <c r="G211" s="206" t="n"/>
      <c r="H211" s="206" t="n"/>
      <c r="I211" s="206" t="n"/>
      <c r="J211" s="206" t="n"/>
      <c r="K211" s="206" t="n"/>
      <c r="L211" s="206" t="n"/>
      <c r="M211" s="210" t="n">
        <v>25030932</v>
      </c>
      <c r="N211" s="206" t="n"/>
      <c r="O211" s="206">
        <f>L211-M211</f>
        <v/>
      </c>
      <c r="P211" s="206">
        <f>K211-N211</f>
        <v/>
      </c>
      <c r="Q211" s="206">
        <f>M211+O211</f>
        <v/>
      </c>
      <c r="R211" s="206">
        <f>M211+N211+O211+P211</f>
        <v/>
      </c>
      <c r="S211" s="206" t="n"/>
      <c r="T211" s="206" t="n"/>
      <c r="U211" s="206" t="n"/>
      <c r="V211" s="206" t="n"/>
    </row>
    <row r="212">
      <c r="A212" s="33" t="n">
        <v>1</v>
      </c>
      <c r="B212" s="199" t="n"/>
      <c r="C212" s="199" t="n"/>
      <c r="D212" s="218" t="n"/>
      <c r="E212" s="212" t="n"/>
      <c r="F212" s="212" t="n"/>
      <c r="G212" s="212" t="n"/>
      <c r="H212" s="189" t="n"/>
      <c r="I212" s="189" t="n"/>
      <c r="J212" s="184">
        <f>H212+I212</f>
        <v/>
      </c>
      <c r="K212" s="189" t="n"/>
      <c r="L212" s="202">
        <f>J212-K212</f>
        <v/>
      </c>
      <c r="M212" s="189" t="n"/>
      <c r="N212" s="189" t="n"/>
      <c r="O212" s="189">
        <f>L212-M212</f>
        <v/>
      </c>
      <c r="P212" s="189">
        <f>K212-N212</f>
        <v/>
      </c>
      <c r="Q212" s="189">
        <f>M212+O212</f>
        <v/>
      </c>
      <c r="R212" s="189">
        <f>M212+N212+O212+P212</f>
        <v/>
      </c>
      <c r="S212" s="203">
        <f>SUM(T212:V212)</f>
        <v/>
      </c>
      <c r="T212" s="203" t="n"/>
      <c r="U212" s="203" t="n"/>
      <c r="V212" s="203" t="n"/>
      <c r="W212" s="203" t="n"/>
      <c r="X212" s="203" t="n"/>
      <c r="Y212" s="203" t="n"/>
      <c r="Z212" s="203" t="n"/>
      <c r="AA212" s="203" t="n"/>
      <c r="AB212" s="188" t="n"/>
      <c r="AC212" s="188" t="n"/>
      <c r="AD212" s="188" t="n"/>
      <c r="AE212" s="188" t="n"/>
      <c r="AF212" s="188" t="n"/>
      <c r="AG212" s="188" t="n"/>
      <c r="AH212" s="188" t="n"/>
      <c r="AI212" s="188" t="n"/>
      <c r="AJ212" s="188" t="n"/>
      <c r="AK212" s="188" t="n"/>
      <c r="AL212" s="214" t="n"/>
    </row>
    <row r="213">
      <c r="A213" s="33" t="n">
        <v>2</v>
      </c>
      <c r="B213" s="199" t="n"/>
      <c r="C213" s="199" t="n"/>
      <c r="D213" s="218" t="n"/>
      <c r="E213" s="212" t="n"/>
      <c r="F213" s="212" t="n"/>
      <c r="G213" s="212" t="n"/>
      <c r="H213" s="189" t="n"/>
      <c r="I213" s="189" t="n"/>
      <c r="J213" s="184" t="n"/>
      <c r="K213" s="189" t="n"/>
      <c r="L213" s="202" t="n"/>
      <c r="M213" s="189" t="n"/>
      <c r="N213" s="189" t="n"/>
      <c r="O213" s="189">
        <f>L213-M213</f>
        <v/>
      </c>
      <c r="P213" s="189">
        <f>K213-N213</f>
        <v/>
      </c>
      <c r="Q213" s="189">
        <f>M213+O213</f>
        <v/>
      </c>
      <c r="R213" s="189">
        <f>M213+N213+O213+P213</f>
        <v/>
      </c>
      <c r="S213" s="203">
        <f>SUM(T213:V213)</f>
        <v/>
      </c>
      <c r="T213" s="203" t="n"/>
      <c r="U213" s="203" t="n"/>
      <c r="V213" s="203" t="n"/>
      <c r="W213" s="203" t="n"/>
      <c r="X213" s="203" t="n"/>
      <c r="Y213" s="203" t="n"/>
      <c r="Z213" s="203" t="n"/>
      <c r="AA213" s="203" t="n"/>
      <c r="AB213" s="188" t="n"/>
      <c r="AC213" s="188" t="n"/>
      <c r="AD213" s="188" t="n"/>
      <c r="AE213" s="188" t="n"/>
      <c r="AF213" s="188" t="n"/>
      <c r="AG213" s="188" t="n"/>
      <c r="AH213" s="188" t="n"/>
      <c r="AI213" s="188" t="n"/>
      <c r="AJ213" s="188" t="n"/>
      <c r="AK213" s="188" t="n"/>
      <c r="AL213" s="214" t="n"/>
    </row>
    <row r="214">
      <c r="A214" s="33" t="n">
        <v>3</v>
      </c>
      <c r="B214" s="199" t="n"/>
      <c r="C214" s="199" t="n"/>
      <c r="D214" s="218" t="n"/>
      <c r="E214" s="212" t="n"/>
      <c r="F214" s="212" t="n"/>
      <c r="G214" s="212" t="n"/>
      <c r="H214" s="189" t="n"/>
      <c r="I214" s="189" t="n"/>
      <c r="J214" s="184" t="n"/>
      <c r="K214" s="189" t="n"/>
      <c r="L214" s="202" t="n"/>
      <c r="M214" s="189" t="n"/>
      <c r="N214" s="189" t="n"/>
      <c r="O214" s="189">
        <f>L214-M214</f>
        <v/>
      </c>
      <c r="P214" s="189">
        <f>K214-N214</f>
        <v/>
      </c>
      <c r="Q214" s="189">
        <f>M214+O214</f>
        <v/>
      </c>
      <c r="R214" s="189">
        <f>M214+N214+O214+P214</f>
        <v/>
      </c>
      <c r="S214" s="203">
        <f>SUM(T214:V214)</f>
        <v/>
      </c>
      <c r="T214" s="203" t="n"/>
      <c r="U214" s="203" t="n"/>
      <c r="V214" s="203" t="n"/>
      <c r="W214" s="203" t="n"/>
      <c r="X214" s="203" t="n"/>
      <c r="Y214" s="203" t="n"/>
      <c r="Z214" s="203" t="n"/>
      <c r="AA214" s="203" t="n"/>
      <c r="AB214" s="188" t="n"/>
      <c r="AC214" s="188" t="n"/>
      <c r="AD214" s="188" t="n"/>
      <c r="AE214" s="188" t="n"/>
      <c r="AF214" s="188" t="n"/>
      <c r="AG214" s="188" t="n"/>
      <c r="AH214" s="188" t="n"/>
      <c r="AI214" s="188" t="n"/>
      <c r="AJ214" s="188" t="n"/>
      <c r="AK214" s="188" t="n"/>
      <c r="AL214" s="214" t="n"/>
    </row>
    <row r="215">
      <c r="A215" s="41" t="n"/>
      <c r="B215" s="215" t="n"/>
      <c r="C215" s="215" t="n"/>
      <c r="D215" s="232" t="inlineStr">
        <is>
          <t>九、成本及费用合计（三+四+五+六+七）</t>
        </is>
      </c>
      <c r="E215" s="233" t="n"/>
      <c r="F215" s="233" t="n"/>
      <c r="G215" s="233" t="n"/>
      <c r="H215" s="217">
        <f>H68+H69+H70+H71+#REF!</f>
        <v/>
      </c>
      <c r="I215" s="217">
        <f>I68+I69+I70+I71+#REF!</f>
        <v/>
      </c>
      <c r="J215" s="243">
        <f>J68+J69+J70+J71+#REF!</f>
        <v/>
      </c>
      <c r="K215" s="217">
        <f>K68+K69+K70+K71+#REF!</f>
        <v/>
      </c>
      <c r="L215" s="244">
        <f>L68+L69+L70+L71+#REF!</f>
        <v/>
      </c>
      <c r="M215" s="244">
        <f>M68+M69+M70+M71</f>
        <v/>
      </c>
      <c r="N215" s="244">
        <f>N68+N69+N70+N71</f>
        <v/>
      </c>
      <c r="O215" s="244">
        <f>O68+O69+O70+O71</f>
        <v/>
      </c>
      <c r="P215" s="244">
        <f>P68+P69+P70+P71</f>
        <v/>
      </c>
      <c r="Q215" s="244">
        <f>Q68+Q69+Q70+Q71</f>
        <v/>
      </c>
      <c r="R215" s="244">
        <f>R68+R69+R70+R71</f>
        <v/>
      </c>
      <c r="S215" s="239">
        <f>S68+S69+S70+S71</f>
        <v/>
      </c>
      <c r="T215" s="239" t="n"/>
      <c r="U215" s="239" t="n"/>
      <c r="V215" s="239" t="n"/>
      <c r="W215" s="239" t="n"/>
      <c r="X215" s="239" t="n"/>
      <c r="Y215" s="239" t="n"/>
      <c r="Z215" s="239">
        <f>Z68+Z69+Z70+Z71</f>
        <v/>
      </c>
      <c r="AA215" s="239">
        <f>AA68+AA69+AA70+AA71</f>
        <v/>
      </c>
      <c r="AB215" s="245" t="n"/>
      <c r="AC215" s="245" t="n"/>
      <c r="AD215" s="245" t="n"/>
      <c r="AE215" s="245" t="n"/>
      <c r="AF215" s="245" t="n"/>
      <c r="AG215" s="245" t="n"/>
      <c r="AH215" s="245" t="n"/>
      <c r="AI215" s="245" t="n"/>
      <c r="AJ215" s="245" t="n"/>
      <c r="AK215" s="246" t="n"/>
      <c r="AL215" s="247" t="n"/>
    </row>
    <row r="216">
      <c r="A216" s="41" t="n"/>
      <c r="B216" s="215" t="n"/>
      <c r="C216" s="215" t="n"/>
      <c r="D216" s="232" t="inlineStr">
        <is>
          <t>十、增值税实际税负（按财务数据）</t>
        </is>
      </c>
      <c r="E216" s="233" t="inlineStr">
        <is>
          <t>根据财务账面实际已缴纳增值税额+尚需缴纳的增值税额</t>
        </is>
      </c>
      <c r="F216" s="233" t="n"/>
      <c r="G216" s="233" t="n"/>
      <c r="H216" s="217" t="n"/>
      <c r="I216" s="217" t="n"/>
      <c r="J216" s="243">
        <f>H78+I78</f>
        <v/>
      </c>
      <c r="K216" s="217" t="inlineStr">
        <is>
          <t>/</t>
        </is>
      </c>
      <c r="L216" s="244" t="inlineStr">
        <is>
          <t>/</t>
        </is>
      </c>
      <c r="M216" s="244" t="n"/>
      <c r="N216" s="244">
        <f>N6-N77</f>
        <v/>
      </c>
      <c r="O216" s="244" t="n"/>
      <c r="P216" s="244" t="n"/>
      <c r="Q216" s="244" t="inlineStr">
        <is>
          <t>/</t>
        </is>
      </c>
      <c r="R216" s="244">
        <f>N78+P78</f>
        <v/>
      </c>
      <c r="S216" s="239" t="n"/>
      <c r="T216" s="239" t="n"/>
      <c r="U216" s="239" t="n"/>
      <c r="V216" s="239" t="n"/>
      <c r="W216" s="239" t="n"/>
      <c r="X216" s="239" t="n"/>
      <c r="Y216" s="239" t="n"/>
      <c r="Z216" s="239" t="n"/>
      <c r="AA216" s="239" t="n"/>
      <c r="AB216" s="245" t="n"/>
      <c r="AC216" s="245" t="n"/>
      <c r="AD216" s="245" t="n"/>
      <c r="AE216" s="245" t="n"/>
      <c r="AF216" s="245" t="n"/>
      <c r="AG216" s="245" t="n"/>
      <c r="AH216" s="245" t="n"/>
      <c r="AI216" s="245" t="n"/>
      <c r="AJ216" s="245" t="n"/>
      <c r="AK216" s="246" t="n"/>
      <c r="AL216" s="247" t="n"/>
    </row>
    <row r="217">
      <c r="A217" s="41" t="n"/>
      <c r="B217" s="215" t="n"/>
      <c r="C217" s="215" t="n"/>
      <c r="D217" s="232" t="inlineStr">
        <is>
          <t>十一、税金及附加（按财务数据）</t>
        </is>
      </c>
      <c r="E217" s="233" t="inlineStr">
        <is>
          <t>根据财务账面实际已缴纳税金及附加+尚需缴纳的税金及附加</t>
        </is>
      </c>
      <c r="F217" s="233" t="n"/>
      <c r="G217" s="233" t="n"/>
      <c r="H217" s="217" t="n"/>
      <c r="I217" s="217" t="n"/>
      <c r="J217" s="243">
        <f>H79+I79</f>
        <v/>
      </c>
      <c r="K217" s="217" t="n"/>
      <c r="L217" s="244">
        <f>J79</f>
        <v/>
      </c>
      <c r="M217" s="248" t="n">
        <v>349670.26</v>
      </c>
      <c r="N217" s="244" t="n"/>
      <c r="O217" s="244">
        <f>L79-M79</f>
        <v/>
      </c>
      <c r="P217" s="244" t="n"/>
      <c r="Q217" s="244">
        <f>M79+O79</f>
        <v/>
      </c>
      <c r="R217" s="244">
        <f>Q79</f>
        <v/>
      </c>
      <c r="S217" s="239" t="n"/>
      <c r="T217" s="239" t="n"/>
      <c r="U217" s="239" t="n"/>
      <c r="V217" s="239" t="n"/>
      <c r="W217" s="239" t="n"/>
      <c r="X217" s="239" t="n"/>
      <c r="Y217" s="239" t="n"/>
      <c r="Z217" s="239" t="n"/>
      <c r="AA217" s="239" t="n"/>
      <c r="AB217" s="245" t="n"/>
      <c r="AC217" s="245" t="n"/>
      <c r="AD217" s="245" t="n"/>
      <c r="AE217" s="245" t="n"/>
      <c r="AF217" s="245" t="n"/>
      <c r="AG217" s="245" t="n"/>
      <c r="AH217" s="245" t="n"/>
      <c r="AI217" s="245" t="n"/>
      <c r="AJ217" s="245" t="n"/>
      <c r="AK217" s="246" t="n"/>
      <c r="AL217" s="247" t="n"/>
    </row>
    <row r="218">
      <c r="A218" s="41" t="n"/>
      <c r="B218" s="215" t="n"/>
      <c r="C218" s="215" t="n"/>
      <c r="D218" s="232" t="inlineStr">
        <is>
          <t>十二、利润</t>
        </is>
      </c>
      <c r="E218" s="233" t="n"/>
      <c r="F218" s="233" t="n"/>
      <c r="G218" s="233" t="n"/>
      <c r="H218" s="217" t="n"/>
      <c r="I218" s="217" t="n"/>
      <c r="J218" s="243">
        <f>J6-J77-J78-J79</f>
        <v/>
      </c>
      <c r="K218" s="217" t="n"/>
      <c r="L218" s="244" t="n"/>
      <c r="M218" s="244" t="n"/>
      <c r="N218" s="244" t="n"/>
      <c r="O218" s="244" t="n"/>
      <c r="P218" s="244" t="n"/>
      <c r="Q218" s="244" t="n"/>
      <c r="R218" s="244" t="n"/>
      <c r="S218" s="239" t="n"/>
      <c r="T218" s="239" t="n"/>
      <c r="U218" s="239" t="n"/>
      <c r="V218" s="239" t="n"/>
      <c r="W218" s="239" t="n"/>
      <c r="X218" s="239" t="n"/>
      <c r="Y218" s="239" t="n"/>
      <c r="Z218" s="239" t="n"/>
      <c r="AA218" s="239" t="n"/>
      <c r="AB218" s="245" t="n"/>
      <c r="AC218" s="245" t="n"/>
      <c r="AD218" s="245" t="n"/>
      <c r="AE218" s="245" t="n"/>
      <c r="AF218" s="245" t="n"/>
      <c r="AG218" s="245" t="n"/>
      <c r="AH218" s="245" t="n"/>
      <c r="AI218" s="245" t="n"/>
      <c r="AJ218" s="245" t="n"/>
      <c r="AK218" s="246" t="n"/>
      <c r="AL218" s="247" t="n"/>
    </row>
    <row r="219">
      <c r="A219" s="105" t="n"/>
      <c r="B219" s="106" t="n"/>
      <c r="C219" s="106" t="n"/>
      <c r="D219" s="107" t="inlineStr">
        <is>
          <t>十三、利润率</t>
        </is>
      </c>
      <c r="E219" s="108" t="n"/>
      <c r="F219" s="108" t="n"/>
      <c r="G219" s="108" t="n"/>
      <c r="H219" s="109" t="n"/>
      <c r="I219" s="109" t="n"/>
      <c r="J219" s="109">
        <f>J80/J6</f>
        <v/>
      </c>
      <c r="K219" s="109" t="n"/>
      <c r="L219" s="127">
        <f>L80/L6</f>
        <v/>
      </c>
      <c r="M219" s="127">
        <f>M80/M6</f>
        <v/>
      </c>
      <c r="N219" s="127" t="n"/>
      <c r="O219" s="127" t="n"/>
      <c r="P219" s="127" t="n"/>
      <c r="Q219" s="127">
        <f>Q80/Q6</f>
        <v/>
      </c>
      <c r="R219" s="127">
        <f>R80/R6</f>
        <v/>
      </c>
      <c r="S219" s="142" t="n"/>
      <c r="T219" s="142" t="n"/>
      <c r="U219" s="142" t="n"/>
      <c r="V219" s="142" t="n"/>
      <c r="W219" s="142" t="n"/>
      <c r="X219" s="142" t="n"/>
      <c r="Y219" s="142" t="n"/>
      <c r="Z219" s="142" t="n"/>
      <c r="AA219" s="142" t="n"/>
      <c r="AB219" s="146" t="n"/>
      <c r="AC219" s="146" t="n"/>
      <c r="AD219" s="146" t="n"/>
      <c r="AE219" s="146" t="n"/>
      <c r="AF219" s="146" t="n"/>
      <c r="AG219" s="146" t="n"/>
      <c r="AH219" s="146" t="n"/>
      <c r="AI219" s="146" t="n"/>
      <c r="AJ219" s="146" t="n"/>
      <c r="AK219" s="154" t="n"/>
      <c r="AL219" s="155" t="n"/>
    </row>
    <row r="220">
      <c r="A220" s="111" t="n"/>
      <c r="B220" s="111" t="n"/>
      <c r="C220" s="111" t="n"/>
      <c r="D220" s="112" t="n"/>
      <c r="E220" s="113" t="n"/>
      <c r="F220" s="113" t="n"/>
      <c r="G220" s="113" t="n"/>
      <c r="H220" s="249" t="n"/>
      <c r="I220" s="249" t="n"/>
      <c r="J220" s="250" t="inlineStr">
        <is>
          <t>含税利润率</t>
        </is>
      </c>
      <c r="K220" s="251" t="n"/>
      <c r="L220" s="252" t="inlineStr">
        <is>
          <t>不含税利润率</t>
        </is>
      </c>
      <c r="M220" s="253" t="n"/>
      <c r="N220" s="253" t="n"/>
      <c r="O220" s="253" t="n"/>
      <c r="P220" s="253" t="n"/>
      <c r="Q220" s="253" t="n"/>
      <c r="R220" s="253" t="n"/>
      <c r="S220" s="253" t="n"/>
      <c r="T220" s="253" t="n"/>
      <c r="U220" s="253" t="n"/>
      <c r="V220" s="253" t="n"/>
      <c r="W220" s="253" t="n"/>
      <c r="X220" s="253" t="n"/>
      <c r="Y220" s="253" t="n"/>
      <c r="Z220" s="254" t="n"/>
      <c r="AA220" s="162" t="n"/>
      <c r="AB220" s="255" t="n"/>
      <c r="AC220" s="255" t="n"/>
      <c r="AD220" s="255" t="n"/>
      <c r="AE220" s="255" t="n"/>
      <c r="AF220" s="255" t="n"/>
      <c r="AG220" s="255" t="n"/>
      <c r="AH220" s="255" t="n"/>
      <c r="AI220" s="255" t="n"/>
      <c r="AJ220" s="255" t="n"/>
      <c r="AK220" s="255" t="n"/>
      <c r="AL220" s="156" t="n"/>
    </row>
    <row r="221">
      <c r="A221" s="111" t="n"/>
      <c r="B221" s="111" t="n"/>
      <c r="C221" s="111" t="n"/>
      <c r="D221" s="112" t="n"/>
      <c r="E221" s="113" t="n"/>
      <c r="F221" s="113" t="n"/>
      <c r="G221" s="113" t="n"/>
      <c r="H221" s="249" t="n"/>
      <c r="I221" s="249" t="n"/>
      <c r="J221" s="256" t="n"/>
      <c r="K221" s="249" t="n"/>
      <c r="L221" s="257" t="n"/>
      <c r="M221" s="253" t="n"/>
      <c r="N221" s="253" t="n"/>
      <c r="O221" s="253" t="n"/>
      <c r="P221" s="253" t="n"/>
      <c r="Q221" s="253" t="n"/>
      <c r="R221" s="253" t="n"/>
      <c r="S221" s="253" t="n"/>
      <c r="T221" s="253" t="n"/>
      <c r="U221" s="253" t="n"/>
      <c r="V221" s="253" t="n"/>
      <c r="W221" s="253" t="n"/>
      <c r="X221" s="253" t="n"/>
      <c r="Y221" s="253" t="n"/>
      <c r="Z221" s="254" t="n"/>
      <c r="AA221" s="162" t="n"/>
      <c r="AB221" s="255" t="n"/>
      <c r="AC221" s="255" t="n"/>
      <c r="AD221" s="255" t="n"/>
      <c r="AE221" s="255" t="n"/>
      <c r="AF221" s="255" t="n"/>
      <c r="AG221" s="255" t="n"/>
      <c r="AH221" s="255" t="n"/>
      <c r="AI221" s="255" t="n"/>
      <c r="AJ221" s="255" t="n"/>
      <c r="AK221" s="255" t="n"/>
      <c r="AL221" s="156" t="n"/>
    </row>
    <row r="222">
      <c r="A222" s="116" t="n"/>
      <c r="B222" s="116" t="n"/>
      <c r="C222" s="116" t="n"/>
      <c r="D222" s="117" t="n"/>
      <c r="E222" s="118" t="n"/>
      <c r="F222" s="118" t="n"/>
      <c r="G222" s="118" t="n"/>
      <c r="H222" s="119" t="n"/>
      <c r="I222" s="119" t="n"/>
      <c r="J222" s="134" t="n"/>
      <c r="K222" s="258" t="n"/>
      <c r="L222" s="258" t="n"/>
      <c r="M222" s="259" t="n"/>
      <c r="N222" s="258" t="n"/>
      <c r="O222" s="258" t="n"/>
      <c r="P222" s="260" t="n"/>
      <c r="Q222" s="260" t="n"/>
      <c r="R222" s="258" t="n"/>
      <c r="S222" s="261" t="n"/>
      <c r="T222" s="261" t="n"/>
      <c r="U222" s="261" t="n"/>
      <c r="V222" s="261" t="n"/>
      <c r="W222" s="261" t="n"/>
      <c r="X222" s="261" t="n"/>
      <c r="Y222" s="261" t="n"/>
      <c r="Z222" s="262" t="n"/>
      <c r="AA222" s="263" t="n"/>
      <c r="AD222" s="264" t="n"/>
      <c r="AE222" s="264" t="n"/>
      <c r="AF222" s="264" t="n"/>
      <c r="AG222" s="264" t="n"/>
      <c r="AH222" s="264" t="n"/>
      <c r="AI222" s="264" t="n"/>
      <c r="AJ222" s="264" t="n"/>
      <c r="AK222" s="264" t="n"/>
      <c r="AL222" s="121" t="n"/>
    </row>
    <row r="223">
      <c r="A223" s="121" t="n"/>
      <c r="B223" s="121" t="n"/>
      <c r="C223" s="121" t="n"/>
      <c r="D223" s="121" t="n"/>
      <c r="E223" s="122" t="n"/>
      <c r="F223" s="122" t="n"/>
      <c r="G223" s="122" t="n"/>
      <c r="H223" s="122" t="n"/>
      <c r="I223" s="122" t="n"/>
      <c r="J223" s="122" t="n"/>
      <c r="K223" s="265" t="n"/>
      <c r="L223" s="122" t="n"/>
      <c r="M223" s="266" t="n"/>
      <c r="N223" s="266" t="n"/>
      <c r="O223" s="266" t="n"/>
      <c r="P223" s="266" t="n"/>
      <c r="Q223" s="266" t="n"/>
      <c r="R223" s="266" t="n"/>
      <c r="S223" s="261" t="n"/>
      <c r="T223" s="261" t="n"/>
      <c r="U223" s="261" t="n"/>
      <c r="V223" s="261" t="n"/>
      <c r="W223" s="261" t="n"/>
      <c r="X223" s="261" t="n"/>
      <c r="Y223" s="261" t="n"/>
      <c r="Z223" s="266" t="n"/>
      <c r="AA223" s="264" t="n"/>
      <c r="AB223" s="264" t="n"/>
      <c r="AC223" s="264" t="n"/>
      <c r="AD223" s="264" t="n"/>
      <c r="AE223" s="264" t="n"/>
      <c r="AF223" s="264" t="n"/>
      <c r="AG223" s="264" t="n"/>
      <c r="AH223" s="264" t="n"/>
      <c r="AI223" s="264" t="n"/>
      <c r="AJ223" s="264" t="n"/>
      <c r="AK223" s="264" t="n"/>
      <c r="AL223" s="121" t="n"/>
    </row>
    <row r="224">
      <c r="A224" s="121" t="n"/>
      <c r="B224" s="121" t="n"/>
      <c r="C224" s="121" t="n"/>
      <c r="D224" s="121" t="n"/>
      <c r="E224" s="122" t="n"/>
      <c r="F224" s="122" t="n"/>
      <c r="G224" s="122" t="n"/>
      <c r="H224" s="122" t="n"/>
      <c r="I224" s="122" t="n"/>
      <c r="J224" s="122" t="n"/>
      <c r="K224" s="265" t="n"/>
      <c r="L224" s="122" t="n"/>
      <c r="M224" s="266" t="n"/>
      <c r="N224" s="266" t="n"/>
      <c r="O224" s="266" t="n"/>
      <c r="P224" s="266" t="n"/>
      <c r="Q224" s="266" t="n"/>
      <c r="R224" s="266" t="n"/>
      <c r="S224" s="261" t="n"/>
      <c r="T224" s="261" t="n"/>
      <c r="U224" s="261" t="n"/>
      <c r="V224" s="261" t="n"/>
      <c r="W224" s="261" t="n"/>
      <c r="X224" s="261" t="n"/>
      <c r="Y224" s="261" t="n"/>
      <c r="Z224" s="266" t="n"/>
      <c r="AA224" s="264" t="n"/>
      <c r="AB224" s="264" t="n"/>
      <c r="AC224" s="264" t="n"/>
      <c r="AD224" s="264" t="n"/>
      <c r="AE224" s="264" t="n"/>
      <c r="AF224" s="264" t="n"/>
      <c r="AG224" s="264" t="n"/>
      <c r="AH224" s="264" t="n"/>
      <c r="AI224" s="264" t="n"/>
      <c r="AJ224" s="264" t="n"/>
      <c r="AK224" s="264" t="n"/>
      <c r="AL224" s="121" t="n"/>
    </row>
    <row r="225">
      <c r="A225" s="121" t="n"/>
      <c r="B225" s="121" t="n"/>
      <c r="C225" s="121" t="n"/>
      <c r="D225" s="121" t="n"/>
      <c r="E225" s="123" t="n"/>
      <c r="F225" s="123" t="n"/>
      <c r="G225" s="123" t="n"/>
      <c r="H225" s="122" t="n"/>
      <c r="I225" s="122" t="n"/>
      <c r="J225" s="122" t="n"/>
      <c r="K225" s="123" t="n"/>
      <c r="L225" s="122" t="n"/>
      <c r="M225" s="266" t="n"/>
      <c r="N225" s="262" t="n"/>
      <c r="O225" s="266" t="n"/>
      <c r="P225" s="266" t="n"/>
      <c r="Q225" s="266" t="n"/>
      <c r="R225" s="258" t="n"/>
      <c r="S225" s="261" t="n"/>
      <c r="T225" s="261" t="n"/>
      <c r="U225" s="261" t="n"/>
      <c r="V225" s="261" t="n"/>
      <c r="W225" s="261" t="n"/>
      <c r="X225" s="261" t="n"/>
      <c r="Y225" s="261" t="n"/>
      <c r="Z225" s="266" t="n"/>
      <c r="AA225" s="264" t="n"/>
      <c r="AB225" s="264" t="n"/>
      <c r="AC225" s="264" t="n"/>
      <c r="AD225" s="264" t="n"/>
      <c r="AE225" s="264" t="n"/>
      <c r="AF225" s="264" t="n"/>
      <c r="AG225" s="264" t="n"/>
      <c r="AH225" s="264" t="n"/>
      <c r="AI225" s="264" t="n"/>
      <c r="AJ225" s="264" t="n"/>
      <c r="AK225" s="264" t="n"/>
      <c r="AL225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2026-04-24T05:19:44Z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