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40" authorId="1" shapeId="0">
      <text>
        <t xml:space="preserve">**同财务账面合同履约成本/工程施工成本/机械租赁费数据一致**
</t>
      </text>
    </comment>
    <comment ref="M148" authorId="0" shapeId="0">
      <text>
        <t>于:
**同财务账面合同履约成本/工程施工成本其他直接费数据一致**</t>
      </text>
    </comment>
    <comment ref="M189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-7872000.25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206" t="n">
        <v>29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>
        <v>30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33" t="n"/>
      <c r="B66" s="199" t="n"/>
      <c r="C66" s="199" t="n"/>
      <c r="D66" s="211" t="inlineStr">
        <is>
          <t>**财务未列部分需增列***</t>
        </is>
      </c>
      <c r="E66" s="219" t="n"/>
      <c r="F66" s="219" t="n"/>
      <c r="G66" s="21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189" t="n"/>
      <c r="U66" s="189" t="n"/>
      <c r="V66" s="189" t="n"/>
      <c r="W66" s="189" t="n"/>
      <c r="X66" s="189" t="n"/>
      <c r="Y66" s="189" t="n"/>
      <c r="Z66" s="203" t="n"/>
      <c r="AA66" s="203" t="n"/>
      <c r="AB66" s="188" t="n"/>
      <c r="AC66" s="188" t="n"/>
      <c r="AD66" s="188" t="n"/>
      <c r="AE66" s="188" t="n"/>
      <c r="AF66" s="188" t="n"/>
      <c r="AG66" s="188" t="n"/>
      <c r="AH66" s="188" t="n"/>
      <c r="AI66" s="188" t="n"/>
      <c r="AJ66" s="188" t="n"/>
      <c r="AK66" s="188">
        <f>AB22/1.17*0.17+AC22/1.16*0.16+AD22/1.11*0.11+AE22/1.1*0.1+AF22/1.09*0.09+AI22/1.03*0.03</f>
        <v/>
      </c>
      <c r="AL66" s="214" t="n"/>
    </row>
    <row r="67" ht="14" customFormat="1" customHeight="1" s="180">
      <c r="A67" s="41" t="n"/>
      <c r="B67" s="215" t="n"/>
      <c r="C67" s="215" t="n"/>
      <c r="D67" s="216" t="inlineStr">
        <is>
          <t>分包工程小计：</t>
        </is>
      </c>
      <c r="E67" s="217">
        <f>SUM(E35:E66)</f>
        <v/>
      </c>
      <c r="F67" s="217">
        <f>SUM(F35:F66)</f>
        <v/>
      </c>
      <c r="G67" s="217">
        <f>SUM(G35:G66)</f>
        <v/>
      </c>
      <c r="H67" s="217">
        <f>SUM(H35:H66)</f>
        <v/>
      </c>
      <c r="I67" s="217">
        <f>SUM(I35:I66)</f>
        <v/>
      </c>
      <c r="J67" s="217">
        <f>SUM(J35:J66)</f>
        <v/>
      </c>
      <c r="K67" s="217">
        <f>SUM(K35:K66)</f>
        <v/>
      </c>
      <c r="L67" s="217">
        <f>SUM(L35:L66)</f>
        <v/>
      </c>
      <c r="M67" s="217">
        <f>SUM(M35:M66)</f>
        <v/>
      </c>
      <c r="N67" s="217">
        <f>SUM(N35:N66)</f>
        <v/>
      </c>
      <c r="O67" s="217">
        <f>SUM(O35:O66)</f>
        <v/>
      </c>
      <c r="P67" s="217">
        <f>SUM(P35:P66)</f>
        <v/>
      </c>
      <c r="Q67" s="217">
        <f>SUM(Q35:Q66)</f>
        <v/>
      </c>
      <c r="R67" s="217">
        <f>SUM(R35:R66)</f>
        <v/>
      </c>
      <c r="S67" s="217">
        <f>SUM(S35:S66)</f>
        <v/>
      </c>
      <c r="T67" s="217">
        <f>SUM(T35:T66)</f>
        <v/>
      </c>
      <c r="U67" s="217">
        <f>SUM(U35:U66)</f>
        <v/>
      </c>
      <c r="V67" s="217">
        <f>SUM(V35:V66)</f>
        <v/>
      </c>
      <c r="W67" s="217">
        <f>SUM(W35:W66)</f>
        <v/>
      </c>
      <c r="X67" s="217">
        <f>SUM(X35:X66)</f>
        <v/>
      </c>
      <c r="Y67" s="217">
        <f>SUM(Y35:Y66)</f>
        <v/>
      </c>
      <c r="Z67" s="217">
        <f>SUM(Z35:Z66)</f>
        <v/>
      </c>
      <c r="AA67" s="217">
        <f>SUM(AA35:AA66)</f>
        <v/>
      </c>
      <c r="AB67" s="217">
        <f>SUM(AB35:AB66)</f>
        <v/>
      </c>
      <c r="AC67" s="217">
        <f>SUM(AC35:AC66)</f>
        <v/>
      </c>
      <c r="AD67" s="217">
        <f>SUM(AD35:AD66)</f>
        <v/>
      </c>
      <c r="AE67" s="217">
        <f>SUM(AE35:AE66)</f>
        <v/>
      </c>
      <c r="AF67" s="217">
        <f>SUM(AF35:AF66)</f>
        <v/>
      </c>
      <c r="AG67" s="217">
        <f>SUM(AG35:AG66)</f>
        <v/>
      </c>
      <c r="AH67" s="217">
        <f>SUM(AH35:AH66)</f>
        <v/>
      </c>
      <c r="AI67" s="217">
        <f>SUM(AI35:AI66)</f>
        <v/>
      </c>
      <c r="AJ67" s="217">
        <f>SUM(AJ35:AJ66)</f>
        <v/>
      </c>
      <c r="AK67" s="217">
        <f>SUM(AK35:AK66)</f>
        <v/>
      </c>
      <c r="AL67" s="204" t="n"/>
    </row>
    <row r="68" ht="14" customFormat="1" customHeight="1" s="180">
      <c r="A68" s="33" t="n"/>
      <c r="B68" s="199" t="n"/>
      <c r="C68" s="199" t="n"/>
      <c r="D68" s="218" t="inlineStr">
        <is>
          <t>(三)材料费</t>
        </is>
      </c>
      <c r="E68" s="199" t="n"/>
      <c r="F68" s="199" t="n"/>
      <c r="G68" s="19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AB24/1.17*0.17+AC24/1.16*0.16+AD24/1.11*0.11+AE24/1.1*0.1+AF24/1.09*0.09+AI24/1.03*0.03</f>
        <v/>
      </c>
      <c r="AL68" s="221" t="n"/>
    </row>
    <row r="69" ht="39" customFormat="1" customHeight="1" s="180">
      <c r="A69" s="33" t="n"/>
      <c r="B69" s="199" t="n"/>
      <c r="C69" s="199" t="n"/>
      <c r="D69" s="189" t="inlineStr">
        <is>
          <t>（1）集中采购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AB25/1.17*0.17+AC25/1.16*0.16+AD25/1.11*0.11+AE25/1.1*0.1+AF25/1.09*0.09+AI25/1.03*0.03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SUM(AA26:AJ26)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AB26/1.17*0.17+AC26/1.16*0.16+AD26/1.11*0.11+AE26/1.1*0.1+AF26/1.09*0.09+AI26/1.03*0.03</f>
        <v/>
      </c>
      <c r="AL70" s="221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SUM(AA27:AJ27)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AB27/1.17*0.17+AC27/1.16*0.16+AD27/1.11*0.11+AE27/1.1*0.1+AF27/1.09*0.09+AI27/1.03*0.03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202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SUM(AA28:AJ28)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AB28/1.17*0.17+AC28/1.16*0.16+AD28/1.11*0.11+AE28/1.1*0.1+AF28/1.09*0.09+AI28/1.03*0.03</f>
        <v/>
      </c>
      <c r="AL72" s="221" t="n"/>
    </row>
    <row r="73" ht="14" customFormat="1" customHeight="1" s="180">
      <c r="A73" s="33" t="n"/>
      <c r="B73" s="199" t="n"/>
      <c r="C73" s="199" t="n"/>
      <c r="D73" s="189" t="inlineStr">
        <is>
          <t>（2）自行采购</t>
        </is>
      </c>
      <c r="E73" s="219" t="n"/>
      <c r="F73" s="219" t="n"/>
      <c r="G73" s="219" t="n"/>
      <c r="H73" s="189" t="n"/>
      <c r="I73" s="189" t="n"/>
      <c r="J73" s="189" t="n"/>
      <c r="K73" s="201" t="n"/>
      <c r="L73" s="202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SUM(AA29:AJ29)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AB29/1.17*0.17+AC29/1.16*0.16+AD29/1.11*0.11+AE29/1.1*0.1+AF29/1.09*0.09+AI29/1.03*0.03</f>
        <v/>
      </c>
      <c r="AL73" s="221" t="n"/>
    </row>
    <row r="74" ht="14" customFormat="1" customHeight="1" s="180">
      <c r="A74" s="206" t="n">
        <v>1</v>
      </c>
      <c r="B74" s="206" t="inlineStr">
        <is>
          <t>200234685</t>
        </is>
      </c>
      <c r="C74" s="207" t="inlineStr">
        <is>
          <t>中建四局0200202101806022</t>
        </is>
      </c>
      <c r="D74" s="207" t="inlineStr">
        <is>
          <t>上海找钢网供应链管理有限公司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2740600.46</v>
      </c>
      <c r="N74" s="210" t="n">
        <v>356278.05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3096878.51</v>
      </c>
      <c r="U74" s="206" t="n"/>
      <c r="V74" s="206" t="n"/>
    </row>
    <row r="75" ht="14" customFormat="1" customHeight="1" s="180">
      <c r="A75" s="206" t="n">
        <v>2</v>
      </c>
      <c r="B75" s="206" t="inlineStr">
        <is>
          <t>2043724</t>
        </is>
      </c>
      <c r="C75" s="207" t="inlineStr">
        <is>
          <t>中建四局020020210018060002</t>
        </is>
      </c>
      <c r="D75" s="207" t="inlineStr">
        <is>
          <t>中建四局绿色建筑科技（广东）有限公司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752363.78</v>
      </c>
      <c r="N75" s="210" t="n">
        <v>97807.23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850171.01</v>
      </c>
      <c r="U75" s="206" t="n"/>
      <c r="V75" s="206" t="n"/>
    </row>
    <row r="76" ht="14" customFormat="1" customHeight="1" s="180">
      <c r="A76" s="206" t="n">
        <v>3</v>
      </c>
      <c r="B76" s="206" t="inlineStr">
        <is>
          <t>100197784</t>
        </is>
      </c>
      <c r="C76" s="207" t="inlineStr">
        <is>
          <t>中建四局0200202101806025</t>
        </is>
      </c>
      <c r="D76" s="207" t="inlineStr">
        <is>
          <t>中铁物资集团华南有限公司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4776307.53</v>
      </c>
      <c r="N76" s="210" t="n">
        <v>620919.97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5397227.5</v>
      </c>
      <c r="U76" s="206" t="n"/>
      <c r="V76" s="206" t="n"/>
    </row>
    <row r="77" ht="14" customFormat="1" customHeight="1" s="180">
      <c r="A77" s="206" t="n">
        <v>4</v>
      </c>
      <c r="B77" s="206" t="inlineStr">
        <is>
          <t>100237790</t>
        </is>
      </c>
      <c r="C77" s="207" t="inlineStr">
        <is>
          <t>中建四局0200202101806004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14369</v>
      </c>
      <c r="N77" s="210" t="n">
        <v>1867.97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16236.97</v>
      </c>
      <c r="U77" s="206" t="n"/>
      <c r="V77" s="206" t="n"/>
    </row>
    <row r="78" ht="26" customFormat="1" customHeight="1" s="180">
      <c r="A78" s="206" t="n">
        <v>5</v>
      </c>
      <c r="B78" s="206" t="inlineStr">
        <is>
          <t>100237790</t>
        </is>
      </c>
      <c r="C78" s="207" t="inlineStr">
        <is>
          <t>中建四局0200202101806005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130267</v>
      </c>
      <c r="N78" s="210" t="n">
        <v>16934.71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147201.71</v>
      </c>
      <c r="U78" s="206" t="n"/>
      <c r="V78" s="206" t="n"/>
    </row>
    <row r="79" ht="26" customFormat="1" customHeight="1" s="180">
      <c r="A79" s="206" t="n">
        <v>6</v>
      </c>
      <c r="B79" s="206" t="inlineStr">
        <is>
          <t>100237790</t>
        </is>
      </c>
      <c r="C79" s="207" t="inlineStr">
        <is>
          <t>中建四局0200202101806006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2550134.38</v>
      </c>
      <c r="N79" s="210" t="n">
        <v>331517.47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2881651.85</v>
      </c>
      <c r="U79" s="206" t="n"/>
      <c r="V79" s="206" t="n"/>
    </row>
    <row r="80" ht="14" customFormat="1" customHeight="1" s="180">
      <c r="A80" s="206" t="n">
        <v>7</v>
      </c>
      <c r="B80" s="206" t="inlineStr">
        <is>
          <t>100237790</t>
        </is>
      </c>
      <c r="C80" s="207" t="inlineStr">
        <is>
          <t>中建四局0200202101806016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2123772.79</v>
      </c>
      <c r="N80" s="210" t="n">
        <v>276090.52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2399863.31</v>
      </c>
      <c r="U80" s="206" t="n"/>
      <c r="V80" s="206" t="n"/>
    </row>
    <row r="81" ht="14" customFormat="1" customHeight="1" s="3">
      <c r="A81" s="206" t="n">
        <v>8</v>
      </c>
      <c r="B81" s="206" t="inlineStr">
        <is>
          <t>100146779</t>
        </is>
      </c>
      <c r="C81" s="207" t="inlineStr">
        <is>
          <t>中建四局0200202101806026</t>
        </is>
      </c>
      <c r="D81" s="207" t="inlineStr">
        <is>
          <t>佛山市南海区洪顺水泥构件厂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1006289.65</v>
      </c>
      <c r="N81" s="210" t="n">
        <v>130817.7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1137107.35</v>
      </c>
      <c r="U81" s="206" t="n"/>
      <c r="V81" s="206" t="n"/>
    </row>
    <row r="82" ht="14" customHeight="1" s="159">
      <c r="A82" s="206" t="n">
        <v>9</v>
      </c>
      <c r="B82" s="206" t="inlineStr">
        <is>
          <t>100206907</t>
        </is>
      </c>
      <c r="C82" s="207" t="inlineStr">
        <is>
          <t>中建四局0200202101806014</t>
        </is>
      </c>
      <c r="D82" s="207" t="inlineStr">
        <is>
          <t>佛山市开力电气有限公司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63203</v>
      </c>
      <c r="N82" s="210" t="n">
        <v>8216.389999999999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71419.39</v>
      </c>
      <c r="U82" s="206" t="n"/>
      <c r="V82" s="206" t="n"/>
    </row>
    <row r="83" ht="14" customHeight="1" s="159">
      <c r="A83" s="206" t="n">
        <v>10</v>
      </c>
      <c r="B83" s="206" t="inlineStr">
        <is>
          <t>200162951</t>
        </is>
      </c>
      <c r="C83" s="207" t="inlineStr">
        <is>
          <t>中建四局0200202101806036</t>
        </is>
      </c>
      <c r="D83" s="207" t="inlineStr">
        <is>
          <t>佛山市翊德通新型环保科技建材有限公司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4369961.51</v>
      </c>
      <c r="N83" s="210" t="n">
        <v>568095.3199999999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4938056.52</v>
      </c>
      <c r="U83" s="206" t="n"/>
      <c r="V83" s="206" t="n"/>
    </row>
    <row r="84">
      <c r="A84" s="206" t="n">
        <v>11</v>
      </c>
      <c r="B84" s="206" t="inlineStr">
        <is>
          <t>100232795</t>
        </is>
      </c>
      <c r="C84" s="207" t="inlineStr">
        <is>
          <t>中建四局0200202101806001</t>
        </is>
      </c>
      <c r="D84" s="207" t="inlineStr">
        <is>
          <t>佰丽特（厦门）电气科技有限公司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333728</v>
      </c>
      <c r="N84" s="210" t="n">
        <v>43384.64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301690.11</v>
      </c>
      <c r="U84" s="206" t="n"/>
      <c r="V84" s="206" t="n"/>
    </row>
    <row r="85">
      <c r="A85" s="206" t="n">
        <v>12</v>
      </c>
      <c r="B85" s="206" t="inlineStr">
        <is>
          <t>200282611</t>
        </is>
      </c>
      <c r="C85" s="207" t="inlineStr">
        <is>
          <t>中建四局0200202101806009</t>
        </is>
      </c>
      <c r="D85" s="207" t="inlineStr">
        <is>
          <t>平安商贸有限公司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8873935.289999999</v>
      </c>
      <c r="N85" s="210" t="n">
        <v>1153611.59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10027546.88</v>
      </c>
      <c r="U85" s="206" t="n"/>
      <c r="V85" s="206" t="n"/>
    </row>
    <row r="86">
      <c r="A86" s="206" t="n">
        <v>13</v>
      </c>
      <c r="B86" s="206" t="inlineStr">
        <is>
          <t>200609375</t>
        </is>
      </c>
      <c r="C86" s="207" t="inlineStr">
        <is>
          <t>中建四局0200202101806040</t>
        </is>
      </c>
      <c r="D86" s="207" t="inlineStr">
        <is>
          <t>广东富景成环保建材有限公司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385917.65</v>
      </c>
      <c r="N86" s="210" t="n">
        <v>50169.29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436086.94</v>
      </c>
      <c r="U86" s="206" t="n"/>
      <c r="V86" s="206" t="n"/>
    </row>
    <row r="87">
      <c r="A87" s="206" t="n">
        <v>14</v>
      </c>
      <c r="B87" s="206" t="inlineStr">
        <is>
          <t>200589118</t>
        </is>
      </c>
      <c r="C87" s="207" t="inlineStr">
        <is>
          <t>中建四局020020210018060001</t>
        </is>
      </c>
      <c r="D87" s="207" t="inlineStr">
        <is>
          <t>广东广物中南建材集团有限公司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4299184.04</v>
      </c>
      <c r="N87" s="210" t="n">
        <v>558893.95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4858077.99</v>
      </c>
      <c r="U87" s="206" t="n"/>
      <c r="V87" s="206" t="n"/>
    </row>
    <row r="88">
      <c r="A88" s="206" t="n">
        <v>15</v>
      </c>
      <c r="B88" s="206" t="inlineStr">
        <is>
          <t>100218495</t>
        </is>
      </c>
      <c r="C88" s="207" t="inlineStr">
        <is>
          <t>中建四局0200202101806024</t>
        </is>
      </c>
      <c r="D88" s="207" t="inlineStr">
        <is>
          <t>广东广物物资有限公司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52140600.21</v>
      </c>
      <c r="N88" s="210" t="n">
        <v>6778278.02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57634200</v>
      </c>
      <c r="U88" s="206" t="n"/>
      <c r="V88" s="206" t="n"/>
    </row>
    <row r="89">
      <c r="A89" s="206" t="n">
        <v>16</v>
      </c>
      <c r="B89" s="206" t="inlineStr">
        <is>
          <t>100217200</t>
        </is>
      </c>
      <c r="C89" s="207" t="inlineStr">
        <is>
          <t>中建四局0200202101806042</t>
        </is>
      </c>
      <c r="D89" s="207" t="inlineStr">
        <is>
          <t>广东新瑞龙生态建材有限公司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9943627.460000001</v>
      </c>
      <c r="N89" s="210" t="n">
        <v>1292671.55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10199210.04</v>
      </c>
      <c r="U89" s="206" t="n"/>
      <c r="V89" s="206" t="n"/>
    </row>
    <row r="90">
      <c r="A90" s="206" t="n">
        <v>17</v>
      </c>
      <c r="B90" s="206" t="inlineStr">
        <is>
          <t>100217564</t>
        </is>
      </c>
      <c r="C90" s="207" t="inlineStr">
        <is>
          <t>中建四局0200202101806015</t>
        </is>
      </c>
      <c r="D90" s="207" t="inlineStr">
        <is>
          <t>广东顺德雍强贸易有限公司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5074499.2</v>
      </c>
      <c r="N90" s="210" t="n">
        <v>659684.51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5722211.35</v>
      </c>
      <c r="U90" s="206" t="n"/>
      <c r="V90" s="206" t="n"/>
    </row>
    <row r="91">
      <c r="A91" s="206" t="n">
        <v>18</v>
      </c>
      <c r="B91" s="206" t="inlineStr">
        <is>
          <t>200028988</t>
        </is>
      </c>
      <c r="C91" s="207" t="inlineStr">
        <is>
          <t>中建四局0200202101806020</t>
        </is>
      </c>
      <c r="D91" s="207" t="inlineStr">
        <is>
          <t>广州天源混凝土有限公司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82619375.06999999</v>
      </c>
      <c r="N91" s="210" t="n">
        <v>2479172.51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76114127.56</v>
      </c>
      <c r="U91" s="206" t="n"/>
      <c r="V91" s="206" t="n"/>
    </row>
    <row r="92">
      <c r="A92" s="206" t="n">
        <v>19</v>
      </c>
      <c r="B92" s="206" t="inlineStr">
        <is>
          <t>100118018</t>
        </is>
      </c>
      <c r="C92" s="207" t="inlineStr">
        <is>
          <t>中建四局0200202101806023</t>
        </is>
      </c>
      <c r="D92" s="207" t="inlineStr">
        <is>
          <t>广州天达混凝土有限公司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7029897.31</v>
      </c>
      <c r="N92" s="210" t="n">
        <v>210896.97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7240794.28</v>
      </c>
      <c r="U92" s="206" t="n"/>
      <c r="V92" s="206" t="n"/>
    </row>
    <row r="93">
      <c r="A93" s="206" t="n">
        <v>20</v>
      </c>
      <c r="B93" s="206" t="inlineStr">
        <is>
          <t>100217350</t>
        </is>
      </c>
      <c r="C93" s="207" t="inlineStr">
        <is>
          <t>中建四局0200202101806003</t>
        </is>
      </c>
      <c r="D93" s="207" t="inlineStr">
        <is>
          <t>广州市嘉宇金属制品有限公司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416379</v>
      </c>
      <c r="N93" s="210" t="n">
        <v>54129.27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470508.27</v>
      </c>
      <c r="U93" s="206" t="n"/>
      <c r="V93" s="206" t="n"/>
    </row>
    <row r="94">
      <c r="A94" s="206" t="n">
        <v>21</v>
      </c>
      <c r="B94" s="206" t="inlineStr">
        <is>
          <t>100217450</t>
        </is>
      </c>
      <c r="C94" s="207" t="inlineStr">
        <is>
          <t>中建四局0200202101806041</t>
        </is>
      </c>
      <c r="D94" s="207" t="inlineStr">
        <is>
          <t>广州市常宏建材有限公司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32639</v>
      </c>
      <c r="N94" s="210" t="n">
        <v>4243.07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36882.07</v>
      </c>
      <c r="U94" s="206" t="n"/>
      <c r="V94" s="206" t="n"/>
    </row>
    <row r="95">
      <c r="A95" s="206" t="n">
        <v>22</v>
      </c>
      <c r="B95" s="206" t="inlineStr">
        <is>
          <t>100115149</t>
        </is>
      </c>
      <c r="C95" s="207" t="inlineStr">
        <is>
          <t>中建四局0200202101806035</t>
        </is>
      </c>
      <c r="D95" s="207" t="inlineStr">
        <is>
          <t>广州市建邦建材有限公司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7683428.5</v>
      </c>
      <c r="N95" s="210" t="n">
        <v>998845.46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8682273.960000001</v>
      </c>
      <c r="U95" s="206" t="n"/>
      <c r="V95" s="206" t="n"/>
    </row>
    <row r="96">
      <c r="A96" s="206" t="n">
        <v>23</v>
      </c>
      <c r="B96" s="206" t="inlineStr">
        <is>
          <t>100147894</t>
        </is>
      </c>
      <c r="C96" s="207" t="inlineStr">
        <is>
          <t>中建四局0200202101806007</t>
        </is>
      </c>
      <c r="D96" s="207" t="inlineStr">
        <is>
          <t>广州市息县旺建材有限公司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950254.54</v>
      </c>
      <c r="N96" s="210" t="n">
        <v>123533.02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1067146.16</v>
      </c>
      <c r="U96" s="206" t="n"/>
      <c r="V96" s="206" t="n"/>
    </row>
    <row r="97">
      <c r="A97" s="206" t="n">
        <v>24</v>
      </c>
      <c r="B97" s="206" t="inlineStr">
        <is>
          <t>200335317</t>
        </is>
      </c>
      <c r="C97" s="207" t="inlineStr">
        <is>
          <t>中建四局0200202101806029</t>
        </is>
      </c>
      <c r="D97" s="207" t="inlineStr">
        <is>
          <t>广州市汇亿鑫贸易有限公司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274015</v>
      </c>
      <c r="N97" s="210" t="n">
        <v>35621.95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309636.95</v>
      </c>
      <c r="U97" s="206" t="n"/>
      <c r="V97" s="206" t="n"/>
    </row>
    <row r="98">
      <c r="A98" s="206" t="n">
        <v>25</v>
      </c>
      <c r="B98" s="206" t="inlineStr">
        <is>
          <t>100006014</t>
        </is>
      </c>
      <c r="C98" s="207" t="inlineStr">
        <is>
          <t>中建四局0200202101806038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1561706.28</v>
      </c>
      <c r="N98" s="210" t="n">
        <v>203021.99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1764728.27</v>
      </c>
      <c r="U98" s="206" t="n"/>
      <c r="V98" s="206" t="n"/>
    </row>
    <row r="99">
      <c r="A99" s="206" t="n">
        <v>26</v>
      </c>
      <c r="B99" s="206" t="inlineStr">
        <is>
          <t>100118301</t>
        </is>
      </c>
      <c r="C99" s="207" t="inlineStr">
        <is>
          <t>中建四局0200202101806019</t>
        </is>
      </c>
      <c r="D99" s="207" t="inlineStr">
        <is>
          <t>广州市维意建材有限公司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27146211.76</v>
      </c>
      <c r="N99" s="210" t="n">
        <v>814386.39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27960598.15</v>
      </c>
      <c r="U99" s="206" t="n"/>
      <c r="V99" s="206" t="n"/>
    </row>
    <row r="100">
      <c r="A100" s="206" t="n">
        <v>27</v>
      </c>
      <c r="B100" s="206" t="inlineStr">
        <is>
          <t>100118101</t>
        </is>
      </c>
      <c r="C100" s="207" t="inlineStr">
        <is>
          <t>中建四局0200202101806032</t>
        </is>
      </c>
      <c r="D100" s="207" t="inlineStr">
        <is>
          <t>广州市长兴混凝土有限公司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7126276.05</v>
      </c>
      <c r="N100" s="210" t="n">
        <v>213788.29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7297640.86</v>
      </c>
      <c r="U100" s="206" t="n"/>
      <c r="V100" s="206" t="n"/>
    </row>
    <row r="101">
      <c r="A101" s="206" t="n">
        <v>28</v>
      </c>
      <c r="B101" s="206" t="inlineStr">
        <is>
          <t>100217478</t>
        </is>
      </c>
      <c r="C101" s="207" t="inlineStr">
        <is>
          <t>中建四局0200202101806017</t>
        </is>
      </c>
      <c r="D101" s="207" t="inlineStr">
        <is>
          <t>广州建侯建材有限公司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1538956.12</v>
      </c>
      <c r="N101" s="210" t="n">
        <v>200064.3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1739020.42</v>
      </c>
      <c r="U101" s="206" t="n"/>
      <c r="V101" s="206" t="n"/>
    </row>
    <row r="102">
      <c r="A102" s="206" t="n">
        <v>29</v>
      </c>
      <c r="B102" s="206" t="inlineStr">
        <is>
          <t>100094223</t>
        </is>
      </c>
      <c r="C102" s="207" t="inlineStr">
        <is>
          <t>中建四局0200202101806034</t>
        </is>
      </c>
      <c r="D102" s="207" t="inlineStr">
        <is>
          <t>广州晴泰蓝环保工程有限公司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140000</v>
      </c>
      <c r="N102" s="210" t="n">
        <v>18200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158200</v>
      </c>
      <c r="U102" s="206" t="n"/>
      <c r="V102" s="206" t="n"/>
    </row>
    <row r="103">
      <c r="A103" s="206" t="n">
        <v>30</v>
      </c>
      <c r="B103" s="206" t="inlineStr">
        <is>
          <t>200413088</t>
        </is>
      </c>
      <c r="C103" s="207" t="inlineStr">
        <is>
          <t>中建四局0200202101806021</t>
        </is>
      </c>
      <c r="D103" s="207" t="inlineStr">
        <is>
          <t>广州盒子住宅科技有限公司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13945976.97</v>
      </c>
      <c r="N103" s="210" t="n">
        <v>1793690.33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8652600</v>
      </c>
      <c r="U103" s="206" t="n"/>
      <c r="V103" s="206" t="n"/>
    </row>
    <row r="104">
      <c r="A104" s="206" t="n">
        <v>31</v>
      </c>
      <c r="B104" s="206" t="inlineStr">
        <is>
          <t>200234923</t>
        </is>
      </c>
      <c r="C104" s="207" t="inlineStr">
        <is>
          <t>中建四局0200202101806013</t>
        </is>
      </c>
      <c r="D104" s="207" t="inlineStr">
        <is>
          <t>广州睿越建材有限公司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43710.65</v>
      </c>
      <c r="N104" s="210" t="n">
        <v>5682.39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49393.04</v>
      </c>
      <c r="U104" s="206" t="n"/>
      <c r="V104" s="206" t="n"/>
    </row>
    <row r="105">
      <c r="A105" s="206" t="n">
        <v>32</v>
      </c>
      <c r="B105" s="206" t="inlineStr">
        <is>
          <t>100119801</t>
        </is>
      </c>
      <c r="C105" s="207" t="inlineStr">
        <is>
          <t>中建四局0200202101806037</t>
        </is>
      </c>
      <c r="D105" s="207" t="inlineStr">
        <is>
          <t>广州禄臻贸易有限公司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582161.09</v>
      </c>
      <c r="N105" s="210" t="n">
        <v>75681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657842.08</v>
      </c>
      <c r="U105" s="206" t="n"/>
      <c r="V105" s="206" t="n"/>
    </row>
    <row r="106">
      <c r="A106" s="206" t="n">
        <v>33</v>
      </c>
      <c r="B106" s="206" t="inlineStr">
        <is>
          <t>100217843</t>
        </is>
      </c>
      <c r="C106" s="207" t="inlineStr">
        <is>
          <t>中建四局0200202101806039</t>
        </is>
      </c>
      <c r="D106" s="207" t="inlineStr">
        <is>
          <t>广州绿色金融街投资管理有限公司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30291914.17</v>
      </c>
      <c r="N106" s="210" t="n">
        <v>3937948.82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34229862.99</v>
      </c>
      <c r="U106" s="206" t="n"/>
      <c r="V106" s="206" t="n"/>
    </row>
    <row r="107">
      <c r="A107" s="206" t="n">
        <v>34</v>
      </c>
      <c r="B107" s="206" t="inlineStr">
        <is>
          <t>100217163</t>
        </is>
      </c>
      <c r="C107" s="207" t="inlineStr">
        <is>
          <t>中建四局0200202101806002</t>
        </is>
      </c>
      <c r="D107" s="207" t="inlineStr">
        <is>
          <t>广州辰辰建材租赁有限公司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3566769.49</v>
      </c>
      <c r="N107" s="210" t="n">
        <v>463680.09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4017620.13</v>
      </c>
      <c r="U107" s="206" t="n"/>
      <c r="V107" s="206" t="n"/>
    </row>
    <row r="108">
      <c r="A108" s="206" t="n">
        <v>35</v>
      </c>
      <c r="B108" s="206" t="inlineStr">
        <is>
          <t>200009555</t>
        </is>
      </c>
      <c r="C108" s="207" t="inlineStr">
        <is>
          <t>中建四局0200202101806030</t>
        </is>
      </c>
      <c r="D108" s="207" t="inlineStr">
        <is>
          <t>广联达科技股份有限公司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44247.79</v>
      </c>
      <c r="N108" s="210" t="n">
        <v>5752.21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50000</v>
      </c>
      <c r="U108" s="206" t="n"/>
      <c r="V108" s="206" t="n"/>
    </row>
    <row r="109">
      <c r="A109" s="206" t="n">
        <v>36</v>
      </c>
      <c r="B109" s="206" t="inlineStr">
        <is>
          <t>100170699</t>
        </is>
      </c>
      <c r="C109" s="207" t="inlineStr">
        <is>
          <t>中建四局0200202101806027</t>
        </is>
      </c>
      <c r="D109" s="207" t="inlineStr">
        <is>
          <t>浙商中拓集团（广东）有限公司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697130.35</v>
      </c>
      <c r="N109" s="210" t="n">
        <v>90626.95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787757.3</v>
      </c>
      <c r="U109" s="206" t="n"/>
      <c r="V109" s="206" t="n"/>
    </row>
    <row r="110">
      <c r="A110" s="206" t="n">
        <v>37</v>
      </c>
      <c r="B110" s="206" t="inlineStr">
        <is>
          <t>100198899</t>
        </is>
      </c>
      <c r="C110" s="207" t="inlineStr">
        <is>
          <t>中建四局0200202101806008</t>
        </is>
      </c>
      <c r="D110" s="207" t="inlineStr">
        <is>
          <t>深圳市金仪时代环保产业有限公司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46390</v>
      </c>
      <c r="N110" s="210" t="n">
        <v>6030.7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52420.7</v>
      </c>
      <c r="U110" s="206" t="n"/>
      <c r="V110" s="206" t="n"/>
    </row>
    <row r="111">
      <c r="A111" s="206" t="n">
        <v>38</v>
      </c>
      <c r="B111" s="206" t="inlineStr">
        <is>
          <t>100218623</t>
        </is>
      </c>
      <c r="C111" s="207" t="inlineStr">
        <is>
          <t>中建四局0200202101806043</t>
        </is>
      </c>
      <c r="D111" s="207" t="inlineStr">
        <is>
          <t>深圳市鑫源发陶瓷有限公司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220443.53</v>
      </c>
      <c r="N111" s="210" t="n">
        <v>28657.66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249101.19</v>
      </c>
      <c r="U111" s="206" t="n"/>
      <c r="V111" s="206" t="n"/>
    </row>
    <row r="112">
      <c r="A112" s="206" t="n">
        <v>39</v>
      </c>
      <c r="B112" s="206" t="inlineStr">
        <is>
          <t>100074117</t>
        </is>
      </c>
      <c r="C112" s="207" t="inlineStr">
        <is>
          <t>中建四局0200202101806011</t>
        </is>
      </c>
      <c r="D112" s="207" t="inlineStr">
        <is>
          <t>清远市榕兴新型环保建材有限责任公司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1271717.14</v>
      </c>
      <c r="N112" s="210" t="n">
        <v>165323.22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1437040.36</v>
      </c>
      <c r="U112" s="206" t="n"/>
      <c r="V112" s="206" t="n"/>
    </row>
    <row r="113">
      <c r="A113" s="206" t="n">
        <v>40</v>
      </c>
      <c r="B113" s="206" t="inlineStr">
        <is>
          <t>100114405</t>
        </is>
      </c>
      <c r="C113" s="207" t="inlineStr">
        <is>
          <t>中建四局0200202101806018</t>
        </is>
      </c>
      <c r="D113" s="207" t="inlineStr">
        <is>
          <t>祁东县明达轻质陶粒厂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534785.89</v>
      </c>
      <c r="N113" s="210" t="n">
        <v>16863.59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549855.73</v>
      </c>
      <c r="U113" s="206" t="n"/>
      <c r="V113" s="206" t="n"/>
    </row>
    <row r="114">
      <c r="A114" s="206" t="n">
        <v>41</v>
      </c>
      <c r="B114" s="206" t="inlineStr">
        <is>
          <t>100199057</t>
        </is>
      </c>
      <c r="C114" s="207" t="inlineStr">
        <is>
          <t>中建四局0200202101806010</t>
        </is>
      </c>
      <c r="D114" s="207" t="inlineStr">
        <is>
          <t>福建省莆田市龙兴劳保用品有限公司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509280.38</v>
      </c>
      <c r="N114" s="210" t="n">
        <v>66206.64999999999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575487.03</v>
      </c>
      <c r="U114" s="206" t="n"/>
      <c r="V114" s="206" t="n"/>
    </row>
    <row r="115">
      <c r="A115" s="206" t="n">
        <v>42</v>
      </c>
      <c r="B115" s="206" t="inlineStr">
        <is>
          <t>100199057</t>
        </is>
      </c>
      <c r="C115" s="207" t="inlineStr">
        <is>
          <t>中建四局0200202101806031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48485.21</v>
      </c>
      <c r="N115" s="210" t="n">
        <v>6303.07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54788.28</v>
      </c>
      <c r="U115" s="206" t="n"/>
      <c r="V115" s="206" t="n"/>
    </row>
    <row r="116">
      <c r="A116" s="206" t="n">
        <v>43</v>
      </c>
      <c r="B116" s="206" t="n"/>
      <c r="C116" s="207" t="n"/>
      <c r="D116" s="207" t="inlineStr">
        <is>
          <t>其他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211578.27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44</v>
      </c>
      <c r="B117" s="206" t="n"/>
      <c r="C117" s="207" t="n"/>
      <c r="D117" s="207" t="inlineStr">
        <is>
          <t>废旧物资处置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-1401180.1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45</v>
      </c>
      <c r="B118" s="206" t="n"/>
      <c r="C118" s="207" t="n"/>
      <c r="D118" s="207" t="inlineStr">
        <is>
          <t>研发支出-材料费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-25030932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33" t="n">
        <v>46</v>
      </c>
      <c r="B119" s="199" t="n"/>
      <c r="C119" s="199" t="n"/>
      <c r="D119" s="218" t="inlineStr">
        <is>
          <t>材料调入</t>
        </is>
      </c>
      <c r="E119" s="199" t="n"/>
      <c r="F119" s="199" t="n"/>
      <c r="G119" s="199" t="n"/>
      <c r="H119" s="189" t="n"/>
      <c r="I119" s="189" t="n"/>
      <c r="J119" s="189" t="n"/>
      <c r="K119" s="201" t="n"/>
      <c r="L119" s="202" t="n"/>
      <c r="M119" s="223" t="n">
        <v>17996069.15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189">
        <f>SUM(AA30:AJ30)</f>
        <v/>
      </c>
      <c r="AA119" s="203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188">
        <f>AB30/1.17*0.17+AC30/1.16*0.16+AD30/1.11*0.11+AE30/1.1*0.1+AF30/1.09*0.09+AI30/1.03*0.03</f>
        <v/>
      </c>
      <c r="AL119" s="221" t="n"/>
    </row>
    <row r="120">
      <c r="A120" s="33" t="n">
        <v>47</v>
      </c>
      <c r="B120" s="199" t="n"/>
      <c r="C120" s="199" t="n"/>
      <c r="D120" s="218" t="inlineStr">
        <is>
          <t>材料调出（注：负数填报）</t>
        </is>
      </c>
      <c r="E120" s="224" t="n"/>
      <c r="F120" s="224" t="n"/>
      <c r="G120" s="224" t="n"/>
      <c r="H120" s="225" t="n"/>
      <c r="I120" s="225" t="n"/>
      <c r="J120" s="189" t="n"/>
      <c r="K120" s="201" t="n"/>
      <c r="L120" s="202" t="n"/>
      <c r="M120" s="226" t="n">
        <v>-8003517.42</v>
      </c>
      <c r="N120" s="225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25" t="n"/>
      <c r="U120" s="225" t="n"/>
      <c r="V120" s="225" t="n"/>
      <c r="W120" s="225" t="n"/>
      <c r="X120" s="225" t="n"/>
      <c r="Y120" s="225" t="n"/>
      <c r="Z120" s="189">
        <f>SUM(AA31:AJ31)</f>
        <v/>
      </c>
      <c r="AA120" s="225" t="n"/>
      <c r="AB120" s="227" t="n"/>
      <c r="AC120" s="227" t="n"/>
      <c r="AD120" s="227" t="n"/>
      <c r="AE120" s="227" t="n"/>
      <c r="AF120" s="227" t="n"/>
      <c r="AG120" s="227" t="n"/>
      <c r="AH120" s="227" t="n"/>
      <c r="AI120" s="227" t="n"/>
      <c r="AJ120" s="227" t="n"/>
      <c r="AK120" s="188">
        <f>AB31/1.17*0.17+AC31/1.16*0.16+AD31/1.11*0.11+AE31/1.1*0.1+AF31/1.09*0.09+AI31/1.03*0.03</f>
        <v/>
      </c>
      <c r="AL120" s="228" t="n"/>
    </row>
    <row r="121">
      <c r="A121" s="33" t="n"/>
      <c r="B121" s="199" t="n"/>
      <c r="C121" s="199" t="n"/>
      <c r="D121" s="218" t="inlineStr">
        <is>
          <t>材料库存（注：项目已结算未使用材料冲减项目成本，负数填报）</t>
        </is>
      </c>
      <c r="E121" s="224" t="n"/>
      <c r="F121" s="224" t="n"/>
      <c r="G121" s="224" t="n"/>
      <c r="H121" s="225" t="n"/>
      <c r="I121" s="225" t="n"/>
      <c r="J121" s="189" t="n"/>
      <c r="K121" s="201" t="n"/>
      <c r="L121" s="202" t="n"/>
      <c r="M121" s="225" t="n"/>
      <c r="N121" s="225" t="n"/>
      <c r="O121" s="189" t="n"/>
      <c r="P121" s="189" t="n"/>
      <c r="Q121" s="189" t="n"/>
      <c r="R121" s="189" t="n"/>
      <c r="S121" s="203" t="n"/>
      <c r="T121" s="225" t="n"/>
      <c r="U121" s="225" t="n"/>
      <c r="V121" s="225" t="n"/>
      <c r="W121" s="225" t="n"/>
      <c r="X121" s="225" t="n"/>
      <c r="Y121" s="225" t="n"/>
      <c r="Z121" s="189" t="n"/>
      <c r="AA121" s="225" t="n"/>
      <c r="AB121" s="227" t="n"/>
      <c r="AC121" s="227" t="n"/>
      <c r="AD121" s="227" t="n"/>
      <c r="AE121" s="227" t="n"/>
      <c r="AF121" s="227" t="n"/>
      <c r="AG121" s="227" t="n"/>
      <c r="AH121" s="227" t="n"/>
      <c r="AI121" s="227" t="n"/>
      <c r="AJ121" s="227" t="n"/>
      <c r="AK121" s="188" t="n"/>
      <c r="AL121" s="228" t="n"/>
    </row>
    <row r="122">
      <c r="A122" s="33" t="n"/>
      <c r="B122" s="199" t="n"/>
      <c r="C122" s="199" t="n"/>
      <c r="D122" s="211" t="inlineStr">
        <is>
          <t>**财务未列部分需增列***</t>
        </is>
      </c>
      <c r="E122" s="219" t="n"/>
      <c r="F122" s="219" t="n"/>
      <c r="G122" s="219" t="n"/>
      <c r="H122" s="189" t="n"/>
      <c r="I122" s="189" t="n"/>
      <c r="J122" s="189" t="n"/>
      <c r="K122" s="201" t="n"/>
      <c r="L122" s="202" t="n"/>
      <c r="M122" s="189" t="n"/>
      <c r="N122" s="189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188">
        <f>AB33/1.17*0.17+AC33/1.16*0.16+AD33/1.11*0.11+AE33/1.1*0.1+AF33/1.09*0.09+AI33/1.03*0.03</f>
        <v/>
      </c>
      <c r="AL122" s="221" t="n"/>
    </row>
    <row r="123">
      <c r="A123" s="41" t="n"/>
      <c r="B123" s="215" t="n"/>
      <c r="C123" s="215" t="n"/>
      <c r="D123" s="216" t="inlineStr">
        <is>
          <t>材料费小计：</t>
        </is>
      </c>
      <c r="E123" s="217">
        <f>SUM(E68:E122)</f>
        <v/>
      </c>
      <c r="F123" s="217">
        <f>SUM(F68:F122)</f>
        <v/>
      </c>
      <c r="G123" s="217">
        <f>SUM(G68:G122)</f>
        <v/>
      </c>
      <c r="H123" s="217">
        <f>SUM(H68:H122)</f>
        <v/>
      </c>
      <c r="I123" s="217">
        <f>SUM(I68:I122)</f>
        <v/>
      </c>
      <c r="J123" s="217">
        <f>SUM(J68:J122)</f>
        <v/>
      </c>
      <c r="K123" s="217">
        <f>SUM(K68:K122)</f>
        <v/>
      </c>
      <c r="L123" s="217">
        <f>SUM(L68:L122)</f>
        <v/>
      </c>
      <c r="M123" s="217">
        <f>SUM(M68:M122)</f>
        <v/>
      </c>
      <c r="N123" s="217">
        <f>SUM(N68:N122)</f>
        <v/>
      </c>
      <c r="O123" s="217">
        <f>SUM(O68:O122)</f>
        <v/>
      </c>
      <c r="P123" s="217">
        <f>SUM(P68:P122)</f>
        <v/>
      </c>
      <c r="Q123" s="217">
        <f>SUM(Q68:Q122)</f>
        <v/>
      </c>
      <c r="R123" s="217">
        <f>SUM(R68:R122)</f>
        <v/>
      </c>
      <c r="S123" s="217">
        <f>SUM(S68:S122)</f>
        <v/>
      </c>
      <c r="T123" s="217">
        <f>SUM(T68:T122)</f>
        <v/>
      </c>
      <c r="U123" s="217">
        <f>SUM(U68:U122)</f>
        <v/>
      </c>
      <c r="V123" s="217">
        <f>SUM(V68:V122)</f>
        <v/>
      </c>
      <c r="W123" s="217">
        <f>SUM(W68:W122)</f>
        <v/>
      </c>
      <c r="X123" s="217">
        <f>SUM(X68:X122)</f>
        <v/>
      </c>
      <c r="Y123" s="217">
        <f>SUM(Y68:Y122)</f>
        <v/>
      </c>
      <c r="Z123" s="217">
        <f>SUM(Z68:Z122)</f>
        <v/>
      </c>
      <c r="AA123" s="217">
        <f>SUM(AA68:AA122)</f>
        <v/>
      </c>
      <c r="AB123" s="217">
        <f>SUM(AB68:AB122)</f>
        <v/>
      </c>
      <c r="AC123" s="217">
        <f>SUM(AC68:AC122)</f>
        <v/>
      </c>
      <c r="AD123" s="217">
        <f>SUM(AD68:AD122)</f>
        <v/>
      </c>
      <c r="AE123" s="217">
        <f>SUM(AE68:AE122)</f>
        <v/>
      </c>
      <c r="AF123" s="217">
        <f>SUM(AF68:AF122)</f>
        <v/>
      </c>
      <c r="AG123" s="217">
        <f>SUM(AG68:AG122)</f>
        <v/>
      </c>
      <c r="AH123" s="217">
        <f>SUM(AH68:AH122)</f>
        <v/>
      </c>
      <c r="AI123" s="217">
        <f>SUM(AI68:AI122)</f>
        <v/>
      </c>
      <c r="AJ123" s="217">
        <f>SUM(AJ68:AJ122)</f>
        <v/>
      </c>
      <c r="AK123" s="217">
        <f>SUM(AK68:AK122)</f>
        <v/>
      </c>
      <c r="AL123" s="204" t="n"/>
    </row>
    <row r="124">
      <c r="A124" s="33" t="n"/>
      <c r="B124" s="199" t="n"/>
      <c r="C124" s="199" t="n"/>
      <c r="D124" s="218" t="inlineStr">
        <is>
          <t>(四）机械租赁费</t>
        </is>
      </c>
      <c r="E124" s="212" t="n"/>
      <c r="F124" s="212" t="n"/>
      <c r="G124" s="212" t="n"/>
      <c r="H124" s="189" t="n"/>
      <c r="I124" s="189" t="n"/>
      <c r="J124" s="189" t="n"/>
      <c r="K124" s="201" t="n">
        <v>0</v>
      </c>
      <c r="L124" s="202">
        <f>J124-K124</f>
        <v/>
      </c>
      <c r="M124" s="184" t="n"/>
      <c r="N124" s="184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203" t="n"/>
      <c r="AC124" s="203" t="n"/>
      <c r="AD124" s="203" t="n"/>
      <c r="AE124" s="203" t="n"/>
      <c r="AF124" s="203" t="n"/>
      <c r="AG124" s="203" t="n"/>
      <c r="AH124" s="203" t="n"/>
      <c r="AI124" s="203" t="n"/>
      <c r="AJ124" s="203" t="n"/>
      <c r="AK124" s="188">
        <f>AB35/1.17*0.17+AC35/1.16*0.16+AD35/1.11*0.11+AE35/1.1*0.1+AF35/1.09*0.09+AI35/1.03*0.03</f>
        <v/>
      </c>
      <c r="AL124" s="204" t="n"/>
    </row>
    <row r="125">
      <c r="A125" s="206" t="n">
        <v>1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5455288.19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2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</row>
    <row r="127">
      <c r="A127" s="206" t="n">
        <v>3</v>
      </c>
      <c r="B127" s="206" t="inlineStr">
        <is>
          <t>200363935</t>
        </is>
      </c>
      <c r="C127" s="207" t="inlineStr">
        <is>
          <t>中建四局0200202101805006</t>
        </is>
      </c>
      <c r="D127" s="207" t="inlineStr">
        <is>
          <t>佛山市雄壮建筑工程有限公司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1197689.75</v>
      </c>
      <c r="N127" s="210" t="n">
        <v>36663.97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1258000</v>
      </c>
      <c r="U127" s="206" t="n"/>
      <c r="V127" s="206" t="n"/>
    </row>
    <row r="128">
      <c r="A128" s="206" t="n">
        <v>4</v>
      </c>
      <c r="B128" s="206" t="inlineStr">
        <is>
          <t>200477323</t>
        </is>
      </c>
      <c r="C128" s="207" t="inlineStr">
        <is>
          <t>中建四局0200202101805011</t>
        </is>
      </c>
      <c r="D128" s="207" t="inlineStr">
        <is>
          <t>佛山市霸伟建筑工程有限公司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947713.86</v>
      </c>
      <c r="N128" s="210" t="n">
        <v>29244.62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999000</v>
      </c>
      <c r="U128" s="206" t="n"/>
      <c r="V128" s="206" t="n"/>
    </row>
    <row r="129">
      <c r="A129" s="206" t="n">
        <v>5</v>
      </c>
      <c r="B129" s="206" t="inlineStr">
        <is>
          <t>100093859</t>
        </is>
      </c>
      <c r="C129" s="207" t="inlineStr">
        <is>
          <t>中建四局0200202101805010</t>
        </is>
      </c>
      <c r="D129" s="207" t="inlineStr">
        <is>
          <t>嘉兴浩锐机械设备有限公司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1387247.1</v>
      </c>
      <c r="N129" s="210" t="n">
        <v>180342.12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1567589.22</v>
      </c>
      <c r="U129" s="206" t="n"/>
      <c r="V129" s="206" t="n"/>
    </row>
    <row r="130">
      <c r="A130" s="206" t="n">
        <v>6</v>
      </c>
      <c r="B130" s="206" t="inlineStr">
        <is>
          <t>100117504</t>
        </is>
      </c>
      <c r="C130" s="207" t="inlineStr">
        <is>
          <t>中建四局0200202101805005</t>
        </is>
      </c>
      <c r="D130" s="207" t="inlineStr">
        <is>
          <t>广州大丰工程机械设备有限公司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1065730.14</v>
      </c>
      <c r="N130" s="210" t="n">
        <v>138544.93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1204275.07</v>
      </c>
      <c r="U130" s="206" t="n"/>
      <c r="V130" s="206" t="n"/>
    </row>
    <row r="131">
      <c r="A131" s="206" t="n">
        <v>7</v>
      </c>
      <c r="B131" s="206" t="inlineStr">
        <is>
          <t>200353812</t>
        </is>
      </c>
      <c r="C131" s="207" t="inlineStr">
        <is>
          <t>中建四局0200202101805007</t>
        </is>
      </c>
      <c r="D131" s="207" t="inlineStr">
        <is>
          <t>广州小老虎建筑机械租赁有限公司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11189319.59</v>
      </c>
      <c r="N131" s="210" t="n">
        <v>1022884.43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12388266.76</v>
      </c>
      <c r="U131" s="206" t="n"/>
      <c r="V131" s="206" t="n"/>
    </row>
    <row r="132">
      <c r="A132" s="206" t="n">
        <v>8</v>
      </c>
      <c r="B132" s="206" t="inlineStr">
        <is>
          <t>200162948</t>
        </is>
      </c>
      <c r="C132" s="207" t="inlineStr">
        <is>
          <t>中建四局0200202101805004</t>
        </is>
      </c>
      <c r="D132" s="207" t="inlineStr">
        <is>
          <t>广州市仁发运输有限公司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183165.02</v>
      </c>
      <c r="N132" s="210" t="n">
        <v>5494.92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188659.94</v>
      </c>
      <c r="U132" s="206" t="n"/>
      <c r="V132" s="206" t="n"/>
    </row>
    <row r="133">
      <c r="A133" s="206" t="n">
        <v>9</v>
      </c>
      <c r="B133" s="206" t="inlineStr">
        <is>
          <t>100217539</t>
        </is>
      </c>
      <c r="C133" s="207" t="inlineStr">
        <is>
          <t>中建四局0200202101805003</t>
        </is>
      </c>
      <c r="D133" s="207" t="inlineStr">
        <is>
          <t>广州易达运输有限公司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213962.98</v>
      </c>
      <c r="N133" s="210" t="n">
        <v>4631.78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218594.76</v>
      </c>
      <c r="U133" s="206" t="n"/>
      <c r="V133" s="206" t="n"/>
    </row>
    <row r="134">
      <c r="A134" s="206" t="n">
        <v>10</v>
      </c>
      <c r="B134" s="206" t="inlineStr">
        <is>
          <t>100217502</t>
        </is>
      </c>
      <c r="C134" s="207" t="inlineStr">
        <is>
          <t>中建四局0200202101805002</t>
        </is>
      </c>
      <c r="D134" s="207" t="inlineStr">
        <is>
          <t>广州湘亿货运代理有限公司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68419.10000000001</v>
      </c>
      <c r="N134" s="210" t="n">
        <v>6157.73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74576.83</v>
      </c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11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>
        <v>12</v>
      </c>
      <c r="B137" s="206" t="n"/>
      <c r="C137" s="207" t="n"/>
      <c r="D137" s="207" t="inlineStr">
        <is>
          <t>ZGD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-709.35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>
        <v>13</v>
      </c>
      <c r="B138" s="206" t="inlineStr">
        <is>
          <t>100197784</t>
        </is>
      </c>
      <c r="C138" s="207" t="n"/>
      <c r="D138" s="207" t="inlineStr">
        <is>
          <t>中铁物资集团华南有限公司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0.08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33" t="n"/>
      <c r="B139" s="199" t="n"/>
      <c r="C139" s="199" t="n"/>
      <c r="D139" s="211" t="inlineStr">
        <is>
          <t>**财务未列部分需增列***</t>
        </is>
      </c>
      <c r="E139" s="229" t="n"/>
      <c r="F139" s="229" t="n"/>
      <c r="G139" s="229" t="n"/>
      <c r="H139" s="189" t="n"/>
      <c r="I139" s="189" t="n"/>
      <c r="J139" s="189" t="n"/>
      <c r="K139" s="201" t="n">
        <v>0</v>
      </c>
      <c r="L139" s="202">
        <f>J139-K139</f>
        <v/>
      </c>
      <c r="M139" s="230" t="n"/>
      <c r="N139" s="230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30" t="n"/>
      <c r="U139" s="230" t="n"/>
      <c r="V139" s="230" t="n"/>
      <c r="W139" s="230" t="n"/>
      <c r="X139" s="230" t="n"/>
      <c r="Y139" s="230" t="n"/>
      <c r="Z139" s="230" t="n"/>
      <c r="AA139" s="203" t="n"/>
      <c r="AB139" s="188" t="n"/>
      <c r="AC139" s="188" t="n"/>
      <c r="AD139" s="188" t="n"/>
      <c r="AE139" s="188" t="n"/>
      <c r="AF139" s="188" t="n"/>
      <c r="AG139" s="188" t="n"/>
      <c r="AH139" s="188" t="n"/>
      <c r="AI139" s="188" t="n"/>
      <c r="AJ139" s="188" t="n"/>
      <c r="AK139" s="188">
        <f>AB37/1.17*0.17+AC37/1.16*0.16+AD37/1.11*0.11+AE37/1.1*0.1+AF37/1.09*0.09+AI37/1.03*0.03</f>
        <v/>
      </c>
      <c r="AL139" s="214" t="n"/>
    </row>
    <row r="140">
      <c r="A140" s="41" t="n"/>
      <c r="B140" s="215" t="n"/>
      <c r="C140" s="215" t="n"/>
      <c r="D140" s="231" t="inlineStr">
        <is>
          <t>机械费小计：</t>
        </is>
      </c>
      <c r="E140" s="232" t="n"/>
      <c r="F140" s="232" t="n"/>
      <c r="G140" s="232" t="n"/>
      <c r="H140" s="217">
        <f>SUM(H124:H139)</f>
        <v/>
      </c>
      <c r="I140" s="217">
        <f>SUM(I124:I139)</f>
        <v/>
      </c>
      <c r="J140" s="217">
        <f>SUM(J124:J139)</f>
        <v/>
      </c>
      <c r="K140" s="217">
        <f>SUM(K124:K139)</f>
        <v/>
      </c>
      <c r="L140" s="233">
        <f>SUM(L124:L139)</f>
        <v/>
      </c>
      <c r="M140" s="217">
        <f>SUM(M124:M139)</f>
        <v/>
      </c>
      <c r="N140" s="217">
        <f>SUM(N124:N139)</f>
        <v/>
      </c>
      <c r="O140" s="217">
        <f>SUM(O124:O139)</f>
        <v/>
      </c>
      <c r="P140" s="217">
        <f>SUM(P124:P139)</f>
        <v/>
      </c>
      <c r="Q140" s="217">
        <f>SUM(Q124:Q139)</f>
        <v/>
      </c>
      <c r="R140" s="217">
        <f>SUM(R124:R139)</f>
        <v/>
      </c>
      <c r="S140" s="217">
        <f>SUM(S124:S139)</f>
        <v/>
      </c>
      <c r="T140" s="217" t="n"/>
      <c r="U140" s="217" t="n"/>
      <c r="V140" s="217" t="n"/>
      <c r="W140" s="217" t="n"/>
      <c r="X140" s="217" t="n"/>
      <c r="Y140" s="217" t="n"/>
      <c r="Z140" s="217">
        <f>SUM(Z124:Z139)</f>
        <v/>
      </c>
      <c r="AA140" s="217">
        <f>SUM(AA124:AA139)</f>
        <v/>
      </c>
      <c r="AB140" s="217" t="n"/>
      <c r="AC140" s="217" t="n"/>
      <c r="AD140" s="217" t="n"/>
      <c r="AE140" s="217" t="n"/>
      <c r="AF140" s="217" t="n"/>
      <c r="AG140" s="217" t="n"/>
      <c r="AH140" s="217" t="n"/>
      <c r="AI140" s="217" t="n"/>
      <c r="AJ140" s="217" t="n"/>
      <c r="AK140" s="217" t="n"/>
      <c r="AL140" s="204" t="n"/>
    </row>
    <row r="141">
      <c r="A141" s="33" t="n"/>
      <c r="B141" s="199" t="n"/>
      <c r="C141" s="199" t="n"/>
      <c r="D141" s="218" t="inlineStr">
        <is>
          <t>（五）其他直接费</t>
        </is>
      </c>
      <c r="E141" s="212" t="n"/>
      <c r="F141" s="212" t="n"/>
      <c r="G141" s="212" t="n"/>
      <c r="H141" s="189" t="n"/>
      <c r="I141" s="189" t="n"/>
      <c r="J141" s="184" t="n">
        <v>0</v>
      </c>
      <c r="K141" s="201" t="n">
        <v>0</v>
      </c>
      <c r="L141" s="202">
        <f>J141-N141-P141</f>
        <v/>
      </c>
      <c r="M141" s="184" t="n"/>
      <c r="N141" s="184" t="n"/>
      <c r="O141" s="189">
        <f>L141-M141</f>
        <v/>
      </c>
      <c r="P141" s="189">
        <f>K141-N141</f>
        <v/>
      </c>
      <c r="Q141" s="189">
        <f>M141+O141</f>
        <v/>
      </c>
      <c r="R141" s="189">
        <f>M141+N141+O141+P141</f>
        <v/>
      </c>
      <c r="S141" s="203">
        <f>SUM(T141:V141)</f>
        <v/>
      </c>
      <c r="T141" s="203" t="n"/>
      <c r="U141" s="203" t="n"/>
      <c r="V141" s="203" t="n"/>
      <c r="W141" s="203" t="n"/>
      <c r="X141" s="203" t="n"/>
      <c r="Y141" s="203" t="n"/>
      <c r="Z141" s="203" t="n"/>
      <c r="AA141" s="203" t="n"/>
      <c r="AB141" s="203" t="n"/>
      <c r="AC141" s="203" t="n"/>
      <c r="AD141" s="203" t="n"/>
      <c r="AE141" s="203" t="n"/>
      <c r="AF141" s="203" t="n"/>
      <c r="AG141" s="203" t="n"/>
      <c r="AH141" s="203" t="n"/>
      <c r="AI141" s="203" t="n"/>
      <c r="AJ141" s="203" t="n"/>
      <c r="AK141" s="188" t="n"/>
      <c r="AL141" s="204" t="n"/>
    </row>
    <row r="142">
      <c r="A142" s="206" t="n"/>
      <c r="B142" s="206" t="n"/>
      <c r="C142" s="207" t="n"/>
      <c r="D142" s="207" t="inlineStr">
        <is>
          <t>保险费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2060794.4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其他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4351039.99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咨询费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1165.05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检验试验费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2298882.29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水电费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8300988.65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33" t="n"/>
      <c r="B147" s="199" t="n"/>
      <c r="C147" s="199" t="n"/>
      <c r="D147" s="211" t="inlineStr">
        <is>
          <t>**财务未列部分需增列***</t>
        </is>
      </c>
      <c r="E147" s="212" t="n"/>
      <c r="F147" s="212" t="n"/>
      <c r="G147" s="212" t="n"/>
      <c r="H147" s="189" t="n"/>
      <c r="I147" s="189" t="n"/>
      <c r="J147" s="184" t="n"/>
      <c r="K147" s="201" t="n"/>
      <c r="L147" s="202">
        <f>J147-K147</f>
        <v/>
      </c>
      <c r="M147" s="234" t="n"/>
      <c r="N147" s="23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34" t="n"/>
      <c r="U147" s="234" t="n"/>
      <c r="V147" s="234" t="n"/>
      <c r="W147" s="234" t="n"/>
      <c r="X147" s="234" t="n"/>
      <c r="Y147" s="234" t="n"/>
      <c r="Z147" s="189">
        <f>SUM(AA45:AJ45)</f>
        <v/>
      </c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55" t="n"/>
      <c r="B148" s="235" t="n"/>
      <c r="C148" s="235" t="n"/>
      <c r="D148" s="231" t="inlineStr">
        <is>
          <t>其他直接费小计：</t>
        </is>
      </c>
      <c r="E148" s="236" t="n"/>
      <c r="F148" s="236" t="n"/>
      <c r="G148" s="236" t="n"/>
      <c r="H148" s="217">
        <f>SUM(H141:H147)</f>
        <v/>
      </c>
      <c r="I148" s="217">
        <f>SUM(I141:I147)</f>
        <v/>
      </c>
      <c r="J148" s="217">
        <f>SUM(J141:J147)</f>
        <v/>
      </c>
      <c r="K148" s="217">
        <f>SUM(K141:K147)</f>
        <v/>
      </c>
      <c r="L148" s="233">
        <f>SUM(L141:L147)</f>
        <v/>
      </c>
      <c r="M148" s="217">
        <f>SUM(M141:M147)</f>
        <v/>
      </c>
      <c r="N148" s="217">
        <f>SUM(N141:N147)</f>
        <v/>
      </c>
      <c r="O148" s="217">
        <f>L148-M148</f>
        <v/>
      </c>
      <c r="P148" s="217">
        <f>SUM(P141:P147)</f>
        <v/>
      </c>
      <c r="Q148" s="217">
        <f>M148+O148</f>
        <v/>
      </c>
      <c r="R148" s="217">
        <f>SUM(R141:R147)</f>
        <v/>
      </c>
      <c r="S148" s="217">
        <f>SUM(S141:S147)</f>
        <v/>
      </c>
      <c r="T148" s="217" t="n"/>
      <c r="U148" s="217" t="n"/>
      <c r="V148" s="217" t="n"/>
      <c r="W148" s="217" t="n"/>
      <c r="X148" s="217" t="n"/>
      <c r="Y148" s="217" t="n"/>
      <c r="Z148" s="217">
        <f>SUM(Z141:Z147)</f>
        <v/>
      </c>
      <c r="AA148" s="217">
        <f>SUM(AA141:AA147)</f>
        <v/>
      </c>
      <c r="AB148" s="217">
        <f>SUM(AB141:AB147)</f>
        <v/>
      </c>
      <c r="AC148" s="217">
        <f>SUM(AC141:AC147)</f>
        <v/>
      </c>
      <c r="AD148" s="217">
        <f>SUM(AD141:AD147)</f>
        <v/>
      </c>
      <c r="AE148" s="217">
        <f>SUM(AE141:AE147)</f>
        <v/>
      </c>
      <c r="AF148" s="217">
        <f>SUM(AF141:AF147)</f>
        <v/>
      </c>
      <c r="AG148" s="217" t="n"/>
      <c r="AH148" s="217" t="n"/>
      <c r="AI148" s="217">
        <f>SUM(AI141:AI147)</f>
        <v/>
      </c>
      <c r="AJ148" s="217">
        <f>SUM(AJ141:AJ147)</f>
        <v/>
      </c>
      <c r="AK148" s="217">
        <f>SUM(AK141:AK147)</f>
        <v/>
      </c>
      <c r="AL148" s="204" t="n"/>
    </row>
    <row r="149">
      <c r="A149" s="33" t="n"/>
      <c r="B149" s="199" t="n"/>
      <c r="C149" s="199" t="n"/>
      <c r="D149" s="218" t="inlineStr">
        <is>
          <t>（六）间接费</t>
        </is>
      </c>
      <c r="E149" s="212" t="n"/>
      <c r="F149" s="212" t="n"/>
      <c r="G149" s="212" t="n"/>
      <c r="H149" s="184" t="n"/>
      <c r="I149" s="189" t="n"/>
      <c r="J149" s="189" t="n">
        <v>0</v>
      </c>
      <c r="K149" s="201" t="n">
        <v>0</v>
      </c>
      <c r="L149" s="202">
        <f>J149-N149-P149</f>
        <v/>
      </c>
      <c r="M149" s="184" t="n"/>
      <c r="N149" s="184" t="n"/>
      <c r="O149" s="189">
        <f>L149-M149</f>
        <v/>
      </c>
      <c r="P149" s="189">
        <f>K149-N149</f>
        <v/>
      </c>
      <c r="Q149" s="189">
        <f>M149+O149</f>
        <v/>
      </c>
      <c r="R149" s="189">
        <f>M149+N149+O149+P149</f>
        <v/>
      </c>
      <c r="S149" s="203">
        <f>SUM(T149:V149)</f>
        <v/>
      </c>
      <c r="T149" s="203" t="n"/>
      <c r="U149" s="203" t="n"/>
      <c r="V149" s="203" t="n"/>
      <c r="W149" s="203" t="n"/>
      <c r="X149" s="203" t="n"/>
      <c r="Y149" s="203" t="n"/>
      <c r="Z149" s="203" t="n"/>
      <c r="AA149" s="203" t="n"/>
      <c r="AB149" s="203" t="n"/>
      <c r="AC149" s="203" t="n"/>
      <c r="AD149" s="203" t="n"/>
      <c r="AE149" s="203" t="n"/>
      <c r="AF149" s="203" t="n"/>
      <c r="AG149" s="203" t="n"/>
      <c r="AH149" s="203" t="n"/>
      <c r="AI149" s="203" t="n"/>
      <c r="AJ149" s="203" t="n"/>
      <c r="AK149" s="188" t="n"/>
      <c r="AL149" s="204" t="n"/>
    </row>
    <row r="150">
      <c r="A150" s="206" t="n"/>
      <c r="B150" s="206" t="n"/>
      <c r="C150" s="207" t="n"/>
      <c r="D150" s="207" t="inlineStr">
        <is>
          <t>书报资料费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220.88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企业年金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186548.56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会议费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5867.37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住房公积金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921583.74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保险费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4245.28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修理费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27769.38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445466.64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其他补充保险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87.84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冲晒印刷费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112428.15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办公用品费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607692.39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医疗保险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453554.98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基本养老保险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1111816.95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境内差旅费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29087.86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失业保险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45975.32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工会经费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266903.49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工伤保险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43560.14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工资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21036724.24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市内交通费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5663.74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律师费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14327.83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折旧费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66169.48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水电费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1915223.39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燃油费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210747.51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物业租赁费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223298.47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物业管理费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463287.94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物料消耗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4059.41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生育保险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4798.28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社保及公积金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1410339.33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租车费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429894.83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维修保养费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34521.89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网络使用费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114830.51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职工教育经费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135820.32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职工福利费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824342.88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补充医疗保险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7322.89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诉讼费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36638.87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路桥及停车费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78817.39999999999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软件费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209326.47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通信费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192969.09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邮寄费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1030.72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33" t="n"/>
      <c r="B188" s="199" t="n"/>
      <c r="C188" s="199" t="n"/>
      <c r="D188" s="211" t="inlineStr">
        <is>
          <t>**财务未列部分需增列***</t>
        </is>
      </c>
      <c r="E188" s="212" t="n"/>
      <c r="F188" s="212" t="n"/>
      <c r="G188" s="212" t="n"/>
      <c r="H188" s="234" t="n"/>
      <c r="I188" s="189" t="n"/>
      <c r="J188" s="234" t="n"/>
      <c r="K188" s="201" t="n"/>
      <c r="L188" s="202" t="n"/>
      <c r="M188" s="234" t="n"/>
      <c r="N188" s="189" t="n"/>
      <c r="O188" s="189">
        <f>L188-M188</f>
        <v/>
      </c>
      <c r="P188" s="189">
        <f>K188-N188</f>
        <v/>
      </c>
      <c r="Q188" s="189">
        <f>M188+O188</f>
        <v/>
      </c>
      <c r="R188" s="189">
        <f>M188+N188+O188+P188</f>
        <v/>
      </c>
      <c r="S188" s="203">
        <f>SUM(T188:V188)</f>
        <v/>
      </c>
      <c r="T188" s="234" t="n"/>
      <c r="U188" s="234" t="n"/>
      <c r="V188" s="234" t="n"/>
      <c r="W188" s="234" t="n"/>
      <c r="X188" s="234" t="n"/>
      <c r="Y188" s="234" t="n"/>
      <c r="Z188" s="234" t="n"/>
      <c r="AA188" s="203" t="n"/>
      <c r="AB188" s="188" t="n"/>
      <c r="AC188" s="188" t="n"/>
      <c r="AD188" s="188" t="n"/>
      <c r="AE188" s="188" t="n"/>
      <c r="AF188" s="188" t="n"/>
      <c r="AG188" s="188" t="n"/>
      <c r="AH188" s="188" t="n"/>
      <c r="AI188" s="188" t="n"/>
      <c r="AJ188" s="188" t="n"/>
      <c r="AK188" s="188" t="n"/>
      <c r="AL188" s="214" t="n"/>
    </row>
    <row r="189">
      <c r="A189" s="55" t="n"/>
      <c r="B189" s="235" t="n"/>
      <c r="C189" s="235" t="n"/>
      <c r="D189" s="231" t="inlineStr">
        <is>
          <t>间接费小计：</t>
        </is>
      </c>
      <c r="E189" s="236" t="n"/>
      <c r="F189" s="236" t="n"/>
      <c r="G189" s="236" t="n"/>
      <c r="H189" s="217">
        <f>SUM(H149:H188)</f>
        <v/>
      </c>
      <c r="I189" s="217">
        <f>SUM(I149:I188)</f>
        <v/>
      </c>
      <c r="J189" s="217">
        <f>SUM(J149:J188)</f>
        <v/>
      </c>
      <c r="K189" s="217">
        <f>SUM(K149:K188)</f>
        <v/>
      </c>
      <c r="L189" s="233">
        <f>SUM(L149:L188)</f>
        <v/>
      </c>
      <c r="M189" s="233">
        <f>SUM(M149:M188)</f>
        <v/>
      </c>
      <c r="N189" s="233">
        <f>SUM(N149:N188)</f>
        <v/>
      </c>
      <c r="O189" s="233">
        <f>SUM(O149:O188)</f>
        <v/>
      </c>
      <c r="P189" s="233">
        <f>SUM(P149:P188)</f>
        <v/>
      </c>
      <c r="Q189" s="233">
        <f>SUM(Q149:Q188)</f>
        <v/>
      </c>
      <c r="R189" s="233">
        <f>SUM(R149:R188)</f>
        <v/>
      </c>
      <c r="S189" s="233">
        <f>SUM(S149:S188)</f>
        <v/>
      </c>
      <c r="T189" s="233" t="n"/>
      <c r="U189" s="233" t="n"/>
      <c r="V189" s="233" t="n"/>
      <c r="W189" s="233" t="n"/>
      <c r="X189" s="233" t="n"/>
      <c r="Y189" s="233" t="n"/>
      <c r="Z189" s="233">
        <f>SUM(Z149:Z188)</f>
        <v/>
      </c>
      <c r="AA189" s="233">
        <f>SUM(AA149:AA188)</f>
        <v/>
      </c>
      <c r="AB189" s="233">
        <f>SUM(AB149:AB188)</f>
        <v/>
      </c>
      <c r="AC189" s="233">
        <f>SUM(AC149:AC188)</f>
        <v/>
      </c>
      <c r="AD189" s="233">
        <f>SUM(AD149:AD188)</f>
        <v/>
      </c>
      <c r="AE189" s="233">
        <f>SUM(AE149:AE188)</f>
        <v/>
      </c>
      <c r="AF189" s="233">
        <f>SUM(AF149:AF188)</f>
        <v/>
      </c>
      <c r="AG189" s="233" t="n"/>
      <c r="AH189" s="233" t="n"/>
      <c r="AI189" s="233">
        <f>SUM(AI149:AI188)</f>
        <v/>
      </c>
      <c r="AJ189" s="233">
        <f>SUM(AJ149:AJ188)</f>
        <v/>
      </c>
      <c r="AK189" s="233">
        <f>SUM(AK149:AK188)</f>
        <v/>
      </c>
      <c r="AL189" s="214" t="n"/>
    </row>
    <row r="190">
      <c r="A190" s="33" t="n"/>
      <c r="B190" s="199" t="n"/>
      <c r="C190" s="199" t="n"/>
      <c r="D190" s="218" t="inlineStr">
        <is>
          <t>（七）安全费</t>
        </is>
      </c>
      <c r="E190" s="212" t="n"/>
      <c r="F190" s="212" t="n"/>
      <c r="G190" s="212" t="n"/>
      <c r="H190" s="189" t="n"/>
      <c r="I190" s="189" t="n"/>
      <c r="J190" s="184" t="n">
        <v>0</v>
      </c>
      <c r="K190" s="237" t="n"/>
      <c r="L190" s="202">
        <f>J190-N190-P190</f>
        <v/>
      </c>
      <c r="M190" s="189" t="n"/>
      <c r="N190" s="189" t="n"/>
      <c r="O190" s="189">
        <f>L190-M190</f>
        <v/>
      </c>
      <c r="P190" s="189">
        <f>K190-N190</f>
        <v/>
      </c>
      <c r="Q190" s="189">
        <f>M190+O190</f>
        <v/>
      </c>
      <c r="R190" s="189">
        <f>M190+N190+O190+P190</f>
        <v/>
      </c>
      <c r="S190" s="203">
        <f>SUM(T190:V190)</f>
        <v/>
      </c>
      <c r="T190" s="234" t="n"/>
      <c r="U190" s="234" t="n"/>
      <c r="V190" s="234" t="n"/>
      <c r="W190" s="234" t="n"/>
      <c r="X190" s="234" t="n"/>
      <c r="Y190" s="234" t="n"/>
      <c r="Z190" s="230" t="n"/>
      <c r="AA190" s="203" t="n"/>
      <c r="AB190" s="188" t="n"/>
      <c r="AC190" s="188" t="n"/>
      <c r="AD190" s="188" t="n"/>
      <c r="AE190" s="188" t="n"/>
      <c r="AF190" s="188" t="n"/>
      <c r="AG190" s="188" t="n"/>
      <c r="AH190" s="188" t="n"/>
      <c r="AI190" s="188" t="n"/>
      <c r="AJ190" s="188" t="n"/>
      <c r="AK190" s="188" t="n"/>
      <c r="AL190" s="214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12546095.85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5" t="n"/>
      <c r="C195" s="235" t="n"/>
      <c r="D195" s="231" t="inlineStr">
        <is>
          <t>安全费小计：</t>
        </is>
      </c>
      <c r="E195" s="231" t="n"/>
      <c r="F195" s="231" t="n"/>
      <c r="G195" s="231" t="n"/>
      <c r="H195" s="217">
        <f>SUM(H190:H194)</f>
        <v/>
      </c>
      <c r="I195" s="217">
        <f>SUM(I190:I194)</f>
        <v/>
      </c>
      <c r="J195" s="217" t="n">
        <v>0</v>
      </c>
      <c r="K195" s="217" t="n">
        <v>0</v>
      </c>
      <c r="L195" s="202">
        <f>J195-K195</f>
        <v/>
      </c>
      <c r="M195" s="233">
        <f>SUM(M190:M194)</f>
        <v/>
      </c>
      <c r="N195" s="233">
        <f>SUM(N190:N194)</f>
        <v/>
      </c>
      <c r="O195" s="233">
        <f>SUM(O190:O194)</f>
        <v/>
      </c>
      <c r="P195" s="233">
        <f>SUM(P190:P194)</f>
        <v/>
      </c>
      <c r="Q195" s="233">
        <f>SUM(Q190:Q194)</f>
        <v/>
      </c>
      <c r="R195" s="233">
        <f>SUM(R190:R194)</f>
        <v/>
      </c>
      <c r="S195" s="233">
        <f>SUM(S190:S194)</f>
        <v/>
      </c>
      <c r="T195" s="238" t="n"/>
      <c r="U195" s="238" t="n"/>
      <c r="V195" s="238" t="n"/>
      <c r="W195" s="238" t="n"/>
      <c r="X195" s="238" t="n"/>
      <c r="Y195" s="238" t="n"/>
      <c r="Z195" s="238" t="n"/>
      <c r="AA195" s="238">
        <f>SUM(AA190:AA194)</f>
        <v/>
      </c>
      <c r="AB195" s="238">
        <f>SUM(AB190:AB194)</f>
        <v/>
      </c>
      <c r="AC195" s="238">
        <f>SUM(AC190:AC194)</f>
        <v/>
      </c>
      <c r="AD195" s="238">
        <f>SUM(AD190:AD194)</f>
        <v/>
      </c>
      <c r="AE195" s="238">
        <f>SUM(AE190:AE194)</f>
        <v/>
      </c>
      <c r="AF195" s="238">
        <f>SUM(AF190:AF194)</f>
        <v/>
      </c>
      <c r="AG195" s="238" t="n"/>
      <c r="AH195" s="238" t="n"/>
      <c r="AI195" s="238">
        <f>SUM(AI190:AI194)</f>
        <v/>
      </c>
      <c r="AJ195" s="238">
        <f>SUM(AJ190:AJ194)</f>
        <v/>
      </c>
      <c r="AK195" s="238">
        <f>SUM(AK190:AK194)</f>
        <v/>
      </c>
      <c r="AL195" s="239" t="n"/>
    </row>
    <row r="196">
      <c r="A196" s="55" t="n"/>
      <c r="B196" s="235" t="n"/>
      <c r="C196" s="235" t="n"/>
      <c r="D196" s="231" t="inlineStr">
        <is>
          <t>三、成本合计：</t>
        </is>
      </c>
      <c r="E196" s="236" t="n"/>
      <c r="F196" s="236" t="n"/>
      <c r="G196" s="236" t="n"/>
      <c r="H196" s="217">
        <f>H34+H67+H123+H140+H148+H189+H195</f>
        <v/>
      </c>
      <c r="I196" s="217">
        <f>I34+I67+I123+I140+I148+I189+I195</f>
        <v/>
      </c>
      <c r="J196" s="217">
        <f>J34+J67+J123+J140+J148+J189+J195</f>
        <v/>
      </c>
      <c r="K196" s="217">
        <f>K34+K67+K123+K140+K148+K189+K195</f>
        <v/>
      </c>
      <c r="L196" s="233">
        <f>L34+L67+L123+L140+L148+L189+L195</f>
        <v/>
      </c>
      <c r="M196" s="238">
        <f>M34+M67+M123+M140+M148+M189+M195</f>
        <v/>
      </c>
      <c r="N196" s="238">
        <f>N34+N67+N123+N140+N148+N189+N195</f>
        <v/>
      </c>
      <c r="O196" s="238">
        <f>O34+O67+O123+O140+O148+O189+O195</f>
        <v/>
      </c>
      <c r="P196" s="238">
        <f>P34+P67+P123+P140+P148+P189+P195</f>
        <v/>
      </c>
      <c r="Q196" s="238">
        <f>Q34+Q67+Q123+Q140+Q148+Q189+Q195</f>
        <v/>
      </c>
      <c r="R196" s="238">
        <f>R34+R67+R123+R140+R148+R189+R195</f>
        <v/>
      </c>
      <c r="S196" s="238">
        <f>S34+S67+S123+S140+S148+S189+S195</f>
        <v/>
      </c>
      <c r="T196" s="238" t="n"/>
      <c r="U196" s="238" t="n"/>
      <c r="V196" s="238" t="n"/>
      <c r="W196" s="238" t="n"/>
      <c r="X196" s="238" t="n"/>
      <c r="Y196" s="238" t="n"/>
      <c r="Z196" s="238">
        <f>Z34+Z67+Z123+Z140+Z148+Z189+Z195</f>
        <v/>
      </c>
      <c r="AA196" s="238">
        <f>AA34+AA67+AA123+AA140+AA148+AA189+AA195</f>
        <v/>
      </c>
      <c r="AB196" s="238">
        <f>AB34+AB67+AB123+AB140+AB148+AB189+AB195</f>
        <v/>
      </c>
      <c r="AC196" s="238">
        <f>AC34+AC67+AC123+AC140+AC148+AC189+AC195</f>
        <v/>
      </c>
      <c r="AD196" s="238">
        <f>AD34+AD67+AD123+AD140+AD148+AD189+AD195</f>
        <v/>
      </c>
      <c r="AE196" s="238">
        <f>AE34+AE67+AE123+AE140+AE148+AE189+AE195</f>
        <v/>
      </c>
      <c r="AF196" s="238">
        <f>AF34+AF67+AF123+AF140+AF148+AF189+AF195</f>
        <v/>
      </c>
      <c r="AG196" s="238" t="n"/>
      <c r="AH196" s="238" t="n"/>
      <c r="AI196" s="238">
        <f>AI34+AI67+AI123+AI140+AI148+AI189+AI195</f>
        <v/>
      </c>
      <c r="AJ196" s="238">
        <f>AJ34+AJ67+AJ123+AJ140+AJ148+AJ189+AJ195</f>
        <v/>
      </c>
      <c r="AK196" s="238">
        <f>AK34+AK67+AK123+AK140+AK148+AK189+AK195</f>
        <v/>
      </c>
      <c r="AL196" s="239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40" t="inlineStr">
        <is>
          <t>（在建：房建0.6%，其它0.4%；在保修期间的按0.3~0.5%自行确定;保修期结束为0）</t>
        </is>
      </c>
      <c r="F197" s="240" t="n"/>
      <c r="G197" s="240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1" t="n"/>
      <c r="AC197" s="241" t="n"/>
      <c r="AD197" s="241" t="n"/>
      <c r="AE197" s="241" t="n"/>
      <c r="AF197" s="241" t="n"/>
      <c r="AG197" s="241" t="n"/>
      <c r="AH197" s="241" t="n"/>
      <c r="AI197" s="241" t="n"/>
      <c r="AJ197" s="241" t="n"/>
      <c r="AK197" s="188" t="n"/>
      <c r="AL197" s="239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23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5" t="n"/>
      <c r="C201" s="235" t="n"/>
      <c r="D201" s="231" t="inlineStr">
        <is>
          <t>八、研发费用</t>
        </is>
      </c>
      <c r="E201" s="236" t="n"/>
      <c r="F201" s="236" t="n"/>
      <c r="G201" s="236" t="n"/>
      <c r="H201" s="217" t="n"/>
      <c r="I201" s="217" t="n"/>
      <c r="J201" s="217">
        <f>H201+I201</f>
        <v/>
      </c>
      <c r="K201" s="217" t="n"/>
      <c r="L201" s="233">
        <f>J201-K201</f>
        <v/>
      </c>
      <c r="M201" s="238">
        <f>SUM(M74:M76)</f>
        <v/>
      </c>
      <c r="N201" s="238">
        <f>SUM(N74:N76)</f>
        <v/>
      </c>
      <c r="O201" s="238">
        <f>SUM(O74:O76)</f>
        <v/>
      </c>
      <c r="P201" s="238">
        <f>SUM(P74:P76)</f>
        <v/>
      </c>
      <c r="Q201" s="238">
        <f>SUM(Q74:Q76)</f>
        <v/>
      </c>
      <c r="R201" s="238">
        <f>SUM(R74:R76)</f>
        <v/>
      </c>
      <c r="S201" s="238">
        <f>SUM(S74:S76)</f>
        <v/>
      </c>
      <c r="T201" s="238">
        <f>SUM(T74:T76)</f>
        <v/>
      </c>
      <c r="U201" s="238">
        <f>SUM(U74:U76)</f>
        <v/>
      </c>
      <c r="V201" s="238">
        <f>SUM(V74:V76)</f>
        <v/>
      </c>
      <c r="W201" s="238">
        <f>SUM(W74:W76)</f>
        <v/>
      </c>
      <c r="X201" s="238">
        <f>SUM(X74:X76)</f>
        <v/>
      </c>
      <c r="Y201" s="238">
        <f>SUM(Y74:Y76)</f>
        <v/>
      </c>
      <c r="Z201" s="238">
        <f>SUM(Z74:Z76)</f>
        <v/>
      </c>
      <c r="AA201" s="238">
        <f>SUM(AA74:AA76)</f>
        <v/>
      </c>
      <c r="AB201" s="238">
        <f>SUM(AB74:AB76)</f>
        <v/>
      </c>
      <c r="AC201" s="238">
        <f>SUM(AC74:AC76)</f>
        <v/>
      </c>
      <c r="AD201" s="238">
        <f>SUM(AD74:AD76)</f>
        <v/>
      </c>
      <c r="AE201" s="238">
        <f>SUM(AE74:AE76)</f>
        <v/>
      </c>
      <c r="AF201" s="238">
        <f>SUM(AF74:AF76)</f>
        <v/>
      </c>
      <c r="AG201" s="238">
        <f>SUM(AG74:AG76)</f>
        <v/>
      </c>
      <c r="AH201" s="238">
        <f>SUM(AH74:AH76)</f>
        <v/>
      </c>
      <c r="AI201" s="238">
        <f>SUM(AI74:AI76)</f>
        <v/>
      </c>
      <c r="AJ201" s="238">
        <f>SUM(AJ74:AJ76)</f>
        <v/>
      </c>
      <c r="AK201" s="238">
        <f>SUM(AK74:AK76)</f>
        <v/>
      </c>
      <c r="AL201" s="239" t="n"/>
    </row>
    <row r="202">
      <c r="A202" s="209" t="n"/>
      <c r="B202" s="209" t="n"/>
      <c r="C202" s="242" t="n"/>
      <c r="D202" s="242" t="inlineStr">
        <is>
          <t>人工成本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2069939.18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44" t="n"/>
      <c r="T202" s="244" t="n"/>
      <c r="U202" s="244" t="n"/>
      <c r="V202" s="244" t="n"/>
    </row>
    <row r="203">
      <c r="A203" s="209" t="n"/>
      <c r="B203" s="209" t="n"/>
      <c r="C203" s="242" t="n"/>
      <c r="D203" s="242" t="inlineStr">
        <is>
          <t>可用存款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2358.5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44" t="n"/>
      <c r="T203" s="244" t="n"/>
      <c r="U203" s="244" t="n"/>
      <c r="V203" s="244" t="n"/>
    </row>
    <row r="204">
      <c r="A204" s="209" t="n"/>
      <c r="B204" s="209" t="n"/>
      <c r="C204" s="242" t="n"/>
      <c r="D204" s="242" t="inlineStr">
        <is>
          <t>折旧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6857.02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44" t="n"/>
      <c r="T204" s="244" t="n"/>
      <c r="U204" s="244" t="n"/>
      <c r="V204" s="244" t="n"/>
    </row>
    <row r="205">
      <c r="A205" s="209" t="n"/>
      <c r="B205" s="209" t="n"/>
      <c r="C205" s="242" t="n"/>
      <c r="D205" s="242" t="inlineStr">
        <is>
          <t>机械租赁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63495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44" t="n"/>
      <c r="T205" s="244" t="n"/>
      <c r="U205" s="244" t="n"/>
      <c r="V205" s="244" t="n"/>
    </row>
    <row r="206">
      <c r="A206" s="209" t="n"/>
      <c r="B206" s="209" t="n"/>
      <c r="C206" s="242" t="n"/>
      <c r="D206" s="242" t="inlineStr">
        <is>
          <t>材料费</t>
        </is>
      </c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43" t="n">
        <v>25030932</v>
      </c>
      <c r="N206" s="244" t="n"/>
      <c r="O206" s="244">
        <f>L206-M206</f>
        <v/>
      </c>
      <c r="P206" s="244">
        <f>K206-N206</f>
        <v/>
      </c>
      <c r="Q206" s="244">
        <f>M206+O206</f>
        <v/>
      </c>
      <c r="R206" s="244">
        <f>M206+N206+O206+P206</f>
        <v/>
      </c>
      <c r="S206" s="244" t="n"/>
      <c r="T206" s="244" t="n"/>
      <c r="U206" s="244" t="n"/>
      <c r="V206" s="244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1" t="inlineStr">
        <is>
          <t>九、成本及费用合计（三+四+五+六+七）</t>
        </is>
      </c>
      <c r="E210" s="232" t="n"/>
      <c r="F210" s="232" t="n"/>
      <c r="G210" s="232" t="n"/>
      <c r="H210" s="217">
        <f>H68+H69+H70+H71+#REF!</f>
        <v/>
      </c>
      <c r="I210" s="217">
        <f>I68+I69+I70+I71+#REF!</f>
        <v/>
      </c>
      <c r="J210" s="245">
        <f>J68+J69+J70+J71+#REF!</f>
        <v/>
      </c>
      <c r="K210" s="217">
        <f>K68+K69+K70+K71+#REF!</f>
        <v/>
      </c>
      <c r="L210" s="246">
        <f>L68+L69+L70+L71+#REF!</f>
        <v/>
      </c>
      <c r="M210" s="246">
        <f>M68+M69+M70+M71</f>
        <v/>
      </c>
      <c r="N210" s="246">
        <f>N68+N69+N70+N71</f>
        <v/>
      </c>
      <c r="O210" s="246">
        <f>O68+O69+O70+O71</f>
        <v/>
      </c>
      <c r="P210" s="246">
        <f>P68+P69+P70+P71</f>
        <v/>
      </c>
      <c r="Q210" s="246">
        <f>Q68+Q69+Q70+Q71</f>
        <v/>
      </c>
      <c r="R210" s="246">
        <f>R68+R69+R70+R71</f>
        <v/>
      </c>
      <c r="S210" s="238">
        <f>S68+S69+S70+S71</f>
        <v/>
      </c>
      <c r="T210" s="238" t="n"/>
      <c r="U210" s="238" t="n"/>
      <c r="V210" s="238" t="n"/>
      <c r="W210" s="238" t="n"/>
      <c r="X210" s="238" t="n"/>
      <c r="Y210" s="238" t="n"/>
      <c r="Z210" s="238">
        <f>Z68+Z69+Z70+Z71</f>
        <v/>
      </c>
      <c r="AA210" s="238">
        <f>AA68+AA69+AA70+AA71</f>
        <v/>
      </c>
      <c r="AB210" s="247" t="n"/>
      <c r="AC210" s="247" t="n"/>
      <c r="AD210" s="247" t="n"/>
      <c r="AE210" s="247" t="n"/>
      <c r="AF210" s="247" t="n"/>
      <c r="AG210" s="247" t="n"/>
      <c r="AH210" s="247" t="n"/>
      <c r="AI210" s="247" t="n"/>
      <c r="AJ210" s="247" t="n"/>
      <c r="AK210" s="248" t="n"/>
      <c r="AL210" s="249" t="n"/>
    </row>
    <row r="211">
      <c r="A211" s="41" t="n"/>
      <c r="B211" s="215" t="n"/>
      <c r="C211" s="215" t="n"/>
      <c r="D211" s="231" t="inlineStr">
        <is>
          <t>十、增值税实际税负（按财务数据）</t>
        </is>
      </c>
      <c r="E211" s="232" t="inlineStr">
        <is>
          <t>根据财务账面实际已缴纳增值税额+尚需缴纳的增值税额</t>
        </is>
      </c>
      <c r="F211" s="232" t="n"/>
      <c r="G211" s="232" t="n"/>
      <c r="H211" s="217" t="n"/>
      <c r="I211" s="217" t="n"/>
      <c r="J211" s="245">
        <f>H78+I78</f>
        <v/>
      </c>
      <c r="K211" s="217" t="inlineStr">
        <is>
          <t>/</t>
        </is>
      </c>
      <c r="L211" s="246" t="inlineStr">
        <is>
          <t>/</t>
        </is>
      </c>
      <c r="M211" s="246" t="n"/>
      <c r="N211" s="246">
        <f>N6-N77</f>
        <v/>
      </c>
      <c r="O211" s="246" t="n"/>
      <c r="P211" s="246" t="n"/>
      <c r="Q211" s="246" t="inlineStr">
        <is>
          <t>/</t>
        </is>
      </c>
      <c r="R211" s="246">
        <f>N78+P78</f>
        <v/>
      </c>
      <c r="S211" s="238" t="n"/>
      <c r="T211" s="238" t="n"/>
      <c r="U211" s="238" t="n"/>
      <c r="V211" s="238" t="n"/>
      <c r="W211" s="238" t="n"/>
      <c r="X211" s="238" t="n"/>
      <c r="Y211" s="238" t="n"/>
      <c r="Z211" s="238" t="n"/>
      <c r="AA211" s="238" t="n"/>
      <c r="AB211" s="247" t="n"/>
      <c r="AC211" s="247" t="n"/>
      <c r="AD211" s="247" t="n"/>
      <c r="AE211" s="247" t="n"/>
      <c r="AF211" s="247" t="n"/>
      <c r="AG211" s="247" t="n"/>
      <c r="AH211" s="247" t="n"/>
      <c r="AI211" s="247" t="n"/>
      <c r="AJ211" s="247" t="n"/>
      <c r="AK211" s="248" t="n"/>
      <c r="AL211" s="249" t="n"/>
    </row>
    <row r="212">
      <c r="A212" s="41" t="n"/>
      <c r="B212" s="215" t="n"/>
      <c r="C212" s="215" t="n"/>
      <c r="D212" s="231" t="inlineStr">
        <is>
          <t>十一、税金及附加（按财务数据）</t>
        </is>
      </c>
      <c r="E212" s="232" t="inlineStr">
        <is>
          <t>根据财务账面实际已缴纳税金及附加+尚需缴纳的税金及附加</t>
        </is>
      </c>
      <c r="F212" s="232" t="n"/>
      <c r="G212" s="232" t="n"/>
      <c r="H212" s="217" t="n"/>
      <c r="I212" s="217" t="n"/>
      <c r="J212" s="245">
        <f>H79+I79</f>
        <v/>
      </c>
      <c r="K212" s="217" t="n"/>
      <c r="L212" s="246">
        <f>J79</f>
        <v/>
      </c>
      <c r="M212" s="250" t="n">
        <v>349670.26</v>
      </c>
      <c r="N212" s="246" t="n"/>
      <c r="O212" s="246">
        <f>L79-M79</f>
        <v/>
      </c>
      <c r="P212" s="246" t="n"/>
      <c r="Q212" s="246">
        <f>M79+O79</f>
        <v/>
      </c>
      <c r="R212" s="246">
        <f>Q79</f>
        <v/>
      </c>
      <c r="S212" s="238" t="n"/>
      <c r="T212" s="238" t="n"/>
      <c r="U212" s="238" t="n"/>
      <c r="V212" s="238" t="n"/>
      <c r="W212" s="238" t="n"/>
      <c r="X212" s="238" t="n"/>
      <c r="Y212" s="238" t="n"/>
      <c r="Z212" s="238" t="n"/>
      <c r="AA212" s="238" t="n"/>
      <c r="AB212" s="247" t="n"/>
      <c r="AC212" s="247" t="n"/>
      <c r="AD212" s="247" t="n"/>
      <c r="AE212" s="247" t="n"/>
      <c r="AF212" s="247" t="n"/>
      <c r="AG212" s="247" t="n"/>
      <c r="AH212" s="247" t="n"/>
      <c r="AI212" s="247" t="n"/>
      <c r="AJ212" s="247" t="n"/>
      <c r="AK212" s="248" t="n"/>
      <c r="AL212" s="249" t="n"/>
    </row>
    <row r="213">
      <c r="A213" s="41" t="n"/>
      <c r="B213" s="215" t="n"/>
      <c r="C213" s="215" t="n"/>
      <c r="D213" s="231" t="inlineStr">
        <is>
          <t>十二、利润</t>
        </is>
      </c>
      <c r="E213" s="232" t="n"/>
      <c r="F213" s="232" t="n"/>
      <c r="G213" s="232" t="n"/>
      <c r="H213" s="217" t="n"/>
      <c r="I213" s="217" t="n"/>
      <c r="J213" s="245">
        <f>J6-J77-J78-J79</f>
        <v/>
      </c>
      <c r="K213" s="217" t="n"/>
      <c r="L213" s="246" t="n"/>
      <c r="M213" s="246" t="n"/>
      <c r="N213" s="246" t="n"/>
      <c r="O213" s="246" t="n"/>
      <c r="P213" s="246" t="n"/>
      <c r="Q213" s="246" t="n"/>
      <c r="R213" s="246" t="n"/>
      <c r="S213" s="238" t="n"/>
      <c r="T213" s="238" t="n"/>
      <c r="U213" s="238" t="n"/>
      <c r="V213" s="238" t="n"/>
      <c r="W213" s="238" t="n"/>
      <c r="X213" s="238" t="n"/>
      <c r="Y213" s="238" t="n"/>
      <c r="Z213" s="238" t="n"/>
      <c r="AA213" s="238" t="n"/>
      <c r="AB213" s="247" t="n"/>
      <c r="AC213" s="247" t="n"/>
      <c r="AD213" s="247" t="n"/>
      <c r="AE213" s="247" t="n"/>
      <c r="AF213" s="247" t="n"/>
      <c r="AG213" s="247" t="n"/>
      <c r="AH213" s="247" t="n"/>
      <c r="AI213" s="247" t="n"/>
      <c r="AJ213" s="247" t="n"/>
      <c r="AK213" s="248" t="n"/>
      <c r="AL213" s="249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51" t="n"/>
      <c r="I215" s="251" t="n"/>
      <c r="J215" s="252" t="inlineStr">
        <is>
          <t>含税利润率</t>
        </is>
      </c>
      <c r="K215" s="253" t="n"/>
      <c r="L215" s="254" t="inlineStr">
        <is>
          <t>不含税利润率</t>
        </is>
      </c>
      <c r="M215" s="255" t="n"/>
      <c r="N215" s="255" t="n"/>
      <c r="O215" s="255" t="n"/>
      <c r="P215" s="255" t="n"/>
      <c r="Q215" s="255" t="n"/>
      <c r="R215" s="255" t="n"/>
      <c r="S215" s="255" t="n"/>
      <c r="T215" s="255" t="n"/>
      <c r="U215" s="255" t="n"/>
      <c r="V215" s="255" t="n"/>
      <c r="W215" s="255" t="n"/>
      <c r="X215" s="255" t="n"/>
      <c r="Y215" s="255" t="n"/>
      <c r="Z215" s="256" t="n"/>
      <c r="AA215" s="162" t="n"/>
      <c r="AB215" s="257" t="n"/>
      <c r="AC215" s="257" t="n"/>
      <c r="AD215" s="257" t="n"/>
      <c r="AE215" s="257" t="n"/>
      <c r="AF215" s="257" t="n"/>
      <c r="AG215" s="257" t="n"/>
      <c r="AH215" s="257" t="n"/>
      <c r="AI215" s="257" t="n"/>
      <c r="AJ215" s="257" t="n"/>
      <c r="AK215" s="257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51" t="n"/>
      <c r="I216" s="251" t="n"/>
      <c r="J216" s="258" t="n"/>
      <c r="K216" s="251" t="n"/>
      <c r="L216" s="259" t="n"/>
      <c r="M216" s="255" t="n"/>
      <c r="N216" s="255" t="n"/>
      <c r="O216" s="255" t="n"/>
      <c r="P216" s="255" t="n"/>
      <c r="Q216" s="255" t="n"/>
      <c r="R216" s="255" t="n"/>
      <c r="S216" s="255" t="n"/>
      <c r="T216" s="255" t="n"/>
      <c r="U216" s="255" t="n"/>
      <c r="V216" s="255" t="n"/>
      <c r="W216" s="255" t="n"/>
      <c r="X216" s="255" t="n"/>
      <c r="Y216" s="255" t="n"/>
      <c r="Z216" s="256" t="n"/>
      <c r="AA216" s="162" t="n"/>
      <c r="AB216" s="257" t="n"/>
      <c r="AC216" s="257" t="n"/>
      <c r="AD216" s="257" t="n"/>
      <c r="AE216" s="257" t="n"/>
      <c r="AF216" s="257" t="n"/>
      <c r="AG216" s="257" t="n"/>
      <c r="AH216" s="257" t="n"/>
      <c r="AI216" s="257" t="n"/>
      <c r="AJ216" s="257" t="n"/>
      <c r="AK216" s="257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60" t="n"/>
      <c r="L217" s="260" t="n"/>
      <c r="M217" s="261" t="n"/>
      <c r="N217" s="260" t="n"/>
      <c r="O217" s="260" t="n"/>
      <c r="P217" s="262" t="n"/>
      <c r="Q217" s="262" t="n"/>
      <c r="R217" s="260" t="n"/>
      <c r="S217" s="263" t="n"/>
      <c r="T217" s="263" t="n"/>
      <c r="U217" s="263" t="n"/>
      <c r="V217" s="263" t="n"/>
      <c r="W217" s="263" t="n"/>
      <c r="X217" s="263" t="n"/>
      <c r="Y217" s="263" t="n"/>
      <c r="Z217" s="264" t="n"/>
      <c r="AA217" s="265" t="n"/>
      <c r="AD217" s="266" t="n"/>
      <c r="AE217" s="266" t="n"/>
      <c r="AF217" s="266" t="n"/>
      <c r="AG217" s="266" t="n"/>
      <c r="AH217" s="266" t="n"/>
      <c r="AI217" s="266" t="n"/>
      <c r="AJ217" s="266" t="n"/>
      <c r="AK217" s="266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7" t="n"/>
      <c r="L218" s="122" t="n"/>
      <c r="M218" s="268" t="n"/>
      <c r="N218" s="268" t="n"/>
      <c r="O218" s="268" t="n"/>
      <c r="P218" s="268" t="n"/>
      <c r="Q218" s="268" t="n"/>
      <c r="R218" s="268" t="n"/>
      <c r="S218" s="263" t="n"/>
      <c r="T218" s="263" t="n"/>
      <c r="U218" s="263" t="n"/>
      <c r="V218" s="263" t="n"/>
      <c r="W218" s="263" t="n"/>
      <c r="X218" s="263" t="n"/>
      <c r="Y218" s="263" t="n"/>
      <c r="Z218" s="268" t="n"/>
      <c r="AA218" s="266" t="n"/>
      <c r="AB218" s="266" t="n"/>
      <c r="AC218" s="266" t="n"/>
      <c r="AD218" s="266" t="n"/>
      <c r="AE218" s="266" t="n"/>
      <c r="AF218" s="266" t="n"/>
      <c r="AG218" s="266" t="n"/>
      <c r="AH218" s="266" t="n"/>
      <c r="AI218" s="266" t="n"/>
      <c r="AJ218" s="266" t="n"/>
      <c r="AK218" s="266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7" t="n"/>
      <c r="L219" s="122" t="n"/>
      <c r="M219" s="268" t="n"/>
      <c r="N219" s="268" t="n"/>
      <c r="O219" s="268" t="n"/>
      <c r="P219" s="268" t="n"/>
      <c r="Q219" s="268" t="n"/>
      <c r="R219" s="268" t="n"/>
      <c r="S219" s="263" t="n"/>
      <c r="T219" s="263" t="n"/>
      <c r="U219" s="263" t="n"/>
      <c r="V219" s="263" t="n"/>
      <c r="W219" s="263" t="n"/>
      <c r="X219" s="263" t="n"/>
      <c r="Y219" s="263" t="n"/>
      <c r="Z219" s="268" t="n"/>
      <c r="AA219" s="266" t="n"/>
      <c r="AB219" s="266" t="n"/>
      <c r="AC219" s="266" t="n"/>
      <c r="AD219" s="266" t="n"/>
      <c r="AE219" s="266" t="n"/>
      <c r="AF219" s="266" t="n"/>
      <c r="AG219" s="266" t="n"/>
      <c r="AH219" s="266" t="n"/>
      <c r="AI219" s="266" t="n"/>
      <c r="AJ219" s="266" t="n"/>
      <c r="AK219" s="266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8" t="n"/>
      <c r="N220" s="264" t="n"/>
      <c r="O220" s="268" t="n"/>
      <c r="P220" s="268" t="n"/>
      <c r="Q220" s="268" t="n"/>
      <c r="R220" s="260" t="n"/>
      <c r="S220" s="263" t="n"/>
      <c r="T220" s="263" t="n"/>
      <c r="U220" s="263" t="n"/>
      <c r="V220" s="263" t="n"/>
      <c r="W220" s="263" t="n"/>
      <c r="X220" s="263" t="n"/>
      <c r="Y220" s="263" t="n"/>
      <c r="Z220" s="268" t="n"/>
      <c r="AA220" s="266" t="n"/>
      <c r="AB220" s="266" t="n"/>
      <c r="AC220" s="266" t="n"/>
      <c r="AD220" s="266" t="n"/>
      <c r="AE220" s="266" t="n"/>
      <c r="AF220" s="266" t="n"/>
      <c r="AG220" s="266" t="n"/>
      <c r="AH220" s="266" t="n"/>
      <c r="AI220" s="266" t="n"/>
      <c r="AJ220" s="266" t="n"/>
      <c r="AK220" s="266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2026-04-22T08:58:50Z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