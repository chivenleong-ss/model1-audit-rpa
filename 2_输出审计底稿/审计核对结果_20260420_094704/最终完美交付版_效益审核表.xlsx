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6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306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306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7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8" t="n"/>
      <c r="F58" s="308" t="n"/>
      <c r="G58" s="308" t="n"/>
      <c r="H58" s="309" t="n"/>
      <c r="I58" s="309" t="n"/>
      <c r="J58" s="285" t="n"/>
      <c r="K58" s="286" t="n"/>
      <c r="L58" s="287" t="n"/>
      <c r="M58" s="310" t="n">
        <v>-8241729.17</v>
      </c>
      <c r="N58" s="309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9" t="n"/>
      <c r="U58" s="309" t="n"/>
      <c r="V58" s="309" t="n"/>
      <c r="W58" s="309" t="n"/>
      <c r="X58" s="309" t="n"/>
      <c r="Y58" s="309" t="n"/>
      <c r="Z58" s="285">
        <f>SUM(AA31:AJ31)</f>
        <v/>
      </c>
      <c r="AA58" s="309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290">
        <f>AB31/1.17*0.17+AC31/1.16*0.16+AD31/1.11*0.11+AE31/1.1*0.1+AF31/1.09*0.09+AI31/1.03*0.03</f>
        <v/>
      </c>
      <c r="AL58" s="312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8" t="n"/>
      <c r="F59" s="308" t="n"/>
      <c r="G59" s="308" t="n"/>
      <c r="H59" s="309" t="n"/>
      <c r="I59" s="309" t="n"/>
      <c r="J59" s="285" t="n"/>
      <c r="K59" s="286" t="n"/>
      <c r="L59" s="287" t="n"/>
      <c r="M59" s="309" t="n"/>
      <c r="N59" s="309" t="n"/>
      <c r="O59" s="285" t="n"/>
      <c r="P59" s="285" t="n"/>
      <c r="Q59" s="285" t="n"/>
      <c r="R59" s="285" t="n"/>
      <c r="S59" s="289" t="n"/>
      <c r="T59" s="309" t="n"/>
      <c r="U59" s="309" t="n"/>
      <c r="V59" s="309" t="n"/>
      <c r="W59" s="309" t="n"/>
      <c r="X59" s="309" t="n"/>
      <c r="Y59" s="309" t="n"/>
      <c r="Z59" s="285" t="n"/>
      <c r="AA59" s="309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290" t="n"/>
      <c r="AL59" s="312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6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3" t="n"/>
      <c r="F68" s="313" t="n"/>
      <c r="G68" s="313" t="n"/>
      <c r="H68" s="285" t="n"/>
      <c r="I68" s="285" t="n"/>
      <c r="J68" s="285" t="n"/>
      <c r="K68" s="286" t="n">
        <v>0</v>
      </c>
      <c r="L68" s="287">
        <f>J68-K68</f>
        <v/>
      </c>
      <c r="M68" s="314" t="n"/>
      <c r="N68" s="314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4" t="n"/>
      <c r="U68" s="314" t="n"/>
      <c r="V68" s="314" t="n"/>
      <c r="W68" s="314" t="n"/>
      <c r="X68" s="314" t="n"/>
      <c r="Y68" s="314" t="n"/>
      <c r="Z68" s="314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5" t="inlineStr">
        <is>
          <t>机械费小计：</t>
        </is>
      </c>
      <c r="E69" s="316" t="n"/>
      <c r="F69" s="316" t="n"/>
      <c r="G69" s="316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7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>
        <v>1</v>
      </c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2</v>
      </c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3</v>
      </c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8" t="n"/>
      <c r="N74" s="318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8" t="n"/>
      <c r="U74" s="318" t="n"/>
      <c r="V74" s="318" t="n"/>
      <c r="W74" s="318" t="n"/>
      <c r="X74" s="318" t="n"/>
      <c r="Y74" s="318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9" t="n"/>
      <c r="B75" s="320" t="n"/>
      <c r="C75" s="320" t="n"/>
      <c r="D75" s="315" t="inlineStr">
        <is>
          <t>其他直接费小计：</t>
        </is>
      </c>
      <c r="E75" s="321" t="n"/>
      <c r="F75" s="321" t="n"/>
      <c r="G75" s="321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7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>
        <v>1</v>
      </c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6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2</v>
      </c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3</v>
      </c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4</v>
      </c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5</v>
      </c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6</v>
      </c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7</v>
      </c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8</v>
      </c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9</v>
      </c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10</v>
      </c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11</v>
      </c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12</v>
      </c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13</v>
      </c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14</v>
      </c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15</v>
      </c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16</v>
      </c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17</v>
      </c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18</v>
      </c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19</v>
      </c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20</v>
      </c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21</v>
      </c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22</v>
      </c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23</v>
      </c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24</v>
      </c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25</v>
      </c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26</v>
      </c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27</v>
      </c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28</v>
      </c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29</v>
      </c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30</v>
      </c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31</v>
      </c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32</v>
      </c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8" t="n"/>
      <c r="I109" s="285" t="n"/>
      <c r="J109" s="318" t="n"/>
      <c r="K109" s="286" t="n"/>
      <c r="L109" s="287" t="n"/>
      <c r="M109" s="318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8" t="n"/>
      <c r="U109" s="318" t="n"/>
      <c r="V109" s="318" t="n"/>
      <c r="W109" s="318" t="n"/>
      <c r="X109" s="318" t="n"/>
      <c r="Y109" s="318" t="n"/>
      <c r="Z109" s="318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9" t="n"/>
      <c r="B110" s="320" t="n"/>
      <c r="C110" s="320" t="n"/>
      <c r="D110" s="315" t="inlineStr">
        <is>
          <t>间接费小计：</t>
        </is>
      </c>
      <c r="E110" s="321" t="n"/>
      <c r="F110" s="321" t="n"/>
      <c r="G110" s="321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7">
        <f>SUM(L76:L109)</f>
        <v/>
      </c>
      <c r="M110" s="317">
        <f>SUM(M76:M109)</f>
        <v/>
      </c>
      <c r="N110" s="317">
        <f>SUM(N76:N109)</f>
        <v/>
      </c>
      <c r="O110" s="317">
        <f>SUM(O76:O109)</f>
        <v/>
      </c>
      <c r="P110" s="317">
        <f>SUM(P76:P109)</f>
        <v/>
      </c>
      <c r="Q110" s="317">
        <f>SUM(Q76:Q109)</f>
        <v/>
      </c>
      <c r="R110" s="317">
        <f>SUM(R76:R109)</f>
        <v/>
      </c>
      <c r="S110" s="317">
        <f>SUM(S76:S109)</f>
        <v/>
      </c>
      <c r="T110" s="317" t="n"/>
      <c r="U110" s="317" t="n"/>
      <c r="V110" s="317" t="n"/>
      <c r="W110" s="317" t="n"/>
      <c r="X110" s="317" t="n"/>
      <c r="Y110" s="317" t="n"/>
      <c r="Z110" s="317">
        <f>SUM(Z76:Z109)</f>
        <v/>
      </c>
      <c r="AA110" s="317">
        <f>SUM(AA76:AA109)</f>
        <v/>
      </c>
      <c r="AB110" s="317">
        <f>SUM(AB76:AB109)</f>
        <v/>
      </c>
      <c r="AC110" s="317">
        <f>SUM(AC76:AC109)</f>
        <v/>
      </c>
      <c r="AD110" s="317">
        <f>SUM(AD76:AD109)</f>
        <v/>
      </c>
      <c r="AE110" s="317">
        <f>SUM(AE76:AE109)</f>
        <v/>
      </c>
      <c r="AF110" s="317">
        <f>SUM(AF76:AF109)</f>
        <v/>
      </c>
      <c r="AG110" s="317" t="n"/>
      <c r="AH110" s="317" t="n"/>
      <c r="AI110" s="317">
        <f>SUM(AI76:AI109)</f>
        <v/>
      </c>
      <c r="AJ110" s="317">
        <f>SUM(AJ76:AJ109)</f>
        <v/>
      </c>
      <c r="AK110" s="317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2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8" t="n"/>
      <c r="U111" s="318" t="n"/>
      <c r="V111" s="318" t="n"/>
      <c r="W111" s="318" t="n"/>
      <c r="X111" s="318" t="n"/>
      <c r="Y111" s="318" t="n"/>
      <c r="Z111" s="314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>
        <v>1</v>
      </c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6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2</v>
      </c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3</v>
      </c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9" t="n"/>
      <c r="B115" s="320" t="n"/>
      <c r="C115" s="320" t="n"/>
      <c r="D115" s="315" t="inlineStr">
        <is>
          <t>安全费小计：</t>
        </is>
      </c>
      <c r="E115" s="315" t="n"/>
      <c r="F115" s="315" t="n"/>
      <c r="G115" s="315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323">
        <f>J115-K115</f>
        <v/>
      </c>
      <c r="M115" s="324" t="n"/>
      <c r="N115" s="324" t="n"/>
      <c r="O115" s="317">
        <f>SUM(O111:O114)</f>
        <v/>
      </c>
      <c r="P115" s="317">
        <f>SUM(P111:P114)</f>
        <v/>
      </c>
      <c r="Q115" s="317">
        <f>SUM(Q111:Q114)</f>
        <v/>
      </c>
      <c r="R115" s="317">
        <f>SUM(R111:R114)</f>
        <v/>
      </c>
      <c r="S115" s="317">
        <f>SUM(S111:S114)</f>
        <v/>
      </c>
      <c r="T115" s="324" t="n"/>
      <c r="U115" s="324" t="n"/>
      <c r="V115" s="324" t="n"/>
      <c r="W115" s="324" t="n"/>
      <c r="X115" s="324" t="n"/>
      <c r="Y115" s="324" t="n"/>
      <c r="Z115" s="324" t="n"/>
      <c r="AA115" s="324">
        <f>SUM(AA111:AA114)</f>
        <v/>
      </c>
      <c r="AB115" s="324">
        <f>SUM(AB111:AB114)</f>
        <v/>
      </c>
      <c r="AC115" s="324">
        <f>SUM(AC111:AC114)</f>
        <v/>
      </c>
      <c r="AD115" s="324">
        <f>SUM(AD111:AD114)</f>
        <v/>
      </c>
      <c r="AE115" s="324">
        <f>SUM(AE111:AE114)</f>
        <v/>
      </c>
      <c r="AF115" s="324">
        <f>SUM(AF111:AF114)</f>
        <v/>
      </c>
      <c r="AG115" s="324" t="n"/>
      <c r="AH115" s="324" t="n"/>
      <c r="AI115" s="324">
        <f>SUM(AI111:AI114)</f>
        <v/>
      </c>
      <c r="AJ115" s="324">
        <f>SUM(AJ111:AJ114)</f>
        <v/>
      </c>
      <c r="AK115" s="324">
        <f>SUM(AK111:AK114)</f>
        <v/>
      </c>
      <c r="AL115" s="325" t="n"/>
    </row>
    <row r="116">
      <c r="A116" s="319" t="n"/>
      <c r="B116" s="320" t="n"/>
      <c r="C116" s="320" t="n"/>
      <c r="D116" s="315" t="inlineStr">
        <is>
          <t>三、成本合计：</t>
        </is>
      </c>
      <c r="E116" s="321" t="n"/>
      <c r="F116" s="321" t="n"/>
      <c r="G116" s="321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7">
        <f>L21+L33+L61+L69+L75+L110+L115</f>
        <v/>
      </c>
      <c r="M116" s="324">
        <f>M21+M33+M61+M69+M75+M110+M115</f>
        <v/>
      </c>
      <c r="N116" s="324">
        <f>N21+N33+N61+N69+N75+N110+N115</f>
        <v/>
      </c>
      <c r="O116" s="324">
        <f>O21+O33+O61+O69+O75+O110+O115</f>
        <v/>
      </c>
      <c r="P116" s="324">
        <f>P21+P33+P61+P69+P75+P110+P115</f>
        <v/>
      </c>
      <c r="Q116" s="324">
        <f>Q21+Q33+Q61+Q69+Q75+Q110+Q115</f>
        <v/>
      </c>
      <c r="R116" s="324">
        <f>R21+R33+R61+R69+R75+R110+R115</f>
        <v/>
      </c>
      <c r="S116" s="324">
        <f>S21+S33+S61+S69+S75+S110+S115</f>
        <v/>
      </c>
      <c r="T116" s="324" t="n"/>
      <c r="U116" s="324" t="n"/>
      <c r="V116" s="324" t="n"/>
      <c r="W116" s="324" t="n"/>
      <c r="X116" s="324" t="n"/>
      <c r="Y116" s="324" t="n"/>
      <c r="Z116" s="324">
        <f>Z21+Z33+Z61+Z69+Z75+Z110+Z115</f>
        <v/>
      </c>
      <c r="AA116" s="324">
        <f>AA21+AA33+AA61+AA69+AA75+AA110+AA115</f>
        <v/>
      </c>
      <c r="AB116" s="324">
        <f>AB21+AB33+AB61+AB69+AB75+AB110+AB115</f>
        <v/>
      </c>
      <c r="AC116" s="324">
        <f>AC21+AC33+AC61+AC69+AC75+AC110+AC115</f>
        <v/>
      </c>
      <c r="AD116" s="324">
        <f>AD21+AD33+AD61+AD69+AD75+AD110+AD115</f>
        <v/>
      </c>
      <c r="AE116" s="324">
        <f>AE21+AE33+AE61+AE69+AE75+AE110+AE115</f>
        <v/>
      </c>
      <c r="AF116" s="324">
        <f>AF21+AF33+AF61+AF69+AF75+AF110+AF115</f>
        <v/>
      </c>
      <c r="AG116" s="324" t="n"/>
      <c r="AH116" s="324" t="n"/>
      <c r="AI116" s="324">
        <f>AI21+AI33+AI61+AI69+AI75+AI110+AI115</f>
        <v/>
      </c>
      <c r="AJ116" s="324">
        <f>AJ21+AJ33+AJ61+AJ69+AJ75+AJ110+AJ115</f>
        <v/>
      </c>
      <c r="AK116" s="324">
        <f>AK21+AK33+AK61+AK69+AK75+AK110+AK115</f>
        <v/>
      </c>
      <c r="AL116" s="325" t="n"/>
    </row>
    <row r="117">
      <c r="A117" s="319" t="n"/>
      <c r="B117" s="320" t="n"/>
      <c r="C117" s="320" t="n"/>
      <c r="D117" s="315" t="inlineStr">
        <is>
          <t>四、计提保修金</t>
        </is>
      </c>
      <c r="E117" s="321" t="inlineStr">
        <is>
          <t>（在建：房建0.6%，其它0.4%；在保修期间的按0.3~0.5%自行确定;保修期结束为0）</t>
        </is>
      </c>
      <c r="F117" s="321" t="n"/>
      <c r="G117" s="321" t="n"/>
      <c r="H117" s="301" t="n"/>
      <c r="I117" s="301" t="n"/>
      <c r="J117" s="301">
        <f>H117+I117</f>
        <v/>
      </c>
      <c r="K117" s="301" t="n"/>
      <c r="L117" s="317">
        <f>J117-K117</f>
        <v/>
      </c>
      <c r="M117" s="324" t="n"/>
      <c r="N117" s="324" t="n"/>
      <c r="O117" s="324">
        <f>L117-M117</f>
        <v/>
      </c>
      <c r="P117" s="324">
        <f>K117-N117</f>
        <v/>
      </c>
      <c r="Q117" s="324">
        <f>M117+O117</f>
        <v/>
      </c>
      <c r="R117" s="324">
        <f>M117+N117+O117+P117</f>
        <v/>
      </c>
      <c r="S117" s="324">
        <f>SUM(T117:V117)</f>
        <v/>
      </c>
      <c r="T117" s="324" t="n"/>
      <c r="U117" s="324" t="n"/>
      <c r="V117" s="324" t="n"/>
      <c r="W117" s="324" t="n"/>
      <c r="X117" s="324" t="n"/>
      <c r="Y117" s="324" t="n"/>
      <c r="Z117" s="324" t="n"/>
      <c r="AA117" s="324">
        <f>Q69-S69</f>
        <v/>
      </c>
      <c r="AB117" s="324" t="n"/>
      <c r="AC117" s="324" t="n"/>
      <c r="AD117" s="324" t="n"/>
      <c r="AE117" s="324" t="n"/>
      <c r="AF117" s="324" t="n"/>
      <c r="AG117" s="324" t="n"/>
      <c r="AH117" s="324" t="n"/>
      <c r="AI117" s="324" t="n"/>
      <c r="AJ117" s="324" t="n"/>
      <c r="AK117" s="324" t="n"/>
      <c r="AL117" s="325" t="n"/>
    </row>
    <row r="118">
      <c r="A118" s="319" t="n"/>
      <c r="B118" s="320" t="n"/>
      <c r="C118" s="320" t="n"/>
      <c r="D118" s="315" t="inlineStr">
        <is>
          <t>五、过程节点奖金</t>
        </is>
      </c>
      <c r="E118" s="321" t="n"/>
      <c r="F118" s="321" t="n"/>
      <c r="G118" s="321" t="n"/>
      <c r="H118" s="301" t="n"/>
      <c r="I118" s="301" t="n"/>
      <c r="J118" s="301">
        <f>H118+I118</f>
        <v/>
      </c>
      <c r="K118" s="301" t="n"/>
      <c r="L118" s="317">
        <f>J118-K118</f>
        <v/>
      </c>
      <c r="M118" s="324" t="n"/>
      <c r="N118" s="324" t="n"/>
      <c r="O118" s="324">
        <f>L118-M118</f>
        <v/>
      </c>
      <c r="P118" s="324">
        <f>K118-N118</f>
        <v/>
      </c>
      <c r="Q118" s="324">
        <f>M118+O118</f>
        <v/>
      </c>
      <c r="R118" s="324">
        <f>M118+N118+O118+P118</f>
        <v/>
      </c>
      <c r="S118" s="324">
        <f>SUM(T118:V118)</f>
        <v/>
      </c>
      <c r="T118" s="324" t="n"/>
      <c r="U118" s="324" t="n"/>
      <c r="V118" s="324" t="n"/>
      <c r="W118" s="324" t="n"/>
      <c r="X118" s="324" t="n"/>
      <c r="Y118" s="324" t="n"/>
      <c r="Z118" s="324" t="n"/>
      <c r="AA118" s="324" t="n"/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5" t="n"/>
    </row>
    <row r="119">
      <c r="A119" s="319" t="n"/>
      <c r="B119" s="320" t="n"/>
      <c r="C119" s="320" t="n"/>
      <c r="D119" s="315" t="inlineStr">
        <is>
          <t>六、资金占用费用</t>
        </is>
      </c>
      <c r="E119" s="321" t="n"/>
      <c r="F119" s="321" t="n"/>
      <c r="G119" s="321" t="n"/>
      <c r="H119" s="301" t="n"/>
      <c r="I119" s="301" t="n"/>
      <c r="J119" s="301">
        <f>H119+I119</f>
        <v/>
      </c>
      <c r="K119" s="301" t="n"/>
      <c r="L119" s="317">
        <f>J119-K119</f>
        <v/>
      </c>
      <c r="M119" s="326" t="n">
        <v>762837.87</v>
      </c>
      <c r="N119" s="324" t="n"/>
      <c r="O119" s="324">
        <f>L119-M119</f>
        <v/>
      </c>
      <c r="P119" s="324">
        <f>K119-N119</f>
        <v/>
      </c>
      <c r="Q119" s="324">
        <f>M119+O119</f>
        <v/>
      </c>
      <c r="R119" s="324">
        <f>M119+N119+O119+P119</f>
        <v/>
      </c>
      <c r="S119" s="324">
        <f>SUM(T119:V119)</f>
        <v/>
      </c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5" t="n"/>
    </row>
    <row r="120">
      <c r="A120" s="319" t="n"/>
      <c r="B120" s="320" t="n"/>
      <c r="C120" s="320" t="n"/>
      <c r="D120" s="315" t="inlineStr">
        <is>
          <t>七、局投资收益（局投资项目选填）</t>
        </is>
      </c>
      <c r="E120" s="321" t="n"/>
      <c r="F120" s="321" t="n"/>
      <c r="G120" s="321" t="n"/>
      <c r="H120" s="301" t="n"/>
      <c r="I120" s="301" t="n"/>
      <c r="J120" s="301">
        <f>H120+I120</f>
        <v/>
      </c>
      <c r="K120" s="301" t="n"/>
      <c r="L120" s="317">
        <f>J120-K120</f>
        <v/>
      </c>
      <c r="M120" s="324" t="n"/>
      <c r="N120" s="324" t="n"/>
      <c r="O120" s="324">
        <f>L120-M120</f>
        <v/>
      </c>
      <c r="P120" s="324">
        <f>K120-N120</f>
        <v/>
      </c>
      <c r="Q120" s="324">
        <f>M120+O120</f>
        <v/>
      </c>
      <c r="R120" s="324">
        <f>M120+N120+O120+P120</f>
        <v/>
      </c>
      <c r="S120" s="324">
        <f>SUM(T120:V120)</f>
        <v/>
      </c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5" t="n"/>
    </row>
    <row r="121">
      <c r="A121" s="319" t="n"/>
      <c r="B121" s="320" t="n"/>
      <c r="C121" s="320" t="n"/>
      <c r="D121" s="315" t="inlineStr">
        <is>
          <t>八、研发费用</t>
        </is>
      </c>
      <c r="E121" s="321" t="n"/>
      <c r="F121" s="321" t="n"/>
      <c r="G121" s="321" t="n"/>
      <c r="H121" s="301" t="n"/>
      <c r="I121" s="301" t="n"/>
      <c r="J121" s="301">
        <f>H121+I121</f>
        <v/>
      </c>
      <c r="K121" s="301" t="n"/>
      <c r="L121" s="317">
        <f>J121-K121</f>
        <v/>
      </c>
      <c r="M121" s="324">
        <f>SUM(M74:M76)</f>
        <v/>
      </c>
      <c r="N121" s="324">
        <f>SUM(N74:N76)</f>
        <v/>
      </c>
      <c r="O121" s="324">
        <f>SUM(O74:O76)</f>
        <v/>
      </c>
      <c r="P121" s="324">
        <f>SUM(P74:P76)</f>
        <v/>
      </c>
      <c r="Q121" s="324">
        <f>SUM(Q74:Q76)</f>
        <v/>
      </c>
      <c r="R121" s="324">
        <f>SUM(R74:R76)</f>
        <v/>
      </c>
      <c r="S121" s="324">
        <f>SUM(S74:S76)</f>
        <v/>
      </c>
      <c r="T121" s="324">
        <f>SUM(T74:T76)</f>
        <v/>
      </c>
      <c r="U121" s="324">
        <f>SUM(U74:U76)</f>
        <v/>
      </c>
      <c r="V121" s="324">
        <f>SUM(V74:V76)</f>
        <v/>
      </c>
      <c r="W121" s="324">
        <f>SUM(W74:W76)</f>
        <v/>
      </c>
      <c r="X121" s="324">
        <f>SUM(X74:X76)</f>
        <v/>
      </c>
      <c r="Y121" s="324">
        <f>SUM(Y74:Y76)</f>
        <v/>
      </c>
      <c r="Z121" s="324">
        <f>SUM(Z74:Z76)</f>
        <v/>
      </c>
      <c r="AA121" s="324">
        <f>SUM(AA74:AA76)</f>
        <v/>
      </c>
      <c r="AB121" s="324">
        <f>SUM(AB74:AB76)</f>
        <v/>
      </c>
      <c r="AC121" s="324">
        <f>SUM(AC74:AC76)</f>
        <v/>
      </c>
      <c r="AD121" s="324">
        <f>SUM(AD74:AD76)</f>
        <v/>
      </c>
      <c r="AE121" s="324">
        <f>SUM(AE74:AE76)</f>
        <v/>
      </c>
      <c r="AF121" s="324">
        <f>SUM(AF74:AF76)</f>
        <v/>
      </c>
      <c r="AG121" s="324">
        <f>SUM(AG74:AG76)</f>
        <v/>
      </c>
      <c r="AH121" s="324">
        <f>SUM(AH74:AH76)</f>
        <v/>
      </c>
      <c r="AI121" s="324">
        <f>SUM(AI74:AI76)</f>
        <v/>
      </c>
      <c r="AJ121" s="324">
        <f>SUM(AJ74:AJ76)</f>
        <v/>
      </c>
      <c r="AK121" s="324">
        <f>SUM(AK74:AK76)</f>
        <v/>
      </c>
      <c r="AL121" s="325" t="n"/>
    </row>
    <row r="122">
      <c r="A122" s="209" t="n">
        <v>1</v>
      </c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98" t="n"/>
      <c r="B123" s="299" t="n"/>
      <c r="C123" s="299" t="n"/>
      <c r="D123" s="315" t="inlineStr">
        <is>
          <t>九、成本及费用合计（三+四+五+六+七）</t>
        </is>
      </c>
      <c r="E123" s="316" t="n"/>
      <c r="F123" s="316" t="n"/>
      <c r="G123" s="316" t="n"/>
      <c r="H123" s="301">
        <f>H116+H117+H118+H119+H120+H121</f>
        <v/>
      </c>
      <c r="I123" s="301">
        <f>I116+I117+I118+I119+I120+I121</f>
        <v/>
      </c>
      <c r="J123" s="327">
        <f>J116+J117+J118+J119+J120+J121</f>
        <v/>
      </c>
      <c r="K123" s="301">
        <f>K116+K117+K118+K119+K120+K121</f>
        <v/>
      </c>
      <c r="L123" s="328">
        <f>L116+L117+L118+L119+L120+L121</f>
        <v/>
      </c>
      <c r="M123" s="328">
        <f>M116+M117+M118+M119+M120+M121</f>
        <v/>
      </c>
      <c r="N123" s="328">
        <f>N116+N117+N118+N119+N120+N121</f>
        <v/>
      </c>
      <c r="O123" s="328">
        <f>O116+O117+O118+O119+O120+O121</f>
        <v/>
      </c>
      <c r="P123" s="328">
        <f>P116+P117+P118+P119+P120+P121</f>
        <v/>
      </c>
      <c r="Q123" s="328">
        <f>Q116+Q117+Q118+Q119+Q120+Q121</f>
        <v/>
      </c>
      <c r="R123" s="328">
        <f>R116+R117+R118+R119+R120+R121</f>
        <v/>
      </c>
      <c r="S123" s="324">
        <f>S116+S117+S118+S119+S120+S121</f>
        <v/>
      </c>
      <c r="T123" s="324" t="n"/>
      <c r="U123" s="324" t="n"/>
      <c r="V123" s="324" t="n"/>
      <c r="W123" s="324" t="n"/>
      <c r="X123" s="324" t="n"/>
      <c r="Y123" s="324" t="n"/>
      <c r="Z123" s="324">
        <f>Z116+Z117+Z118+Z119+Z120+Z121</f>
        <v/>
      </c>
      <c r="AA123" s="324">
        <f>AA116+AA117+AA118+AA119+AA120+AA121</f>
        <v/>
      </c>
      <c r="AB123" s="329" t="n"/>
      <c r="AC123" s="329" t="n"/>
      <c r="AD123" s="329" t="n"/>
      <c r="AE123" s="329" t="n"/>
      <c r="AF123" s="329" t="n"/>
      <c r="AG123" s="329" t="n"/>
      <c r="AH123" s="329" t="n"/>
      <c r="AI123" s="329" t="n"/>
      <c r="AJ123" s="329" t="n"/>
      <c r="AK123" s="330" t="n"/>
      <c r="AL123" s="331" t="n"/>
    </row>
    <row r="124">
      <c r="A124" s="298" t="n"/>
      <c r="B124" s="299" t="n"/>
      <c r="C124" s="299" t="n"/>
      <c r="D124" s="315" t="inlineStr">
        <is>
          <t>十、增值税实际税负（按财务数据）</t>
        </is>
      </c>
      <c r="E124" s="316" t="inlineStr">
        <is>
          <t>根据财务账面实际已缴纳增值税额+尚需缴纳的增值税额</t>
        </is>
      </c>
      <c r="F124" s="316" t="n"/>
      <c r="G124" s="316" t="n"/>
      <c r="H124" s="301" t="n"/>
      <c r="I124" s="301" t="n"/>
      <c r="J124" s="327">
        <f>H78+I78</f>
        <v/>
      </c>
      <c r="K124" s="301" t="inlineStr">
        <is>
          <t>/</t>
        </is>
      </c>
      <c r="L124" s="328" t="inlineStr">
        <is>
          <t>/</t>
        </is>
      </c>
      <c r="M124" s="328" t="n"/>
      <c r="N124" s="328">
        <f>N6-N77</f>
        <v/>
      </c>
      <c r="O124" s="328" t="n"/>
      <c r="P124" s="328" t="n"/>
      <c r="Q124" s="328" t="inlineStr">
        <is>
          <t>/</t>
        </is>
      </c>
      <c r="R124" s="328">
        <f>N78+P78</f>
        <v/>
      </c>
      <c r="S124" s="324" t="n"/>
      <c r="T124" s="324" t="n"/>
      <c r="U124" s="324" t="n"/>
      <c r="V124" s="324" t="n"/>
      <c r="W124" s="324" t="n"/>
      <c r="X124" s="324" t="n"/>
      <c r="Y124" s="324" t="n"/>
      <c r="Z124" s="324" t="n"/>
      <c r="AA124" s="324" t="n"/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30" t="n"/>
      <c r="AL124" s="331" t="n"/>
    </row>
    <row r="125">
      <c r="A125" s="298" t="n"/>
      <c r="B125" s="299" t="n"/>
      <c r="C125" s="299" t="n"/>
      <c r="D125" s="315" t="inlineStr">
        <is>
          <t>十一、税金及附加（按财务数据）</t>
        </is>
      </c>
      <c r="E125" s="316" t="inlineStr">
        <is>
          <t>根据财务账面实际已缴纳税金及附加+尚需缴纳的税金及附加</t>
        </is>
      </c>
      <c r="F125" s="316" t="n"/>
      <c r="G125" s="316" t="n"/>
      <c r="H125" s="301" t="n"/>
      <c r="I125" s="301" t="n"/>
      <c r="J125" s="327">
        <f>H79+I79</f>
        <v/>
      </c>
      <c r="K125" s="301" t="n"/>
      <c r="L125" s="328">
        <f>J79</f>
        <v/>
      </c>
      <c r="M125" s="332" t="n">
        <v>260389.37</v>
      </c>
      <c r="N125" s="328" t="n"/>
      <c r="O125" s="328">
        <f>L79-M79</f>
        <v/>
      </c>
      <c r="P125" s="328" t="n"/>
      <c r="Q125" s="328">
        <f>M79+O79</f>
        <v/>
      </c>
      <c r="R125" s="328">
        <f>Q79</f>
        <v/>
      </c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30" t="n"/>
      <c r="AL125" s="331" t="n"/>
    </row>
    <row r="126">
      <c r="A126" s="298" t="n"/>
      <c r="B126" s="299" t="n"/>
      <c r="C126" s="299" t="n"/>
      <c r="D126" s="315" t="inlineStr">
        <is>
          <t>十二、利润</t>
        </is>
      </c>
      <c r="E126" s="316" t="n"/>
      <c r="F126" s="316" t="n"/>
      <c r="G126" s="316" t="n"/>
      <c r="H126" s="301" t="n"/>
      <c r="I126" s="301" t="n"/>
      <c r="J126" s="327">
        <f>J6-J123-J124-J125</f>
        <v/>
      </c>
      <c r="K126" s="301" t="n"/>
      <c r="L126" s="328" t="n"/>
      <c r="M126" s="328" t="n"/>
      <c r="N126" s="328" t="n"/>
      <c r="O126" s="328" t="n"/>
      <c r="P126" s="328" t="n"/>
      <c r="Q126" s="328" t="n"/>
      <c r="R126" s="328" t="n"/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30" t="n"/>
      <c r="AL126" s="331" t="n"/>
    </row>
    <row r="127">
      <c r="A127" s="333" t="n"/>
      <c r="B127" s="334" t="n"/>
      <c r="C127" s="334" t="n"/>
      <c r="D127" s="335" t="inlineStr">
        <is>
          <t>十三、利润率</t>
        </is>
      </c>
      <c r="E127" s="336" t="n"/>
      <c r="F127" s="336" t="n"/>
      <c r="G127" s="336" t="n"/>
      <c r="H127" s="337" t="n"/>
      <c r="I127" s="337" t="n"/>
      <c r="J127" s="337">
        <f>J126/J6</f>
        <v/>
      </c>
      <c r="K127" s="337" t="n"/>
      <c r="L127" s="338">
        <f>L126/L6</f>
        <v/>
      </c>
      <c r="M127" s="338">
        <f>M126/M6</f>
        <v/>
      </c>
      <c r="N127" s="338" t="n"/>
      <c r="O127" s="338" t="n"/>
      <c r="P127" s="338" t="n"/>
      <c r="Q127" s="338">
        <f>Q126/Q6</f>
        <v/>
      </c>
      <c r="R127" s="338">
        <f>R126/R6</f>
        <v/>
      </c>
      <c r="S127" s="339" t="n"/>
      <c r="T127" s="339" t="n"/>
      <c r="U127" s="339" t="n"/>
      <c r="V127" s="339" t="n"/>
      <c r="W127" s="339" t="n"/>
      <c r="X127" s="339" t="n"/>
      <c r="Y127" s="339" t="n"/>
      <c r="Z127" s="339" t="n"/>
      <c r="AA127" s="339" t="n"/>
      <c r="AB127" s="340" t="n"/>
      <c r="AC127" s="340" t="n"/>
      <c r="AD127" s="340" t="n"/>
      <c r="AE127" s="340" t="n"/>
      <c r="AF127" s="340" t="n"/>
      <c r="AG127" s="340" t="n"/>
      <c r="AH127" s="340" t="n"/>
      <c r="AI127" s="340" t="n"/>
      <c r="AJ127" s="340" t="n"/>
      <c r="AK127" s="341" t="n"/>
      <c r="AL127" s="342" t="n"/>
    </row>
    <row r="128">
      <c r="A128" s="111" t="n"/>
      <c r="B128" s="111" t="n"/>
      <c r="C128" s="111" t="n"/>
      <c r="D128" s="112" t="n"/>
      <c r="E128" s="113" t="n"/>
      <c r="F128" s="113" t="n"/>
      <c r="G128" s="113" t="n"/>
      <c r="H128" s="251" t="n"/>
      <c r="I128" s="251" t="n"/>
      <c r="J128" s="252" t="inlineStr">
        <is>
          <t>含税利润率</t>
        </is>
      </c>
      <c r="K128" s="253" t="n"/>
      <c r="L128" s="254" t="inlineStr">
        <is>
          <t>不含税利润率</t>
        </is>
      </c>
      <c r="M128" s="255" t="n"/>
      <c r="N128" s="255" t="n"/>
      <c r="O128" s="255" t="n"/>
      <c r="P128" s="255" t="n"/>
      <c r="Q128" s="255" t="n"/>
      <c r="R128" s="255" t="n"/>
      <c r="S128" s="255" t="n"/>
      <c r="T128" s="255" t="n"/>
      <c r="U128" s="255" t="n"/>
      <c r="V128" s="255" t="n"/>
      <c r="W128" s="255" t="n"/>
      <c r="X128" s="255" t="n"/>
      <c r="Y128" s="255" t="n"/>
      <c r="Z128" s="256" t="n"/>
      <c r="AA128" s="162" t="n"/>
      <c r="AB128" s="257" t="n"/>
      <c r="AC128" s="257" t="n"/>
      <c r="AD128" s="257" t="n"/>
      <c r="AE128" s="257" t="n"/>
      <c r="AF128" s="257" t="n"/>
      <c r="AG128" s="257" t="n"/>
      <c r="AH128" s="257" t="n"/>
      <c r="AI128" s="257" t="n"/>
      <c r="AJ128" s="257" t="n"/>
      <c r="AK128" s="257" t="n"/>
      <c r="AL128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2026-04-20T01:47:56Z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