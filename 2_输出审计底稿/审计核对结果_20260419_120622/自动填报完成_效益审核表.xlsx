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8" t="n"/>
      <c r="M20" s="166" t="n"/>
      <c r="N20" s="166" t="n"/>
      <c r="O20" s="166">
        <f>L20-M20</f>
        <v/>
      </c>
      <c r="P20" s="166">
        <f>K20-N20</f>
        <v/>
      </c>
      <c r="Q20" s="166">
        <f>M20+O20</f>
        <v/>
      </c>
      <c r="R20" s="166">
        <f>M20+N20+O20+P20</f>
        <v/>
      </c>
      <c r="S20" s="172">
        <f>SUM(T20:V20)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9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80">
        <f>SUM(E12:E20)</f>
        <v/>
      </c>
      <c r="F21" s="180">
        <f>SUM(F12:F20)</f>
        <v/>
      </c>
      <c r="G21" s="180">
        <f>SUM(G12:G20)</f>
        <v/>
      </c>
      <c r="H21" s="180">
        <f>SUM(H12:H20)</f>
        <v/>
      </c>
      <c r="I21" s="180">
        <f>SUM(I12:I20)</f>
        <v/>
      </c>
      <c r="J21" s="180">
        <f>SUM(J12:J20)</f>
        <v/>
      </c>
      <c r="K21" s="180">
        <f>SUM(K12:K20)</f>
        <v/>
      </c>
      <c r="L21" s="180">
        <f>SUM(L12:L20)</f>
        <v/>
      </c>
      <c r="M21" s="180">
        <f>SUM(M12:M20)</f>
        <v/>
      </c>
      <c r="N21" s="180">
        <f>SUM(N12:N20)</f>
        <v/>
      </c>
      <c r="O21" s="180">
        <f>SUM(O12:O20)</f>
        <v/>
      </c>
      <c r="P21" s="180">
        <f>SUM(P12:P20)</f>
        <v/>
      </c>
      <c r="Q21" s="180">
        <f>SUM(Q12:Q20)</f>
        <v/>
      </c>
      <c r="R21" s="180">
        <f>SUM(R12:R20)</f>
        <v/>
      </c>
      <c r="S21" s="180">
        <f>SUM(S12:S20)</f>
        <v/>
      </c>
      <c r="T21" s="180">
        <f>SUM(T12:T20)</f>
        <v/>
      </c>
      <c r="U21" s="180">
        <f>SUM(U12:U20)</f>
        <v/>
      </c>
      <c r="V21" s="180">
        <f>SUM(V12:V20)</f>
        <v/>
      </c>
      <c r="W21" s="180">
        <f>SUM(W12:W20)</f>
        <v/>
      </c>
      <c r="X21" s="180">
        <f>SUM(X12:X20)</f>
        <v/>
      </c>
      <c r="Y21" s="180">
        <f>SUM(Y12:Y20)</f>
        <v/>
      </c>
      <c r="Z21" s="180">
        <f>SUM(Z12:Z20)</f>
        <v/>
      </c>
      <c r="AA21" s="180">
        <f>SUM(AA12:AA20)</f>
        <v/>
      </c>
      <c r="AB21" s="180">
        <f>SUM(AB12:AB20)</f>
        <v/>
      </c>
      <c r="AC21" s="180">
        <f>SUM(AC12:AC20)</f>
        <v/>
      </c>
      <c r="AD21" s="180">
        <f>SUM(AD12:AD20)</f>
        <v/>
      </c>
      <c r="AE21" s="180">
        <f>SUM(AE12:AE20)</f>
        <v/>
      </c>
      <c r="AF21" s="180">
        <f>SUM(AF12:AF20)</f>
        <v/>
      </c>
      <c r="AG21" s="180">
        <f>SUM(AG12:AG20)</f>
        <v/>
      </c>
      <c r="AH21" s="180">
        <f>SUM(AH12:AH20)</f>
        <v/>
      </c>
      <c r="AI21" s="180">
        <f>SUM(AI12:AI20)</f>
        <v/>
      </c>
      <c r="AJ21" s="180">
        <f>SUM(AJ12:AJ20)</f>
        <v/>
      </c>
      <c r="AK21" s="180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8" t="n"/>
      <c r="M22" s="166" t="n"/>
      <c r="N22" s="166" t="n"/>
      <c r="O22" s="166">
        <f>L22-M22</f>
        <v/>
      </c>
      <c r="P22" s="166">
        <f>K22-N22</f>
        <v/>
      </c>
      <c r="Q22" s="166">
        <f>M22+O22</f>
        <v/>
      </c>
      <c r="R22" s="166">
        <f>M22+N22+O22+P22</f>
        <v/>
      </c>
      <c r="S22" s="172">
        <f>SUM(T22:V22)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81" t="n"/>
      <c r="F32" s="181" t="n"/>
      <c r="G32" s="181" t="n"/>
      <c r="H32" s="166" t="n"/>
      <c r="I32" s="166" t="n"/>
      <c r="J32" s="166" t="n"/>
      <c r="K32" s="170" t="n"/>
      <c r="L32" s="178" t="n"/>
      <c r="M32" s="166" t="n"/>
      <c r="N32" s="166" t="n"/>
      <c r="O32" s="166">
        <f>L32-M32</f>
        <v/>
      </c>
      <c r="P32" s="166">
        <f>K32-N32</f>
        <v/>
      </c>
      <c r="Q32" s="166">
        <f>M32+O32</f>
        <v/>
      </c>
      <c r="R32" s="166">
        <f>M32+N32+O32+P32</f>
        <v/>
      </c>
      <c r="S32" s="172">
        <f>SUM(T32:V32)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80">
        <f>SUM(E22:E32)</f>
        <v/>
      </c>
      <c r="F33" s="180">
        <f>SUM(F22:F32)</f>
        <v/>
      </c>
      <c r="G33" s="180">
        <f>SUM(G22:G32)</f>
        <v/>
      </c>
      <c r="H33" s="180">
        <f>SUM(H22:H32)</f>
        <v/>
      </c>
      <c r="I33" s="180">
        <f>SUM(I22:I32)</f>
        <v/>
      </c>
      <c r="J33" s="180">
        <f>SUM(J22:J32)</f>
        <v/>
      </c>
      <c r="K33" s="180">
        <f>SUM(K22:K32)</f>
        <v/>
      </c>
      <c r="L33" s="180">
        <f>SUM(L22:L32)</f>
        <v/>
      </c>
      <c r="M33" s="180">
        <f>SUM(M22:M32)</f>
        <v/>
      </c>
      <c r="N33" s="180">
        <f>SUM(N22:N32)</f>
        <v/>
      </c>
      <c r="O33" s="180">
        <f>SUM(O22:O32)</f>
        <v/>
      </c>
      <c r="P33" s="180">
        <f>SUM(P22:P32)</f>
        <v/>
      </c>
      <c r="Q33" s="180">
        <f>SUM(Q22:Q32)</f>
        <v/>
      </c>
      <c r="R33" s="180">
        <f>SUM(R22:R32)</f>
        <v/>
      </c>
      <c r="S33" s="180">
        <f>SUM(S22:S32)</f>
        <v/>
      </c>
      <c r="T33" s="180">
        <f>SUM(T22:T32)</f>
        <v/>
      </c>
      <c r="U33" s="180">
        <f>SUM(U22:U32)</f>
        <v/>
      </c>
      <c r="V33" s="180">
        <f>SUM(V22:V32)</f>
        <v/>
      </c>
      <c r="W33" s="180">
        <f>SUM(W22:W32)</f>
        <v/>
      </c>
      <c r="X33" s="180">
        <f>SUM(X22:X32)</f>
        <v/>
      </c>
      <c r="Y33" s="180">
        <f>SUM(Y22:Y32)</f>
        <v/>
      </c>
      <c r="Z33" s="180">
        <f>SUM(Z22:Z32)</f>
        <v/>
      </c>
      <c r="AA33" s="180">
        <f>SUM(AA22:AA32)</f>
        <v/>
      </c>
      <c r="AB33" s="180">
        <f>SUM(AB22:AB32)</f>
        <v/>
      </c>
      <c r="AC33" s="180">
        <f>SUM(AC22:AC32)</f>
        <v/>
      </c>
      <c r="AD33" s="180">
        <f>SUM(AD22:AD32)</f>
        <v/>
      </c>
      <c r="AE33" s="180">
        <f>SUM(AE22:AE32)</f>
        <v/>
      </c>
      <c r="AF33" s="180">
        <f>SUM(AF22:AF32)</f>
        <v/>
      </c>
      <c r="AG33" s="180">
        <f>SUM(AG22:AG32)</f>
        <v/>
      </c>
      <c r="AH33" s="180">
        <f>SUM(AH22:AH32)</f>
        <v/>
      </c>
      <c r="AI33" s="180">
        <f>SUM(AI22:AI32)</f>
        <v/>
      </c>
      <c r="AJ33" s="180">
        <f>SUM(AJ22:AJ32)</f>
        <v/>
      </c>
      <c r="AK33" s="180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8" t="n"/>
      <c r="M34" s="166" t="n"/>
      <c r="N34" s="166" t="n"/>
      <c r="O34" s="166">
        <f>L34-M34</f>
        <v/>
      </c>
      <c r="P34" s="166">
        <f>K34-N34</f>
        <v/>
      </c>
      <c r="Q34" s="166">
        <f>M34+O34</f>
        <v/>
      </c>
      <c r="R34" s="166">
        <f>M34+N34+O34+P34</f>
        <v/>
      </c>
      <c r="S34" s="172">
        <f>SUM(T34:V34)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8" t="n"/>
      <c r="M35" s="166" t="n"/>
      <c r="N35" s="166" t="n"/>
      <c r="O35" s="166">
        <f>L35-M35</f>
        <v/>
      </c>
      <c r="P35" s="166">
        <f>K35-N35</f>
        <v/>
      </c>
      <c r="Q35" s="166">
        <f>M35+O35</f>
        <v/>
      </c>
      <c r="R35" s="166">
        <f>M35+N35+O35+P35</f>
        <v/>
      </c>
      <c r="S35" s="172">
        <f>SUM(T35:V35)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81" t="n"/>
      <c r="F39" s="181" t="n"/>
      <c r="G39" s="181" t="n"/>
      <c r="H39" s="166" t="n">
        <v>0</v>
      </c>
      <c r="I39" s="166" t="n"/>
      <c r="J39" s="166" t="n"/>
      <c r="K39" s="170" t="n"/>
      <c r="L39" s="178" t="n"/>
      <c r="M39" s="166" t="n"/>
      <c r="N39" s="166" t="n"/>
      <c r="O39" s="166">
        <f>L39-M39</f>
        <v/>
      </c>
      <c r="P39" s="166">
        <f>K39-N39</f>
        <v/>
      </c>
      <c r="Q39" s="166">
        <f>M39+O39</f>
        <v/>
      </c>
      <c r="R39" s="166">
        <f>M39+N39+O39+P39</f>
        <v/>
      </c>
      <c r="S39" s="172">
        <f>SUM(T39:V39)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/>
      <c r="B58" s="21" t="n"/>
      <c r="C58" s="21" t="n"/>
      <c r="D58" s="31" t="inlineStr">
        <is>
          <t>材料库存（注：项目已结算未使用材料冲减项目成本，负数填报）</t>
        </is>
      </c>
      <c r="E58" s="181" t="n"/>
      <c r="F58" s="181" t="n"/>
      <c r="G58" s="181" t="n"/>
      <c r="H58" s="166" t="n"/>
      <c r="I58" s="166" t="n"/>
      <c r="J58" s="166" t="n"/>
      <c r="K58" s="170" t="n"/>
      <c r="L58" s="178" t="n"/>
      <c r="M58" s="166" t="n"/>
      <c r="N58" s="184" t="n"/>
      <c r="O58" s="166">
        <f>L58-M58</f>
        <v/>
      </c>
      <c r="P58" s="166">
        <f>K58-N58</f>
        <v/>
      </c>
      <c r="Q58" s="166">
        <f>M58+O58</f>
        <v/>
      </c>
      <c r="R58" s="166">
        <f>M58+N58+O58+P58</f>
        <v/>
      </c>
      <c r="S58" s="172">
        <f>SUM(T58:V58)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18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8" t="n"/>
      <c r="M59" s="185" t="n">
        <v>34020317.08</v>
      </c>
      <c r="N59" s="166" t="n"/>
      <c r="O59" s="166">
        <f>L59-M59</f>
        <v/>
      </c>
      <c r="P59" s="166">
        <f>K59-N59</f>
        <v/>
      </c>
      <c r="Q59" s="166">
        <f>M59+O59</f>
        <v/>
      </c>
      <c r="R59" s="166">
        <f>M59+N59+O59+P59</f>
        <v/>
      </c>
      <c r="S59" s="172">
        <f>SUM(T59:V59)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19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6" t="n"/>
      <c r="I60" s="186" t="n"/>
      <c r="J60" s="166" t="n"/>
      <c r="K60" s="170" t="n"/>
      <c r="L60" s="178" t="n"/>
      <c r="M60" s="187" t="n">
        <v>-8241729.17</v>
      </c>
      <c r="N60" s="186" t="n"/>
      <c r="O60" s="166">
        <f>L60-M60</f>
        <v/>
      </c>
      <c r="P60" s="166">
        <f>K60-N60</f>
        <v/>
      </c>
      <c r="Q60" s="166">
        <f>M60+O60</f>
        <v/>
      </c>
      <c r="R60" s="166">
        <f>M60+N60+O60+P60</f>
        <v/>
      </c>
      <c r="S60" s="172">
        <f>SUM(T60:V60)</f>
        <v/>
      </c>
      <c r="T60" s="186" t="n"/>
      <c r="U60" s="186" t="n"/>
      <c r="V60" s="186" t="n"/>
      <c r="W60" s="186" t="n"/>
      <c r="X60" s="186" t="n"/>
      <c r="Y60" s="186" t="n"/>
      <c r="Z60" s="166">
        <f>SUM(AA33:AJ33)</f>
        <v/>
      </c>
      <c r="AA60" s="186" t="n"/>
      <c r="AB60" s="188" t="n"/>
      <c r="AC60" s="188" t="n"/>
      <c r="AD60" s="188" t="n"/>
      <c r="AE60" s="188" t="n"/>
      <c r="AF60" s="188" t="n"/>
      <c r="AG60" s="188" t="n"/>
      <c r="AH60" s="188" t="n"/>
      <c r="AI60" s="188" t="n"/>
      <c r="AJ60" s="188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81" t="n"/>
      <c r="F61" s="181" t="n"/>
      <c r="G61" s="181" t="n"/>
      <c r="H61" s="166" t="n">
        <v>0</v>
      </c>
      <c r="I61" s="166" t="n"/>
      <c r="J61" s="166" t="n"/>
      <c r="K61" s="170" t="n"/>
      <c r="L61" s="178" t="n"/>
      <c r="M61" s="166" t="n"/>
      <c r="N61" s="166" t="n"/>
      <c r="O61" s="166">
        <f>L61-M61</f>
        <v/>
      </c>
      <c r="P61" s="166">
        <f>K61-N61</f>
        <v/>
      </c>
      <c r="Q61" s="166">
        <f>M61+O61</f>
        <v/>
      </c>
      <c r="R61" s="166">
        <f>M61+N61+O61+P61</f>
        <v/>
      </c>
      <c r="S61" s="172">
        <f>SUM(T61:V61)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80">
        <f>SUM(E34:E61)</f>
        <v/>
      </c>
      <c r="F62" s="180">
        <f>SUM(F34:F61)</f>
        <v/>
      </c>
      <c r="G62" s="180">
        <f>SUM(G34:G61)</f>
        <v/>
      </c>
      <c r="H62" s="180">
        <f>SUM(H34:H61)</f>
        <v/>
      </c>
      <c r="I62" s="180">
        <f>SUM(I34:I61)</f>
        <v/>
      </c>
      <c r="J62" s="180">
        <f>SUM(J34:J61)</f>
        <v/>
      </c>
      <c r="K62" s="180">
        <f>SUM(K34:K61)</f>
        <v/>
      </c>
      <c r="L62" s="180">
        <f>SUM(L34:L61)</f>
        <v/>
      </c>
      <c r="M62" s="180">
        <f>SUM(M34:M61)</f>
        <v/>
      </c>
      <c r="N62" s="180">
        <f>SUM(N34:N61)</f>
        <v/>
      </c>
      <c r="O62" s="180">
        <f>SUM(O34:O61)</f>
        <v/>
      </c>
      <c r="P62" s="180">
        <f>SUM(P34:P61)</f>
        <v/>
      </c>
      <c r="Q62" s="180">
        <f>SUM(Q34:Q61)</f>
        <v/>
      </c>
      <c r="R62" s="180">
        <f>SUM(R34:R61)</f>
        <v/>
      </c>
      <c r="S62" s="180">
        <f>SUM(S34:S61)</f>
        <v/>
      </c>
      <c r="T62" s="180">
        <f>SUM(T34:T61)</f>
        <v/>
      </c>
      <c r="U62" s="180">
        <f>SUM(U34:U61)</f>
        <v/>
      </c>
      <c r="V62" s="180">
        <f>SUM(V34:V61)</f>
        <v/>
      </c>
      <c r="W62" s="180">
        <f>SUM(W34:W61)</f>
        <v/>
      </c>
      <c r="X62" s="180">
        <f>SUM(X34:X61)</f>
        <v/>
      </c>
      <c r="Y62" s="180">
        <f>SUM(Y34:Y61)</f>
        <v/>
      </c>
      <c r="Z62" s="180">
        <f>SUM(Z34:Z61)</f>
        <v/>
      </c>
      <c r="AA62" s="180">
        <f>SUM(AA34:AA61)</f>
        <v/>
      </c>
      <c r="AB62" s="180">
        <f>SUM(AB34:AB61)</f>
        <v/>
      </c>
      <c r="AC62" s="180">
        <f>SUM(AC34:AC61)</f>
        <v/>
      </c>
      <c r="AD62" s="180">
        <f>SUM(AD34:AD61)</f>
        <v/>
      </c>
      <c r="AE62" s="180">
        <f>SUM(AE34:AE61)</f>
        <v/>
      </c>
      <c r="AF62" s="180">
        <f>SUM(AF34:AF61)</f>
        <v/>
      </c>
      <c r="AG62" s="180">
        <f>SUM(AG34:AG61)</f>
        <v/>
      </c>
      <c r="AH62" s="180">
        <f>SUM(AH34:AH61)</f>
        <v/>
      </c>
      <c r="AI62" s="180">
        <f>SUM(AI34:AI61)</f>
        <v/>
      </c>
      <c r="AJ62" s="180">
        <f>SUM(AJ34:AJ61)</f>
        <v/>
      </c>
      <c r="AK62" s="180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8">
        <f>J63-K63</f>
        <v/>
      </c>
      <c r="M63" s="161" t="n"/>
      <c r="N63" s="161" t="n"/>
      <c r="O63" s="166">
        <f>L63-M63</f>
        <v/>
      </c>
      <c r="P63" s="166">
        <f>K63-N63</f>
        <v/>
      </c>
      <c r="Q63" s="166">
        <f>M63+O63</f>
        <v/>
      </c>
      <c r="R63" s="166">
        <f>M63+N63+O63+P63</f>
        <v/>
      </c>
      <c r="S63" s="172">
        <f>SUM(T63:V63)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</row>
    <row r="69" ht="14" customHeight="1" s="139">
      <c r="A69" s="21" t="n"/>
      <c r="B69" s="21" t="n"/>
      <c r="C69" s="21" t="n"/>
      <c r="D69" s="26" t="inlineStr">
        <is>
          <t>**财务未列部分需增列***</t>
        </is>
      </c>
      <c r="E69" s="39" t="n"/>
      <c r="F69" s="39" t="n"/>
      <c r="G69" s="39" t="n"/>
      <c r="H69" s="166" t="n"/>
      <c r="I69" s="166" t="n"/>
      <c r="J69" s="166" t="n"/>
      <c r="K69" s="170" t="n">
        <v>0</v>
      </c>
      <c r="L69" s="178">
        <f>J69-K69</f>
        <v/>
      </c>
      <c r="M69" s="189" t="n"/>
      <c r="N69" s="189" t="n"/>
      <c r="O69" s="166">
        <f>L69-M69</f>
        <v/>
      </c>
      <c r="P69" s="166">
        <f>K69-N69</f>
        <v/>
      </c>
      <c r="Q69" s="166">
        <f>M69+O69</f>
        <v/>
      </c>
      <c r="R69" s="166">
        <f>M69+N69+O69+P69</f>
        <v/>
      </c>
      <c r="S69" s="172">
        <f>SUM(T69:V69)</f>
        <v/>
      </c>
      <c r="T69" s="189" t="n"/>
      <c r="U69" s="189" t="n"/>
      <c r="V69" s="189" t="n"/>
      <c r="W69" s="189" t="n"/>
      <c r="X69" s="189" t="n"/>
      <c r="Y69" s="189" t="n"/>
      <c r="Z69" s="189" t="n"/>
      <c r="AA69" s="172" t="n"/>
      <c r="AB69" s="165" t="n"/>
      <c r="AC69" s="165" t="n"/>
      <c r="AD69" s="165" t="n"/>
      <c r="AE69" s="165" t="n"/>
      <c r="AF69" s="165" t="n"/>
      <c r="AG69" s="165" t="n"/>
      <c r="AH69" s="165" t="n"/>
      <c r="AI69" s="165" t="n"/>
      <c r="AJ69" s="165" t="n"/>
      <c r="AK69" s="165">
        <f>AB38/1.17*0.17+AC38/1.16*0.16+AD38/1.11*0.11+AE38/1.1*0.1+AF38/1.09*0.09+AI38/1.03*0.03</f>
        <v/>
      </c>
      <c r="AL69" s="93" t="n"/>
    </row>
    <row r="70" ht="39" customHeight="1" s="139">
      <c r="A70" s="28" t="n"/>
      <c r="B70" s="28" t="n"/>
      <c r="C70" s="28" t="n"/>
      <c r="D70" s="40" t="inlineStr">
        <is>
          <t>机械费小计：</t>
        </is>
      </c>
      <c r="E70" s="41" t="n"/>
      <c r="F70" s="41" t="n"/>
      <c r="G70" s="41" t="n"/>
      <c r="H70" s="180">
        <f>SUM(H63:H69)</f>
        <v/>
      </c>
      <c r="I70" s="180">
        <f>SUM(I63:I69)</f>
        <v/>
      </c>
      <c r="J70" s="180">
        <f>SUM(J63:J69)</f>
        <v/>
      </c>
      <c r="K70" s="180">
        <f>SUM(K63:K69)</f>
        <v/>
      </c>
      <c r="L70" s="190">
        <f>SUM(L63:L69)</f>
        <v/>
      </c>
      <c r="M70" s="180">
        <f>SUM(M63:M69)</f>
        <v/>
      </c>
      <c r="N70" s="180">
        <f>SUM(N63:N69)</f>
        <v/>
      </c>
      <c r="O70" s="180">
        <f>SUM(O63:O69)</f>
        <v/>
      </c>
      <c r="P70" s="180">
        <f>SUM(P63:P69)</f>
        <v/>
      </c>
      <c r="Q70" s="180">
        <f>SUM(Q63:Q69)</f>
        <v/>
      </c>
      <c r="R70" s="180">
        <f>SUM(R63:R69)</f>
        <v/>
      </c>
      <c r="S70" s="180">
        <f>SUM(S63:S69)</f>
        <v/>
      </c>
      <c r="T70" s="180" t="n"/>
      <c r="U70" s="180" t="n"/>
      <c r="V70" s="180" t="n"/>
      <c r="W70" s="180" t="n"/>
      <c r="X70" s="180" t="n"/>
      <c r="Y70" s="180" t="n"/>
      <c r="Z70" s="180">
        <f>SUM(Z63:Z69)</f>
        <v/>
      </c>
      <c r="AA70" s="180">
        <f>SUM(AA63:AA69)</f>
        <v/>
      </c>
      <c r="AB70" s="180" t="n"/>
      <c r="AC70" s="180" t="n"/>
      <c r="AD70" s="180" t="n"/>
      <c r="AE70" s="180" t="n"/>
      <c r="AF70" s="180" t="n"/>
      <c r="AG70" s="180" t="n"/>
      <c r="AH70" s="180" t="n"/>
      <c r="AI70" s="180" t="n"/>
      <c r="AJ70" s="180" t="n"/>
      <c r="AK70" s="180" t="n"/>
      <c r="AL70" s="92" t="n"/>
    </row>
    <row r="71" ht="14" customHeight="1" s="139">
      <c r="A71" s="21" t="n"/>
      <c r="B71" s="21" t="n"/>
      <c r="C71" s="21" t="n"/>
      <c r="D71" s="31" t="inlineStr">
        <is>
          <t>（五）其他直接费</t>
        </is>
      </c>
      <c r="E71" s="27" t="n"/>
      <c r="F71" s="27" t="n"/>
      <c r="G71" s="27" t="n"/>
      <c r="H71" s="166" t="n"/>
      <c r="I71" s="166" t="n"/>
      <c r="J71" s="161" t="n">
        <v>0</v>
      </c>
      <c r="K71" s="170" t="n">
        <v>0</v>
      </c>
      <c r="L71" s="178">
        <f>J71-N71-P71</f>
        <v/>
      </c>
      <c r="M71" s="161" t="n"/>
      <c r="N71" s="161" t="n"/>
      <c r="O71" s="166">
        <f>L71-M71</f>
        <v/>
      </c>
      <c r="P71" s="166">
        <f>K71-N71</f>
        <v/>
      </c>
      <c r="Q71" s="166">
        <f>M71+O71</f>
        <v/>
      </c>
      <c r="R71" s="166">
        <f>M71+N71+O71+P71</f>
        <v/>
      </c>
      <c r="S71" s="172">
        <f>SUM(T71:V71)</f>
        <v/>
      </c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65" t="n"/>
      <c r="AL71" s="92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21" t="n"/>
      <c r="B75" s="21" t="n"/>
      <c r="C75" s="21" t="n"/>
      <c r="D75" s="26" t="inlineStr">
        <is>
          <t>**财务未列部分需增列***</t>
        </is>
      </c>
      <c r="E75" s="27" t="n"/>
      <c r="F75" s="27" t="n"/>
      <c r="G75" s="27" t="n"/>
      <c r="H75" s="166" t="n"/>
      <c r="I75" s="166" t="n"/>
      <c r="J75" s="161" t="n"/>
      <c r="K75" s="170" t="n"/>
      <c r="L75" s="178">
        <f>J75-K75</f>
        <v/>
      </c>
      <c r="M75" s="191" t="n"/>
      <c r="N75" s="191" t="n"/>
      <c r="O75" s="166">
        <f>L75-M75</f>
        <v/>
      </c>
      <c r="P75" s="166">
        <f>K75-N75</f>
        <v/>
      </c>
      <c r="Q75" s="166">
        <f>M75+O75</f>
        <v/>
      </c>
      <c r="R75" s="166">
        <f>M75+N75+O75+P75</f>
        <v/>
      </c>
      <c r="S75" s="172">
        <f>SUM(T75:V75)</f>
        <v/>
      </c>
      <c r="T75" s="191" t="n"/>
      <c r="U75" s="191" t="n"/>
      <c r="V75" s="191" t="n"/>
      <c r="W75" s="191" t="n"/>
      <c r="X75" s="191" t="n"/>
      <c r="Y75" s="191" t="n"/>
      <c r="Z75" s="166">
        <f>SUM(AA46:AJ46)</f>
        <v/>
      </c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65" t="n"/>
      <c r="AL75" s="92" t="n"/>
    </row>
    <row r="76" ht="14" customHeight="1" s="139">
      <c r="A76" s="42" t="n"/>
      <c r="B76" s="42" t="n"/>
      <c r="C76" s="42" t="n"/>
      <c r="D76" s="40" t="inlineStr">
        <is>
          <t>其他直接费小计：</t>
        </is>
      </c>
      <c r="E76" s="43" t="n"/>
      <c r="F76" s="43" t="n"/>
      <c r="G76" s="43" t="n"/>
      <c r="H76" s="180">
        <f>SUM(H71:H75)</f>
        <v/>
      </c>
      <c r="I76" s="180">
        <f>SUM(I71:I75)</f>
        <v/>
      </c>
      <c r="J76" s="180">
        <f>SUM(J71:J75)</f>
        <v/>
      </c>
      <c r="K76" s="180">
        <f>SUM(K71:K75)</f>
        <v/>
      </c>
      <c r="L76" s="190">
        <f>SUM(L71:L75)</f>
        <v/>
      </c>
      <c r="M76" s="180">
        <f>SUM(M71:M75)</f>
        <v/>
      </c>
      <c r="N76" s="180">
        <f>SUM(N71:N75)</f>
        <v/>
      </c>
      <c r="O76" s="180">
        <f>L76-M76</f>
        <v/>
      </c>
      <c r="P76" s="180">
        <f>SUM(P71:P75)</f>
        <v/>
      </c>
      <c r="Q76" s="180">
        <f>M76+O76</f>
        <v/>
      </c>
      <c r="R76" s="180">
        <f>SUM(R71:R75)</f>
        <v/>
      </c>
      <c r="S76" s="180">
        <f>SUM(S71:S75)</f>
        <v/>
      </c>
      <c r="T76" s="180" t="n"/>
      <c r="U76" s="180" t="n"/>
      <c r="V76" s="180" t="n"/>
      <c r="W76" s="180" t="n"/>
      <c r="X76" s="180" t="n"/>
      <c r="Y76" s="180" t="n"/>
      <c r="Z76" s="180">
        <f>SUM(Z71:Z75)</f>
        <v/>
      </c>
      <c r="AA76" s="180">
        <f>SUM(AA71:AA75)</f>
        <v/>
      </c>
      <c r="AB76" s="180">
        <f>SUM(AB71:AB75)</f>
        <v/>
      </c>
      <c r="AC76" s="180">
        <f>SUM(AC71:AC75)</f>
        <v/>
      </c>
      <c r="AD76" s="180">
        <f>SUM(AD71:AD75)</f>
        <v/>
      </c>
      <c r="AE76" s="180">
        <f>SUM(AE71:AE75)</f>
        <v/>
      </c>
      <c r="AF76" s="180">
        <f>SUM(AF71:AF75)</f>
        <v/>
      </c>
      <c r="AG76" s="180" t="n"/>
      <c r="AH76" s="180" t="n"/>
      <c r="AI76" s="180">
        <f>SUM(AI71:AI75)</f>
        <v/>
      </c>
      <c r="AJ76" s="180">
        <f>SUM(AJ71:AJ75)</f>
        <v/>
      </c>
      <c r="AK76" s="180">
        <f>SUM(AK71:AK75)</f>
        <v/>
      </c>
      <c r="AL76" s="92" t="n"/>
    </row>
    <row r="77" ht="14" customHeight="1" s="139">
      <c r="A77" s="21" t="n"/>
      <c r="B77" s="21" t="n"/>
      <c r="C77" s="21" t="n"/>
      <c r="D77" s="31" t="inlineStr">
        <is>
          <t>（六）间接费</t>
        </is>
      </c>
      <c r="E77" s="27" t="n"/>
      <c r="F77" s="27" t="n"/>
      <c r="G77" s="27" t="n"/>
      <c r="H77" s="161" t="n"/>
      <c r="I77" s="166" t="n"/>
      <c r="J77" s="166" t="n">
        <v>0</v>
      </c>
      <c r="K77" s="170" t="n">
        <v>0</v>
      </c>
      <c r="L77" s="178">
        <f>J77-N77-P77</f>
        <v/>
      </c>
      <c r="M77" s="161" t="n"/>
      <c r="N77" s="161" t="n"/>
      <c r="O77" s="166">
        <f>L77-M77</f>
        <v/>
      </c>
      <c r="P77" s="166">
        <f>K77-N77</f>
        <v/>
      </c>
      <c r="Q77" s="166">
        <f>M77+O77</f>
        <v/>
      </c>
      <c r="R77" s="166">
        <f>M77+N77+O77+P77</f>
        <v/>
      </c>
      <c r="S77" s="172">
        <f>SUM(T77:V77)</f>
        <v/>
      </c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65" t="n"/>
      <c r="AL77" s="92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21" t="n"/>
      <c r="B110" s="21" t="n"/>
      <c r="C110" s="21" t="n"/>
      <c r="D110" s="26" t="inlineStr">
        <is>
          <t>**财务未列部分需增列***</t>
        </is>
      </c>
      <c r="E110" s="27" t="n"/>
      <c r="F110" s="27" t="n"/>
      <c r="G110" s="27" t="n"/>
      <c r="H110" s="191" t="n"/>
      <c r="I110" s="166" t="n"/>
      <c r="J110" s="191" t="n"/>
      <c r="K110" s="170" t="n"/>
      <c r="L110" s="178" t="n"/>
      <c r="M110" s="191" t="n"/>
      <c r="N110" s="166" t="n"/>
      <c r="O110" s="166">
        <f>L110-M110</f>
        <v/>
      </c>
      <c r="P110" s="166">
        <f>K110-N110</f>
        <v/>
      </c>
      <c r="Q110" s="166">
        <f>M110+O110</f>
        <v/>
      </c>
      <c r="R110" s="166">
        <f>M110+N110+O110+P110</f>
        <v/>
      </c>
      <c r="S110" s="172">
        <f>SUM(T110:V110)</f>
        <v/>
      </c>
      <c r="T110" s="191" t="n"/>
      <c r="U110" s="191" t="n"/>
      <c r="V110" s="191" t="n"/>
      <c r="W110" s="191" t="n"/>
      <c r="X110" s="191" t="n"/>
      <c r="Y110" s="191" t="n"/>
      <c r="Z110" s="191" t="n"/>
      <c r="AA110" s="172" t="n"/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65" t="n"/>
      <c r="AL110" s="93" t="n"/>
    </row>
    <row r="111">
      <c r="A111" s="42" t="n"/>
      <c r="B111" s="42" t="n"/>
      <c r="C111" s="42" t="n"/>
      <c r="D111" s="40" t="inlineStr">
        <is>
          <t>间接费小计：</t>
        </is>
      </c>
      <c r="E111" s="43" t="n"/>
      <c r="F111" s="43" t="n"/>
      <c r="G111" s="43" t="n"/>
      <c r="H111" s="180">
        <f>SUM(H77:H110)</f>
        <v/>
      </c>
      <c r="I111" s="180">
        <f>SUM(I77:I110)</f>
        <v/>
      </c>
      <c r="J111" s="180">
        <f>SUM(J77:J110)</f>
        <v/>
      </c>
      <c r="K111" s="180">
        <f>SUM(K77:K110)</f>
        <v/>
      </c>
      <c r="L111" s="190">
        <f>SUM(L77:L110)</f>
        <v/>
      </c>
      <c r="M111" s="190">
        <f>SUM(M77:M110)</f>
        <v/>
      </c>
      <c r="N111" s="190">
        <f>SUM(N77:N110)</f>
        <v/>
      </c>
      <c r="O111" s="190">
        <f>SUM(O77:O110)</f>
        <v/>
      </c>
      <c r="P111" s="190">
        <f>SUM(P77:P110)</f>
        <v/>
      </c>
      <c r="Q111" s="190">
        <f>SUM(Q77:Q110)</f>
        <v/>
      </c>
      <c r="R111" s="190">
        <f>SUM(R77:R110)</f>
        <v/>
      </c>
      <c r="S111" s="190">
        <f>SUM(S77:S110)</f>
        <v/>
      </c>
      <c r="T111" s="190" t="n"/>
      <c r="U111" s="190" t="n"/>
      <c r="V111" s="190" t="n"/>
      <c r="W111" s="190" t="n"/>
      <c r="X111" s="190" t="n"/>
      <c r="Y111" s="190" t="n"/>
      <c r="Z111" s="190">
        <f>SUM(Z77:Z110)</f>
        <v/>
      </c>
      <c r="AA111" s="190">
        <f>SUM(AA77:AA110)</f>
        <v/>
      </c>
      <c r="AB111" s="190">
        <f>SUM(AB77:AB110)</f>
        <v/>
      </c>
      <c r="AC111" s="190">
        <f>SUM(AC77:AC110)</f>
        <v/>
      </c>
      <c r="AD111" s="190">
        <f>SUM(AD77:AD110)</f>
        <v/>
      </c>
      <c r="AE111" s="190">
        <f>SUM(AE77:AE110)</f>
        <v/>
      </c>
      <c r="AF111" s="190">
        <f>SUM(AF77:AF110)</f>
        <v/>
      </c>
      <c r="AG111" s="190" t="n"/>
      <c r="AH111" s="190" t="n"/>
      <c r="AI111" s="190">
        <f>SUM(AI77:AI110)</f>
        <v/>
      </c>
      <c r="AJ111" s="190">
        <f>SUM(AJ77:AJ110)</f>
        <v/>
      </c>
      <c r="AK111" s="190">
        <f>SUM(AK77:AK110)</f>
        <v/>
      </c>
      <c r="AL111" s="93" t="n"/>
    </row>
    <row r="112">
      <c r="A112" s="21" t="n"/>
      <c r="B112" s="21" t="n"/>
      <c r="C112" s="21" t="n"/>
      <c r="D112" s="31" t="inlineStr">
        <is>
          <t>（七）安全费</t>
        </is>
      </c>
      <c r="E112" s="27" t="n"/>
      <c r="F112" s="27" t="n"/>
      <c r="G112" s="27" t="n"/>
      <c r="H112" s="166" t="n"/>
      <c r="I112" s="166" t="n"/>
      <c r="J112" s="161" t="n">
        <v>0</v>
      </c>
      <c r="K112" s="192" t="n"/>
      <c r="L112" s="178">
        <f>J112-N112-P112</f>
        <v/>
      </c>
      <c r="M112" s="166" t="n"/>
      <c r="N112" s="166" t="n"/>
      <c r="O112" s="166">
        <f>L112-M112</f>
        <v/>
      </c>
      <c r="P112" s="166">
        <f>K112-N112</f>
        <v/>
      </c>
      <c r="Q112" s="166">
        <f>M112+O112</f>
        <v/>
      </c>
      <c r="R112" s="166">
        <f>M112+N112+O112+P112</f>
        <v/>
      </c>
      <c r="S112" s="172">
        <f>SUM(T112:V112)</f>
        <v/>
      </c>
      <c r="T112" s="191" t="n"/>
      <c r="U112" s="191" t="n"/>
      <c r="V112" s="191" t="n"/>
      <c r="W112" s="191" t="n"/>
      <c r="X112" s="191" t="n"/>
      <c r="Y112" s="191" t="n"/>
      <c r="Z112" s="189" t="n"/>
      <c r="AA112" s="172" t="n"/>
      <c r="AB112" s="165" t="n"/>
      <c r="AC112" s="165" t="n"/>
      <c r="AD112" s="165" t="n"/>
      <c r="AE112" s="165" t="n"/>
      <c r="AF112" s="165" t="n"/>
      <c r="AG112" s="165" t="n"/>
      <c r="AH112" s="165" t="n"/>
      <c r="AI112" s="165" t="n"/>
      <c r="AJ112" s="165" t="n"/>
      <c r="AK112" s="165" t="n"/>
      <c r="AL112" s="93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</row>
    <row r="116">
      <c r="A116" s="42" t="n"/>
      <c r="B116" s="42" t="n"/>
      <c r="C116" s="42" t="n"/>
      <c r="D116" s="40" t="inlineStr">
        <is>
          <t>安全费小计：</t>
        </is>
      </c>
      <c r="E116" s="40" t="n"/>
      <c r="F116" s="40" t="n"/>
      <c r="G116" s="40" t="n"/>
      <c r="H116" s="180">
        <f>SUM(H112:H115)</f>
        <v/>
      </c>
      <c r="I116" s="180">
        <f>SUM(I112:I115)</f>
        <v/>
      </c>
      <c r="J116" s="180" t="n">
        <v>0</v>
      </c>
      <c r="K116" s="180" t="n">
        <v>0</v>
      </c>
      <c r="L116" s="178">
        <f>J116-K116</f>
        <v/>
      </c>
      <c r="M116" s="193" t="n"/>
      <c r="N116" s="193" t="n"/>
      <c r="O116" s="190">
        <f>SUM(O112:O115)</f>
        <v/>
      </c>
      <c r="P116" s="190">
        <f>SUM(P112:P115)</f>
        <v/>
      </c>
      <c r="Q116" s="190">
        <f>SUM(Q112:Q115)</f>
        <v/>
      </c>
      <c r="R116" s="190">
        <f>SUM(R112:R115)</f>
        <v/>
      </c>
      <c r="S116" s="190">
        <f>SUM(S112:S115)</f>
        <v/>
      </c>
      <c r="T116" s="193" t="n"/>
      <c r="U116" s="193" t="n"/>
      <c r="V116" s="193" t="n"/>
      <c r="W116" s="193" t="n"/>
      <c r="X116" s="193" t="n"/>
      <c r="Y116" s="193" t="n"/>
      <c r="Z116" s="193" t="n"/>
      <c r="AA116" s="193">
        <f>SUM(AA112:AA115)</f>
        <v/>
      </c>
      <c r="AB116" s="193">
        <f>SUM(AB112:AB115)</f>
        <v/>
      </c>
      <c r="AC116" s="193">
        <f>SUM(AC112:AC115)</f>
        <v/>
      </c>
      <c r="AD116" s="193">
        <f>SUM(AD112:AD115)</f>
        <v/>
      </c>
      <c r="AE116" s="193">
        <f>SUM(AE112:AE115)</f>
        <v/>
      </c>
      <c r="AF116" s="193">
        <f>SUM(AF112:AF115)</f>
        <v/>
      </c>
      <c r="AG116" s="193" t="n"/>
      <c r="AH116" s="193" t="n"/>
      <c r="AI116" s="193">
        <f>SUM(AI112:AI115)</f>
        <v/>
      </c>
      <c r="AJ116" s="193">
        <f>SUM(AJ112:AJ115)</f>
        <v/>
      </c>
      <c r="AK116" s="193">
        <f>SUM(AK112:AK115)</f>
        <v/>
      </c>
      <c r="AL116" s="133" t="n"/>
    </row>
    <row r="117">
      <c r="A117" s="42" t="n"/>
      <c r="B117" s="42" t="n"/>
      <c r="C117" s="42" t="n"/>
      <c r="D117" s="40" t="inlineStr">
        <is>
          <t>三、成本合计：</t>
        </is>
      </c>
      <c r="E117" s="43" t="n"/>
      <c r="F117" s="43" t="n"/>
      <c r="G117" s="43" t="n"/>
      <c r="H117" s="180">
        <f>H21+H33+H62+H70+H76+H111+H116</f>
        <v/>
      </c>
      <c r="I117" s="180">
        <f>I21+I33+I62+I70+I76+I111+I116</f>
        <v/>
      </c>
      <c r="J117" s="180">
        <f>J21+J33+J62+J70+J76+J111+J116</f>
        <v/>
      </c>
      <c r="K117" s="180">
        <f>K21+K33+K62+K70+K76+K111+K116</f>
        <v/>
      </c>
      <c r="L117" s="190">
        <f>L21+L33+L62+L70+L76+L111+L116</f>
        <v/>
      </c>
      <c r="M117" s="193">
        <f>M21+M33+M62+M70+M76+M111+M116</f>
        <v/>
      </c>
      <c r="N117" s="193">
        <f>N21+N33+N62+N70+N76+N111+N116</f>
        <v/>
      </c>
      <c r="O117" s="193">
        <f>O21+O33+O62+O70+O76+O111+O116</f>
        <v/>
      </c>
      <c r="P117" s="193">
        <f>P21+P33+P62+P70+P76+P111+P116</f>
        <v/>
      </c>
      <c r="Q117" s="193">
        <f>Q21+Q33+Q62+Q70+Q76+Q111+Q116</f>
        <v/>
      </c>
      <c r="R117" s="193">
        <f>R21+R33+R62+R70+R76+R111+R116</f>
        <v/>
      </c>
      <c r="S117" s="193">
        <f>S21+S33+S62+S70+S76+S111+S116</f>
        <v/>
      </c>
      <c r="T117" s="193" t="n"/>
      <c r="U117" s="193" t="n"/>
      <c r="V117" s="193" t="n"/>
      <c r="W117" s="193" t="n"/>
      <c r="X117" s="193" t="n"/>
      <c r="Y117" s="193" t="n"/>
      <c r="Z117" s="193">
        <f>Z21+Z33+Z62+Z70+Z76+Z111+Z116</f>
        <v/>
      </c>
      <c r="AA117" s="193">
        <f>AA21+AA33+AA62+AA70+AA76+AA111+AA116</f>
        <v/>
      </c>
      <c r="AB117" s="193">
        <f>AB21+AB33+AB62+AB70+AB76+AB111+AB116</f>
        <v/>
      </c>
      <c r="AC117" s="193">
        <f>AC21+AC33+AC62+AC70+AC76+AC111+AC116</f>
        <v/>
      </c>
      <c r="AD117" s="193">
        <f>AD21+AD33+AD62+AD70+AD76+AD111+AD116</f>
        <v/>
      </c>
      <c r="AE117" s="193">
        <f>AE21+AE33+AE62+AE70+AE76+AE111+AE116</f>
        <v/>
      </c>
      <c r="AF117" s="193">
        <f>AF21+AF33+AF62+AF70+AF76+AF111+AF116</f>
        <v/>
      </c>
      <c r="AG117" s="193" t="n"/>
      <c r="AH117" s="193" t="n"/>
      <c r="AI117" s="193">
        <f>AI21+AI33+AI62+AI70+AI76+AI111+AI116</f>
        <v/>
      </c>
      <c r="AJ117" s="193">
        <f>AJ21+AJ33+AJ62+AJ70+AJ76+AJ111+AJ116</f>
        <v/>
      </c>
      <c r="AK117" s="193">
        <f>AK21+AK33+AK62+AK70+AK76+AK111+AK116</f>
        <v/>
      </c>
      <c r="AL117" s="133" t="n"/>
    </row>
    <row r="118">
      <c r="A118" s="21" t="n"/>
      <c r="B118" s="21" t="n"/>
      <c r="C118" s="21" t="n"/>
      <c r="D118" s="31" t="inlineStr">
        <is>
          <t>四、计提保修金</t>
        </is>
      </c>
      <c r="E118" s="96" t="inlineStr">
        <is>
          <t>（在建：房建0.6%，其它0.4%；在保修期间的按0.3~0.5%自行确定;保修期结束为0）</t>
        </is>
      </c>
      <c r="F118" s="96" t="n"/>
      <c r="G118" s="96" t="n"/>
      <c r="H118" s="161" t="n"/>
      <c r="I118" s="161" t="n"/>
      <c r="J118" s="161">
        <f>H118+I118</f>
        <v/>
      </c>
      <c r="K118" s="161" t="n"/>
      <c r="L118" s="178">
        <f>J118-K118</f>
        <v/>
      </c>
      <c r="M118" s="166" t="n"/>
      <c r="N118" s="166" t="n"/>
      <c r="O118" s="166">
        <f>L118-M118</f>
        <v/>
      </c>
      <c r="P118" s="166">
        <f>K118-N118</f>
        <v/>
      </c>
      <c r="Q118" s="166">
        <f>M118+O118</f>
        <v/>
      </c>
      <c r="R118" s="166">
        <f>M118+N118+O118+P118</f>
        <v/>
      </c>
      <c r="S118" s="172">
        <f>SUM(T118:V118)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>
        <f>Q70-S70</f>
        <v/>
      </c>
      <c r="AB118" s="194" t="n"/>
      <c r="AC118" s="194" t="n"/>
      <c r="AD118" s="194" t="n"/>
      <c r="AE118" s="194" t="n"/>
      <c r="AF118" s="194" t="n"/>
      <c r="AG118" s="194" t="n"/>
      <c r="AH118" s="194" t="n"/>
      <c r="AI118" s="194" t="n"/>
      <c r="AJ118" s="194" t="n"/>
      <c r="AK118" s="165" t="n"/>
      <c r="AL118" s="133" t="n"/>
    </row>
    <row r="119">
      <c r="A119" s="21" t="n"/>
      <c r="B119" s="21" t="n"/>
      <c r="C119" s="21" t="n"/>
      <c r="D119" s="31" t="inlineStr">
        <is>
          <t>五、过程节点奖金</t>
        </is>
      </c>
      <c r="E119" s="27" t="n"/>
      <c r="F119" s="27" t="n"/>
      <c r="G119" s="27" t="n"/>
      <c r="H119" s="161" t="n"/>
      <c r="I119" s="161" t="n"/>
      <c r="J119" s="161">
        <f>H119+I119</f>
        <v/>
      </c>
      <c r="K119" s="161" t="n"/>
      <c r="L119" s="178">
        <f>J119-K119</f>
        <v/>
      </c>
      <c r="M119" s="166" t="n"/>
      <c r="N119" s="166" t="n"/>
      <c r="O119" s="166">
        <f>L119-M119</f>
        <v/>
      </c>
      <c r="P119" s="166">
        <f>K119-N119</f>
        <v/>
      </c>
      <c r="Q119" s="166">
        <f>M119+O119</f>
        <v/>
      </c>
      <c r="R119" s="166">
        <f>M119+N119+O119+P119</f>
        <v/>
      </c>
      <c r="S119" s="172">
        <f>SUM(T119:V119)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inlineStr">
        <is>
          <t>六、资金占用费用</t>
        </is>
      </c>
      <c r="E120" s="27" t="n"/>
      <c r="F120" s="27" t="n"/>
      <c r="G120" s="27" t="n"/>
      <c r="H120" s="166" t="n"/>
      <c r="I120" s="166" t="n"/>
      <c r="J120" s="161">
        <f>H120+I120</f>
        <v/>
      </c>
      <c r="K120" s="166" t="n"/>
      <c r="L120" s="178">
        <f>J120-K120</f>
        <v/>
      </c>
      <c r="M120" s="185" t="n">
        <v>762837.87</v>
      </c>
      <c r="N120" s="166" t="n"/>
      <c r="O120" s="166">
        <f>L120-M120</f>
        <v/>
      </c>
      <c r="P120" s="166">
        <f>K120-N120</f>
        <v/>
      </c>
      <c r="Q120" s="166">
        <f>M120+O120</f>
        <v/>
      </c>
      <c r="R120" s="166">
        <f>M120+N120+O120+P120</f>
        <v/>
      </c>
      <c r="S120" s="172">
        <f>SUM(T120:V120)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21" t="n"/>
      <c r="B121" s="21" t="n"/>
      <c r="C121" s="21" t="n"/>
      <c r="D121" s="31" t="inlineStr">
        <is>
          <t>七、局投资收益（局投资项目选填）</t>
        </is>
      </c>
      <c r="E121" s="27" t="n"/>
      <c r="F121" s="27" t="n"/>
      <c r="G121" s="27" t="n"/>
      <c r="H121" s="166" t="n"/>
      <c r="I121" s="166" t="n"/>
      <c r="J121" s="161">
        <f>H121+I121</f>
        <v/>
      </c>
      <c r="K121" s="166" t="n"/>
      <c r="L121" s="178">
        <f>J121-K121</f>
        <v/>
      </c>
      <c r="M121" s="166" t="n"/>
      <c r="N121" s="166" t="n"/>
      <c r="O121" s="166">
        <f>L121-M121</f>
        <v/>
      </c>
      <c r="P121" s="166">
        <f>K121-N121</f>
        <v/>
      </c>
      <c r="Q121" s="166">
        <f>M121+O121</f>
        <v/>
      </c>
      <c r="R121" s="166">
        <f>M121+N121+O121+P121</f>
        <v/>
      </c>
      <c r="S121" s="172">
        <f>SUM(T121:V121)</f>
        <v/>
      </c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65" t="n"/>
      <c r="AC121" s="165" t="n"/>
      <c r="AD121" s="165" t="n"/>
      <c r="AE121" s="165" t="n"/>
      <c r="AF121" s="165" t="n"/>
      <c r="AG121" s="165" t="n"/>
      <c r="AH121" s="165" t="n"/>
      <c r="AI121" s="165" t="n"/>
      <c r="AJ121" s="165" t="n"/>
      <c r="AK121" s="165" t="n"/>
      <c r="AL121" s="93" t="n"/>
    </row>
    <row r="122">
      <c r="A122" s="42" t="n"/>
      <c r="B122" s="42" t="n"/>
      <c r="C122" s="42" t="n"/>
      <c r="D122" s="40" t="inlineStr">
        <is>
          <t>八、研发费用</t>
        </is>
      </c>
      <c r="E122" s="43" t="n"/>
      <c r="F122" s="43" t="n"/>
      <c r="G122" s="43" t="n"/>
      <c r="H122" s="180" t="n"/>
      <c r="I122" s="180" t="n"/>
      <c r="J122" s="180">
        <f>H122+I122</f>
        <v/>
      </c>
      <c r="K122" s="180" t="n"/>
      <c r="L122" s="190">
        <f>J122-K122</f>
        <v/>
      </c>
      <c r="M122" s="193">
        <f>SUM(M75:M77)</f>
        <v/>
      </c>
      <c r="N122" s="193">
        <f>SUM(N75:N77)</f>
        <v/>
      </c>
      <c r="O122" s="193">
        <f>SUM(O75:O77)</f>
        <v/>
      </c>
      <c r="P122" s="193">
        <f>SUM(P75:P77)</f>
        <v/>
      </c>
      <c r="Q122" s="193">
        <f>SUM(Q75:Q77)</f>
        <v/>
      </c>
      <c r="R122" s="193">
        <f>SUM(R75:R77)</f>
        <v/>
      </c>
      <c r="S122" s="193">
        <f>SUM(S75:S77)</f>
        <v/>
      </c>
      <c r="T122" s="193">
        <f>SUM(T75:T77)</f>
        <v/>
      </c>
      <c r="U122" s="193">
        <f>SUM(U75:U77)</f>
        <v/>
      </c>
      <c r="V122" s="193">
        <f>SUM(V75:V77)</f>
        <v/>
      </c>
      <c r="W122" s="193">
        <f>SUM(W75:W77)</f>
        <v/>
      </c>
      <c r="X122" s="193">
        <f>SUM(X75:X77)</f>
        <v/>
      </c>
      <c r="Y122" s="193">
        <f>SUM(Y75:Y77)</f>
        <v/>
      </c>
      <c r="Z122" s="193">
        <f>SUM(Z75:Z77)</f>
        <v/>
      </c>
      <c r="AA122" s="193">
        <f>SUM(AA75:AA77)</f>
        <v/>
      </c>
      <c r="AB122" s="193">
        <f>SUM(AB75:AB77)</f>
        <v/>
      </c>
      <c r="AC122" s="193">
        <f>SUM(AC75:AC77)</f>
        <v/>
      </c>
      <c r="AD122" s="193">
        <f>SUM(AD75:AD77)</f>
        <v/>
      </c>
      <c r="AE122" s="193">
        <f>SUM(AE75:AE77)</f>
        <v/>
      </c>
      <c r="AF122" s="193">
        <f>SUM(AF75:AF77)</f>
        <v/>
      </c>
      <c r="AG122" s="193">
        <f>SUM(AG75:AG77)</f>
        <v/>
      </c>
      <c r="AH122" s="193">
        <f>SUM(AH75:AH77)</f>
        <v/>
      </c>
      <c r="AI122" s="193">
        <f>SUM(AI75:AI77)</f>
        <v/>
      </c>
      <c r="AJ122" s="193">
        <f>SUM(AJ75:AJ77)</f>
        <v/>
      </c>
      <c r="AK122" s="193">
        <f>SUM(AK75:AK77)</f>
        <v/>
      </c>
      <c r="AL122" s="133" t="n"/>
    </row>
    <row r="123">
      <c r="A123" s="176" t="n"/>
      <c r="B123" s="176" t="n"/>
      <c r="C123" s="195" t="n"/>
      <c r="D123" s="195" t="inlineStr">
        <is>
          <t>材料费</t>
        </is>
      </c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96" t="n">
        <v>3926272.64</v>
      </c>
      <c r="N123" s="197" t="n"/>
      <c r="O123" s="197">
        <f>L123-M123</f>
        <v/>
      </c>
      <c r="P123" s="197">
        <f>K123-N123</f>
        <v/>
      </c>
      <c r="Q123" s="197">
        <f>M123+O123</f>
        <v/>
      </c>
      <c r="R123" s="197">
        <f>M123+N123+O123+P123</f>
        <v/>
      </c>
      <c r="S123" s="197" t="n"/>
      <c r="T123" s="197" t="n"/>
      <c r="U123" s="197" t="n"/>
      <c r="V123" s="197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8" t="n"/>
      <c r="B127" s="28" t="n"/>
      <c r="C127" s="28" t="n"/>
      <c r="D127" s="40" t="inlineStr">
        <is>
          <t>八、成本及费用合计（三+四+五+六+七）</t>
        </is>
      </c>
      <c r="E127" s="41" t="n"/>
      <c r="F127" s="41" t="n"/>
      <c r="G127" s="41" t="n"/>
      <c r="H127" s="180">
        <f>H117+H118+H119+H120+H121</f>
        <v/>
      </c>
      <c r="I127" s="180">
        <f>I117+I118+I119+I120+I121</f>
        <v/>
      </c>
      <c r="J127" s="109">
        <f>J117+J118+J119+J120+J121</f>
        <v/>
      </c>
      <c r="K127" s="180">
        <f>K117+K118+K119+K120+K121</f>
        <v/>
      </c>
      <c r="L127" s="110">
        <f>L117+L118+L119+L120+L121</f>
        <v/>
      </c>
      <c r="M127" s="198">
        <f>M117+M118+M119+M120+M121</f>
        <v/>
      </c>
      <c r="N127" s="198">
        <f>N117+N118+N119+N120+N121</f>
        <v/>
      </c>
      <c r="O127" s="198">
        <f>O117+O118+O119+O120+O121</f>
        <v/>
      </c>
      <c r="P127" s="198">
        <f>P117+P118+P119+P120+P121</f>
        <v/>
      </c>
      <c r="Q127" s="198">
        <f>Q117+Q118+Q119+Q120+Q121</f>
        <v/>
      </c>
      <c r="R127" s="198">
        <f>R117+R118+R119+R120+R121</f>
        <v/>
      </c>
      <c r="S127" s="193">
        <f>S117+S118+S119+S120+S121</f>
        <v/>
      </c>
      <c r="T127" s="193" t="n"/>
      <c r="U127" s="193" t="n"/>
      <c r="V127" s="193" t="n"/>
      <c r="W127" s="193" t="n"/>
      <c r="X127" s="193" t="n"/>
      <c r="Y127" s="193" t="n"/>
      <c r="Z127" s="193">
        <f>Z117+Z118+Z119+Z120+Z121</f>
        <v/>
      </c>
      <c r="AA127" s="193">
        <f>AA117+AA118+AA119+AA120+AA121</f>
        <v/>
      </c>
      <c r="AB127" s="199" t="n"/>
      <c r="AC127" s="199" t="n"/>
      <c r="AD127" s="199" t="n"/>
      <c r="AE127" s="199" t="n"/>
      <c r="AF127" s="199" t="n"/>
      <c r="AG127" s="199" t="n"/>
      <c r="AH127" s="199" t="n"/>
      <c r="AI127" s="199" t="n"/>
      <c r="AJ127" s="199" t="n"/>
      <c r="AK127" s="200" t="n"/>
      <c r="AL127" s="135" t="n"/>
    </row>
    <row r="128">
      <c r="A128" s="28" t="n"/>
      <c r="B128" s="28" t="n"/>
      <c r="C128" s="28" t="n"/>
      <c r="D128" s="40" t="inlineStr">
        <is>
          <t>九、增值税实际税负（按财务数据）</t>
        </is>
      </c>
      <c r="E128" s="41" t="inlineStr">
        <is>
          <t>根据财务账面实际已缴纳增值税额+尚需缴纳的增值税额</t>
        </is>
      </c>
      <c r="F128" s="41" t="n"/>
      <c r="G128" s="41" t="n"/>
      <c r="H128" s="180" t="n"/>
      <c r="I128" s="180" t="n"/>
      <c r="J128" s="109">
        <f>H79+I79</f>
        <v/>
      </c>
      <c r="K128" s="180" t="inlineStr">
        <is>
          <t>/</t>
        </is>
      </c>
      <c r="L128" s="110" t="inlineStr">
        <is>
          <t>/</t>
        </is>
      </c>
      <c r="M128" s="198" t="n"/>
      <c r="N128" s="198">
        <f>N6-N78</f>
        <v/>
      </c>
      <c r="O128" s="198" t="n"/>
      <c r="P128" s="198" t="n"/>
      <c r="Q128" s="198" t="inlineStr">
        <is>
          <t>/</t>
        </is>
      </c>
      <c r="R128" s="198">
        <f>N79+P79</f>
        <v/>
      </c>
      <c r="S128" s="193" t="n"/>
      <c r="T128" s="193" t="n"/>
      <c r="U128" s="193" t="n"/>
      <c r="V128" s="193" t="n"/>
      <c r="W128" s="193" t="n"/>
      <c r="X128" s="193" t="n"/>
      <c r="Y128" s="193" t="n"/>
      <c r="Z128" s="193" t="n"/>
      <c r="AA128" s="193" t="n"/>
      <c r="AB128" s="199" t="n"/>
      <c r="AC128" s="199" t="n"/>
      <c r="AD128" s="199" t="n"/>
      <c r="AE128" s="199" t="n"/>
      <c r="AF128" s="199" t="n"/>
      <c r="AG128" s="199" t="n"/>
      <c r="AH128" s="199" t="n"/>
      <c r="AI128" s="199" t="n"/>
      <c r="AJ128" s="199" t="n"/>
      <c r="AK128" s="200" t="n"/>
      <c r="AL128" s="135" t="n"/>
    </row>
    <row r="129">
      <c r="A129" s="28" t="n"/>
      <c r="B129" s="28" t="n"/>
      <c r="C129" s="28" t="n"/>
      <c r="D129" s="40" t="inlineStr">
        <is>
          <t>十、税金及附加（按财务数据）</t>
        </is>
      </c>
      <c r="E129" s="41" t="inlineStr">
        <is>
          <t>根据财务账面实际已缴纳税金及附加+尚需缴纳的税金及附加</t>
        </is>
      </c>
      <c r="F129" s="41" t="n"/>
      <c r="G129" s="41" t="n"/>
      <c r="H129" s="180" t="n"/>
      <c r="I129" s="180" t="n"/>
      <c r="J129" s="109">
        <f>H80+I80</f>
        <v/>
      </c>
      <c r="K129" s="180" t="n"/>
      <c r="L129" s="110">
        <f>J80</f>
        <v/>
      </c>
      <c r="M129" s="201" t="n">
        <v>260389.37</v>
      </c>
      <c r="N129" s="198" t="n"/>
      <c r="O129" s="198">
        <f>L80-M80</f>
        <v/>
      </c>
      <c r="P129" s="198" t="n"/>
      <c r="Q129" s="198">
        <f>M80+O80</f>
        <v/>
      </c>
      <c r="R129" s="198">
        <f>Q80</f>
        <v/>
      </c>
      <c r="S129" s="193" t="n"/>
      <c r="T129" s="193" t="n"/>
      <c r="U129" s="193" t="n"/>
      <c r="V129" s="193" t="n"/>
      <c r="W129" s="193" t="n"/>
      <c r="X129" s="193" t="n"/>
      <c r="Y129" s="193" t="n"/>
      <c r="Z129" s="193" t="n"/>
      <c r="AA129" s="193" t="n"/>
      <c r="AB129" s="199" t="n"/>
      <c r="AC129" s="199" t="n"/>
      <c r="AD129" s="199" t="n"/>
      <c r="AE129" s="199" t="n"/>
      <c r="AF129" s="199" t="n"/>
      <c r="AG129" s="199" t="n"/>
      <c r="AH129" s="199" t="n"/>
      <c r="AI129" s="199" t="n"/>
      <c r="AJ129" s="199" t="n"/>
      <c r="AK129" s="200" t="n"/>
      <c r="AL129" s="135" t="n"/>
    </row>
    <row r="130">
      <c r="A130" s="28" t="n"/>
      <c r="B130" s="28" t="n"/>
      <c r="C130" s="28" t="n"/>
      <c r="D130" s="40" t="inlineStr">
        <is>
          <t>十一、利润</t>
        </is>
      </c>
      <c r="E130" s="41" t="n"/>
      <c r="F130" s="41" t="n"/>
      <c r="G130" s="41" t="n"/>
      <c r="H130" s="180" t="n"/>
      <c r="I130" s="180" t="n"/>
      <c r="J130" s="109">
        <f>J6-J78-J79-J80</f>
        <v/>
      </c>
      <c r="K130" s="180" t="n"/>
      <c r="L130" s="110" t="n"/>
      <c r="M130" s="198" t="n"/>
      <c r="N130" s="198" t="n"/>
      <c r="O130" s="198" t="n"/>
      <c r="P130" s="198" t="n"/>
      <c r="Q130" s="198" t="n"/>
      <c r="R130" s="198" t="n"/>
      <c r="S130" s="193" t="n"/>
      <c r="T130" s="193" t="n"/>
      <c r="U130" s="193" t="n"/>
      <c r="V130" s="193" t="n"/>
      <c r="W130" s="193" t="n"/>
      <c r="X130" s="193" t="n"/>
      <c r="Y130" s="193" t="n"/>
      <c r="Z130" s="193" t="n"/>
      <c r="AA130" s="193" t="n"/>
      <c r="AB130" s="199" t="n"/>
      <c r="AC130" s="199" t="n"/>
      <c r="AD130" s="199" t="n"/>
      <c r="AE130" s="199" t="n"/>
      <c r="AF130" s="199" t="n"/>
      <c r="AG130" s="199" t="n"/>
      <c r="AH130" s="199" t="n"/>
      <c r="AI130" s="199" t="n"/>
      <c r="AJ130" s="199" t="n"/>
      <c r="AK130" s="200" t="n"/>
      <c r="AL130" s="135" t="n"/>
    </row>
    <row r="131">
      <c r="A131" s="28" t="n"/>
      <c r="B131" s="28" t="n"/>
      <c r="C131" s="28" t="n"/>
      <c r="D131" s="40" t="inlineStr">
        <is>
          <t>十二、利润率</t>
        </is>
      </c>
      <c r="E131" s="41" t="n"/>
      <c r="F131" s="41" t="n"/>
      <c r="G131" s="41" t="n"/>
      <c r="H131" s="180" t="n"/>
      <c r="I131" s="180" t="n"/>
      <c r="J131" s="109">
        <f>J81/J6</f>
        <v/>
      </c>
      <c r="K131" s="180" t="n"/>
      <c r="L131" s="110">
        <f>L81/L6</f>
        <v/>
      </c>
      <c r="M131" s="198">
        <f>M81/M6</f>
        <v/>
      </c>
      <c r="N131" s="198" t="n"/>
      <c r="O131" s="198" t="n"/>
      <c r="P131" s="198" t="n"/>
      <c r="Q131" s="198">
        <f>Q81/Q6</f>
        <v/>
      </c>
      <c r="R131" s="198">
        <f>R81/R6</f>
        <v/>
      </c>
      <c r="S131" s="193" t="n"/>
      <c r="T131" s="193" t="n"/>
      <c r="U131" s="193" t="n"/>
      <c r="V131" s="193" t="n"/>
      <c r="W131" s="193" t="n"/>
      <c r="X131" s="193" t="n"/>
      <c r="Y131" s="193" t="n"/>
      <c r="Z131" s="193" t="n"/>
      <c r="AA131" s="193" t="n"/>
      <c r="AB131" s="199" t="n"/>
      <c r="AC131" s="199" t="n"/>
      <c r="AD131" s="199" t="n"/>
      <c r="AE131" s="199" t="n"/>
      <c r="AF131" s="199" t="n"/>
      <c r="AG131" s="199" t="n"/>
      <c r="AH131" s="199" t="n"/>
      <c r="AI131" s="199" t="n"/>
      <c r="AJ131" s="199" t="n"/>
      <c r="AK131" s="200" t="n"/>
      <c r="AL131" s="135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2" t="n"/>
      <c r="I132" s="202" t="n"/>
      <c r="J132" s="203" t="inlineStr">
        <is>
          <t>含税利润率</t>
        </is>
      </c>
      <c r="K132" s="204" t="n"/>
      <c r="L132" s="205" t="inlineStr">
        <is>
          <t>不含税利润率</t>
        </is>
      </c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7" t="n"/>
      <c r="AA132" s="142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2" t="n"/>
      <c r="I133" s="202" t="n"/>
      <c r="J133" s="209" t="n"/>
      <c r="K133" s="202" t="n"/>
      <c r="L133" s="210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7" t="n"/>
      <c r="AA133" s="142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1" t="n"/>
      <c r="L134" s="211" t="n"/>
      <c r="M134" s="212" t="n"/>
      <c r="N134" s="211" t="n"/>
      <c r="O134" s="211" t="n"/>
      <c r="P134" s="213" t="n"/>
      <c r="Q134" s="213" t="n"/>
      <c r="R134" s="211" t="n"/>
      <c r="S134" s="214" t="n"/>
      <c r="T134" s="214" t="n"/>
      <c r="U134" s="214" t="n"/>
      <c r="V134" s="214" t="n"/>
      <c r="W134" s="214" t="n"/>
      <c r="X134" s="214" t="n"/>
      <c r="Y134" s="214" t="n"/>
      <c r="Z134" s="215" t="n"/>
      <c r="AA134" s="216" t="n"/>
      <c r="AD134" s="217" t="n"/>
      <c r="AE134" s="217" t="n"/>
      <c r="AF134" s="217" t="n"/>
      <c r="AG134" s="217" t="n"/>
      <c r="AH134" s="217" t="n"/>
      <c r="AI134" s="217" t="n"/>
      <c r="AJ134" s="217" t="n"/>
      <c r="AK134" s="217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8" t="n"/>
      <c r="L135" s="106" t="n"/>
      <c r="M135" s="219" t="n"/>
      <c r="N135" s="219" t="n"/>
      <c r="O135" s="219" t="n"/>
      <c r="P135" s="219" t="n"/>
      <c r="Q135" s="219" t="n"/>
      <c r="R135" s="219" t="n"/>
      <c r="S135" s="214" t="n"/>
      <c r="T135" s="214" t="n"/>
      <c r="U135" s="214" t="n"/>
      <c r="V135" s="214" t="n"/>
      <c r="W135" s="214" t="n"/>
      <c r="X135" s="214" t="n"/>
      <c r="Y135" s="214" t="n"/>
      <c r="Z135" s="219" t="n"/>
      <c r="AA135" s="217" t="n"/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8" t="n"/>
      <c r="L136" s="106" t="n"/>
      <c r="M136" s="219" t="n"/>
      <c r="N136" s="219" t="n"/>
      <c r="O136" s="219" t="n"/>
      <c r="P136" s="219" t="n"/>
      <c r="Q136" s="219" t="n"/>
      <c r="R136" s="219" t="n"/>
      <c r="S136" s="214" t="n"/>
      <c r="T136" s="214" t="n"/>
      <c r="U136" s="214" t="n"/>
      <c r="V136" s="214" t="n"/>
      <c r="W136" s="214" t="n"/>
      <c r="X136" s="214" t="n"/>
      <c r="Y136" s="214" t="n"/>
      <c r="Z136" s="219" t="n"/>
      <c r="AA136" s="217" t="n"/>
      <c r="AB136" s="217" t="n"/>
      <c r="AC136" s="217" t="n"/>
      <c r="AD136" s="217" t="n"/>
      <c r="AE136" s="217" t="n"/>
      <c r="AF136" s="217" t="n"/>
      <c r="AG136" s="217" t="n"/>
      <c r="AH136" s="217" t="n"/>
      <c r="AI136" s="217" t="n"/>
      <c r="AJ136" s="217" t="n"/>
      <c r="AK136" s="217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9" t="n"/>
      <c r="N137" s="215" t="n"/>
      <c r="O137" s="219" t="n"/>
      <c r="P137" s="219" t="n"/>
      <c r="Q137" s="219" t="n"/>
      <c r="R137" s="211" t="n"/>
      <c r="S137" s="214" t="n"/>
      <c r="T137" s="214" t="n"/>
      <c r="U137" s="214" t="n"/>
      <c r="V137" s="214" t="n"/>
      <c r="W137" s="214" t="n"/>
      <c r="X137" s="214" t="n"/>
      <c r="Y137" s="214" t="n"/>
      <c r="Z137" s="219" t="n"/>
      <c r="AA137" s="217" t="n"/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2026-04-19T04:07:33Z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