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5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6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9" zoomScale="70" zoomScaleNormal="70" workbookViewId="0">
      <selection activeCell="F33" sqref="F33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8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14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26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6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306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306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33" t="n"/>
      <c r="B57" s="199" t="n"/>
      <c r="C57" s="199" t="n"/>
      <c r="D57" s="222" t="n"/>
      <c r="E57" s="219" t="n"/>
      <c r="F57" s="219" t="n"/>
      <c r="G57" s="219" t="n"/>
      <c r="H57" s="189" t="n"/>
      <c r="I57" s="189" t="n"/>
      <c r="J57" s="189" t="n"/>
      <c r="K57" s="201" t="n"/>
      <c r="L57" s="306" t="n"/>
      <c r="M57" s="189" t="n"/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282" t="n">
        <v>18</v>
      </c>
      <c r="B58" s="283" t="n"/>
      <c r="C58" s="283" t="n"/>
      <c r="D58" s="302" t="inlineStr">
        <is>
          <t>材料调入</t>
        </is>
      </c>
      <c r="E58" s="283" t="n"/>
      <c r="F58" s="283" t="n"/>
      <c r="G58" s="283" t="n"/>
      <c r="H58" s="285" t="n"/>
      <c r="I58" s="285" t="n"/>
      <c r="J58" s="285" t="n"/>
      <c r="K58" s="286" t="n"/>
      <c r="L58" s="287" t="n"/>
      <c r="M58" s="307" t="n">
        <v>34020317.08</v>
      </c>
      <c r="N58" s="285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289" t="n"/>
      <c r="U58" s="289" t="n"/>
      <c r="V58" s="289" t="n"/>
      <c r="W58" s="289" t="n"/>
      <c r="X58" s="289" t="n"/>
      <c r="Y58" s="289" t="n"/>
      <c r="Z58" s="285">
        <f>SUM(AA31:AJ31)</f>
        <v/>
      </c>
      <c r="AA58" s="289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290">
        <f>AB31/1.17*0.17+AC31/1.16*0.16+AD31/1.11*0.11+AE31/1.1*0.1+AF31/1.09*0.09+AI31/1.03*0.03</f>
        <v/>
      </c>
      <c r="AL58" s="305" t="n"/>
    </row>
    <row r="59" ht="14" customFormat="1" customHeight="1" s="180">
      <c r="A59" s="282" t="n">
        <v>19</v>
      </c>
      <c r="B59" s="283" t="n"/>
      <c r="C59" s="283" t="n"/>
      <c r="D59" s="302" t="inlineStr">
        <is>
          <t>材料调出（注：负数填报）</t>
        </is>
      </c>
      <c r="E59" s="308" t="n"/>
      <c r="F59" s="308" t="n"/>
      <c r="G59" s="308" t="n"/>
      <c r="H59" s="309" t="n"/>
      <c r="I59" s="309" t="n"/>
      <c r="J59" s="285" t="n"/>
      <c r="K59" s="286" t="n"/>
      <c r="L59" s="287" t="n"/>
      <c r="M59" s="310" t="n">
        <v>-8241729.17</v>
      </c>
      <c r="N59" s="309" t="n"/>
      <c r="O59" s="285">
        <f>L59-M59</f>
        <v/>
      </c>
      <c r="P59" s="285">
        <f>K59-N59</f>
        <v/>
      </c>
      <c r="Q59" s="285">
        <f>M59+O59</f>
        <v/>
      </c>
      <c r="R59" s="285">
        <f>M59+N59+O59+P59</f>
        <v/>
      </c>
      <c r="S59" s="289">
        <f>SUM(T59:V59)</f>
        <v/>
      </c>
      <c r="T59" s="309" t="n"/>
      <c r="U59" s="309" t="n"/>
      <c r="V59" s="309" t="n"/>
      <c r="W59" s="309" t="n"/>
      <c r="X59" s="309" t="n"/>
      <c r="Y59" s="309" t="n"/>
      <c r="Z59" s="285">
        <f>SUM(AA32:AJ32)</f>
        <v/>
      </c>
      <c r="AA59" s="309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290">
        <f>AB32/1.17*0.17+AC32/1.16*0.16+AD32/1.11*0.11+AE32/1.1*0.1+AF32/1.09*0.09+AI32/1.03*0.03</f>
        <v/>
      </c>
      <c r="AL59" s="312" t="n"/>
    </row>
    <row r="60" ht="14" customFormat="1" customHeight="1" s="180">
      <c r="A60" s="282" t="n"/>
      <c r="B60" s="283" t="n"/>
      <c r="C60" s="283" t="n"/>
      <c r="D60" s="302" t="inlineStr">
        <is>
          <t>材料库存（注：项目已结算未使用材料冲减项目成本，负数填报）</t>
        </is>
      </c>
      <c r="E60" s="308" t="n"/>
      <c r="F60" s="308" t="n"/>
      <c r="G60" s="308" t="n"/>
      <c r="H60" s="309" t="n"/>
      <c r="I60" s="309" t="n"/>
      <c r="J60" s="285" t="n"/>
      <c r="K60" s="286" t="n"/>
      <c r="L60" s="287" t="n"/>
      <c r="M60" s="309" t="n"/>
      <c r="N60" s="309" t="n"/>
      <c r="O60" s="285" t="n"/>
      <c r="P60" s="285" t="n"/>
      <c r="Q60" s="285" t="n"/>
      <c r="R60" s="285" t="n"/>
      <c r="S60" s="289" t="n"/>
      <c r="T60" s="309" t="n"/>
      <c r="U60" s="309" t="n"/>
      <c r="V60" s="309" t="n"/>
      <c r="W60" s="309" t="n"/>
      <c r="X60" s="309" t="n"/>
      <c r="Y60" s="309" t="n"/>
      <c r="Z60" s="285" t="n"/>
      <c r="AA60" s="309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290" t="n"/>
      <c r="AL60" s="312" t="n"/>
    </row>
    <row r="61" ht="14" customFormat="1" customHeight="1" s="180">
      <c r="A61" s="282" t="n"/>
      <c r="B61" s="283" t="n"/>
      <c r="C61" s="283" t="n"/>
      <c r="D61" s="294" t="inlineStr">
        <is>
          <t>**财务未列部分需增列***</t>
        </is>
      </c>
      <c r="E61" s="303" t="n"/>
      <c r="F61" s="303" t="n"/>
      <c r="G61" s="303" t="n"/>
      <c r="H61" s="285" t="n"/>
      <c r="I61" s="285" t="n"/>
      <c r="J61" s="285" t="n"/>
      <c r="K61" s="286" t="n"/>
      <c r="L61" s="287" t="n"/>
      <c r="M61" s="285" t="n"/>
      <c r="N61" s="285" t="n"/>
      <c r="O61" s="285">
        <f>L61-M61</f>
        <v/>
      </c>
      <c r="P61" s="285">
        <f>K61-N61</f>
        <v/>
      </c>
      <c r="Q61" s="285">
        <f>M61+O61</f>
        <v/>
      </c>
      <c r="R61" s="285">
        <f>M61+N61+O61+P61</f>
        <v/>
      </c>
      <c r="S61" s="289">
        <f>SUM(T61:V61)</f>
        <v/>
      </c>
      <c r="T61" s="289" t="n"/>
      <c r="U61" s="289" t="n"/>
      <c r="V61" s="289" t="n"/>
      <c r="W61" s="289" t="n"/>
      <c r="X61" s="289" t="n"/>
      <c r="Y61" s="289" t="n"/>
      <c r="Z61" s="289" t="n"/>
      <c r="AA61" s="289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290">
        <f>AB34/1.17*0.17+AC34/1.16*0.16+AD34/1.11*0.11+AE34/1.1*0.1+AF34/1.09*0.09+AI34/1.03*0.03</f>
        <v/>
      </c>
      <c r="AL61" s="305" t="n"/>
    </row>
    <row r="62" ht="14" customFormat="1" customHeight="1" s="180">
      <c r="A62" s="298" t="n"/>
      <c r="B62" s="299" t="n"/>
      <c r="C62" s="299" t="n"/>
      <c r="D62" s="300" t="inlineStr">
        <is>
          <t>材料费小计：</t>
        </is>
      </c>
      <c r="E62" s="301">
        <f>SUM(E34:E61)</f>
        <v/>
      </c>
      <c r="F62" s="301">
        <f>SUM(F34:F61)</f>
        <v/>
      </c>
      <c r="G62" s="301">
        <f>SUM(G34:G61)</f>
        <v/>
      </c>
      <c r="H62" s="301">
        <f>SUM(H34:H61)</f>
        <v/>
      </c>
      <c r="I62" s="301">
        <f>SUM(I34:I61)</f>
        <v/>
      </c>
      <c r="J62" s="301">
        <f>SUM(J34:J61)</f>
        <v/>
      </c>
      <c r="K62" s="301">
        <f>SUM(K34:K61)</f>
        <v/>
      </c>
      <c r="L62" s="301">
        <f>SUM(L34:L61)</f>
        <v/>
      </c>
      <c r="M62" s="301">
        <f>SUM(M34:M61)</f>
        <v/>
      </c>
      <c r="N62" s="301">
        <f>SUM(N34:N61)</f>
        <v/>
      </c>
      <c r="O62" s="301">
        <f>SUM(O34:O61)</f>
        <v/>
      </c>
      <c r="P62" s="301">
        <f>SUM(P34:P61)</f>
        <v/>
      </c>
      <c r="Q62" s="301">
        <f>SUM(Q34:Q61)</f>
        <v/>
      </c>
      <c r="R62" s="301">
        <f>SUM(R34:R61)</f>
        <v/>
      </c>
      <c r="S62" s="301">
        <f>SUM(S34:S61)</f>
        <v/>
      </c>
      <c r="T62" s="301">
        <f>SUM(T34:T61)</f>
        <v/>
      </c>
      <c r="U62" s="301">
        <f>SUM(U34:U61)</f>
        <v/>
      </c>
      <c r="V62" s="301">
        <f>SUM(V34:V61)</f>
        <v/>
      </c>
      <c r="W62" s="301">
        <f>SUM(W34:W61)</f>
        <v/>
      </c>
      <c r="X62" s="301">
        <f>SUM(X34:X61)</f>
        <v/>
      </c>
      <c r="Y62" s="301">
        <f>SUM(Y34:Y61)</f>
        <v/>
      </c>
      <c r="Z62" s="301">
        <f>SUM(Z34:Z61)</f>
        <v/>
      </c>
      <c r="AA62" s="301">
        <f>SUM(AA34:AA61)</f>
        <v/>
      </c>
      <c r="AB62" s="301">
        <f>SUM(AB34:AB61)</f>
        <v/>
      </c>
      <c r="AC62" s="301">
        <f>SUM(AC34:AC61)</f>
        <v/>
      </c>
      <c r="AD62" s="301">
        <f>SUM(AD34:AD61)</f>
        <v/>
      </c>
      <c r="AE62" s="301">
        <f>SUM(AE34:AE61)</f>
        <v/>
      </c>
      <c r="AF62" s="301">
        <f>SUM(AF34:AF61)</f>
        <v/>
      </c>
      <c r="AG62" s="301">
        <f>SUM(AG34:AG61)</f>
        <v/>
      </c>
      <c r="AH62" s="301">
        <f>SUM(AH34:AH61)</f>
        <v/>
      </c>
      <c r="AI62" s="301">
        <f>SUM(AI34:AI61)</f>
        <v/>
      </c>
      <c r="AJ62" s="301">
        <f>SUM(AJ34:AJ61)</f>
        <v/>
      </c>
      <c r="AK62" s="301">
        <f>SUM(AK34:AK61)</f>
        <v/>
      </c>
      <c r="AL62" s="291" t="n"/>
    </row>
    <row r="63" ht="14" customFormat="1" customHeight="1" s="180">
      <c r="A63" s="282" t="n"/>
      <c r="B63" s="283" t="n"/>
      <c r="C63" s="283" t="n"/>
      <c r="D63" s="302" t="inlineStr">
        <is>
          <t>(四）机械租赁费</t>
        </is>
      </c>
      <c r="E63" s="295" t="n"/>
      <c r="F63" s="295" t="n"/>
      <c r="G63" s="295" t="n"/>
      <c r="H63" s="285" t="n"/>
      <c r="I63" s="285" t="n"/>
      <c r="J63" s="285" t="n"/>
      <c r="K63" s="286" t="n">
        <v>0</v>
      </c>
      <c r="L63" s="287">
        <f>J63-K63</f>
        <v/>
      </c>
      <c r="M63" s="288" t="n"/>
      <c r="N63" s="288" t="n"/>
      <c r="O63" s="285">
        <f>L63-M63</f>
        <v/>
      </c>
      <c r="P63" s="285">
        <f>K63-N63</f>
        <v/>
      </c>
      <c r="Q63" s="285">
        <f>M63+O63</f>
        <v/>
      </c>
      <c r="R63" s="285">
        <f>M63+N63+O63+P63</f>
        <v/>
      </c>
      <c r="S63" s="289">
        <f>SUM(T63:V63)</f>
        <v/>
      </c>
      <c r="T63" s="289" t="n"/>
      <c r="U63" s="289" t="n"/>
      <c r="V63" s="289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90">
        <f>AB36/1.17*0.17+AC36/1.16*0.16+AD36/1.11*0.11+AE36/1.1*0.1+AF36/1.09*0.09+AI36/1.03*0.03</f>
        <v/>
      </c>
      <c r="AL63" s="291" t="n"/>
    </row>
    <row r="64" ht="14" customFormat="1" customHeight="1" s="180">
      <c r="A64" s="206" t="n">
        <v>1</v>
      </c>
      <c r="B64" s="206" t="inlineStr">
        <is>
          <t>200489973</t>
        </is>
      </c>
      <c r="C64" s="207" t="inlineStr">
        <is>
          <t>中建四局020020210036050002</t>
        </is>
      </c>
      <c r="D64" s="207" t="inlineStr">
        <is>
          <t>佛山市南海鼎赞机械设备有限公司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3140750.01</v>
      </c>
      <c r="N64" s="210" t="n">
        <v>408297.5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2453566.5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2</v>
      </c>
      <c r="B65" s="206" t="inlineStr">
        <is>
          <t>200428777</t>
        </is>
      </c>
      <c r="C65" s="207" t="inlineStr">
        <is>
          <t>中建四局020020210036050001</t>
        </is>
      </c>
      <c r="D65" s="207" t="inlineStr">
        <is>
          <t>广东君晖建筑工程有限公司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394403.33</v>
      </c>
      <c r="N65" s="210" t="n">
        <v>51272.43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290000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3</v>
      </c>
      <c r="B66" s="206" t="inlineStr">
        <is>
          <t>200353812</t>
        </is>
      </c>
      <c r="C66" s="207" t="inlineStr">
        <is>
          <t>中建四局0200202103605001</t>
        </is>
      </c>
      <c r="D66" s="207" t="inlineStr">
        <is>
          <t>广州小老虎建筑机械租赁有限公司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6">
        <f>J66-K66</f>
        <v/>
      </c>
      <c r="M66" s="210" t="n">
        <v>8322775.17</v>
      </c>
      <c r="N66" s="210" t="n">
        <v>749049.77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8851326.33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4</v>
      </c>
      <c r="B67" s="206" t="inlineStr">
        <is>
          <t>100217539</t>
        </is>
      </c>
      <c r="C67" s="207" t="inlineStr">
        <is>
          <t>中建四局0200202103605002</t>
        </is>
      </c>
      <c r="D67" s="207" t="inlineStr">
        <is>
          <t>广州易达运输有限公司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58915.4</v>
      </c>
      <c r="N67" s="210" t="n">
        <v>1767.47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60682.87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06" t="n">
        <v>5</v>
      </c>
      <c r="B68" s="206" t="inlineStr">
        <is>
          <t>200372422</t>
        </is>
      </c>
      <c r="C68" s="207" t="inlineStr">
        <is>
          <t>中建四局02002021036050003</t>
        </is>
      </c>
      <c r="D68" s="207" t="inlineStr">
        <is>
          <t>深圳市鑫俊辉机械设备有限公司</t>
        </is>
      </c>
      <c r="E68" s="206" t="n"/>
      <c r="F68" s="206" t="n"/>
      <c r="G68" s="206" t="n"/>
      <c r="H68" s="206" t="n"/>
      <c r="I68" s="206" t="n"/>
      <c r="J68" s="206">
        <f>H68+I68</f>
        <v/>
      </c>
      <c r="K68" s="208" t="n"/>
      <c r="L68" s="206">
        <f>J68-K68</f>
        <v/>
      </c>
      <c r="M68" s="210" t="n">
        <v>260430</v>
      </c>
      <c r="N68" s="210" t="n">
        <v>23438.7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200000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14" customFormat="1" customHeight="1" s="180">
      <c r="A69" s="282" t="n"/>
      <c r="B69" s="283" t="n"/>
      <c r="C69" s="283" t="n"/>
      <c r="D69" s="294" t="inlineStr">
        <is>
          <t>**财务未列部分需增列***</t>
        </is>
      </c>
      <c r="E69" s="313" t="n"/>
      <c r="F69" s="313" t="n"/>
      <c r="G69" s="313" t="n"/>
      <c r="H69" s="285" t="n"/>
      <c r="I69" s="285" t="n"/>
      <c r="J69" s="285" t="n"/>
      <c r="K69" s="286" t="n">
        <v>0</v>
      </c>
      <c r="L69" s="287">
        <f>J69-K69</f>
        <v/>
      </c>
      <c r="M69" s="314" t="n"/>
      <c r="N69" s="314" t="n"/>
      <c r="O69" s="285">
        <f>L69-M69</f>
        <v/>
      </c>
      <c r="P69" s="285">
        <f>K69-N69</f>
        <v/>
      </c>
      <c r="Q69" s="285">
        <f>M69+O69</f>
        <v/>
      </c>
      <c r="R69" s="285">
        <f>M69+N69+O69+P69</f>
        <v/>
      </c>
      <c r="S69" s="289">
        <f>SUM(T69:V69)</f>
        <v/>
      </c>
      <c r="T69" s="314" t="n"/>
      <c r="U69" s="314" t="n"/>
      <c r="V69" s="314" t="n"/>
      <c r="W69" s="314" t="n"/>
      <c r="X69" s="314" t="n"/>
      <c r="Y69" s="314" t="n"/>
      <c r="Z69" s="314" t="n"/>
      <c r="AA69" s="289" t="n"/>
      <c r="AB69" s="290" t="n"/>
      <c r="AC69" s="290" t="n"/>
      <c r="AD69" s="290" t="n"/>
      <c r="AE69" s="290" t="n"/>
      <c r="AF69" s="290" t="n"/>
      <c r="AG69" s="290" t="n"/>
      <c r="AH69" s="290" t="n"/>
      <c r="AI69" s="290" t="n"/>
      <c r="AJ69" s="290" t="n"/>
      <c r="AK69" s="290">
        <f>AB38/1.17*0.17+AC38/1.16*0.16+AD38/1.11*0.11+AE38/1.1*0.1+AF38/1.09*0.09+AI38/1.03*0.03</f>
        <v/>
      </c>
      <c r="AL69" s="297" t="n"/>
    </row>
    <row r="70" ht="39" customFormat="1" customHeight="1" s="180">
      <c r="A70" s="298" t="n"/>
      <c r="B70" s="299" t="n"/>
      <c r="C70" s="299" t="n"/>
      <c r="D70" s="315" t="inlineStr">
        <is>
          <t>机械费小计：</t>
        </is>
      </c>
      <c r="E70" s="316" t="n"/>
      <c r="F70" s="316" t="n"/>
      <c r="G70" s="316" t="n"/>
      <c r="H70" s="301">
        <f>SUM(H63:H69)</f>
        <v/>
      </c>
      <c r="I70" s="301">
        <f>SUM(I63:I69)</f>
        <v/>
      </c>
      <c r="J70" s="301">
        <f>SUM(J63:J69)</f>
        <v/>
      </c>
      <c r="K70" s="301">
        <f>SUM(K63:K69)</f>
        <v/>
      </c>
      <c r="L70" s="317">
        <f>SUM(L63:L69)</f>
        <v/>
      </c>
      <c r="M70" s="301">
        <f>SUM(M63:M69)</f>
        <v/>
      </c>
      <c r="N70" s="301">
        <f>SUM(N63:N69)</f>
        <v/>
      </c>
      <c r="O70" s="301">
        <f>SUM(O63:O69)</f>
        <v/>
      </c>
      <c r="P70" s="301">
        <f>SUM(P63:P69)</f>
        <v/>
      </c>
      <c r="Q70" s="301">
        <f>SUM(Q63:Q69)</f>
        <v/>
      </c>
      <c r="R70" s="301">
        <f>SUM(R63:R69)</f>
        <v/>
      </c>
      <c r="S70" s="301">
        <f>SUM(S63:S69)</f>
        <v/>
      </c>
      <c r="T70" s="301" t="n"/>
      <c r="U70" s="301" t="n"/>
      <c r="V70" s="301" t="n"/>
      <c r="W70" s="301" t="n"/>
      <c r="X70" s="301" t="n"/>
      <c r="Y70" s="301" t="n"/>
      <c r="Z70" s="301">
        <f>SUM(Z63:Z69)</f>
        <v/>
      </c>
      <c r="AA70" s="301">
        <f>SUM(AA63:AA69)</f>
        <v/>
      </c>
      <c r="AB70" s="301" t="n"/>
      <c r="AC70" s="301" t="n"/>
      <c r="AD70" s="301" t="n"/>
      <c r="AE70" s="301" t="n"/>
      <c r="AF70" s="301" t="n"/>
      <c r="AG70" s="301" t="n"/>
      <c r="AH70" s="301" t="n"/>
      <c r="AI70" s="301" t="n"/>
      <c r="AJ70" s="301" t="n"/>
      <c r="AK70" s="301" t="n"/>
      <c r="AL70" s="291" t="n"/>
    </row>
    <row r="71" ht="14" customFormat="1" customHeight="1" s="180">
      <c r="A71" s="282" t="n"/>
      <c r="B71" s="283" t="n"/>
      <c r="C71" s="283" t="n"/>
      <c r="D71" s="302" t="inlineStr">
        <is>
          <t>（五）其他直接费</t>
        </is>
      </c>
      <c r="E71" s="295" t="n"/>
      <c r="F71" s="295" t="n"/>
      <c r="G71" s="295" t="n"/>
      <c r="H71" s="285" t="n"/>
      <c r="I71" s="285" t="n"/>
      <c r="J71" s="288" t="n">
        <v>0</v>
      </c>
      <c r="K71" s="286" t="n">
        <v>0</v>
      </c>
      <c r="L71" s="287">
        <f>J71-N71-P71</f>
        <v/>
      </c>
      <c r="M71" s="288" t="n"/>
      <c r="N71" s="288" t="n"/>
      <c r="O71" s="285">
        <f>L71-M71</f>
        <v/>
      </c>
      <c r="P71" s="285">
        <f>K71-N71</f>
        <v/>
      </c>
      <c r="Q71" s="285">
        <f>M71+O71</f>
        <v/>
      </c>
      <c r="R71" s="285">
        <f>M71+N71+O71+P71</f>
        <v/>
      </c>
      <c r="S71" s="289">
        <f>SUM(T71:V71)</f>
        <v/>
      </c>
      <c r="T71" s="289" t="n"/>
      <c r="U71" s="289" t="n"/>
      <c r="V71" s="289" t="n"/>
      <c r="W71" s="289" t="n"/>
      <c r="X71" s="289" t="n"/>
      <c r="Y71" s="289" t="n"/>
      <c r="Z71" s="289" t="n"/>
      <c r="AA71" s="289" t="n"/>
      <c r="AB71" s="289" t="n"/>
      <c r="AC71" s="289" t="n"/>
      <c r="AD71" s="289" t="n"/>
      <c r="AE71" s="289" t="n"/>
      <c r="AF71" s="289" t="n"/>
      <c r="AG71" s="289" t="n"/>
      <c r="AH71" s="289" t="n"/>
      <c r="AI71" s="289" t="n"/>
      <c r="AJ71" s="289" t="n"/>
      <c r="AK71" s="290" t="n"/>
      <c r="AL71" s="291" t="n"/>
    </row>
    <row r="72" ht="14" customFormat="1" customHeight="1" s="180">
      <c r="A72" s="206" t="n">
        <v>1</v>
      </c>
      <c r="B72" s="206" t="n"/>
      <c r="C72" s="207" t="n"/>
      <c r="D72" s="207" t="inlineStr">
        <is>
          <t>保险费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6">
        <f>J72-K72</f>
        <v/>
      </c>
      <c r="M72" s="210" t="n">
        <v>432696.64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2</v>
      </c>
      <c r="B73" s="206" t="n"/>
      <c r="C73" s="207" t="n"/>
      <c r="D73" s="207" t="inlineStr">
        <is>
          <t>其他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6">
        <f>J73-K73</f>
        <v/>
      </c>
      <c r="M73" s="210" t="n">
        <v>1154170.62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3</v>
      </c>
      <c r="B74" s="206" t="n"/>
      <c r="C74" s="207" t="n"/>
      <c r="D74" s="207" t="inlineStr">
        <is>
          <t>检验试验费</t>
        </is>
      </c>
      <c r="E74" s="206" t="n"/>
      <c r="F74" s="206" t="n"/>
      <c r="G74" s="206" t="n"/>
      <c r="H74" s="206" t="n"/>
      <c r="I74" s="206" t="n"/>
      <c r="J74" s="206">
        <f>H74+I74</f>
        <v/>
      </c>
      <c r="K74" s="208" t="n"/>
      <c r="L74" s="206">
        <f>J74-K74</f>
        <v/>
      </c>
      <c r="M74" s="210" t="n">
        <v>704751.05</v>
      </c>
      <c r="N74" s="206" t="n"/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06" t="n"/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82" t="n"/>
      <c r="B75" s="283" t="n"/>
      <c r="C75" s="283" t="n"/>
      <c r="D75" s="294" t="inlineStr">
        <is>
          <t>**财务未列部分需增列***</t>
        </is>
      </c>
      <c r="E75" s="295" t="n"/>
      <c r="F75" s="295" t="n"/>
      <c r="G75" s="295" t="n"/>
      <c r="H75" s="285" t="n"/>
      <c r="I75" s="285" t="n"/>
      <c r="J75" s="288" t="n"/>
      <c r="K75" s="286" t="n"/>
      <c r="L75" s="287">
        <f>J75-K75</f>
        <v/>
      </c>
      <c r="M75" s="318" t="n"/>
      <c r="N75" s="318" t="n"/>
      <c r="O75" s="285">
        <f>L75-M75</f>
        <v/>
      </c>
      <c r="P75" s="285">
        <f>K75-N75</f>
        <v/>
      </c>
      <c r="Q75" s="285">
        <f>M75+O75</f>
        <v/>
      </c>
      <c r="R75" s="285">
        <f>M75+N75+O75+P75</f>
        <v/>
      </c>
      <c r="S75" s="289">
        <f>SUM(T75:V75)</f>
        <v/>
      </c>
      <c r="T75" s="318" t="n"/>
      <c r="U75" s="318" t="n"/>
      <c r="V75" s="318" t="n"/>
      <c r="W75" s="318" t="n"/>
      <c r="X75" s="318" t="n"/>
      <c r="Y75" s="318" t="n"/>
      <c r="Z75" s="285">
        <f>SUM(AA46:AJ46)</f>
        <v/>
      </c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90" t="n"/>
      <c r="AL75" s="291" t="n"/>
    </row>
    <row r="76" ht="14" customFormat="1" customHeight="1" s="180">
      <c r="A76" s="319" t="n"/>
      <c r="B76" s="320" t="n"/>
      <c r="C76" s="320" t="n"/>
      <c r="D76" s="315" t="inlineStr">
        <is>
          <t>其他直接费小计：</t>
        </is>
      </c>
      <c r="E76" s="321" t="n"/>
      <c r="F76" s="321" t="n"/>
      <c r="G76" s="321" t="n"/>
      <c r="H76" s="301">
        <f>SUM(H71:H75)</f>
        <v/>
      </c>
      <c r="I76" s="301">
        <f>SUM(I71:I75)</f>
        <v/>
      </c>
      <c r="J76" s="301">
        <f>SUM(J71:J75)</f>
        <v/>
      </c>
      <c r="K76" s="301">
        <f>SUM(K71:K75)</f>
        <v/>
      </c>
      <c r="L76" s="317">
        <f>SUM(L71:L75)</f>
        <v/>
      </c>
      <c r="M76" s="301">
        <f>SUM(M71:M75)</f>
        <v/>
      </c>
      <c r="N76" s="301">
        <f>SUM(N71:N75)</f>
        <v/>
      </c>
      <c r="O76" s="301">
        <f>L76-M76</f>
        <v/>
      </c>
      <c r="P76" s="301">
        <f>SUM(P71:P75)</f>
        <v/>
      </c>
      <c r="Q76" s="301">
        <f>M76+O76</f>
        <v/>
      </c>
      <c r="R76" s="301">
        <f>SUM(R71:R75)</f>
        <v/>
      </c>
      <c r="S76" s="301">
        <f>SUM(S71:S75)</f>
        <v/>
      </c>
      <c r="T76" s="301" t="n"/>
      <c r="U76" s="301" t="n"/>
      <c r="V76" s="301" t="n"/>
      <c r="W76" s="301" t="n"/>
      <c r="X76" s="301" t="n"/>
      <c r="Y76" s="301" t="n"/>
      <c r="Z76" s="301">
        <f>SUM(Z71:Z75)</f>
        <v/>
      </c>
      <c r="AA76" s="301">
        <f>SUM(AA71:AA75)</f>
        <v/>
      </c>
      <c r="AB76" s="301">
        <f>SUM(AB71:AB75)</f>
        <v/>
      </c>
      <c r="AC76" s="301">
        <f>SUM(AC71:AC75)</f>
        <v/>
      </c>
      <c r="AD76" s="301">
        <f>SUM(AD71:AD75)</f>
        <v/>
      </c>
      <c r="AE76" s="301">
        <f>SUM(AE71:AE75)</f>
        <v/>
      </c>
      <c r="AF76" s="301">
        <f>SUM(AF71:AF75)</f>
        <v/>
      </c>
      <c r="AG76" s="301" t="n"/>
      <c r="AH76" s="301" t="n"/>
      <c r="AI76" s="301">
        <f>SUM(AI71:AI75)</f>
        <v/>
      </c>
      <c r="AJ76" s="301">
        <f>SUM(AJ71:AJ75)</f>
        <v/>
      </c>
      <c r="AK76" s="301">
        <f>SUM(AK71:AK75)</f>
        <v/>
      </c>
      <c r="AL76" s="291" t="n"/>
    </row>
    <row r="77" ht="14" customFormat="1" customHeight="1" s="180">
      <c r="A77" s="282" t="n"/>
      <c r="B77" s="283" t="n"/>
      <c r="C77" s="283" t="n"/>
      <c r="D77" s="302" t="inlineStr">
        <is>
          <t>（六）间接费</t>
        </is>
      </c>
      <c r="E77" s="295" t="n"/>
      <c r="F77" s="295" t="n"/>
      <c r="G77" s="295" t="n"/>
      <c r="H77" s="288" t="n"/>
      <c r="I77" s="285" t="n"/>
      <c r="J77" s="285" t="n">
        <v>0</v>
      </c>
      <c r="K77" s="286" t="n">
        <v>0</v>
      </c>
      <c r="L77" s="287">
        <f>J77-N77-P77</f>
        <v/>
      </c>
      <c r="M77" s="288" t="n"/>
      <c r="N77" s="288" t="n"/>
      <c r="O77" s="285">
        <f>L77-M77</f>
        <v/>
      </c>
      <c r="P77" s="285">
        <f>K77-N77</f>
        <v/>
      </c>
      <c r="Q77" s="285">
        <f>M77+O77</f>
        <v/>
      </c>
      <c r="R77" s="285">
        <f>M77+N77+O77+P77</f>
        <v/>
      </c>
      <c r="S77" s="289">
        <f>SUM(T77:V77)</f>
        <v/>
      </c>
      <c r="T77" s="289" t="n"/>
      <c r="U77" s="289" t="n"/>
      <c r="V77" s="289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90" t="n"/>
      <c r="AL77" s="291" t="n"/>
    </row>
    <row r="78" ht="14" customFormat="1" customHeight="1" s="180">
      <c r="A78" s="206" t="n">
        <v>1</v>
      </c>
      <c r="B78" s="206" t="n"/>
      <c r="C78" s="207" t="n"/>
      <c r="D78" s="207" t="inlineStr">
        <is>
          <t>企业年金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17742.24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2</v>
      </c>
      <c r="B79" s="206" t="n"/>
      <c r="C79" s="207" t="n"/>
      <c r="D79" s="207" t="inlineStr">
        <is>
          <t>住房公积金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354846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26" customFormat="1" customHeight="1" s="180">
      <c r="A80" s="206" t="n">
        <v>3</v>
      </c>
      <c r="B80" s="206" t="n"/>
      <c r="C80" s="207" t="n"/>
      <c r="D80" s="207" t="inlineStr">
        <is>
          <t>保安保洁费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85380.32000000001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180">
      <c r="A81" s="206" t="n">
        <v>4</v>
      </c>
      <c r="B81" s="206" t="n"/>
      <c r="C81" s="207" t="n"/>
      <c r="D81" s="207" t="inlineStr">
        <is>
          <t>修理费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6">
        <f>J81-K81</f>
        <v/>
      </c>
      <c r="M81" s="210" t="n">
        <v>45517.86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Format="1" customHeight="1" s="3">
      <c r="A82" s="206" t="n">
        <v>5</v>
      </c>
      <c r="B82" s="206" t="n"/>
      <c r="C82" s="207" t="n"/>
      <c r="D82" s="207" t="inlineStr">
        <is>
          <t>其他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6">
        <f>J82-K82</f>
        <v/>
      </c>
      <c r="M82" s="210" t="n">
        <v>35702.91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6</v>
      </c>
      <c r="B83" s="206" t="n"/>
      <c r="C83" s="207" t="n"/>
      <c r="D83" s="207" t="inlineStr">
        <is>
          <t>冲晒印刷费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6">
        <f>J83-K83</f>
        <v/>
      </c>
      <c r="M83" s="210" t="n">
        <v>141655.44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 ht="14" customHeight="1" s="159">
      <c r="A84" s="206" t="n">
        <v>7</v>
      </c>
      <c r="B84" s="206" t="n"/>
      <c r="C84" s="207" t="n"/>
      <c r="D84" s="207" t="inlineStr">
        <is>
          <t>办公用品费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342874.91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8</v>
      </c>
      <c r="B85" s="206" t="n"/>
      <c r="C85" s="207" t="n"/>
      <c r="D85" s="207" t="inlineStr">
        <is>
          <t>医疗保险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239686.83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9</v>
      </c>
      <c r="B86" s="206" t="n"/>
      <c r="C86" s="207" t="n"/>
      <c r="D86" s="207" t="inlineStr">
        <is>
          <t>基本养老保险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785587.66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10</v>
      </c>
      <c r="B87" s="206" t="n"/>
      <c r="C87" s="207" t="n"/>
      <c r="D87" s="207" t="inlineStr">
        <is>
          <t>境内差旅费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56605.13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11</v>
      </c>
      <c r="B88" s="206" t="n"/>
      <c r="C88" s="207" t="n"/>
      <c r="D88" s="207" t="inlineStr">
        <is>
          <t>失业保险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27374.29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12</v>
      </c>
      <c r="B89" s="206" t="n"/>
      <c r="C89" s="207" t="n"/>
      <c r="D89" s="207" t="inlineStr">
        <is>
          <t>工会经费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68528.91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13</v>
      </c>
      <c r="B90" s="206" t="n"/>
      <c r="C90" s="207" t="n"/>
      <c r="D90" s="207" t="inlineStr">
        <is>
          <t>工伤保险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41844.32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14</v>
      </c>
      <c r="B91" s="206" t="n"/>
      <c r="C91" s="207" t="n"/>
      <c r="D91" s="207" t="inlineStr">
        <is>
          <t>工资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6390165.85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15</v>
      </c>
      <c r="B92" s="206" t="n"/>
      <c r="C92" s="207" t="n"/>
      <c r="D92" s="207" t="inlineStr">
        <is>
          <t>市内交通费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249.88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16</v>
      </c>
      <c r="B93" s="206" t="n"/>
      <c r="C93" s="207" t="n"/>
      <c r="D93" s="207" t="inlineStr">
        <is>
          <t>律师费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24056.6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17</v>
      </c>
      <c r="B94" s="206" t="n"/>
      <c r="C94" s="207" t="n"/>
      <c r="D94" s="207" t="inlineStr">
        <is>
          <t>折旧费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8068.7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18</v>
      </c>
      <c r="B95" s="206" t="n"/>
      <c r="C95" s="207" t="n"/>
      <c r="D95" s="207" t="inlineStr">
        <is>
          <t>燃油费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61952.74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19</v>
      </c>
      <c r="B96" s="206" t="n"/>
      <c r="C96" s="207" t="n"/>
      <c r="D96" s="207" t="inlineStr">
        <is>
          <t>物业管理费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399120.24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20</v>
      </c>
      <c r="B97" s="206" t="n"/>
      <c r="C97" s="207" t="n"/>
      <c r="D97" s="207" t="inlineStr">
        <is>
          <t>生育保险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5673.75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21</v>
      </c>
      <c r="B98" s="206" t="n"/>
      <c r="C98" s="207" t="n"/>
      <c r="D98" s="207" t="inlineStr">
        <is>
          <t>社保及公积金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275511.16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22</v>
      </c>
      <c r="B99" s="206" t="n"/>
      <c r="C99" s="207" t="n"/>
      <c r="D99" s="207" t="inlineStr">
        <is>
          <t>租车费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18229.2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23</v>
      </c>
      <c r="B100" s="206" t="n"/>
      <c r="C100" s="207" t="n"/>
      <c r="D100" s="207" t="inlineStr">
        <is>
          <t>维修保养费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16244.86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24</v>
      </c>
      <c r="B101" s="206" t="n"/>
      <c r="C101" s="207" t="n"/>
      <c r="D101" s="207" t="inlineStr">
        <is>
          <t>网络使用费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127503.01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25</v>
      </c>
      <c r="B102" s="206" t="n"/>
      <c r="C102" s="207" t="n"/>
      <c r="D102" s="207" t="inlineStr">
        <is>
          <t>职工教育经费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35002.91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26</v>
      </c>
      <c r="B103" s="206" t="n"/>
      <c r="C103" s="207" t="n"/>
      <c r="D103" s="207" t="inlineStr">
        <is>
          <t>职工福利费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188522.63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27</v>
      </c>
      <c r="B104" s="206" t="n"/>
      <c r="C104" s="207" t="n"/>
      <c r="D104" s="207" t="inlineStr">
        <is>
          <t>补充医疗保险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2802.66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28</v>
      </c>
      <c r="B105" s="206" t="n"/>
      <c r="C105" s="207" t="n"/>
      <c r="D105" s="207" t="inlineStr">
        <is>
          <t>诉讼费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310729.56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29</v>
      </c>
      <c r="B106" s="206" t="n"/>
      <c r="C106" s="207" t="n"/>
      <c r="D106" s="207" t="inlineStr">
        <is>
          <t>路桥及停车费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40569.97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30</v>
      </c>
      <c r="B107" s="206" t="n"/>
      <c r="C107" s="207" t="n"/>
      <c r="D107" s="207" t="inlineStr">
        <is>
          <t>软件费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14454.72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31</v>
      </c>
      <c r="B108" s="206" t="n"/>
      <c r="C108" s="207" t="n"/>
      <c r="D108" s="207" t="inlineStr">
        <is>
          <t>通信费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35361.79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32</v>
      </c>
      <c r="B109" s="206" t="n"/>
      <c r="C109" s="207" t="n"/>
      <c r="D109" s="207" t="inlineStr">
        <is>
          <t>邮寄费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6">
        <f>J109-K109</f>
        <v/>
      </c>
      <c r="M109" s="210" t="n">
        <v>604.72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82" t="n"/>
      <c r="B110" s="283" t="n"/>
      <c r="C110" s="283" t="n"/>
      <c r="D110" s="294" t="inlineStr">
        <is>
          <t>**财务未列部分需增列***</t>
        </is>
      </c>
      <c r="E110" s="295" t="n"/>
      <c r="F110" s="295" t="n"/>
      <c r="G110" s="295" t="n"/>
      <c r="H110" s="318" t="n"/>
      <c r="I110" s="285" t="n"/>
      <c r="J110" s="318" t="n"/>
      <c r="K110" s="286" t="n"/>
      <c r="L110" s="287" t="n"/>
      <c r="M110" s="318" t="n"/>
      <c r="N110" s="285" t="n"/>
      <c r="O110" s="285">
        <f>L110-M110</f>
        <v/>
      </c>
      <c r="P110" s="285">
        <f>K110-N110</f>
        <v/>
      </c>
      <c r="Q110" s="285">
        <f>M110+O110</f>
        <v/>
      </c>
      <c r="R110" s="285">
        <f>M110+N110+O110+P110</f>
        <v/>
      </c>
      <c r="S110" s="289">
        <f>SUM(T110:V110)</f>
        <v/>
      </c>
      <c r="T110" s="318" t="n"/>
      <c r="U110" s="318" t="n"/>
      <c r="V110" s="318" t="n"/>
      <c r="W110" s="318" t="n"/>
      <c r="X110" s="318" t="n"/>
      <c r="Y110" s="318" t="n"/>
      <c r="Z110" s="318" t="n"/>
      <c r="AA110" s="289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7" t="n"/>
    </row>
    <row r="111">
      <c r="A111" s="319" t="n"/>
      <c r="B111" s="320" t="n"/>
      <c r="C111" s="320" t="n"/>
      <c r="D111" s="315" t="inlineStr">
        <is>
          <t>间接费小计：</t>
        </is>
      </c>
      <c r="E111" s="321" t="n"/>
      <c r="F111" s="321" t="n"/>
      <c r="G111" s="321" t="n"/>
      <c r="H111" s="301">
        <f>SUM(H77:H110)</f>
        <v/>
      </c>
      <c r="I111" s="301">
        <f>SUM(I77:I110)</f>
        <v/>
      </c>
      <c r="J111" s="301">
        <f>SUM(J77:J110)</f>
        <v/>
      </c>
      <c r="K111" s="301">
        <f>SUM(K77:K110)</f>
        <v/>
      </c>
      <c r="L111" s="317">
        <f>SUM(L77:L110)</f>
        <v/>
      </c>
      <c r="M111" s="317">
        <f>SUM(M77:M110)</f>
        <v/>
      </c>
      <c r="N111" s="317">
        <f>SUM(N77:N110)</f>
        <v/>
      </c>
      <c r="O111" s="317">
        <f>SUM(O77:O110)</f>
        <v/>
      </c>
      <c r="P111" s="317">
        <f>SUM(P77:P110)</f>
        <v/>
      </c>
      <c r="Q111" s="317">
        <f>SUM(Q77:Q110)</f>
        <v/>
      </c>
      <c r="R111" s="317">
        <f>SUM(R77:R110)</f>
        <v/>
      </c>
      <c r="S111" s="317">
        <f>SUM(S77:S110)</f>
        <v/>
      </c>
      <c r="T111" s="317" t="n"/>
      <c r="U111" s="317" t="n"/>
      <c r="V111" s="317" t="n"/>
      <c r="W111" s="317" t="n"/>
      <c r="X111" s="317" t="n"/>
      <c r="Y111" s="317" t="n"/>
      <c r="Z111" s="317">
        <f>SUM(Z77:Z110)</f>
        <v/>
      </c>
      <c r="AA111" s="317">
        <f>SUM(AA77:AA110)</f>
        <v/>
      </c>
      <c r="AB111" s="317">
        <f>SUM(AB77:AB110)</f>
        <v/>
      </c>
      <c r="AC111" s="317">
        <f>SUM(AC77:AC110)</f>
        <v/>
      </c>
      <c r="AD111" s="317">
        <f>SUM(AD77:AD110)</f>
        <v/>
      </c>
      <c r="AE111" s="317">
        <f>SUM(AE77:AE110)</f>
        <v/>
      </c>
      <c r="AF111" s="317">
        <f>SUM(AF77:AF110)</f>
        <v/>
      </c>
      <c r="AG111" s="317" t="n"/>
      <c r="AH111" s="317" t="n"/>
      <c r="AI111" s="317">
        <f>SUM(AI77:AI110)</f>
        <v/>
      </c>
      <c r="AJ111" s="317">
        <f>SUM(AJ77:AJ110)</f>
        <v/>
      </c>
      <c r="AK111" s="317">
        <f>SUM(AK77:AK110)</f>
        <v/>
      </c>
      <c r="AL111" s="297" t="n"/>
    </row>
    <row r="112">
      <c r="A112" s="282" t="n"/>
      <c r="B112" s="283" t="n"/>
      <c r="C112" s="283" t="n"/>
      <c r="D112" s="302" t="inlineStr">
        <is>
          <t>（七）安全费</t>
        </is>
      </c>
      <c r="E112" s="295" t="n"/>
      <c r="F112" s="295" t="n"/>
      <c r="G112" s="295" t="n"/>
      <c r="H112" s="285" t="n"/>
      <c r="I112" s="285" t="n"/>
      <c r="J112" s="288" t="n">
        <v>0</v>
      </c>
      <c r="K112" s="322" t="n"/>
      <c r="L112" s="287">
        <f>J112-N112-P112</f>
        <v/>
      </c>
      <c r="M112" s="285" t="n"/>
      <c r="N112" s="285" t="n"/>
      <c r="O112" s="285">
        <f>L112-M112</f>
        <v/>
      </c>
      <c r="P112" s="285">
        <f>K112-N112</f>
        <v/>
      </c>
      <c r="Q112" s="285">
        <f>M112+O112</f>
        <v/>
      </c>
      <c r="R112" s="285">
        <f>M112+N112+O112+P112</f>
        <v/>
      </c>
      <c r="S112" s="289">
        <f>SUM(T112:V112)</f>
        <v/>
      </c>
      <c r="T112" s="318" t="n"/>
      <c r="U112" s="318" t="n"/>
      <c r="V112" s="318" t="n"/>
      <c r="W112" s="318" t="n"/>
      <c r="X112" s="318" t="n"/>
      <c r="Y112" s="318" t="n"/>
      <c r="Z112" s="314" t="n"/>
      <c r="AA112" s="289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7" t="n"/>
    </row>
    <row r="113">
      <c r="A113" s="206" t="n">
        <v>1</v>
      </c>
      <c r="B113" s="206" t="n"/>
      <c r="C113" s="207" t="n"/>
      <c r="D113" s="207" t="inlineStr">
        <is>
          <t>分包工程支出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7404340.81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2</v>
      </c>
      <c r="B114" s="206" t="n"/>
      <c r="C114" s="207" t="n"/>
      <c r="D114" s="207" t="inlineStr">
        <is>
          <t>报销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162980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3</v>
      </c>
      <c r="B115" s="206" t="n"/>
      <c r="C115" s="207" t="n"/>
      <c r="D115" s="207" t="inlineStr">
        <is>
          <t>直接人工费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951309.41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319" t="n"/>
      <c r="B116" s="320" t="n"/>
      <c r="C116" s="320" t="n"/>
      <c r="D116" s="315" t="inlineStr">
        <is>
          <t>安全费小计：</t>
        </is>
      </c>
      <c r="E116" s="315" t="n"/>
      <c r="F116" s="315" t="n"/>
      <c r="G116" s="315" t="n"/>
      <c r="H116" s="301">
        <f>SUM(H112:H115)</f>
        <v/>
      </c>
      <c r="I116" s="301">
        <f>SUM(I112:I115)</f>
        <v/>
      </c>
      <c r="J116" s="301" t="n">
        <v>0</v>
      </c>
      <c r="K116" s="301" t="n">
        <v>0</v>
      </c>
      <c r="L116" s="323">
        <f>J116-K116</f>
        <v/>
      </c>
      <c r="M116" s="324" t="n"/>
      <c r="N116" s="324" t="n"/>
      <c r="O116" s="317">
        <f>SUM(O112:O115)</f>
        <v/>
      </c>
      <c r="P116" s="317">
        <f>SUM(P112:P115)</f>
        <v/>
      </c>
      <c r="Q116" s="317">
        <f>SUM(Q112:Q115)</f>
        <v/>
      </c>
      <c r="R116" s="317">
        <f>SUM(R112:R115)</f>
        <v/>
      </c>
      <c r="S116" s="317">
        <f>SUM(S112:S115)</f>
        <v/>
      </c>
      <c r="T116" s="324" t="n"/>
      <c r="U116" s="324" t="n"/>
      <c r="V116" s="324" t="n"/>
      <c r="W116" s="324" t="n"/>
      <c r="X116" s="324" t="n"/>
      <c r="Y116" s="324" t="n"/>
      <c r="Z116" s="324" t="n"/>
      <c r="AA116" s="324">
        <f>SUM(AA112:AA115)</f>
        <v/>
      </c>
      <c r="AB116" s="324">
        <f>SUM(AB112:AB115)</f>
        <v/>
      </c>
      <c r="AC116" s="324">
        <f>SUM(AC112:AC115)</f>
        <v/>
      </c>
      <c r="AD116" s="324">
        <f>SUM(AD112:AD115)</f>
        <v/>
      </c>
      <c r="AE116" s="324">
        <f>SUM(AE112:AE115)</f>
        <v/>
      </c>
      <c r="AF116" s="324">
        <f>SUM(AF112:AF115)</f>
        <v/>
      </c>
      <c r="AG116" s="324" t="n"/>
      <c r="AH116" s="324" t="n"/>
      <c r="AI116" s="324">
        <f>SUM(AI112:AI115)</f>
        <v/>
      </c>
      <c r="AJ116" s="324">
        <f>SUM(AJ112:AJ115)</f>
        <v/>
      </c>
      <c r="AK116" s="324">
        <f>SUM(AK112:AK115)</f>
        <v/>
      </c>
      <c r="AL116" s="325" t="n"/>
    </row>
    <row r="117">
      <c r="A117" s="319" t="n"/>
      <c r="B117" s="320" t="n"/>
      <c r="C117" s="320" t="n"/>
      <c r="D117" s="315" t="inlineStr">
        <is>
          <t>三、成本合计：</t>
        </is>
      </c>
      <c r="E117" s="321" t="n"/>
      <c r="F117" s="321" t="n"/>
      <c r="G117" s="321" t="n"/>
      <c r="H117" s="301">
        <f>H21+H33+H62+H70+H76+H111+H116</f>
        <v/>
      </c>
      <c r="I117" s="301">
        <f>I21+I33+I62+I70+I76+I111+I116</f>
        <v/>
      </c>
      <c r="J117" s="301">
        <f>J21+J33+J62+J70+J76+J111+J116</f>
        <v/>
      </c>
      <c r="K117" s="301">
        <f>K21+K33+K62+K70+K76+K111+K116</f>
        <v/>
      </c>
      <c r="L117" s="317">
        <f>L21+L33+L62+L70+L76+L111+L116</f>
        <v/>
      </c>
      <c r="M117" s="324">
        <f>M21+M33+M62+M70+M76+M111+M116</f>
        <v/>
      </c>
      <c r="N117" s="324">
        <f>N21+N33+N62+N70+N76+N111+N116</f>
        <v/>
      </c>
      <c r="O117" s="324">
        <f>O21+O33+O62+O70+O76+O111+O116</f>
        <v/>
      </c>
      <c r="P117" s="324">
        <f>P21+P33+P62+P70+P76+P111+P116</f>
        <v/>
      </c>
      <c r="Q117" s="324">
        <f>Q21+Q33+Q62+Q70+Q76+Q111+Q116</f>
        <v/>
      </c>
      <c r="R117" s="324">
        <f>R21+R33+R62+R70+R76+R111+R116</f>
        <v/>
      </c>
      <c r="S117" s="324">
        <f>S21+S33+S62+S70+S76+S111+S116</f>
        <v/>
      </c>
      <c r="T117" s="324" t="n"/>
      <c r="U117" s="324" t="n"/>
      <c r="V117" s="324" t="n"/>
      <c r="W117" s="324" t="n"/>
      <c r="X117" s="324" t="n"/>
      <c r="Y117" s="324" t="n"/>
      <c r="Z117" s="324">
        <f>Z21+Z33+Z62+Z70+Z76+Z111+Z116</f>
        <v/>
      </c>
      <c r="AA117" s="324">
        <f>AA21+AA33+AA62+AA70+AA76+AA111+AA116</f>
        <v/>
      </c>
      <c r="AB117" s="324">
        <f>AB21+AB33+AB62+AB70+AB76+AB111+AB116</f>
        <v/>
      </c>
      <c r="AC117" s="324">
        <f>AC21+AC33+AC62+AC70+AC76+AC111+AC116</f>
        <v/>
      </c>
      <c r="AD117" s="324">
        <f>AD21+AD33+AD62+AD70+AD76+AD111+AD116</f>
        <v/>
      </c>
      <c r="AE117" s="324">
        <f>AE21+AE33+AE62+AE70+AE76+AE111+AE116</f>
        <v/>
      </c>
      <c r="AF117" s="324">
        <f>AF21+AF33+AF62+AF70+AF76+AF111+AF116</f>
        <v/>
      </c>
      <c r="AG117" s="324" t="n"/>
      <c r="AH117" s="324" t="n"/>
      <c r="AI117" s="324">
        <f>AI21+AI33+AI62+AI70+AI76+AI111+AI116</f>
        <v/>
      </c>
      <c r="AJ117" s="324">
        <f>AJ21+AJ33+AJ62+AJ70+AJ76+AJ111+AJ116</f>
        <v/>
      </c>
      <c r="AK117" s="324">
        <f>AK21+AK33+AK62+AK70+AK76+AK111+AK116</f>
        <v/>
      </c>
      <c r="AL117" s="325" t="n"/>
    </row>
    <row r="118">
      <c r="A118" s="319" t="n"/>
      <c r="B118" s="320" t="n"/>
      <c r="C118" s="320" t="n"/>
      <c r="D118" s="315" t="inlineStr">
        <is>
          <t>四、计提保修金</t>
        </is>
      </c>
      <c r="E118" s="321" t="inlineStr">
        <is>
          <t>（在建：房建0.6%，其它0.4%；在保修期间的按0.3~0.5%自行确定;保修期结束为0）</t>
        </is>
      </c>
      <c r="F118" s="321" t="n"/>
      <c r="G118" s="321" t="n"/>
      <c r="H118" s="301" t="n"/>
      <c r="I118" s="301" t="n"/>
      <c r="J118" s="301">
        <f>H118+I118</f>
        <v/>
      </c>
      <c r="K118" s="301" t="n"/>
      <c r="L118" s="317">
        <f>J118-K118</f>
        <v/>
      </c>
      <c r="M118" s="324" t="n"/>
      <c r="N118" s="324" t="n"/>
      <c r="O118" s="324">
        <f>L118-M118</f>
        <v/>
      </c>
      <c r="P118" s="324">
        <f>K118-N118</f>
        <v/>
      </c>
      <c r="Q118" s="324">
        <f>M118+O118</f>
        <v/>
      </c>
      <c r="R118" s="324">
        <f>M118+N118+O118+P118</f>
        <v/>
      </c>
      <c r="S118" s="324">
        <f>SUM(T118:V118)</f>
        <v/>
      </c>
      <c r="T118" s="324" t="n"/>
      <c r="U118" s="324" t="n"/>
      <c r="V118" s="324" t="n"/>
      <c r="W118" s="324" t="n"/>
      <c r="X118" s="324" t="n"/>
      <c r="Y118" s="324" t="n"/>
      <c r="Z118" s="324" t="n"/>
      <c r="AA118" s="324">
        <f>Q70-S70</f>
        <v/>
      </c>
      <c r="AB118" s="324" t="n"/>
      <c r="AC118" s="324" t="n"/>
      <c r="AD118" s="324" t="n"/>
      <c r="AE118" s="324" t="n"/>
      <c r="AF118" s="324" t="n"/>
      <c r="AG118" s="324" t="n"/>
      <c r="AH118" s="324" t="n"/>
      <c r="AI118" s="324" t="n"/>
      <c r="AJ118" s="324" t="n"/>
      <c r="AK118" s="324" t="n"/>
      <c r="AL118" s="325" t="n"/>
    </row>
    <row r="119">
      <c r="A119" s="319" t="n"/>
      <c r="B119" s="320" t="n"/>
      <c r="C119" s="320" t="n"/>
      <c r="D119" s="315" t="inlineStr">
        <is>
          <t>五、过程节点奖金</t>
        </is>
      </c>
      <c r="E119" s="321" t="n"/>
      <c r="F119" s="321" t="n"/>
      <c r="G119" s="321" t="n"/>
      <c r="H119" s="301" t="n"/>
      <c r="I119" s="301" t="n"/>
      <c r="J119" s="301">
        <f>H119+I119</f>
        <v/>
      </c>
      <c r="K119" s="301" t="n"/>
      <c r="L119" s="317">
        <f>J119-K119</f>
        <v/>
      </c>
      <c r="M119" s="324" t="n"/>
      <c r="N119" s="324" t="n"/>
      <c r="O119" s="324">
        <f>L119-M119</f>
        <v/>
      </c>
      <c r="P119" s="324">
        <f>K119-N119</f>
        <v/>
      </c>
      <c r="Q119" s="324">
        <f>M119+O119</f>
        <v/>
      </c>
      <c r="R119" s="324">
        <f>M119+N119+O119+P119</f>
        <v/>
      </c>
      <c r="S119" s="324">
        <f>SUM(T119:V119)</f>
        <v/>
      </c>
      <c r="T119" s="324" t="n"/>
      <c r="U119" s="324" t="n"/>
      <c r="V119" s="324" t="n"/>
      <c r="W119" s="324" t="n"/>
      <c r="X119" s="324" t="n"/>
      <c r="Y119" s="324" t="n"/>
      <c r="Z119" s="324" t="n"/>
      <c r="AA119" s="324" t="n"/>
      <c r="AB119" s="324" t="n"/>
      <c r="AC119" s="324" t="n"/>
      <c r="AD119" s="324" t="n"/>
      <c r="AE119" s="324" t="n"/>
      <c r="AF119" s="324" t="n"/>
      <c r="AG119" s="324" t="n"/>
      <c r="AH119" s="324" t="n"/>
      <c r="AI119" s="324" t="n"/>
      <c r="AJ119" s="324" t="n"/>
      <c r="AK119" s="324" t="n"/>
      <c r="AL119" s="325" t="n"/>
    </row>
    <row r="120">
      <c r="A120" s="319" t="n"/>
      <c r="B120" s="320" t="n"/>
      <c r="C120" s="320" t="n"/>
      <c r="D120" s="315" t="inlineStr">
        <is>
          <t>六、资金占用费用</t>
        </is>
      </c>
      <c r="E120" s="321" t="n"/>
      <c r="F120" s="321" t="n"/>
      <c r="G120" s="321" t="n"/>
      <c r="H120" s="301" t="n"/>
      <c r="I120" s="301" t="n"/>
      <c r="J120" s="301">
        <f>H120+I120</f>
        <v/>
      </c>
      <c r="K120" s="301" t="n"/>
      <c r="L120" s="317">
        <f>J120-K120</f>
        <v/>
      </c>
      <c r="M120" s="326" t="n">
        <v>762837.87</v>
      </c>
      <c r="N120" s="324" t="n"/>
      <c r="O120" s="324">
        <f>L120-M120</f>
        <v/>
      </c>
      <c r="P120" s="324">
        <f>K120-N120</f>
        <v/>
      </c>
      <c r="Q120" s="324">
        <f>M120+O120</f>
        <v/>
      </c>
      <c r="R120" s="324">
        <f>M120+N120+O120+P120</f>
        <v/>
      </c>
      <c r="S120" s="324">
        <f>SUM(T120:V120)</f>
        <v/>
      </c>
      <c r="T120" s="324" t="n"/>
      <c r="U120" s="324" t="n"/>
      <c r="V120" s="324" t="n"/>
      <c r="W120" s="324" t="n"/>
      <c r="X120" s="324" t="n"/>
      <c r="Y120" s="324" t="n"/>
      <c r="Z120" s="324" t="n"/>
      <c r="AA120" s="324" t="n"/>
      <c r="AB120" s="324" t="n"/>
      <c r="AC120" s="324" t="n"/>
      <c r="AD120" s="324" t="n"/>
      <c r="AE120" s="324" t="n"/>
      <c r="AF120" s="324" t="n"/>
      <c r="AG120" s="324" t="n"/>
      <c r="AH120" s="324" t="n"/>
      <c r="AI120" s="324" t="n"/>
      <c r="AJ120" s="324" t="n"/>
      <c r="AK120" s="324" t="n"/>
      <c r="AL120" s="325" t="n"/>
    </row>
    <row r="121">
      <c r="A121" s="319" t="n"/>
      <c r="B121" s="320" t="n"/>
      <c r="C121" s="320" t="n"/>
      <c r="D121" s="315" t="inlineStr">
        <is>
          <t>七、局投资收益（局投资项目选填）</t>
        </is>
      </c>
      <c r="E121" s="321" t="n"/>
      <c r="F121" s="321" t="n"/>
      <c r="G121" s="321" t="n"/>
      <c r="H121" s="301" t="n"/>
      <c r="I121" s="301" t="n"/>
      <c r="J121" s="301">
        <f>H121+I121</f>
        <v/>
      </c>
      <c r="K121" s="301" t="n"/>
      <c r="L121" s="317">
        <f>J121-K121</f>
        <v/>
      </c>
      <c r="M121" s="324" t="n"/>
      <c r="N121" s="324" t="n"/>
      <c r="O121" s="324">
        <f>L121-M121</f>
        <v/>
      </c>
      <c r="P121" s="324">
        <f>K121-N121</f>
        <v/>
      </c>
      <c r="Q121" s="324">
        <f>M121+O121</f>
        <v/>
      </c>
      <c r="R121" s="324">
        <f>M121+N121+O121+P121</f>
        <v/>
      </c>
      <c r="S121" s="324">
        <f>SUM(T121:V121)</f>
        <v/>
      </c>
      <c r="T121" s="324" t="n"/>
      <c r="U121" s="324" t="n"/>
      <c r="V121" s="324" t="n"/>
      <c r="W121" s="324" t="n"/>
      <c r="X121" s="324" t="n"/>
      <c r="Y121" s="324" t="n"/>
      <c r="Z121" s="324" t="n"/>
      <c r="AA121" s="324" t="n"/>
      <c r="AB121" s="324" t="n"/>
      <c r="AC121" s="324" t="n"/>
      <c r="AD121" s="324" t="n"/>
      <c r="AE121" s="324" t="n"/>
      <c r="AF121" s="324" t="n"/>
      <c r="AG121" s="324" t="n"/>
      <c r="AH121" s="324" t="n"/>
      <c r="AI121" s="324" t="n"/>
      <c r="AJ121" s="324" t="n"/>
      <c r="AK121" s="324" t="n"/>
      <c r="AL121" s="325" t="n"/>
    </row>
    <row r="122">
      <c r="A122" s="319" t="n"/>
      <c r="B122" s="320" t="n"/>
      <c r="C122" s="320" t="n"/>
      <c r="D122" s="315" t="inlineStr">
        <is>
          <t>八、研发费用</t>
        </is>
      </c>
      <c r="E122" s="321" t="n"/>
      <c r="F122" s="321" t="n"/>
      <c r="G122" s="321" t="n"/>
      <c r="H122" s="301" t="n"/>
      <c r="I122" s="301" t="n"/>
      <c r="J122" s="301">
        <f>H122+I122</f>
        <v/>
      </c>
      <c r="K122" s="301" t="n"/>
      <c r="L122" s="317">
        <f>J122-K122</f>
        <v/>
      </c>
      <c r="M122" s="324">
        <f>SUM(M75:M77)</f>
        <v/>
      </c>
      <c r="N122" s="324">
        <f>SUM(N75:N77)</f>
        <v/>
      </c>
      <c r="O122" s="324">
        <f>SUM(O75:O77)</f>
        <v/>
      </c>
      <c r="P122" s="324">
        <f>SUM(P75:P77)</f>
        <v/>
      </c>
      <c r="Q122" s="324">
        <f>SUM(Q75:Q77)</f>
        <v/>
      </c>
      <c r="R122" s="324">
        <f>SUM(R75:R77)</f>
        <v/>
      </c>
      <c r="S122" s="324">
        <f>SUM(S75:S77)</f>
        <v/>
      </c>
      <c r="T122" s="324">
        <f>SUM(T75:T77)</f>
        <v/>
      </c>
      <c r="U122" s="324">
        <f>SUM(U75:U77)</f>
        <v/>
      </c>
      <c r="V122" s="324">
        <f>SUM(V75:V77)</f>
        <v/>
      </c>
      <c r="W122" s="324">
        <f>SUM(W75:W77)</f>
        <v/>
      </c>
      <c r="X122" s="324">
        <f>SUM(X75:X77)</f>
        <v/>
      </c>
      <c r="Y122" s="324">
        <f>SUM(Y75:Y77)</f>
        <v/>
      </c>
      <c r="Z122" s="324">
        <f>SUM(Z75:Z77)</f>
        <v/>
      </c>
      <c r="AA122" s="324">
        <f>SUM(AA75:AA77)</f>
        <v/>
      </c>
      <c r="AB122" s="324">
        <f>SUM(AB75:AB77)</f>
        <v/>
      </c>
      <c r="AC122" s="324">
        <f>SUM(AC75:AC77)</f>
        <v/>
      </c>
      <c r="AD122" s="324">
        <f>SUM(AD75:AD77)</f>
        <v/>
      </c>
      <c r="AE122" s="324">
        <f>SUM(AE75:AE77)</f>
        <v/>
      </c>
      <c r="AF122" s="324">
        <f>SUM(AF75:AF77)</f>
        <v/>
      </c>
      <c r="AG122" s="324">
        <f>SUM(AG75:AG77)</f>
        <v/>
      </c>
      <c r="AH122" s="324">
        <f>SUM(AH75:AH77)</f>
        <v/>
      </c>
      <c r="AI122" s="324">
        <f>SUM(AI75:AI77)</f>
        <v/>
      </c>
      <c r="AJ122" s="324">
        <f>SUM(AJ75:AJ77)</f>
        <v/>
      </c>
      <c r="AK122" s="324">
        <f>SUM(AK75:AK77)</f>
        <v/>
      </c>
      <c r="AL122" s="325" t="n"/>
    </row>
    <row r="123">
      <c r="A123" s="209" t="n">
        <v>1</v>
      </c>
      <c r="B123" s="209" t="n"/>
      <c r="C123" s="242" t="n"/>
      <c r="D123" s="242" t="inlineStr">
        <is>
          <t>材料费</t>
        </is>
      </c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43" t="n">
        <v>3926272.64</v>
      </c>
      <c r="N123" s="244" t="n"/>
      <c r="O123" s="244">
        <f>L123-M123</f>
        <v/>
      </c>
      <c r="P123" s="244">
        <f>K123-N123</f>
        <v/>
      </c>
      <c r="Q123" s="244">
        <f>M123+O123</f>
        <v/>
      </c>
      <c r="R123" s="244">
        <f>M123+N123+O123+P123</f>
        <v/>
      </c>
      <c r="S123" s="244" t="n"/>
      <c r="T123" s="244" t="n"/>
      <c r="U123" s="244" t="n"/>
      <c r="V123" s="244" t="n"/>
      <c r="W123" s="293" t="n"/>
      <c r="X123" s="293" t="n"/>
      <c r="Y123" s="293" t="n"/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  <c r="AI123" s="293" t="n"/>
      <c r="AJ123" s="293" t="n"/>
      <c r="AK123" s="293" t="n"/>
      <c r="AL123" s="293" t="n"/>
    </row>
    <row r="124">
      <c r="A124" s="298" t="n"/>
      <c r="B124" s="299" t="n"/>
      <c r="C124" s="299" t="n"/>
      <c r="D124" s="315" t="inlineStr">
        <is>
          <t>九、成本及费用合计（三+四+五+六+七）</t>
        </is>
      </c>
      <c r="E124" s="316" t="n"/>
      <c r="F124" s="316" t="n"/>
      <c r="G124" s="316" t="n"/>
      <c r="H124" s="301">
        <f>H117+H118+H119+H120+H121+H122</f>
        <v/>
      </c>
      <c r="I124" s="301">
        <f>I117+I118+I119+I120+I121+I122</f>
        <v/>
      </c>
      <c r="J124" s="327">
        <f>J117+J118+J119+J120+J121+J122</f>
        <v/>
      </c>
      <c r="K124" s="301">
        <f>K117+K118+K119+K120+K121+K122</f>
        <v/>
      </c>
      <c r="L124" s="328">
        <f>L117+L118+L119+L120+L121+L122</f>
        <v/>
      </c>
      <c r="M124" s="328">
        <f>M117+M118+M119+M120+M121+M122</f>
        <v/>
      </c>
      <c r="N124" s="328">
        <f>N117+N118+N119+N120+N121+N122</f>
        <v/>
      </c>
      <c r="O124" s="328">
        <f>O117+O118+O119+O120+O121+O122</f>
        <v/>
      </c>
      <c r="P124" s="328">
        <f>P117+P118+P119+P120+P121+P122</f>
        <v/>
      </c>
      <c r="Q124" s="328">
        <f>Q117+Q118+Q119+Q120+Q121+Q122</f>
        <v/>
      </c>
      <c r="R124" s="328">
        <f>R117+R118+R119+R120+R121+R122</f>
        <v/>
      </c>
      <c r="S124" s="324">
        <f>S117+S118+S119+S120+S121+S122</f>
        <v/>
      </c>
      <c r="T124" s="324" t="n"/>
      <c r="U124" s="324" t="n"/>
      <c r="V124" s="324" t="n"/>
      <c r="W124" s="324" t="n"/>
      <c r="X124" s="324" t="n"/>
      <c r="Y124" s="324" t="n"/>
      <c r="Z124" s="324">
        <f>Z117+Z118+Z119+Z120+Z121+Z122</f>
        <v/>
      </c>
      <c r="AA124" s="324">
        <f>AA117+AA118+AA119+AA120+AA121+AA122</f>
        <v/>
      </c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30" t="n"/>
      <c r="AL124" s="331" t="n"/>
    </row>
    <row r="125">
      <c r="A125" s="298" t="n"/>
      <c r="B125" s="299" t="n"/>
      <c r="C125" s="299" t="n"/>
      <c r="D125" s="315" t="inlineStr">
        <is>
          <t>十、增值税实际税负（按财务数据）</t>
        </is>
      </c>
      <c r="E125" s="316" t="inlineStr">
        <is>
          <t>根据财务账面实际已缴纳增值税额+尚需缴纳的增值税额</t>
        </is>
      </c>
      <c r="F125" s="316" t="n"/>
      <c r="G125" s="316" t="n"/>
      <c r="H125" s="301" t="n"/>
      <c r="I125" s="301" t="n"/>
      <c r="J125" s="327">
        <f>H79+I79</f>
        <v/>
      </c>
      <c r="K125" s="301" t="inlineStr">
        <is>
          <t>/</t>
        </is>
      </c>
      <c r="L125" s="328" t="inlineStr">
        <is>
          <t>/</t>
        </is>
      </c>
      <c r="M125" s="328" t="n"/>
      <c r="N125" s="328">
        <f>N6-N78</f>
        <v/>
      </c>
      <c r="O125" s="328" t="n"/>
      <c r="P125" s="328" t="n"/>
      <c r="Q125" s="328" t="inlineStr">
        <is>
          <t>/</t>
        </is>
      </c>
      <c r="R125" s="328">
        <f>N79+P79</f>
        <v/>
      </c>
      <c r="S125" s="324" t="n"/>
      <c r="T125" s="324" t="n"/>
      <c r="U125" s="324" t="n"/>
      <c r="V125" s="324" t="n"/>
      <c r="W125" s="324" t="n"/>
      <c r="X125" s="324" t="n"/>
      <c r="Y125" s="324" t="n"/>
      <c r="Z125" s="324" t="n"/>
      <c r="AA125" s="324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30" t="n"/>
      <c r="AL125" s="331" t="n"/>
    </row>
    <row r="126">
      <c r="A126" s="298" t="n"/>
      <c r="B126" s="299" t="n"/>
      <c r="C126" s="299" t="n"/>
      <c r="D126" s="315" t="inlineStr">
        <is>
          <t>十一、税金及附加（按财务数据）</t>
        </is>
      </c>
      <c r="E126" s="316" t="inlineStr">
        <is>
          <t>根据财务账面实际已缴纳税金及附加+尚需缴纳的税金及附加</t>
        </is>
      </c>
      <c r="F126" s="316" t="n"/>
      <c r="G126" s="316" t="n"/>
      <c r="H126" s="301" t="n"/>
      <c r="I126" s="301" t="n"/>
      <c r="J126" s="327">
        <f>H80+I80</f>
        <v/>
      </c>
      <c r="K126" s="301" t="n"/>
      <c r="L126" s="328">
        <f>J80</f>
        <v/>
      </c>
      <c r="M126" s="332" t="n">
        <v>260389.37</v>
      </c>
      <c r="N126" s="328" t="n"/>
      <c r="O126" s="328">
        <f>L80-M80</f>
        <v/>
      </c>
      <c r="P126" s="328" t="n"/>
      <c r="Q126" s="328">
        <f>M80+O80</f>
        <v/>
      </c>
      <c r="R126" s="328">
        <f>Q80</f>
        <v/>
      </c>
      <c r="S126" s="324" t="n"/>
      <c r="T126" s="324" t="n"/>
      <c r="U126" s="324" t="n"/>
      <c r="V126" s="324" t="n"/>
      <c r="W126" s="324" t="n"/>
      <c r="X126" s="324" t="n"/>
      <c r="Y126" s="324" t="n"/>
      <c r="Z126" s="324" t="n"/>
      <c r="AA126" s="324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30" t="n"/>
      <c r="AL126" s="331" t="n"/>
    </row>
    <row r="127">
      <c r="A127" s="298" t="n"/>
      <c r="B127" s="299" t="n"/>
      <c r="C127" s="299" t="n"/>
      <c r="D127" s="315" t="inlineStr">
        <is>
          <t>十二、利润</t>
        </is>
      </c>
      <c r="E127" s="316" t="n"/>
      <c r="F127" s="316" t="n"/>
      <c r="G127" s="316" t="n"/>
      <c r="H127" s="301" t="n"/>
      <c r="I127" s="301" t="n"/>
      <c r="J127" s="327">
        <f>J6-J124-J125-J126</f>
        <v/>
      </c>
      <c r="K127" s="301" t="n"/>
      <c r="L127" s="328" t="n"/>
      <c r="M127" s="328" t="n"/>
      <c r="N127" s="328" t="n"/>
      <c r="O127" s="328" t="n"/>
      <c r="P127" s="328" t="n"/>
      <c r="Q127" s="328" t="n"/>
      <c r="R127" s="328" t="n"/>
      <c r="S127" s="324" t="n"/>
      <c r="T127" s="324" t="n"/>
      <c r="U127" s="324" t="n"/>
      <c r="V127" s="324" t="n"/>
      <c r="W127" s="324" t="n"/>
      <c r="X127" s="324" t="n"/>
      <c r="Y127" s="324" t="n"/>
      <c r="Z127" s="324" t="n"/>
      <c r="AA127" s="324" t="n"/>
      <c r="AB127" s="329" t="n"/>
      <c r="AC127" s="329" t="n"/>
      <c r="AD127" s="329" t="n"/>
      <c r="AE127" s="329" t="n"/>
      <c r="AF127" s="329" t="n"/>
      <c r="AG127" s="329" t="n"/>
      <c r="AH127" s="329" t="n"/>
      <c r="AI127" s="329" t="n"/>
      <c r="AJ127" s="329" t="n"/>
      <c r="AK127" s="330" t="n"/>
      <c r="AL127" s="331" t="n"/>
    </row>
    <row r="128">
      <c r="A128" s="333" t="n"/>
      <c r="B128" s="334" t="n"/>
      <c r="C128" s="334" t="n"/>
      <c r="D128" s="335" t="inlineStr">
        <is>
          <t>十三、利润率</t>
        </is>
      </c>
      <c r="E128" s="336" t="n"/>
      <c r="F128" s="336" t="n"/>
      <c r="G128" s="336" t="n"/>
      <c r="H128" s="337" t="n"/>
      <c r="I128" s="337" t="n"/>
      <c r="J128" s="337">
        <f>J127/J6</f>
        <v/>
      </c>
      <c r="K128" s="337" t="n"/>
      <c r="L128" s="338">
        <f>L127/L6</f>
        <v/>
      </c>
      <c r="M128" s="338">
        <f>M127/M6</f>
        <v/>
      </c>
      <c r="N128" s="338" t="n"/>
      <c r="O128" s="338" t="n"/>
      <c r="P128" s="338" t="n"/>
      <c r="Q128" s="338">
        <f>Q127/Q6</f>
        <v/>
      </c>
      <c r="R128" s="338">
        <f>R127/R6</f>
        <v/>
      </c>
      <c r="S128" s="339" t="n"/>
      <c r="T128" s="339" t="n"/>
      <c r="U128" s="339" t="n"/>
      <c r="V128" s="339" t="n"/>
      <c r="W128" s="339" t="n"/>
      <c r="X128" s="339" t="n"/>
      <c r="Y128" s="339" t="n"/>
      <c r="Z128" s="339" t="n"/>
      <c r="AA128" s="339" t="n"/>
      <c r="AB128" s="340" t="n"/>
      <c r="AC128" s="340" t="n"/>
      <c r="AD128" s="340" t="n"/>
      <c r="AE128" s="340" t="n"/>
      <c r="AF128" s="340" t="n"/>
      <c r="AG128" s="340" t="n"/>
      <c r="AH128" s="340" t="n"/>
      <c r="AI128" s="340" t="n"/>
      <c r="AJ128" s="340" t="n"/>
      <c r="AK128" s="341" t="n"/>
      <c r="AL128" s="342" t="n"/>
    </row>
    <row r="129">
      <c r="A129" s="111" t="n"/>
      <c r="B129" s="111" t="n"/>
      <c r="C129" s="111" t="n"/>
      <c r="D129" s="112" t="n"/>
      <c r="E129" s="113" t="n"/>
      <c r="F129" s="113" t="n"/>
      <c r="G129" s="113" t="n"/>
      <c r="H129" s="251" t="n"/>
      <c r="I129" s="251" t="n"/>
      <c r="J129" s="252" t="inlineStr">
        <is>
          <t>含税利润率</t>
        </is>
      </c>
      <c r="K129" s="253" t="n"/>
      <c r="L129" s="254" t="inlineStr">
        <is>
          <t>不含税利润率</t>
        </is>
      </c>
      <c r="M129" s="255" t="n"/>
      <c r="N129" s="255" t="n"/>
      <c r="O129" s="255" t="n"/>
      <c r="P129" s="255" t="n"/>
      <c r="Q129" s="255" t="n"/>
      <c r="R129" s="255" t="n"/>
      <c r="S129" s="255" t="n"/>
      <c r="T129" s="255" t="n"/>
      <c r="U129" s="255" t="n"/>
      <c r="V129" s="255" t="n"/>
      <c r="W129" s="255" t="n"/>
      <c r="X129" s="255" t="n"/>
      <c r="Y129" s="255" t="n"/>
      <c r="Z129" s="256" t="n"/>
      <c r="AA129" s="162" t="n"/>
      <c r="AB129" s="257" t="n"/>
      <c r="AC129" s="257" t="n"/>
      <c r="AD129" s="257" t="n"/>
      <c r="AE129" s="257" t="n"/>
      <c r="AF129" s="257" t="n"/>
      <c r="AG129" s="257" t="n"/>
      <c r="AH129" s="257" t="n"/>
      <c r="AI129" s="257" t="n"/>
      <c r="AJ129" s="257" t="n"/>
      <c r="AK129" s="257" t="n"/>
      <c r="AL129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2026-04-19T16:00:12Z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