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A9" zoomScale="70" zoomScaleNormal="70" workbookViewId="0">
      <selection activeCell="F33" sqref="F33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8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14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26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/>
      <c r="B57" s="199" t="n"/>
      <c r="C57" s="199" t="n"/>
      <c r="D57" s="222" t="n"/>
      <c r="E57" s="219" t="n"/>
      <c r="F57" s="219" t="n"/>
      <c r="G57" s="219" t="n"/>
      <c r="H57" s="189" t="n"/>
      <c r="I57" s="189" t="n"/>
      <c r="J57" s="189" t="n"/>
      <c r="K57" s="201" t="n"/>
      <c r="L57" s="202" t="n"/>
      <c r="M57" s="189" t="n"/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18</v>
      </c>
      <c r="B58" s="199" t="n"/>
      <c r="C58" s="199" t="n"/>
      <c r="D58" s="218" t="inlineStr">
        <is>
          <t>材料调入</t>
        </is>
      </c>
      <c r="E58" s="199" t="n"/>
      <c r="F58" s="199" t="n"/>
      <c r="G58" s="199" t="n"/>
      <c r="H58" s="189" t="n"/>
      <c r="I58" s="189" t="n"/>
      <c r="J58" s="189" t="n"/>
      <c r="K58" s="201" t="n"/>
      <c r="L58" s="202" t="n"/>
      <c r="M58" s="223" t="n">
        <v>34020317.08</v>
      </c>
      <c r="N58" s="189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03" t="n"/>
      <c r="U58" s="203" t="n"/>
      <c r="V58" s="203" t="n"/>
      <c r="W58" s="203" t="n"/>
      <c r="X58" s="203" t="n"/>
      <c r="Y58" s="203" t="n"/>
      <c r="Z58" s="189">
        <f>SUM(AA31:AJ31)</f>
        <v/>
      </c>
      <c r="AA58" s="203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188">
        <f>AB31/1.17*0.17+AC31/1.16*0.16+AD31/1.11*0.11+AE31/1.1*0.1+AF31/1.09*0.09+AI31/1.03*0.03</f>
        <v/>
      </c>
      <c r="AL58" s="221" t="n"/>
    </row>
    <row r="59" ht="14" customFormat="1" customHeight="1" s="180">
      <c r="A59" s="33" t="n">
        <v>19</v>
      </c>
      <c r="B59" s="199" t="n"/>
      <c r="C59" s="199" t="n"/>
      <c r="D59" s="218" t="inlineStr">
        <is>
          <t>材料调出（注：负数填报）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6" t="n">
        <v>-8241729.17</v>
      </c>
      <c r="N59" s="225" t="n"/>
      <c r="O59" s="189">
        <f>L59-M59</f>
        <v/>
      </c>
      <c r="P59" s="189">
        <f>K59-N59</f>
        <v/>
      </c>
      <c r="Q59" s="189">
        <f>M59+O59</f>
        <v/>
      </c>
      <c r="R59" s="189">
        <f>M59+N59+O59+P59</f>
        <v/>
      </c>
      <c r="S59" s="203">
        <f>SUM(T59:V59)</f>
        <v/>
      </c>
      <c r="T59" s="225" t="n"/>
      <c r="U59" s="225" t="n"/>
      <c r="V59" s="225" t="n"/>
      <c r="W59" s="225" t="n"/>
      <c r="X59" s="225" t="n"/>
      <c r="Y59" s="225" t="n"/>
      <c r="Z59" s="189">
        <f>SUM(AA32:AJ32)</f>
        <v/>
      </c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>
        <f>AB32/1.17*0.17+AC32/1.16*0.16+AD32/1.11*0.11+AE32/1.1*0.1+AF32/1.09*0.09+AI32/1.03*0.03</f>
        <v/>
      </c>
      <c r="AL59" s="228" t="n"/>
    </row>
    <row r="60" ht="14" customFormat="1" customHeight="1" s="180">
      <c r="A60" s="33" t="n"/>
      <c r="B60" s="199" t="n"/>
      <c r="C60" s="199" t="n"/>
      <c r="D60" s="218" t="inlineStr">
        <is>
          <t>材料库存（注：项目已结算未使用材料冲减项目成本，负数填报）</t>
        </is>
      </c>
      <c r="E60" s="224" t="n"/>
      <c r="F60" s="224" t="n"/>
      <c r="G60" s="224" t="n"/>
      <c r="H60" s="225" t="n"/>
      <c r="I60" s="225" t="n"/>
      <c r="J60" s="189" t="n"/>
      <c r="K60" s="201" t="n"/>
      <c r="L60" s="202" t="n"/>
      <c r="M60" s="225" t="n"/>
      <c r="N60" s="225" t="n"/>
      <c r="O60" s="189" t="n"/>
      <c r="P60" s="189" t="n"/>
      <c r="Q60" s="189" t="n"/>
      <c r="R60" s="189" t="n"/>
      <c r="S60" s="203" t="n"/>
      <c r="T60" s="225" t="n"/>
      <c r="U60" s="225" t="n"/>
      <c r="V60" s="225" t="n"/>
      <c r="W60" s="225" t="n"/>
      <c r="X60" s="225" t="n"/>
      <c r="Y60" s="225" t="n"/>
      <c r="Z60" s="189" t="n"/>
      <c r="AA60" s="225" t="n"/>
      <c r="AB60" s="227" t="n"/>
      <c r="AC60" s="227" t="n"/>
      <c r="AD60" s="227" t="n"/>
      <c r="AE60" s="227" t="n"/>
      <c r="AF60" s="227" t="n"/>
      <c r="AG60" s="227" t="n"/>
      <c r="AH60" s="227" t="n"/>
      <c r="AI60" s="227" t="n"/>
      <c r="AJ60" s="227" t="n"/>
      <c r="AK60" s="188" t="n"/>
      <c r="AL60" s="228" t="n"/>
    </row>
    <row r="61" ht="14" customFormat="1" customHeight="1" s="180">
      <c r="A61" s="33" t="n"/>
      <c r="B61" s="199" t="n"/>
      <c r="C61" s="199" t="n"/>
      <c r="D61" s="211" t="inlineStr">
        <is>
          <t>**财务未列部分需增列***</t>
        </is>
      </c>
      <c r="E61" s="219" t="n"/>
      <c r="F61" s="219" t="n"/>
      <c r="G61" s="219" t="n"/>
      <c r="H61" s="189" t="n"/>
      <c r="I61" s="189" t="n"/>
      <c r="J61" s="189" t="n"/>
      <c r="K61" s="201" t="n"/>
      <c r="L61" s="202" t="n"/>
      <c r="M61" s="189" t="n"/>
      <c r="N61" s="189" t="n"/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03" t="n"/>
      <c r="U61" s="203" t="n"/>
      <c r="V61" s="203" t="n"/>
      <c r="W61" s="203" t="n"/>
      <c r="X61" s="203" t="n"/>
      <c r="Y61" s="203" t="n"/>
      <c r="Z61" s="203" t="n"/>
      <c r="AA61" s="203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188">
        <f>AB34/1.17*0.17+AC34/1.16*0.16+AD34/1.11*0.11+AE34/1.1*0.1+AF34/1.09*0.09+AI34/1.03*0.03</f>
        <v/>
      </c>
      <c r="AL61" s="221" t="n"/>
    </row>
    <row r="62" ht="14" customFormat="1" customHeight="1" s="180">
      <c r="A62" s="41" t="n"/>
      <c r="B62" s="215" t="n"/>
      <c r="C62" s="215" t="n"/>
      <c r="D62" s="216" t="inlineStr">
        <is>
          <t>材料费小计：</t>
        </is>
      </c>
      <c r="E62" s="217">
        <f>SUM(E34:E61)</f>
        <v/>
      </c>
      <c r="F62" s="217">
        <f>SUM(F34:F61)</f>
        <v/>
      </c>
      <c r="G62" s="217">
        <f>SUM(G34:G61)</f>
        <v/>
      </c>
      <c r="H62" s="217">
        <f>SUM(H34:H61)</f>
        <v/>
      </c>
      <c r="I62" s="217">
        <f>SUM(I34:I61)</f>
        <v/>
      </c>
      <c r="J62" s="217">
        <f>SUM(J34:J61)</f>
        <v/>
      </c>
      <c r="K62" s="217">
        <f>SUM(K34:K61)</f>
        <v/>
      </c>
      <c r="L62" s="217">
        <f>SUM(L34:L61)</f>
        <v/>
      </c>
      <c r="M62" s="217">
        <f>SUM(M34:M61)</f>
        <v/>
      </c>
      <c r="N62" s="217">
        <f>SUM(N34:N61)</f>
        <v/>
      </c>
      <c r="O62" s="217">
        <f>SUM(O34:O61)</f>
        <v/>
      </c>
      <c r="P62" s="217">
        <f>SUM(P34:P61)</f>
        <v/>
      </c>
      <c r="Q62" s="217">
        <f>SUM(Q34:Q61)</f>
        <v/>
      </c>
      <c r="R62" s="217">
        <f>SUM(R34:R61)</f>
        <v/>
      </c>
      <c r="S62" s="217">
        <f>SUM(S34:S61)</f>
        <v/>
      </c>
      <c r="T62" s="217">
        <f>SUM(T34:T61)</f>
        <v/>
      </c>
      <c r="U62" s="217">
        <f>SUM(U34:U61)</f>
        <v/>
      </c>
      <c r="V62" s="217">
        <f>SUM(V34:V61)</f>
        <v/>
      </c>
      <c r="W62" s="217">
        <f>SUM(W34:W61)</f>
        <v/>
      </c>
      <c r="X62" s="217">
        <f>SUM(X34:X61)</f>
        <v/>
      </c>
      <c r="Y62" s="217">
        <f>SUM(Y34:Y61)</f>
        <v/>
      </c>
      <c r="Z62" s="217">
        <f>SUM(Z34:Z61)</f>
        <v/>
      </c>
      <c r="AA62" s="217">
        <f>SUM(AA34:AA61)</f>
        <v/>
      </c>
      <c r="AB62" s="217">
        <f>SUM(AB34:AB61)</f>
        <v/>
      </c>
      <c r="AC62" s="217">
        <f>SUM(AC34:AC61)</f>
        <v/>
      </c>
      <c r="AD62" s="217">
        <f>SUM(AD34:AD61)</f>
        <v/>
      </c>
      <c r="AE62" s="217">
        <f>SUM(AE34:AE61)</f>
        <v/>
      </c>
      <c r="AF62" s="217">
        <f>SUM(AF34:AF61)</f>
        <v/>
      </c>
      <c r="AG62" s="217">
        <f>SUM(AG34:AG61)</f>
        <v/>
      </c>
      <c r="AH62" s="217">
        <f>SUM(AH34:AH61)</f>
        <v/>
      </c>
      <c r="AI62" s="217">
        <f>SUM(AI34:AI61)</f>
        <v/>
      </c>
      <c r="AJ62" s="217">
        <f>SUM(AJ34:AJ61)</f>
        <v/>
      </c>
      <c r="AK62" s="217">
        <f>SUM(AK34:AK61)</f>
        <v/>
      </c>
      <c r="AL62" s="204" t="n"/>
    </row>
    <row r="63" ht="14" customFormat="1" customHeight="1" s="180">
      <c r="A63" s="33" t="n"/>
      <c r="B63" s="199" t="n"/>
      <c r="C63" s="199" t="n"/>
      <c r="D63" s="218" t="inlineStr">
        <is>
          <t>(四）机械租赁费</t>
        </is>
      </c>
      <c r="E63" s="212" t="n"/>
      <c r="F63" s="212" t="n"/>
      <c r="G63" s="212" t="n"/>
      <c r="H63" s="189" t="n"/>
      <c r="I63" s="189" t="n"/>
      <c r="J63" s="189" t="n"/>
      <c r="K63" s="201" t="n">
        <v>0</v>
      </c>
      <c r="L63" s="202">
        <f>J63-K63</f>
        <v/>
      </c>
      <c r="M63" s="184" t="n"/>
      <c r="N63" s="184" t="n"/>
      <c r="O63" s="189">
        <f>L63-M63</f>
        <v/>
      </c>
      <c r="P63" s="189">
        <f>K63-N63</f>
        <v/>
      </c>
      <c r="Q63" s="189">
        <f>M63+O63</f>
        <v/>
      </c>
      <c r="R63" s="189">
        <f>M63+N63+O63+P63</f>
        <v/>
      </c>
      <c r="S63" s="203">
        <f>SUM(T63:V63)</f>
        <v/>
      </c>
      <c r="T63" s="203" t="n"/>
      <c r="U63" s="203" t="n"/>
      <c r="V63" s="203" t="n"/>
      <c r="W63" s="203" t="n"/>
      <c r="X63" s="203" t="n"/>
      <c r="Y63" s="203" t="n"/>
      <c r="Z63" s="203" t="n"/>
      <c r="AA63" s="203" t="n"/>
      <c r="AB63" s="203" t="n"/>
      <c r="AC63" s="203" t="n"/>
      <c r="AD63" s="203" t="n"/>
      <c r="AE63" s="203" t="n"/>
      <c r="AF63" s="203" t="n"/>
      <c r="AG63" s="203" t="n"/>
      <c r="AH63" s="203" t="n"/>
      <c r="AI63" s="203" t="n"/>
      <c r="AJ63" s="203" t="n"/>
      <c r="AK63" s="188">
        <f>AB36/1.17*0.17+AC36/1.16*0.16+AD36/1.11*0.11+AE36/1.1*0.1+AF36/1.09*0.09+AI36/1.03*0.03</f>
        <v/>
      </c>
      <c r="AL63" s="204" t="n"/>
    </row>
    <row r="64" ht="14" customFormat="1" customHeight="1" s="180">
      <c r="A64" s="206" t="n">
        <v>1</v>
      </c>
      <c r="B64" s="206" t="inlineStr">
        <is>
          <t>200489973</t>
        </is>
      </c>
      <c r="C64" s="207" t="inlineStr">
        <is>
          <t>中建四局020020210036050002</t>
        </is>
      </c>
      <c r="D64" s="207" t="inlineStr">
        <is>
          <t>佛山市南海鼎赞机械设备有限公司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3140750.01</v>
      </c>
      <c r="N64" s="210" t="n">
        <v>408297.5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2453566.5</v>
      </c>
      <c r="U64" s="206" t="n"/>
      <c r="V64" s="206" t="n"/>
    </row>
    <row r="65" ht="14" customFormat="1" customHeight="1" s="180">
      <c r="A65" s="206" t="n">
        <v>2</v>
      </c>
      <c r="B65" s="206" t="inlineStr">
        <is>
          <t>200428777</t>
        </is>
      </c>
      <c r="C65" s="207" t="inlineStr">
        <is>
          <t>中建四局020020210036050001</t>
        </is>
      </c>
      <c r="D65" s="207" t="inlineStr">
        <is>
          <t>广东君晖建筑工程有限公司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394403.33</v>
      </c>
      <c r="N65" s="210" t="n">
        <v>51272.43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290000</v>
      </c>
      <c r="U65" s="206" t="n"/>
      <c r="V65" s="206" t="n"/>
    </row>
    <row r="66" ht="14" customFormat="1" customHeight="1" s="180">
      <c r="A66" s="206" t="n">
        <v>3</v>
      </c>
      <c r="B66" s="206" t="inlineStr">
        <is>
          <t>200353812</t>
        </is>
      </c>
      <c r="C66" s="207" t="inlineStr">
        <is>
          <t>中建四局0200202103605001</t>
        </is>
      </c>
      <c r="D66" s="207" t="inlineStr">
        <is>
          <t>广州小老虎建筑机械租赁有限公司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8322775.17</v>
      </c>
      <c r="N66" s="210" t="n">
        <v>749049.77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8851326.33</v>
      </c>
      <c r="U66" s="206" t="n"/>
      <c r="V66" s="206" t="n"/>
    </row>
    <row r="67" ht="14" customFormat="1" customHeight="1" s="180">
      <c r="A67" s="206" t="n">
        <v>4</v>
      </c>
      <c r="B67" s="206" t="inlineStr">
        <is>
          <t>100217539</t>
        </is>
      </c>
      <c r="C67" s="207" t="inlineStr">
        <is>
          <t>中建四局0200202103605002</t>
        </is>
      </c>
      <c r="D67" s="207" t="inlineStr">
        <is>
          <t>广州易达运输有限公司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58915.4</v>
      </c>
      <c r="N67" s="210" t="n">
        <v>1767.47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60682.87</v>
      </c>
      <c r="U67" s="206" t="n"/>
      <c r="V67" s="206" t="n"/>
    </row>
    <row r="68" ht="14" customFormat="1" customHeight="1" s="180">
      <c r="A68" s="206" t="n">
        <v>5</v>
      </c>
      <c r="B68" s="206" t="inlineStr">
        <is>
          <t>200372422</t>
        </is>
      </c>
      <c r="C68" s="207" t="inlineStr">
        <is>
          <t>中建四局02002021036050003</t>
        </is>
      </c>
      <c r="D68" s="207" t="inlineStr">
        <is>
          <t>深圳市鑫俊辉机械设备有限公司</t>
        </is>
      </c>
      <c r="E68" s="206" t="n"/>
      <c r="F68" s="206" t="n"/>
      <c r="G68" s="206" t="n"/>
      <c r="H68" s="206" t="n"/>
      <c r="I68" s="206" t="n"/>
      <c r="J68" s="206">
        <f>H68+I68</f>
        <v/>
      </c>
      <c r="K68" s="208" t="n"/>
      <c r="L68" s="209">
        <f>J68-K68</f>
        <v/>
      </c>
      <c r="M68" s="210" t="n">
        <v>260430</v>
      </c>
      <c r="N68" s="210" t="n">
        <v>23438.7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200000</v>
      </c>
      <c r="U68" s="206" t="n"/>
      <c r="V68" s="206" t="n"/>
    </row>
    <row r="69" ht="14" customFormat="1" customHeight="1" s="180">
      <c r="A69" s="33" t="n"/>
      <c r="B69" s="199" t="n"/>
      <c r="C69" s="199" t="n"/>
      <c r="D69" s="211" t="inlineStr">
        <is>
          <t>**财务未列部分需增列***</t>
        </is>
      </c>
      <c r="E69" s="229" t="n"/>
      <c r="F69" s="229" t="n"/>
      <c r="G69" s="229" t="n"/>
      <c r="H69" s="189" t="n"/>
      <c r="I69" s="189" t="n"/>
      <c r="J69" s="189" t="n"/>
      <c r="K69" s="201" t="n">
        <v>0</v>
      </c>
      <c r="L69" s="202">
        <f>J69-K69</f>
        <v/>
      </c>
      <c r="M69" s="230" t="n"/>
      <c r="N69" s="230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30" t="n"/>
      <c r="U69" s="230" t="n"/>
      <c r="V69" s="230" t="n"/>
      <c r="W69" s="230" t="n"/>
      <c r="X69" s="230" t="n"/>
      <c r="Y69" s="230" t="n"/>
      <c r="Z69" s="230" t="n"/>
      <c r="AA69" s="203" t="n"/>
      <c r="AB69" s="188" t="n"/>
      <c r="AC69" s="188" t="n"/>
      <c r="AD69" s="188" t="n"/>
      <c r="AE69" s="188" t="n"/>
      <c r="AF69" s="188" t="n"/>
      <c r="AG69" s="188" t="n"/>
      <c r="AH69" s="188" t="n"/>
      <c r="AI69" s="188" t="n"/>
      <c r="AJ69" s="188" t="n"/>
      <c r="AK69" s="188">
        <f>AB38/1.17*0.17+AC38/1.16*0.16+AD38/1.11*0.11+AE38/1.1*0.1+AF38/1.09*0.09+AI38/1.03*0.03</f>
        <v/>
      </c>
      <c r="AL69" s="214" t="n"/>
    </row>
    <row r="70" ht="39" customFormat="1" customHeight="1" s="180">
      <c r="A70" s="41" t="n"/>
      <c r="B70" s="215" t="n"/>
      <c r="C70" s="215" t="n"/>
      <c r="D70" s="231" t="inlineStr">
        <is>
          <t>机械费小计：</t>
        </is>
      </c>
      <c r="E70" s="232" t="n"/>
      <c r="F70" s="232" t="n"/>
      <c r="G70" s="232" t="n"/>
      <c r="H70" s="217">
        <f>SUM(H63:H69)</f>
        <v/>
      </c>
      <c r="I70" s="217">
        <f>SUM(I63:I69)</f>
        <v/>
      </c>
      <c r="J70" s="217">
        <f>SUM(J63:J69)</f>
        <v/>
      </c>
      <c r="K70" s="217">
        <f>SUM(K63:K69)</f>
        <v/>
      </c>
      <c r="L70" s="233">
        <f>SUM(L63:L69)</f>
        <v/>
      </c>
      <c r="M70" s="217">
        <f>SUM(M63:M69)</f>
        <v/>
      </c>
      <c r="N70" s="217">
        <f>SUM(N63:N69)</f>
        <v/>
      </c>
      <c r="O70" s="217">
        <f>SUM(O63:O69)</f>
        <v/>
      </c>
      <c r="P70" s="217">
        <f>SUM(P63:P69)</f>
        <v/>
      </c>
      <c r="Q70" s="217">
        <f>SUM(Q63:Q69)</f>
        <v/>
      </c>
      <c r="R70" s="217">
        <f>SUM(R63:R69)</f>
        <v/>
      </c>
      <c r="S70" s="217">
        <f>SUM(S63:S69)</f>
        <v/>
      </c>
      <c r="T70" s="217" t="n"/>
      <c r="U70" s="217" t="n"/>
      <c r="V70" s="217" t="n"/>
      <c r="W70" s="217" t="n"/>
      <c r="X70" s="217" t="n"/>
      <c r="Y70" s="217" t="n"/>
      <c r="Z70" s="217">
        <f>SUM(Z63:Z69)</f>
        <v/>
      </c>
      <c r="AA70" s="217">
        <f>SUM(AA63:AA69)</f>
        <v/>
      </c>
      <c r="AB70" s="217" t="n"/>
      <c r="AC70" s="217" t="n"/>
      <c r="AD70" s="217" t="n"/>
      <c r="AE70" s="217" t="n"/>
      <c r="AF70" s="217" t="n"/>
      <c r="AG70" s="217" t="n"/>
      <c r="AH70" s="217" t="n"/>
      <c r="AI70" s="217" t="n"/>
      <c r="AJ70" s="217" t="n"/>
      <c r="AK70" s="217" t="n"/>
      <c r="AL70" s="204" t="n"/>
    </row>
    <row r="71" ht="14" customFormat="1" customHeight="1" s="180">
      <c r="A71" s="33" t="n"/>
      <c r="B71" s="199" t="n"/>
      <c r="C71" s="199" t="n"/>
      <c r="D71" s="218" t="inlineStr">
        <is>
          <t>（五）其他直接费</t>
        </is>
      </c>
      <c r="E71" s="212" t="n"/>
      <c r="F71" s="212" t="n"/>
      <c r="G71" s="212" t="n"/>
      <c r="H71" s="189" t="n"/>
      <c r="I71" s="189" t="n"/>
      <c r="J71" s="184" t="n">
        <v>0</v>
      </c>
      <c r="K71" s="201" t="n">
        <v>0</v>
      </c>
      <c r="L71" s="202">
        <f>J71-N71-P71</f>
        <v/>
      </c>
      <c r="M71" s="184" t="n"/>
      <c r="N71" s="184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203" t="n"/>
      <c r="AA71" s="203" t="n"/>
      <c r="AB71" s="203" t="n"/>
      <c r="AC71" s="203" t="n"/>
      <c r="AD71" s="203" t="n"/>
      <c r="AE71" s="203" t="n"/>
      <c r="AF71" s="203" t="n"/>
      <c r="AG71" s="203" t="n"/>
      <c r="AH71" s="203" t="n"/>
      <c r="AI71" s="203" t="n"/>
      <c r="AJ71" s="203" t="n"/>
      <c r="AK71" s="188" t="n"/>
      <c r="AL71" s="204" t="n"/>
    </row>
    <row r="72" ht="14" customFormat="1" customHeight="1" s="180">
      <c r="A72" s="206" t="n"/>
      <c r="B72" s="206" t="n"/>
      <c r="C72" s="207" t="n"/>
      <c r="D72" s="207" t="inlineStr">
        <is>
          <t>保险费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432696.64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其他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1154170.62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206" t="n"/>
      <c r="B74" s="206" t="n"/>
      <c r="C74" s="207" t="n"/>
      <c r="D74" s="207" t="inlineStr">
        <is>
          <t>检验试验费</t>
        </is>
      </c>
      <c r="E74" s="206" t="n"/>
      <c r="F74" s="206" t="n"/>
      <c r="G74" s="206" t="n"/>
      <c r="H74" s="206" t="n"/>
      <c r="I74" s="206" t="n"/>
      <c r="J74" s="206">
        <f>H74+I74</f>
        <v/>
      </c>
      <c r="K74" s="208" t="n"/>
      <c r="L74" s="209">
        <f>J74-K74</f>
        <v/>
      </c>
      <c r="M74" s="210" t="n">
        <v>704751.05</v>
      </c>
      <c r="N74" s="206" t="n"/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06" t="n"/>
      <c r="U74" s="206" t="n"/>
      <c r="V74" s="206" t="n"/>
    </row>
    <row r="75" ht="14" customFormat="1" customHeight="1" s="180">
      <c r="A75" s="33" t="n"/>
      <c r="B75" s="199" t="n"/>
      <c r="C75" s="199" t="n"/>
      <c r="D75" s="211" t="inlineStr">
        <is>
          <t>**财务未列部分需增列***</t>
        </is>
      </c>
      <c r="E75" s="212" t="n"/>
      <c r="F75" s="212" t="n"/>
      <c r="G75" s="212" t="n"/>
      <c r="H75" s="189" t="n"/>
      <c r="I75" s="189" t="n"/>
      <c r="J75" s="184" t="n"/>
      <c r="K75" s="201" t="n"/>
      <c r="L75" s="202">
        <f>J75-K75</f>
        <v/>
      </c>
      <c r="M75" s="234" t="n"/>
      <c r="N75" s="234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234" t="n"/>
      <c r="U75" s="234" t="n"/>
      <c r="V75" s="234" t="n"/>
      <c r="W75" s="234" t="n"/>
      <c r="X75" s="234" t="n"/>
      <c r="Y75" s="234" t="n"/>
      <c r="Z75" s="189">
        <f>SUM(AA46:AJ46)</f>
        <v/>
      </c>
      <c r="AA75" s="203" t="n"/>
      <c r="AB75" s="203" t="n"/>
      <c r="AC75" s="203" t="n"/>
      <c r="AD75" s="203" t="n"/>
      <c r="AE75" s="203" t="n"/>
      <c r="AF75" s="203" t="n"/>
      <c r="AG75" s="203" t="n"/>
      <c r="AH75" s="203" t="n"/>
      <c r="AI75" s="203" t="n"/>
      <c r="AJ75" s="203" t="n"/>
      <c r="AK75" s="188" t="n"/>
      <c r="AL75" s="204" t="n"/>
    </row>
    <row r="76" ht="14" customFormat="1" customHeight="1" s="180">
      <c r="A76" s="55" t="n"/>
      <c r="B76" s="235" t="n"/>
      <c r="C76" s="235" t="n"/>
      <c r="D76" s="231" t="inlineStr">
        <is>
          <t>其他直接费小计：</t>
        </is>
      </c>
      <c r="E76" s="236" t="n"/>
      <c r="F76" s="236" t="n"/>
      <c r="G76" s="236" t="n"/>
      <c r="H76" s="217">
        <f>SUM(H71:H75)</f>
        <v/>
      </c>
      <c r="I76" s="217">
        <f>SUM(I71:I75)</f>
        <v/>
      </c>
      <c r="J76" s="217">
        <f>SUM(J71:J75)</f>
        <v/>
      </c>
      <c r="K76" s="217">
        <f>SUM(K71:K75)</f>
        <v/>
      </c>
      <c r="L76" s="233">
        <f>SUM(L71:L75)</f>
        <v/>
      </c>
      <c r="M76" s="217">
        <f>SUM(M71:M75)</f>
        <v/>
      </c>
      <c r="N76" s="217">
        <f>SUM(N71:N75)</f>
        <v/>
      </c>
      <c r="O76" s="217">
        <f>L76-M76</f>
        <v/>
      </c>
      <c r="P76" s="217">
        <f>SUM(P71:P75)</f>
        <v/>
      </c>
      <c r="Q76" s="217">
        <f>M76+O76</f>
        <v/>
      </c>
      <c r="R76" s="217">
        <f>SUM(R71:R75)</f>
        <v/>
      </c>
      <c r="S76" s="217">
        <f>SUM(S71:S75)</f>
        <v/>
      </c>
      <c r="T76" s="217" t="n"/>
      <c r="U76" s="217" t="n"/>
      <c r="V76" s="217" t="n"/>
      <c r="W76" s="217" t="n"/>
      <c r="X76" s="217" t="n"/>
      <c r="Y76" s="217" t="n"/>
      <c r="Z76" s="217">
        <f>SUM(Z71:Z75)</f>
        <v/>
      </c>
      <c r="AA76" s="217">
        <f>SUM(AA71:AA75)</f>
        <v/>
      </c>
      <c r="AB76" s="217">
        <f>SUM(AB71:AB75)</f>
        <v/>
      </c>
      <c r="AC76" s="217">
        <f>SUM(AC71:AC75)</f>
        <v/>
      </c>
      <c r="AD76" s="217">
        <f>SUM(AD71:AD75)</f>
        <v/>
      </c>
      <c r="AE76" s="217">
        <f>SUM(AE71:AE75)</f>
        <v/>
      </c>
      <c r="AF76" s="217">
        <f>SUM(AF71:AF75)</f>
        <v/>
      </c>
      <c r="AG76" s="217" t="n"/>
      <c r="AH76" s="217" t="n"/>
      <c r="AI76" s="217">
        <f>SUM(AI71:AI75)</f>
        <v/>
      </c>
      <c r="AJ76" s="217">
        <f>SUM(AJ71:AJ75)</f>
        <v/>
      </c>
      <c r="AK76" s="217">
        <f>SUM(AK71:AK75)</f>
        <v/>
      </c>
      <c r="AL76" s="204" t="n"/>
    </row>
    <row r="77" ht="14" customFormat="1" customHeight="1" s="180">
      <c r="A77" s="33" t="n"/>
      <c r="B77" s="199" t="n"/>
      <c r="C77" s="199" t="n"/>
      <c r="D77" s="218" t="inlineStr">
        <is>
          <t>（六）间接费</t>
        </is>
      </c>
      <c r="E77" s="212" t="n"/>
      <c r="F77" s="212" t="n"/>
      <c r="G77" s="212" t="n"/>
      <c r="H77" s="184" t="n"/>
      <c r="I77" s="189" t="n"/>
      <c r="J77" s="189" t="n">
        <v>0</v>
      </c>
      <c r="K77" s="201" t="n">
        <v>0</v>
      </c>
      <c r="L77" s="202">
        <f>J77-N77-P77</f>
        <v/>
      </c>
      <c r="M77" s="184" t="n"/>
      <c r="N77" s="184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03" t="n"/>
      <c r="AC77" s="203" t="n"/>
      <c r="AD77" s="203" t="n"/>
      <c r="AE77" s="203" t="n"/>
      <c r="AF77" s="203" t="n"/>
      <c r="AG77" s="203" t="n"/>
      <c r="AH77" s="203" t="n"/>
      <c r="AI77" s="203" t="n"/>
      <c r="AJ77" s="203" t="n"/>
      <c r="AK77" s="188" t="n"/>
      <c r="AL77" s="204" t="n"/>
    </row>
    <row r="78" ht="14" customFormat="1" customHeight="1" s="180">
      <c r="A78" s="206" t="n"/>
      <c r="B78" s="206" t="n"/>
      <c r="C78" s="207" t="n"/>
      <c r="D78" s="207" t="inlineStr">
        <is>
          <t>企业年金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17742.24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住房公积金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354846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26" customFormat="1" customHeight="1" s="180">
      <c r="A80" s="206" t="n"/>
      <c r="B80" s="206" t="n"/>
      <c r="C80" s="207" t="n"/>
      <c r="D80" s="207" t="inlineStr">
        <is>
          <t>保安保洁费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85380.32000000001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180">
      <c r="A81" s="206" t="n"/>
      <c r="B81" s="206" t="n"/>
      <c r="C81" s="207" t="n"/>
      <c r="D81" s="207" t="inlineStr">
        <is>
          <t>修理费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45517.86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Format="1" customHeight="1" s="3">
      <c r="A82" s="206" t="n"/>
      <c r="B82" s="206" t="n"/>
      <c r="C82" s="207" t="n"/>
      <c r="D82" s="207" t="inlineStr">
        <is>
          <t>其他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35702.91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冲晒印刷费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141655.44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 ht="14" customHeight="1" s="159">
      <c r="A84" s="206" t="n"/>
      <c r="B84" s="206" t="n"/>
      <c r="C84" s="207" t="n"/>
      <c r="D84" s="207" t="inlineStr">
        <is>
          <t>办公用品费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342874.91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医疗保险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239686.83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基本养老保险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785587.66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境内差旅费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56605.13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失业保险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27374.29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工会经费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68528.91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工伤保险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41844.32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工资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6390165.85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市内交通费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249.88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律师费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24056.6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折旧费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8068.7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燃油费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61952.74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物业管理费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399120.24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生育保险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5673.75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社保及公积金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275511.16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租车费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18229.2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维修保养费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16244.86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网络使用费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127503.01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职工教育经费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35002.91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职工福利费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188522.63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补充医疗保险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2802.66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诉讼费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310729.56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路桥及停车费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40569.97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软件费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14454.72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通信费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35361.79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邮寄费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604.72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33" t="n"/>
      <c r="B110" s="199" t="n"/>
      <c r="C110" s="199" t="n"/>
      <c r="D110" s="211" t="inlineStr">
        <is>
          <t>**财务未列部分需增列***</t>
        </is>
      </c>
      <c r="E110" s="212" t="n"/>
      <c r="F110" s="212" t="n"/>
      <c r="G110" s="212" t="n"/>
      <c r="H110" s="234" t="n"/>
      <c r="I110" s="189" t="n"/>
      <c r="J110" s="234" t="n"/>
      <c r="K110" s="201" t="n"/>
      <c r="L110" s="202" t="n"/>
      <c r="M110" s="234" t="n"/>
      <c r="N110" s="189" t="n"/>
      <c r="O110" s="189">
        <f>L110-M110</f>
        <v/>
      </c>
      <c r="P110" s="189">
        <f>K110-N110</f>
        <v/>
      </c>
      <c r="Q110" s="189">
        <f>M110+O110</f>
        <v/>
      </c>
      <c r="R110" s="189">
        <f>M110+N110+O110+P110</f>
        <v/>
      </c>
      <c r="S110" s="203">
        <f>SUM(T110:V110)</f>
        <v/>
      </c>
      <c r="T110" s="234" t="n"/>
      <c r="U110" s="234" t="n"/>
      <c r="V110" s="234" t="n"/>
      <c r="W110" s="234" t="n"/>
      <c r="X110" s="234" t="n"/>
      <c r="Y110" s="234" t="n"/>
      <c r="Z110" s="234" t="n"/>
      <c r="AA110" s="203" t="n"/>
      <c r="AB110" s="188" t="n"/>
      <c r="AC110" s="188" t="n"/>
      <c r="AD110" s="188" t="n"/>
      <c r="AE110" s="188" t="n"/>
      <c r="AF110" s="188" t="n"/>
      <c r="AG110" s="188" t="n"/>
      <c r="AH110" s="188" t="n"/>
      <c r="AI110" s="188" t="n"/>
      <c r="AJ110" s="188" t="n"/>
      <c r="AK110" s="188" t="n"/>
      <c r="AL110" s="214" t="n"/>
    </row>
    <row r="111">
      <c r="A111" s="55" t="n"/>
      <c r="B111" s="235" t="n"/>
      <c r="C111" s="235" t="n"/>
      <c r="D111" s="231" t="inlineStr">
        <is>
          <t>间接费小计：</t>
        </is>
      </c>
      <c r="E111" s="236" t="n"/>
      <c r="F111" s="236" t="n"/>
      <c r="G111" s="236" t="n"/>
      <c r="H111" s="217">
        <f>SUM(H77:H110)</f>
        <v/>
      </c>
      <c r="I111" s="217">
        <f>SUM(I77:I110)</f>
        <v/>
      </c>
      <c r="J111" s="217">
        <f>SUM(J77:J110)</f>
        <v/>
      </c>
      <c r="K111" s="217">
        <f>SUM(K77:K110)</f>
        <v/>
      </c>
      <c r="L111" s="233">
        <f>SUM(L77:L110)</f>
        <v/>
      </c>
      <c r="M111" s="233">
        <f>SUM(M77:M110)</f>
        <v/>
      </c>
      <c r="N111" s="233">
        <f>SUM(N77:N110)</f>
        <v/>
      </c>
      <c r="O111" s="233">
        <f>SUM(O77:O110)</f>
        <v/>
      </c>
      <c r="P111" s="233">
        <f>SUM(P77:P110)</f>
        <v/>
      </c>
      <c r="Q111" s="233">
        <f>SUM(Q77:Q110)</f>
        <v/>
      </c>
      <c r="R111" s="233">
        <f>SUM(R77:R110)</f>
        <v/>
      </c>
      <c r="S111" s="233">
        <f>SUM(S77:S110)</f>
        <v/>
      </c>
      <c r="T111" s="233" t="n"/>
      <c r="U111" s="233" t="n"/>
      <c r="V111" s="233" t="n"/>
      <c r="W111" s="233" t="n"/>
      <c r="X111" s="233" t="n"/>
      <c r="Y111" s="233" t="n"/>
      <c r="Z111" s="233">
        <f>SUM(Z77:Z110)</f>
        <v/>
      </c>
      <c r="AA111" s="233">
        <f>SUM(AA77:AA110)</f>
        <v/>
      </c>
      <c r="AB111" s="233">
        <f>SUM(AB77:AB110)</f>
        <v/>
      </c>
      <c r="AC111" s="233">
        <f>SUM(AC77:AC110)</f>
        <v/>
      </c>
      <c r="AD111" s="233">
        <f>SUM(AD77:AD110)</f>
        <v/>
      </c>
      <c r="AE111" s="233">
        <f>SUM(AE77:AE110)</f>
        <v/>
      </c>
      <c r="AF111" s="233">
        <f>SUM(AF77:AF110)</f>
        <v/>
      </c>
      <c r="AG111" s="233" t="n"/>
      <c r="AH111" s="233" t="n"/>
      <c r="AI111" s="233">
        <f>SUM(AI77:AI110)</f>
        <v/>
      </c>
      <c r="AJ111" s="233">
        <f>SUM(AJ77:AJ110)</f>
        <v/>
      </c>
      <c r="AK111" s="233">
        <f>SUM(AK77:AK110)</f>
        <v/>
      </c>
      <c r="AL111" s="214" t="n"/>
    </row>
    <row r="112">
      <c r="A112" s="33" t="n"/>
      <c r="B112" s="199" t="n"/>
      <c r="C112" s="199" t="n"/>
      <c r="D112" s="218" t="inlineStr">
        <is>
          <t>（七）安全费</t>
        </is>
      </c>
      <c r="E112" s="212" t="n"/>
      <c r="F112" s="212" t="n"/>
      <c r="G112" s="212" t="n"/>
      <c r="H112" s="189" t="n"/>
      <c r="I112" s="189" t="n"/>
      <c r="J112" s="184" t="n">
        <v>0</v>
      </c>
      <c r="K112" s="237" t="n"/>
      <c r="L112" s="202">
        <f>J112-N112-P112</f>
        <v/>
      </c>
      <c r="M112" s="189" t="n"/>
      <c r="N112" s="189" t="n"/>
      <c r="O112" s="189">
        <f>L112-M112</f>
        <v/>
      </c>
      <c r="P112" s="189">
        <f>K112-N112</f>
        <v/>
      </c>
      <c r="Q112" s="189">
        <f>M112+O112</f>
        <v/>
      </c>
      <c r="R112" s="189">
        <f>M112+N112+O112+P112</f>
        <v/>
      </c>
      <c r="S112" s="203">
        <f>SUM(T112:V112)</f>
        <v/>
      </c>
      <c r="T112" s="234" t="n"/>
      <c r="U112" s="234" t="n"/>
      <c r="V112" s="234" t="n"/>
      <c r="W112" s="234" t="n"/>
      <c r="X112" s="234" t="n"/>
      <c r="Y112" s="234" t="n"/>
      <c r="Z112" s="230" t="n"/>
      <c r="AA112" s="203" t="n"/>
      <c r="AB112" s="188" t="n"/>
      <c r="AC112" s="188" t="n"/>
      <c r="AD112" s="188" t="n"/>
      <c r="AE112" s="188" t="n"/>
      <c r="AF112" s="188" t="n"/>
      <c r="AG112" s="188" t="n"/>
      <c r="AH112" s="188" t="n"/>
      <c r="AI112" s="188" t="n"/>
      <c r="AJ112" s="188" t="n"/>
      <c r="AK112" s="188" t="n"/>
      <c r="AL112" s="214" t="n"/>
    </row>
    <row r="113">
      <c r="A113" s="206" t="n"/>
      <c r="B113" s="206" t="n"/>
      <c r="C113" s="207" t="n"/>
      <c r="D113" s="207" t="inlineStr">
        <is>
          <t>分包工程支出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7404340.81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报销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162980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直接人工费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951309.41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55" t="n"/>
      <c r="B116" s="235" t="n"/>
      <c r="C116" s="235" t="n"/>
      <c r="D116" s="231" t="inlineStr">
        <is>
          <t>安全费小计：</t>
        </is>
      </c>
      <c r="E116" s="231" t="n"/>
      <c r="F116" s="231" t="n"/>
      <c r="G116" s="231" t="n"/>
      <c r="H116" s="217">
        <f>SUM(H112:H115)</f>
        <v/>
      </c>
      <c r="I116" s="217">
        <f>SUM(I112:I115)</f>
        <v/>
      </c>
      <c r="J116" s="217" t="n">
        <v>0</v>
      </c>
      <c r="K116" s="217" t="n">
        <v>0</v>
      </c>
      <c r="L116" s="202">
        <f>J116-K116</f>
        <v/>
      </c>
      <c r="M116" s="238" t="n"/>
      <c r="N116" s="238" t="n"/>
      <c r="O116" s="233">
        <f>SUM(O112:O115)</f>
        <v/>
      </c>
      <c r="P116" s="233">
        <f>SUM(P112:P115)</f>
        <v/>
      </c>
      <c r="Q116" s="233">
        <f>SUM(Q112:Q115)</f>
        <v/>
      </c>
      <c r="R116" s="233">
        <f>SUM(R112:R115)</f>
        <v/>
      </c>
      <c r="S116" s="233">
        <f>SUM(S112:S115)</f>
        <v/>
      </c>
      <c r="T116" s="238" t="n"/>
      <c r="U116" s="238" t="n"/>
      <c r="V116" s="238" t="n"/>
      <c r="W116" s="238" t="n"/>
      <c r="X116" s="238" t="n"/>
      <c r="Y116" s="238" t="n"/>
      <c r="Z116" s="238" t="n"/>
      <c r="AA116" s="238">
        <f>SUM(AA112:AA115)</f>
        <v/>
      </c>
      <c r="AB116" s="238">
        <f>SUM(AB112:AB115)</f>
        <v/>
      </c>
      <c r="AC116" s="238">
        <f>SUM(AC112:AC115)</f>
        <v/>
      </c>
      <c r="AD116" s="238">
        <f>SUM(AD112:AD115)</f>
        <v/>
      </c>
      <c r="AE116" s="238">
        <f>SUM(AE112:AE115)</f>
        <v/>
      </c>
      <c r="AF116" s="238">
        <f>SUM(AF112:AF115)</f>
        <v/>
      </c>
      <c r="AG116" s="238" t="n"/>
      <c r="AH116" s="238" t="n"/>
      <c r="AI116" s="238">
        <f>SUM(AI112:AI115)</f>
        <v/>
      </c>
      <c r="AJ116" s="238">
        <f>SUM(AJ112:AJ115)</f>
        <v/>
      </c>
      <c r="AK116" s="238">
        <f>SUM(AK112:AK115)</f>
        <v/>
      </c>
      <c r="AL116" s="239" t="n"/>
    </row>
    <row r="117">
      <c r="A117" s="55" t="n"/>
      <c r="B117" s="235" t="n"/>
      <c r="C117" s="235" t="n"/>
      <c r="D117" s="231" t="inlineStr">
        <is>
          <t>三、成本合计：</t>
        </is>
      </c>
      <c r="E117" s="236" t="n"/>
      <c r="F117" s="236" t="n"/>
      <c r="G117" s="236" t="n"/>
      <c r="H117" s="217">
        <f>H21+H33+H62+H70+H76+H111+H116</f>
        <v/>
      </c>
      <c r="I117" s="217">
        <f>I21+I33+I62+I70+I76+I111+I116</f>
        <v/>
      </c>
      <c r="J117" s="217">
        <f>J21+J33+J62+J70+J76+J111+J116</f>
        <v/>
      </c>
      <c r="K117" s="217">
        <f>K21+K33+K62+K70+K76+K111+K116</f>
        <v/>
      </c>
      <c r="L117" s="233">
        <f>L21+L33+L62+L70+L76+L111+L116</f>
        <v/>
      </c>
      <c r="M117" s="238">
        <f>M21+M33+M62+M70+M76+M111+M116</f>
        <v/>
      </c>
      <c r="N117" s="238">
        <f>N21+N33+N62+N70+N76+N111+N116</f>
        <v/>
      </c>
      <c r="O117" s="238">
        <f>O21+O33+O62+O70+O76+O111+O116</f>
        <v/>
      </c>
      <c r="P117" s="238">
        <f>P21+P33+P62+P70+P76+P111+P116</f>
        <v/>
      </c>
      <c r="Q117" s="238">
        <f>Q21+Q33+Q62+Q70+Q76+Q111+Q116</f>
        <v/>
      </c>
      <c r="R117" s="238">
        <f>R21+R33+R62+R70+R76+R111+R116</f>
        <v/>
      </c>
      <c r="S117" s="238">
        <f>S21+S33+S62+S70+S76+S111+S116</f>
        <v/>
      </c>
      <c r="T117" s="238" t="n"/>
      <c r="U117" s="238" t="n"/>
      <c r="V117" s="238" t="n"/>
      <c r="W117" s="238" t="n"/>
      <c r="X117" s="238" t="n"/>
      <c r="Y117" s="238" t="n"/>
      <c r="Z117" s="238">
        <f>Z21+Z33+Z62+Z70+Z76+Z111+Z116</f>
        <v/>
      </c>
      <c r="AA117" s="238">
        <f>AA21+AA33+AA62+AA70+AA76+AA111+AA116</f>
        <v/>
      </c>
      <c r="AB117" s="238">
        <f>AB21+AB33+AB62+AB70+AB76+AB111+AB116</f>
        <v/>
      </c>
      <c r="AC117" s="238">
        <f>AC21+AC33+AC62+AC70+AC76+AC111+AC116</f>
        <v/>
      </c>
      <c r="AD117" s="238">
        <f>AD21+AD33+AD62+AD70+AD76+AD111+AD116</f>
        <v/>
      </c>
      <c r="AE117" s="238">
        <f>AE21+AE33+AE62+AE70+AE76+AE111+AE116</f>
        <v/>
      </c>
      <c r="AF117" s="238">
        <f>AF21+AF33+AF62+AF70+AF76+AF111+AF116</f>
        <v/>
      </c>
      <c r="AG117" s="238" t="n"/>
      <c r="AH117" s="238" t="n"/>
      <c r="AI117" s="238">
        <f>AI21+AI33+AI62+AI70+AI76+AI111+AI116</f>
        <v/>
      </c>
      <c r="AJ117" s="238">
        <f>AJ21+AJ33+AJ62+AJ70+AJ76+AJ111+AJ116</f>
        <v/>
      </c>
      <c r="AK117" s="238">
        <f>AK21+AK33+AK62+AK70+AK76+AK111+AK116</f>
        <v/>
      </c>
      <c r="AL117" s="239" t="n"/>
    </row>
    <row r="118">
      <c r="A118" s="33" t="n"/>
      <c r="B118" s="199" t="n"/>
      <c r="C118" s="199" t="n"/>
      <c r="D118" s="218" t="inlineStr">
        <is>
          <t>四、计提保修金</t>
        </is>
      </c>
      <c r="E118" s="240" t="inlineStr">
        <is>
          <t>（在建：房建0.6%，其它0.4%；在保修期间的按0.3~0.5%自行确定;保修期结束为0）</t>
        </is>
      </c>
      <c r="F118" s="240" t="n"/>
      <c r="G118" s="240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>
        <f>Q70-S70</f>
        <v/>
      </c>
      <c r="AB118" s="241" t="n"/>
      <c r="AC118" s="241" t="n"/>
      <c r="AD118" s="241" t="n"/>
      <c r="AE118" s="241" t="n"/>
      <c r="AF118" s="241" t="n"/>
      <c r="AG118" s="241" t="n"/>
      <c r="AH118" s="241" t="n"/>
      <c r="AI118" s="241" t="n"/>
      <c r="AJ118" s="241" t="n"/>
      <c r="AK118" s="188" t="n"/>
      <c r="AL118" s="239" t="n"/>
    </row>
    <row r="119">
      <c r="A119" s="33" t="n"/>
      <c r="B119" s="199" t="n"/>
      <c r="C119" s="199" t="n"/>
      <c r="D119" s="218" t="inlineStr">
        <is>
          <t>五、过程节点奖金</t>
        </is>
      </c>
      <c r="E119" s="212" t="n"/>
      <c r="F119" s="212" t="n"/>
      <c r="G119" s="212" t="n"/>
      <c r="H119" s="184" t="n"/>
      <c r="I119" s="184" t="n"/>
      <c r="J119" s="184">
        <f>H119+I119</f>
        <v/>
      </c>
      <c r="K119" s="184" t="n"/>
      <c r="L119" s="202">
        <f>J119-K119</f>
        <v/>
      </c>
      <c r="M119" s="189" t="n"/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六、资金占用费用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223" t="n">
        <v>762837.87</v>
      </c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33" t="n"/>
      <c r="B121" s="199" t="n"/>
      <c r="C121" s="199" t="n"/>
      <c r="D121" s="218" t="inlineStr">
        <is>
          <t>七、局投资收益（局投资项目选填）</t>
        </is>
      </c>
      <c r="E121" s="212" t="n"/>
      <c r="F121" s="212" t="n"/>
      <c r="G121" s="212" t="n"/>
      <c r="H121" s="189" t="n"/>
      <c r="I121" s="189" t="n"/>
      <c r="J121" s="184">
        <f>H121+I121</f>
        <v/>
      </c>
      <c r="K121" s="189" t="n"/>
      <c r="L121" s="202">
        <f>J121-K121</f>
        <v/>
      </c>
      <c r="M121" s="189" t="n"/>
      <c r="N121" s="189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188" t="n"/>
      <c r="AC121" s="188" t="n"/>
      <c r="AD121" s="188" t="n"/>
      <c r="AE121" s="188" t="n"/>
      <c r="AF121" s="188" t="n"/>
      <c r="AG121" s="188" t="n"/>
      <c r="AH121" s="188" t="n"/>
      <c r="AI121" s="188" t="n"/>
      <c r="AJ121" s="188" t="n"/>
      <c r="AK121" s="188" t="n"/>
      <c r="AL121" s="214" t="n"/>
    </row>
    <row r="122">
      <c r="A122" s="55" t="n"/>
      <c r="B122" s="235" t="n"/>
      <c r="C122" s="235" t="n"/>
      <c r="D122" s="231" t="inlineStr">
        <is>
          <t>八、研发费用</t>
        </is>
      </c>
      <c r="E122" s="236" t="n"/>
      <c r="F122" s="236" t="n"/>
      <c r="G122" s="236" t="n"/>
      <c r="H122" s="217" t="n"/>
      <c r="I122" s="217" t="n"/>
      <c r="J122" s="217">
        <f>H122+I122</f>
        <v/>
      </c>
      <c r="K122" s="217" t="n"/>
      <c r="L122" s="233">
        <f>J122-K122</f>
        <v/>
      </c>
      <c r="M122" s="238">
        <f>SUM(M75:M77)</f>
        <v/>
      </c>
      <c r="N122" s="238">
        <f>SUM(N75:N77)</f>
        <v/>
      </c>
      <c r="O122" s="238">
        <f>SUM(O75:O77)</f>
        <v/>
      </c>
      <c r="P122" s="238">
        <f>SUM(P75:P77)</f>
        <v/>
      </c>
      <c r="Q122" s="238">
        <f>SUM(Q75:Q77)</f>
        <v/>
      </c>
      <c r="R122" s="238">
        <f>SUM(R75:R77)</f>
        <v/>
      </c>
      <c r="S122" s="238">
        <f>SUM(S75:S77)</f>
        <v/>
      </c>
      <c r="T122" s="238">
        <f>SUM(T75:T77)</f>
        <v/>
      </c>
      <c r="U122" s="238">
        <f>SUM(U75:U77)</f>
        <v/>
      </c>
      <c r="V122" s="238">
        <f>SUM(V75:V77)</f>
        <v/>
      </c>
      <c r="W122" s="238">
        <f>SUM(W75:W77)</f>
        <v/>
      </c>
      <c r="X122" s="238">
        <f>SUM(X75:X77)</f>
        <v/>
      </c>
      <c r="Y122" s="238">
        <f>SUM(Y75:Y77)</f>
        <v/>
      </c>
      <c r="Z122" s="238">
        <f>SUM(Z75:Z77)</f>
        <v/>
      </c>
      <c r="AA122" s="238">
        <f>SUM(AA75:AA77)</f>
        <v/>
      </c>
      <c r="AB122" s="238">
        <f>SUM(AB75:AB77)</f>
        <v/>
      </c>
      <c r="AC122" s="238">
        <f>SUM(AC75:AC77)</f>
        <v/>
      </c>
      <c r="AD122" s="238">
        <f>SUM(AD75:AD77)</f>
        <v/>
      </c>
      <c r="AE122" s="238">
        <f>SUM(AE75:AE77)</f>
        <v/>
      </c>
      <c r="AF122" s="238">
        <f>SUM(AF75:AF77)</f>
        <v/>
      </c>
      <c r="AG122" s="238">
        <f>SUM(AG75:AG77)</f>
        <v/>
      </c>
      <c r="AH122" s="238">
        <f>SUM(AH75:AH77)</f>
        <v/>
      </c>
      <c r="AI122" s="238">
        <f>SUM(AI75:AI77)</f>
        <v/>
      </c>
      <c r="AJ122" s="238">
        <f>SUM(AJ75:AJ77)</f>
        <v/>
      </c>
      <c r="AK122" s="238">
        <f>SUM(AK75:AK77)</f>
        <v/>
      </c>
      <c r="AL122" s="239" t="n"/>
    </row>
    <row r="123">
      <c r="A123" s="209" t="n"/>
      <c r="B123" s="209" t="n"/>
      <c r="C123" s="242" t="n"/>
      <c r="D123" s="242" t="inlineStr">
        <is>
          <t>材料费</t>
        </is>
      </c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43" t="n">
        <v>3926272.64</v>
      </c>
      <c r="N123" s="244" t="n"/>
      <c r="O123" s="244">
        <f>L123-M123</f>
        <v/>
      </c>
      <c r="P123" s="244">
        <f>K123-N123</f>
        <v/>
      </c>
      <c r="Q123" s="244">
        <f>M123+O123</f>
        <v/>
      </c>
      <c r="R123" s="244">
        <f>M123+N123+O123+P123</f>
        <v/>
      </c>
      <c r="S123" s="244" t="n"/>
      <c r="T123" s="244" t="n"/>
      <c r="U123" s="244" t="n"/>
      <c r="V123" s="244" t="n"/>
    </row>
    <row r="124">
      <c r="A124" s="33" t="n"/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>
        <f>H124+I124</f>
        <v/>
      </c>
      <c r="K124" s="189" t="n"/>
      <c r="L124" s="202">
        <f>J124-K124</f>
        <v/>
      </c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/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33" t="n"/>
      <c r="B126" s="199" t="n"/>
      <c r="C126" s="199" t="n"/>
      <c r="D126" s="218" t="n"/>
      <c r="E126" s="212" t="n"/>
      <c r="F126" s="212" t="n"/>
      <c r="G126" s="212" t="n"/>
      <c r="H126" s="189" t="n"/>
      <c r="I126" s="189" t="n"/>
      <c r="J126" s="184" t="n"/>
      <c r="K126" s="189" t="n"/>
      <c r="L126" s="202" t="n"/>
      <c r="M126" s="189" t="n"/>
      <c r="N126" s="189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03" t="n"/>
      <c r="U126" s="203" t="n"/>
      <c r="V126" s="203" t="n"/>
      <c r="W126" s="203" t="n"/>
      <c r="X126" s="203" t="n"/>
      <c r="Y126" s="203" t="n"/>
      <c r="Z126" s="203" t="n"/>
      <c r="AA126" s="203" t="n"/>
      <c r="AB126" s="188" t="n"/>
      <c r="AC126" s="188" t="n"/>
      <c r="AD126" s="188" t="n"/>
      <c r="AE126" s="188" t="n"/>
      <c r="AF126" s="188" t="n"/>
      <c r="AG126" s="188" t="n"/>
      <c r="AH126" s="188" t="n"/>
      <c r="AI126" s="188" t="n"/>
      <c r="AJ126" s="188" t="n"/>
      <c r="AK126" s="188" t="n"/>
      <c r="AL126" s="214" t="n"/>
    </row>
    <row r="127">
      <c r="A127" s="41" t="n"/>
      <c r="B127" s="215" t="n"/>
      <c r="C127" s="215" t="n"/>
      <c r="D127" s="231" t="inlineStr">
        <is>
          <t>九、成本及费用合计（三+四+五+六+七）</t>
        </is>
      </c>
      <c r="E127" s="232" t="n"/>
      <c r="F127" s="232" t="n"/>
      <c r="G127" s="232" t="n"/>
      <c r="H127" s="217">
        <f>H69+H70+H71+H72+#REF!</f>
        <v/>
      </c>
      <c r="I127" s="217">
        <f>I69+I70+I71+I72+#REF!</f>
        <v/>
      </c>
      <c r="J127" s="245">
        <f>J69+J70+J71+J72+#REF!</f>
        <v/>
      </c>
      <c r="K127" s="217">
        <f>K69+K70+K71+K72+#REF!</f>
        <v/>
      </c>
      <c r="L127" s="246">
        <f>L69+L70+L71+L72+#REF!</f>
        <v/>
      </c>
      <c r="M127" s="246">
        <f>M69+M70+M71+M72</f>
        <v/>
      </c>
      <c r="N127" s="246">
        <f>N69+N70+N71+N72</f>
        <v/>
      </c>
      <c r="O127" s="246">
        <f>O69+O70+O71+O72</f>
        <v/>
      </c>
      <c r="P127" s="246">
        <f>P69+P70+P71+P72</f>
        <v/>
      </c>
      <c r="Q127" s="246">
        <f>Q69+Q70+Q71+Q72</f>
        <v/>
      </c>
      <c r="R127" s="246">
        <f>R69+R70+R71+R72</f>
        <v/>
      </c>
      <c r="S127" s="238">
        <f>S69+S70+S71+S72</f>
        <v/>
      </c>
      <c r="T127" s="238" t="n"/>
      <c r="U127" s="238" t="n"/>
      <c r="V127" s="238" t="n"/>
      <c r="W127" s="238" t="n"/>
      <c r="X127" s="238" t="n"/>
      <c r="Y127" s="238" t="n"/>
      <c r="Z127" s="238">
        <f>Z69+Z70+Z71+Z72</f>
        <v/>
      </c>
      <c r="AA127" s="238">
        <f>AA69+AA70+AA71+AA72</f>
        <v/>
      </c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十、增值税实际税负（按财务数据）</t>
        </is>
      </c>
      <c r="E128" s="232" t="inlineStr">
        <is>
          <t>根据财务账面实际已缴纳增值税额+尚需缴纳的增值税额</t>
        </is>
      </c>
      <c r="F128" s="232" t="n"/>
      <c r="G128" s="232" t="n"/>
      <c r="H128" s="217" t="n"/>
      <c r="I128" s="217" t="n"/>
      <c r="J128" s="245">
        <f>H79+I79</f>
        <v/>
      </c>
      <c r="K128" s="217" t="inlineStr">
        <is>
          <t>/</t>
        </is>
      </c>
      <c r="L128" s="246" t="inlineStr">
        <is>
          <t>/</t>
        </is>
      </c>
      <c r="M128" s="246" t="n"/>
      <c r="N128" s="246">
        <f>N6-N78</f>
        <v/>
      </c>
      <c r="O128" s="246" t="n"/>
      <c r="P128" s="246" t="n"/>
      <c r="Q128" s="246" t="inlineStr">
        <is>
          <t>/</t>
        </is>
      </c>
      <c r="R128" s="246">
        <f>N79+P79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十一、税金及附加（按财务数据）</t>
        </is>
      </c>
      <c r="E129" s="232" t="inlineStr">
        <is>
          <t>根据财务账面实际已缴纳税金及附加+尚需缴纳的税金及附加</t>
        </is>
      </c>
      <c r="F129" s="232" t="n"/>
      <c r="G129" s="232" t="n"/>
      <c r="H129" s="217" t="n"/>
      <c r="I129" s="217" t="n"/>
      <c r="J129" s="245">
        <f>H80+I80</f>
        <v/>
      </c>
      <c r="K129" s="217" t="n"/>
      <c r="L129" s="246">
        <f>J80</f>
        <v/>
      </c>
      <c r="M129" s="250" t="n">
        <v>260389.37</v>
      </c>
      <c r="N129" s="246" t="n"/>
      <c r="O129" s="246">
        <f>L80-M80</f>
        <v/>
      </c>
      <c r="P129" s="246" t="n"/>
      <c r="Q129" s="246">
        <f>M80+O80</f>
        <v/>
      </c>
      <c r="R129" s="246">
        <f>Q80</f>
        <v/>
      </c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41" t="n"/>
      <c r="B130" s="215" t="n"/>
      <c r="C130" s="215" t="n"/>
      <c r="D130" s="231" t="inlineStr">
        <is>
          <t>十二、利润</t>
        </is>
      </c>
      <c r="E130" s="232" t="n"/>
      <c r="F130" s="232" t="n"/>
      <c r="G130" s="232" t="n"/>
      <c r="H130" s="217" t="n"/>
      <c r="I130" s="217" t="n"/>
      <c r="J130" s="245">
        <f>J6-J78-J79-J80</f>
        <v/>
      </c>
      <c r="K130" s="217" t="n"/>
      <c r="L130" s="246" t="n"/>
      <c r="M130" s="246" t="n"/>
      <c r="N130" s="246" t="n"/>
      <c r="O130" s="246" t="n"/>
      <c r="P130" s="246" t="n"/>
      <c r="Q130" s="246" t="n"/>
      <c r="R130" s="246" t="n"/>
      <c r="S130" s="238" t="n"/>
      <c r="T130" s="238" t="n"/>
      <c r="U130" s="238" t="n"/>
      <c r="V130" s="238" t="n"/>
      <c r="W130" s="238" t="n"/>
      <c r="X130" s="238" t="n"/>
      <c r="Y130" s="238" t="n"/>
      <c r="Z130" s="238" t="n"/>
      <c r="AA130" s="238" t="n"/>
      <c r="AB130" s="247" t="n"/>
      <c r="AC130" s="247" t="n"/>
      <c r="AD130" s="247" t="n"/>
      <c r="AE130" s="247" t="n"/>
      <c r="AF130" s="247" t="n"/>
      <c r="AG130" s="247" t="n"/>
      <c r="AH130" s="247" t="n"/>
      <c r="AI130" s="247" t="n"/>
      <c r="AJ130" s="247" t="n"/>
      <c r="AK130" s="248" t="n"/>
      <c r="AL130" s="249" t="n"/>
    </row>
    <row r="131">
      <c r="A131" s="105" t="n"/>
      <c r="B131" s="106" t="n"/>
      <c r="C131" s="106" t="n"/>
      <c r="D131" s="107" t="inlineStr">
        <is>
          <t>十三、利润率</t>
        </is>
      </c>
      <c r="E131" s="108" t="n"/>
      <c r="F131" s="108" t="n"/>
      <c r="G131" s="108" t="n"/>
      <c r="H131" s="109" t="n"/>
      <c r="I131" s="109" t="n"/>
      <c r="J131" s="109">
        <f>J81/J6</f>
        <v/>
      </c>
      <c r="K131" s="109" t="n"/>
      <c r="L131" s="127">
        <f>L81/L6</f>
        <v/>
      </c>
      <c r="M131" s="127">
        <f>M81/M6</f>
        <v/>
      </c>
      <c r="N131" s="127" t="n"/>
      <c r="O131" s="127" t="n"/>
      <c r="P131" s="127" t="n"/>
      <c r="Q131" s="127">
        <f>Q81/Q6</f>
        <v/>
      </c>
      <c r="R131" s="127">
        <f>R81/R6</f>
        <v/>
      </c>
      <c r="S131" s="142" t="n"/>
      <c r="T131" s="142" t="n"/>
      <c r="U131" s="142" t="n"/>
      <c r="V131" s="142" t="n"/>
      <c r="W131" s="142" t="n"/>
      <c r="X131" s="142" t="n"/>
      <c r="Y131" s="142" t="n"/>
      <c r="Z131" s="142" t="n"/>
      <c r="AA131" s="142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54" t="n"/>
      <c r="AL131" s="155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2" t="inlineStr">
        <is>
          <t>含税利润率</t>
        </is>
      </c>
      <c r="K132" s="253" t="n"/>
      <c r="L132" s="254" t="inlineStr">
        <is>
          <t>不含税利润率</t>
        </is>
      </c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1" t="n"/>
      <c r="B133" s="111" t="n"/>
      <c r="C133" s="111" t="n"/>
      <c r="D133" s="112" t="n"/>
      <c r="E133" s="113" t="n"/>
      <c r="F133" s="113" t="n"/>
      <c r="G133" s="113" t="n"/>
      <c r="H133" s="251" t="n"/>
      <c r="I133" s="251" t="n"/>
      <c r="J133" s="258" t="n"/>
      <c r="K133" s="251" t="n"/>
      <c r="L133" s="259" t="n"/>
      <c r="M133" s="255" t="n"/>
      <c r="N133" s="255" t="n"/>
      <c r="O133" s="255" t="n"/>
      <c r="P133" s="255" t="n"/>
      <c r="Q133" s="255" t="n"/>
      <c r="R133" s="255" t="n"/>
      <c r="S133" s="255" t="n"/>
      <c r="T133" s="255" t="n"/>
      <c r="U133" s="255" t="n"/>
      <c r="V133" s="255" t="n"/>
      <c r="W133" s="255" t="n"/>
      <c r="X133" s="255" t="n"/>
      <c r="Y133" s="255" t="n"/>
      <c r="Z133" s="256" t="n"/>
      <c r="AA133" s="162" t="n"/>
      <c r="AB133" s="257" t="n"/>
      <c r="AC133" s="257" t="n"/>
      <c r="AD133" s="257" t="n"/>
      <c r="AE133" s="257" t="n"/>
      <c r="AF133" s="257" t="n"/>
      <c r="AG133" s="257" t="n"/>
      <c r="AH133" s="257" t="n"/>
      <c r="AI133" s="257" t="n"/>
      <c r="AJ133" s="257" t="n"/>
      <c r="AK133" s="257" t="n"/>
      <c r="AL133" s="156" t="n"/>
    </row>
    <row r="134">
      <c r="A134" s="116" t="n"/>
      <c r="B134" s="116" t="n"/>
      <c r="C134" s="116" t="n"/>
      <c r="D134" s="117" t="n"/>
      <c r="E134" s="118" t="n"/>
      <c r="F134" s="118" t="n"/>
      <c r="G134" s="118" t="n"/>
      <c r="H134" s="119" t="n"/>
      <c r="I134" s="119" t="n"/>
      <c r="J134" s="134" t="n"/>
      <c r="K134" s="260" t="n"/>
      <c r="L134" s="260" t="n"/>
      <c r="M134" s="261" t="n"/>
      <c r="N134" s="260" t="n"/>
      <c r="O134" s="260" t="n"/>
      <c r="P134" s="262" t="n"/>
      <c r="Q134" s="262" t="n"/>
      <c r="R134" s="260" t="n"/>
      <c r="S134" s="263" t="n"/>
      <c r="T134" s="263" t="n"/>
      <c r="U134" s="263" t="n"/>
      <c r="V134" s="263" t="n"/>
      <c r="W134" s="263" t="n"/>
      <c r="X134" s="263" t="n"/>
      <c r="Y134" s="263" t="n"/>
      <c r="Z134" s="264" t="n"/>
      <c r="AA134" s="265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2" t="n"/>
      <c r="F136" s="122" t="n"/>
      <c r="G136" s="122" t="n"/>
      <c r="H136" s="122" t="n"/>
      <c r="I136" s="122" t="n"/>
      <c r="J136" s="122" t="n"/>
      <c r="K136" s="267" t="n"/>
      <c r="L136" s="122" t="n"/>
      <c r="M136" s="268" t="n"/>
      <c r="N136" s="268" t="n"/>
      <c r="O136" s="268" t="n"/>
      <c r="P136" s="268" t="n"/>
      <c r="Q136" s="268" t="n"/>
      <c r="R136" s="268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  <row r="137">
      <c r="A137" s="121" t="n"/>
      <c r="B137" s="121" t="n"/>
      <c r="C137" s="121" t="n"/>
      <c r="D137" s="121" t="n"/>
      <c r="E137" s="123" t="n"/>
      <c r="F137" s="123" t="n"/>
      <c r="G137" s="123" t="n"/>
      <c r="H137" s="122" t="n"/>
      <c r="I137" s="122" t="n"/>
      <c r="J137" s="122" t="n"/>
      <c r="K137" s="123" t="n"/>
      <c r="L137" s="122" t="n"/>
      <c r="M137" s="268" t="n"/>
      <c r="N137" s="264" t="n"/>
      <c r="O137" s="268" t="n"/>
      <c r="P137" s="268" t="n"/>
      <c r="Q137" s="268" t="n"/>
      <c r="R137" s="260" t="n"/>
      <c r="S137" s="263" t="n"/>
      <c r="T137" s="263" t="n"/>
      <c r="U137" s="263" t="n"/>
      <c r="V137" s="263" t="n"/>
      <c r="W137" s="263" t="n"/>
      <c r="X137" s="263" t="n"/>
      <c r="Y137" s="263" t="n"/>
      <c r="Z137" s="268" t="n"/>
      <c r="AA137" s="266" t="n"/>
      <c r="AB137" s="266" t="n"/>
      <c r="AC137" s="266" t="n"/>
      <c r="AD137" s="266" t="n"/>
      <c r="AE137" s="266" t="n"/>
      <c r="AF137" s="266" t="n"/>
      <c r="AG137" s="266" t="n"/>
      <c r="AH137" s="266" t="n"/>
      <c r="AI137" s="266" t="n"/>
      <c r="AJ137" s="266" t="n"/>
      <c r="AK137" s="266" t="n"/>
      <c r="AL137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2026-04-19T16:00:11Z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