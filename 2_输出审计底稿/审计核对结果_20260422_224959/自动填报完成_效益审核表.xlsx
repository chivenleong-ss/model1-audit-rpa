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1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44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17996069.15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33" t="n"/>
      <c r="B117" s="199" t="n"/>
      <c r="C117" s="199" t="n"/>
      <c r="D117" s="218" t="inlineStr">
        <is>
          <t>材料调入</t>
        </is>
      </c>
      <c r="E117" s="199" t="n"/>
      <c r="F117" s="199" t="n"/>
      <c r="G117" s="199" t="n"/>
      <c r="H117" s="189" t="n"/>
      <c r="I117" s="189" t="n"/>
      <c r="J117" s="189" t="n"/>
      <c r="K117" s="201" t="n"/>
      <c r="L117" s="202" t="n"/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189">
        <f>SUM(AA30:AJ30)</f>
        <v/>
      </c>
      <c r="AA117" s="203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188">
        <f>AB30/1.17*0.17+AC30/1.16*0.16+AD30/1.11*0.11+AE30/1.1*0.1+AF30/1.09*0.09+AI30/1.03*0.03</f>
        <v/>
      </c>
      <c r="AL117" s="221" t="n"/>
    </row>
    <row r="118">
      <c r="A118" s="33" t="n">
        <v>46</v>
      </c>
      <c r="B118" s="199" t="n"/>
      <c r="C118" s="199" t="n"/>
      <c r="D118" s="218" t="inlineStr">
        <is>
          <t>材料调出（注：负数填报）</t>
        </is>
      </c>
      <c r="E118" s="223" t="n"/>
      <c r="F118" s="223" t="n"/>
      <c r="G118" s="223" t="n"/>
      <c r="H118" s="224" t="n"/>
      <c r="I118" s="224" t="n"/>
      <c r="J118" s="189" t="n"/>
      <c r="K118" s="201" t="n"/>
      <c r="L118" s="202" t="n"/>
      <c r="M118" s="225" t="n">
        <v>-8003517.42</v>
      </c>
      <c r="N118" s="224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24" t="n"/>
      <c r="U118" s="224" t="n"/>
      <c r="V118" s="224" t="n"/>
      <c r="W118" s="224" t="n"/>
      <c r="X118" s="224" t="n"/>
      <c r="Y118" s="224" t="n"/>
      <c r="Z118" s="189">
        <f>SUM(AA31:AJ31)</f>
        <v/>
      </c>
      <c r="AA118" s="224" t="n"/>
      <c r="AB118" s="226" t="n"/>
      <c r="AC118" s="226" t="n"/>
      <c r="AD118" s="226" t="n"/>
      <c r="AE118" s="226" t="n"/>
      <c r="AF118" s="226" t="n"/>
      <c r="AG118" s="226" t="n"/>
      <c r="AH118" s="226" t="n"/>
      <c r="AI118" s="226" t="n"/>
      <c r="AJ118" s="226" t="n"/>
      <c r="AK118" s="188">
        <f>AB31/1.17*0.17+AC31/1.16*0.16+AD31/1.11*0.11+AE31/1.1*0.1+AF31/1.09*0.09+AI31/1.03*0.03</f>
        <v/>
      </c>
      <c r="AL118" s="227" t="n"/>
    </row>
    <row r="119">
      <c r="A119" s="33" t="n"/>
      <c r="B119" s="199" t="n"/>
      <c r="C119" s="199" t="n"/>
      <c r="D119" s="218" t="inlineStr">
        <is>
          <t>材料库存（注：项目已结算未使用材料冲减项目成本，负数填报）</t>
        </is>
      </c>
      <c r="E119" s="223" t="n"/>
      <c r="F119" s="223" t="n"/>
      <c r="G119" s="223" t="n"/>
      <c r="H119" s="224" t="n"/>
      <c r="I119" s="224" t="n"/>
      <c r="J119" s="189" t="n"/>
      <c r="K119" s="201" t="n"/>
      <c r="L119" s="202" t="n"/>
      <c r="M119" s="224" t="n"/>
      <c r="N119" s="224" t="n"/>
      <c r="O119" s="189" t="n"/>
      <c r="P119" s="189" t="n"/>
      <c r="Q119" s="189" t="n"/>
      <c r="R119" s="189" t="n"/>
      <c r="S119" s="203" t="n"/>
      <c r="T119" s="224" t="n"/>
      <c r="U119" s="224" t="n"/>
      <c r="V119" s="224" t="n"/>
      <c r="W119" s="224" t="n"/>
      <c r="X119" s="224" t="n"/>
      <c r="Y119" s="224" t="n"/>
      <c r="Z119" s="189" t="n"/>
      <c r="AA119" s="224" t="n"/>
      <c r="AB119" s="226" t="n"/>
      <c r="AC119" s="226" t="n"/>
      <c r="AD119" s="226" t="n"/>
      <c r="AE119" s="226" t="n"/>
      <c r="AF119" s="226" t="n"/>
      <c r="AG119" s="226" t="n"/>
      <c r="AH119" s="226" t="n"/>
      <c r="AI119" s="226" t="n"/>
      <c r="AJ119" s="226" t="n"/>
      <c r="AK119" s="188" t="n"/>
      <c r="AL119" s="227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33" t="n"/>
      <c r="B137" s="199" t="n"/>
      <c r="C137" s="199" t="n"/>
      <c r="D137" s="211" t="inlineStr">
        <is>
          <t>**财务未列部分需增列***</t>
        </is>
      </c>
      <c r="E137" s="228" t="n"/>
      <c r="F137" s="228" t="n"/>
      <c r="G137" s="228" t="n"/>
      <c r="H137" s="189" t="n"/>
      <c r="I137" s="189" t="n"/>
      <c r="J137" s="189" t="n"/>
      <c r="K137" s="201" t="n">
        <v>0</v>
      </c>
      <c r="L137" s="202">
        <f>J137-K137</f>
        <v/>
      </c>
      <c r="M137" s="229" t="n"/>
      <c r="N137" s="229" t="n"/>
      <c r="O137" s="189">
        <f>L137-M137</f>
        <v/>
      </c>
      <c r="P137" s="189">
        <f>K137-N137</f>
        <v/>
      </c>
      <c r="Q137" s="189">
        <f>M137+O137</f>
        <v/>
      </c>
      <c r="R137" s="189">
        <f>M137+N137+O137+P137</f>
        <v/>
      </c>
      <c r="S137" s="203">
        <f>SUM(T137:V137)</f>
        <v/>
      </c>
      <c r="T137" s="229" t="n"/>
      <c r="U137" s="229" t="n"/>
      <c r="V137" s="229" t="n"/>
      <c r="W137" s="229" t="n"/>
      <c r="X137" s="229" t="n"/>
      <c r="Y137" s="229" t="n"/>
      <c r="Z137" s="229" t="n"/>
      <c r="AA137" s="203" t="n"/>
      <c r="AB137" s="188" t="n"/>
      <c r="AC137" s="188" t="n"/>
      <c r="AD137" s="188" t="n"/>
      <c r="AE137" s="188" t="n"/>
      <c r="AF137" s="188" t="n"/>
      <c r="AG137" s="188" t="n"/>
      <c r="AH137" s="188" t="n"/>
      <c r="AI137" s="188" t="n"/>
      <c r="AJ137" s="188" t="n"/>
      <c r="AK137" s="188">
        <f>AB37/1.17*0.17+AC37/1.16*0.16+AD37/1.11*0.11+AE37/1.1*0.1+AF37/1.09*0.09+AI37/1.03*0.03</f>
        <v/>
      </c>
      <c r="AL137" s="214" t="n"/>
    </row>
    <row r="138">
      <c r="A138" s="41" t="n"/>
      <c r="B138" s="215" t="n"/>
      <c r="C138" s="215" t="n"/>
      <c r="D138" s="230" t="inlineStr">
        <is>
          <t>机械费小计：</t>
        </is>
      </c>
      <c r="E138" s="231" t="n"/>
      <c r="F138" s="231" t="n"/>
      <c r="G138" s="231" t="n"/>
      <c r="H138" s="217">
        <f>SUM(H122:H137)</f>
        <v/>
      </c>
      <c r="I138" s="217">
        <f>SUM(I122:I137)</f>
        <v/>
      </c>
      <c r="J138" s="217">
        <f>SUM(J122:J137)</f>
        <v/>
      </c>
      <c r="K138" s="217">
        <f>SUM(K122:K137)</f>
        <v/>
      </c>
      <c r="L138" s="232">
        <f>SUM(L122:L137)</f>
        <v/>
      </c>
      <c r="M138" s="217">
        <f>SUM(M122:M137)</f>
        <v/>
      </c>
      <c r="N138" s="217">
        <f>SUM(N122:N137)</f>
        <v/>
      </c>
      <c r="O138" s="217">
        <f>SUM(O122:O137)</f>
        <v/>
      </c>
      <c r="P138" s="217">
        <f>SUM(P122:P137)</f>
        <v/>
      </c>
      <c r="Q138" s="217">
        <f>SUM(Q122:Q137)</f>
        <v/>
      </c>
      <c r="R138" s="217">
        <f>SUM(R122:R137)</f>
        <v/>
      </c>
      <c r="S138" s="217">
        <f>SUM(S122:S137)</f>
        <v/>
      </c>
      <c r="T138" s="217" t="n"/>
      <c r="U138" s="217" t="n"/>
      <c r="V138" s="217" t="n"/>
      <c r="W138" s="217" t="n"/>
      <c r="X138" s="217" t="n"/>
      <c r="Y138" s="217" t="n"/>
      <c r="Z138" s="217">
        <f>SUM(Z122:Z137)</f>
        <v/>
      </c>
      <c r="AA138" s="217">
        <f>SUM(AA122:AA137)</f>
        <v/>
      </c>
      <c r="AB138" s="217" t="n"/>
      <c r="AC138" s="217" t="n"/>
      <c r="AD138" s="217" t="n"/>
      <c r="AE138" s="217" t="n"/>
      <c r="AF138" s="217" t="n"/>
      <c r="AG138" s="217" t="n"/>
      <c r="AH138" s="217" t="n"/>
      <c r="AI138" s="217" t="n"/>
      <c r="AJ138" s="217" t="n"/>
      <c r="AK138" s="217" t="n"/>
      <c r="AL138" s="204" t="n"/>
    </row>
    <row r="139">
      <c r="A139" s="33" t="n"/>
      <c r="B139" s="199" t="n"/>
      <c r="C139" s="199" t="n"/>
      <c r="D139" s="218" t="inlineStr">
        <is>
          <t>（五）其他直接费</t>
        </is>
      </c>
      <c r="E139" s="212" t="n"/>
      <c r="F139" s="212" t="n"/>
      <c r="G139" s="212" t="n"/>
      <c r="H139" s="189" t="n"/>
      <c r="I139" s="189" t="n"/>
      <c r="J139" s="184" t="n">
        <v>0</v>
      </c>
      <c r="K139" s="201" t="n">
        <v>0</v>
      </c>
      <c r="L139" s="202">
        <f>J139-N139-P139</f>
        <v/>
      </c>
      <c r="M139" s="184" t="n"/>
      <c r="N139" s="184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03" t="n"/>
      <c r="U139" s="203" t="n"/>
      <c r="V139" s="203" t="n"/>
      <c r="W139" s="203" t="n"/>
      <c r="X139" s="203" t="n"/>
      <c r="Y139" s="203" t="n"/>
      <c r="Z139" s="203" t="n"/>
      <c r="AA139" s="203" t="n"/>
      <c r="AB139" s="203" t="n"/>
      <c r="AC139" s="203" t="n"/>
      <c r="AD139" s="203" t="n"/>
      <c r="AE139" s="203" t="n"/>
      <c r="AF139" s="203" t="n"/>
      <c r="AG139" s="203" t="n"/>
      <c r="AH139" s="203" t="n"/>
      <c r="AI139" s="203" t="n"/>
      <c r="AJ139" s="203" t="n"/>
      <c r="AK139" s="188" t="n"/>
      <c r="AL139" s="204" t="n"/>
    </row>
    <row r="140">
      <c r="A140" s="206" t="n"/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33" t="n"/>
      <c r="B145" s="199" t="n"/>
      <c r="C145" s="199" t="n"/>
      <c r="D145" s="211" t="inlineStr">
        <is>
          <t>**财务未列部分需增列***</t>
        </is>
      </c>
      <c r="E145" s="212" t="n"/>
      <c r="F145" s="212" t="n"/>
      <c r="G145" s="212" t="n"/>
      <c r="H145" s="189" t="n"/>
      <c r="I145" s="189" t="n"/>
      <c r="J145" s="184" t="n"/>
      <c r="K145" s="201" t="n"/>
      <c r="L145" s="202">
        <f>J145-K145</f>
        <v/>
      </c>
      <c r="M145" s="233" t="n"/>
      <c r="N145" s="233" t="n"/>
      <c r="O145" s="189">
        <f>L145-M145</f>
        <v/>
      </c>
      <c r="P145" s="189">
        <f>K145-N145</f>
        <v/>
      </c>
      <c r="Q145" s="189">
        <f>M145+O145</f>
        <v/>
      </c>
      <c r="R145" s="189">
        <f>M145+N145+O145+P145</f>
        <v/>
      </c>
      <c r="S145" s="203">
        <f>SUM(T145:V145)</f>
        <v/>
      </c>
      <c r="T145" s="233" t="n"/>
      <c r="U145" s="233" t="n"/>
      <c r="V145" s="233" t="n"/>
      <c r="W145" s="233" t="n"/>
      <c r="X145" s="233" t="n"/>
      <c r="Y145" s="233" t="n"/>
      <c r="Z145" s="189">
        <f>SUM(AA45:AJ45)</f>
        <v/>
      </c>
      <c r="AA145" s="203" t="n"/>
      <c r="AB145" s="203" t="n"/>
      <c r="AC145" s="203" t="n"/>
      <c r="AD145" s="203" t="n"/>
      <c r="AE145" s="203" t="n"/>
      <c r="AF145" s="203" t="n"/>
      <c r="AG145" s="203" t="n"/>
      <c r="AH145" s="203" t="n"/>
      <c r="AI145" s="203" t="n"/>
      <c r="AJ145" s="203" t="n"/>
      <c r="AK145" s="188" t="n"/>
      <c r="AL145" s="204" t="n"/>
    </row>
    <row r="146">
      <c r="A146" s="55" t="n"/>
      <c r="B146" s="234" t="n"/>
      <c r="C146" s="234" t="n"/>
      <c r="D146" s="230" t="inlineStr">
        <is>
          <t>其他直接费小计：</t>
        </is>
      </c>
      <c r="E146" s="235" t="n"/>
      <c r="F146" s="235" t="n"/>
      <c r="G146" s="235" t="n"/>
      <c r="H146" s="217">
        <f>SUM(H139:H145)</f>
        <v/>
      </c>
      <c r="I146" s="217">
        <f>SUM(I139:I145)</f>
        <v/>
      </c>
      <c r="J146" s="217">
        <f>SUM(J139:J145)</f>
        <v/>
      </c>
      <c r="K146" s="217">
        <f>SUM(K139:K145)</f>
        <v/>
      </c>
      <c r="L146" s="232">
        <f>SUM(L139:L145)</f>
        <v/>
      </c>
      <c r="M146" s="217">
        <f>SUM(M139:M145)</f>
        <v/>
      </c>
      <c r="N146" s="217">
        <f>SUM(N139:N145)</f>
        <v/>
      </c>
      <c r="O146" s="217">
        <f>L146-M146</f>
        <v/>
      </c>
      <c r="P146" s="217">
        <f>SUM(P139:P145)</f>
        <v/>
      </c>
      <c r="Q146" s="217">
        <f>M146+O146</f>
        <v/>
      </c>
      <c r="R146" s="217">
        <f>SUM(R139:R145)</f>
        <v/>
      </c>
      <c r="S146" s="217">
        <f>SUM(S139:S145)</f>
        <v/>
      </c>
      <c r="T146" s="217" t="n"/>
      <c r="U146" s="217" t="n"/>
      <c r="V146" s="217" t="n"/>
      <c r="W146" s="217" t="n"/>
      <c r="X146" s="217" t="n"/>
      <c r="Y146" s="217" t="n"/>
      <c r="Z146" s="217">
        <f>SUM(Z139:Z145)</f>
        <v/>
      </c>
      <c r="AA146" s="217">
        <f>SUM(AA139:AA145)</f>
        <v/>
      </c>
      <c r="AB146" s="217">
        <f>SUM(AB139:AB145)</f>
        <v/>
      </c>
      <c r="AC146" s="217">
        <f>SUM(AC139:AC145)</f>
        <v/>
      </c>
      <c r="AD146" s="217">
        <f>SUM(AD139:AD145)</f>
        <v/>
      </c>
      <c r="AE146" s="217">
        <f>SUM(AE139:AE145)</f>
        <v/>
      </c>
      <c r="AF146" s="217">
        <f>SUM(AF139:AF145)</f>
        <v/>
      </c>
      <c r="AG146" s="217" t="n"/>
      <c r="AH146" s="217" t="n"/>
      <c r="AI146" s="217">
        <f>SUM(AI139:AI145)</f>
        <v/>
      </c>
      <c r="AJ146" s="217">
        <f>SUM(AJ139:AJ145)</f>
        <v/>
      </c>
      <c r="AK146" s="217">
        <f>SUM(AK139:AK145)</f>
        <v/>
      </c>
      <c r="AL146" s="204" t="n"/>
    </row>
    <row r="147">
      <c r="A147" s="33" t="n"/>
      <c r="B147" s="199" t="n"/>
      <c r="C147" s="199" t="n"/>
      <c r="D147" s="218" t="inlineStr">
        <is>
          <t>（六）间接费</t>
        </is>
      </c>
      <c r="E147" s="212" t="n"/>
      <c r="F147" s="212" t="n"/>
      <c r="G147" s="212" t="n"/>
      <c r="H147" s="184" t="n"/>
      <c r="I147" s="189" t="n"/>
      <c r="J147" s="189" t="n">
        <v>0</v>
      </c>
      <c r="K147" s="201" t="n">
        <v>0</v>
      </c>
      <c r="L147" s="202">
        <f>J147-N147-P147</f>
        <v/>
      </c>
      <c r="M147" s="184" t="n"/>
      <c r="N147" s="184" t="n"/>
      <c r="O147" s="189">
        <f>L147-M147</f>
        <v/>
      </c>
      <c r="P147" s="189">
        <f>K147-N147</f>
        <v/>
      </c>
      <c r="Q147" s="189">
        <f>M147+O147</f>
        <v/>
      </c>
      <c r="R147" s="189">
        <f>M147+N147+O147+P147</f>
        <v/>
      </c>
      <c r="S147" s="203">
        <f>SUM(T147:V147)</f>
        <v/>
      </c>
      <c r="T147" s="203" t="n"/>
      <c r="U147" s="203" t="n"/>
      <c r="V147" s="203" t="n"/>
      <c r="W147" s="203" t="n"/>
      <c r="X147" s="203" t="n"/>
      <c r="Y147" s="203" t="n"/>
      <c r="Z147" s="203" t="n"/>
      <c r="AA147" s="203" t="n"/>
      <c r="AB147" s="203" t="n"/>
      <c r="AC147" s="203" t="n"/>
      <c r="AD147" s="203" t="n"/>
      <c r="AE147" s="203" t="n"/>
      <c r="AF147" s="203" t="n"/>
      <c r="AG147" s="203" t="n"/>
      <c r="AH147" s="203" t="n"/>
      <c r="AI147" s="203" t="n"/>
      <c r="AJ147" s="203" t="n"/>
      <c r="AK147" s="188" t="n"/>
      <c r="AL147" s="204" t="n"/>
    </row>
    <row r="148">
      <c r="A148" s="206" t="n"/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33" t="n"/>
      <c r="B187" s="199" t="n"/>
      <c r="C187" s="199" t="n"/>
      <c r="D187" s="211" t="inlineStr">
        <is>
          <t>**财务未列部分需增列***</t>
        </is>
      </c>
      <c r="E187" s="212" t="n"/>
      <c r="F187" s="212" t="n"/>
      <c r="G187" s="212" t="n"/>
      <c r="H187" s="233" t="n"/>
      <c r="I187" s="189" t="n"/>
      <c r="J187" s="233" t="n"/>
      <c r="K187" s="201" t="n"/>
      <c r="L187" s="202" t="n"/>
      <c r="M187" s="233" t="n"/>
      <c r="N187" s="189" t="n"/>
      <c r="O187" s="189">
        <f>L187-M187</f>
        <v/>
      </c>
      <c r="P187" s="189">
        <f>K187-N187</f>
        <v/>
      </c>
      <c r="Q187" s="189">
        <f>M187+O187</f>
        <v/>
      </c>
      <c r="R187" s="189">
        <f>M187+N187+O187+P187</f>
        <v/>
      </c>
      <c r="S187" s="203">
        <f>SUM(T187:V187)</f>
        <v/>
      </c>
      <c r="T187" s="233" t="n"/>
      <c r="U187" s="233" t="n"/>
      <c r="V187" s="233" t="n"/>
      <c r="W187" s="233" t="n"/>
      <c r="X187" s="233" t="n"/>
      <c r="Y187" s="233" t="n"/>
      <c r="Z187" s="233" t="n"/>
      <c r="AA187" s="203" t="n"/>
      <c r="AB187" s="188" t="n"/>
      <c r="AC187" s="188" t="n"/>
      <c r="AD187" s="188" t="n"/>
      <c r="AE187" s="188" t="n"/>
      <c r="AF187" s="188" t="n"/>
      <c r="AG187" s="188" t="n"/>
      <c r="AH187" s="188" t="n"/>
      <c r="AI187" s="188" t="n"/>
      <c r="AJ187" s="188" t="n"/>
      <c r="AK187" s="188" t="n"/>
      <c r="AL187" s="214" t="n"/>
    </row>
    <row r="188">
      <c r="A188" s="55" t="n"/>
      <c r="B188" s="234" t="n"/>
      <c r="C188" s="234" t="n"/>
      <c r="D188" s="230" t="inlineStr">
        <is>
          <t>间接费小计：</t>
        </is>
      </c>
      <c r="E188" s="235" t="n"/>
      <c r="F188" s="235" t="n"/>
      <c r="G188" s="235" t="n"/>
      <c r="H188" s="217">
        <f>SUM(H147:H187)</f>
        <v/>
      </c>
      <c r="I188" s="217">
        <f>SUM(I147:I187)</f>
        <v/>
      </c>
      <c r="J188" s="217">
        <f>SUM(J147:J187)</f>
        <v/>
      </c>
      <c r="K188" s="217">
        <f>SUM(K147:K187)</f>
        <v/>
      </c>
      <c r="L188" s="232">
        <f>SUM(L147:L187)</f>
        <v/>
      </c>
      <c r="M188" s="232">
        <f>SUM(M147:M187)</f>
        <v/>
      </c>
      <c r="N188" s="232">
        <f>SUM(N147:N187)</f>
        <v/>
      </c>
      <c r="O188" s="232">
        <f>SUM(O147:O187)</f>
        <v/>
      </c>
      <c r="P188" s="232">
        <f>SUM(P147:P187)</f>
        <v/>
      </c>
      <c r="Q188" s="232">
        <f>SUM(Q147:Q187)</f>
        <v/>
      </c>
      <c r="R188" s="232">
        <f>SUM(R147:R187)</f>
        <v/>
      </c>
      <c r="S188" s="232">
        <f>SUM(S147:S187)</f>
        <v/>
      </c>
      <c r="T188" s="232" t="n"/>
      <c r="U188" s="232" t="n"/>
      <c r="V188" s="232" t="n"/>
      <c r="W188" s="232" t="n"/>
      <c r="X188" s="232" t="n"/>
      <c r="Y188" s="232" t="n"/>
      <c r="Z188" s="232">
        <f>SUM(Z147:Z187)</f>
        <v/>
      </c>
      <c r="AA188" s="232">
        <f>SUM(AA147:AA187)</f>
        <v/>
      </c>
      <c r="AB188" s="232">
        <f>SUM(AB147:AB187)</f>
        <v/>
      </c>
      <c r="AC188" s="232">
        <f>SUM(AC147:AC187)</f>
        <v/>
      </c>
      <c r="AD188" s="232">
        <f>SUM(AD147:AD187)</f>
        <v/>
      </c>
      <c r="AE188" s="232">
        <f>SUM(AE147:AE187)</f>
        <v/>
      </c>
      <c r="AF188" s="232">
        <f>SUM(AF147:AF187)</f>
        <v/>
      </c>
      <c r="AG188" s="232" t="n"/>
      <c r="AH188" s="232" t="n"/>
      <c r="AI188" s="232">
        <f>SUM(AI147:AI187)</f>
        <v/>
      </c>
      <c r="AJ188" s="232">
        <f>SUM(AJ147:AJ187)</f>
        <v/>
      </c>
      <c r="AK188" s="232">
        <f>SUM(AK147:AK187)</f>
        <v/>
      </c>
      <c r="AL188" s="214" t="n"/>
    </row>
    <row r="189">
      <c r="A189" s="33" t="n"/>
      <c r="B189" s="199" t="n"/>
      <c r="C189" s="199" t="n"/>
      <c r="D189" s="218" t="inlineStr">
        <is>
          <t>（七）安全费</t>
        </is>
      </c>
      <c r="E189" s="212" t="n"/>
      <c r="F189" s="212" t="n"/>
      <c r="G189" s="212" t="n"/>
      <c r="H189" s="189" t="n"/>
      <c r="I189" s="189" t="n"/>
      <c r="J189" s="184" t="n">
        <v>0</v>
      </c>
      <c r="K189" s="236" t="n"/>
      <c r="L189" s="202">
        <f>J189-N189-P189</f>
        <v/>
      </c>
      <c r="M189" s="189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29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206" t="n"/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55" t="n"/>
      <c r="B195" s="234" t="n"/>
      <c r="C195" s="234" t="n"/>
      <c r="D195" s="230" t="inlineStr">
        <is>
          <t>安全费小计：</t>
        </is>
      </c>
      <c r="E195" s="230" t="n"/>
      <c r="F195" s="230" t="n"/>
      <c r="G195" s="230" t="n"/>
      <c r="H195" s="217">
        <f>SUM(H189:H194)</f>
        <v/>
      </c>
      <c r="I195" s="217">
        <f>SUM(I189:I194)</f>
        <v/>
      </c>
      <c r="J195" s="217" t="n">
        <v>0</v>
      </c>
      <c r="K195" s="217" t="n">
        <v>0</v>
      </c>
      <c r="L195" s="202">
        <f>J195-K195</f>
        <v/>
      </c>
      <c r="M195" s="232">
        <f>SUM(M189:M194)</f>
        <v/>
      </c>
      <c r="N195" s="232">
        <f>SUM(N189:N194)</f>
        <v/>
      </c>
      <c r="O195" s="232">
        <f>SUM(O189:O194)</f>
        <v/>
      </c>
      <c r="P195" s="232">
        <f>SUM(P189:P194)</f>
        <v/>
      </c>
      <c r="Q195" s="232">
        <f>SUM(Q189:Q194)</f>
        <v/>
      </c>
      <c r="R195" s="232">
        <f>SUM(R189:R194)</f>
        <v/>
      </c>
      <c r="S195" s="232">
        <f>SUM(S189:S194)</f>
        <v/>
      </c>
      <c r="T195" s="237" t="n"/>
      <c r="U195" s="237" t="n"/>
      <c r="V195" s="237" t="n"/>
      <c r="W195" s="237" t="n"/>
      <c r="X195" s="237" t="n"/>
      <c r="Y195" s="237" t="n"/>
      <c r="Z195" s="237" t="n"/>
      <c r="AA195" s="237">
        <f>SUM(AA189:AA194)</f>
        <v/>
      </c>
      <c r="AB195" s="237">
        <f>SUM(AB189:AB194)</f>
        <v/>
      </c>
      <c r="AC195" s="237">
        <f>SUM(AC189:AC194)</f>
        <v/>
      </c>
      <c r="AD195" s="237">
        <f>SUM(AD189:AD194)</f>
        <v/>
      </c>
      <c r="AE195" s="237">
        <f>SUM(AE189:AE194)</f>
        <v/>
      </c>
      <c r="AF195" s="237">
        <f>SUM(AF189:AF194)</f>
        <v/>
      </c>
      <c r="AG195" s="237" t="n"/>
      <c r="AH195" s="237" t="n"/>
      <c r="AI195" s="237">
        <f>SUM(AI189:AI194)</f>
        <v/>
      </c>
      <c r="AJ195" s="237">
        <f>SUM(AJ189:AJ194)</f>
        <v/>
      </c>
      <c r="AK195" s="237">
        <f>SUM(AK189:AK194)</f>
        <v/>
      </c>
      <c r="AL195" s="238" t="n"/>
    </row>
    <row r="196">
      <c r="A196" s="55" t="n"/>
      <c r="B196" s="234" t="n"/>
      <c r="C196" s="234" t="n"/>
      <c r="D196" s="230" t="inlineStr">
        <is>
          <t>三、成本合计：</t>
        </is>
      </c>
      <c r="E196" s="235" t="n"/>
      <c r="F196" s="235" t="n"/>
      <c r="G196" s="235" t="n"/>
      <c r="H196" s="217">
        <f>H34+H65+H121+H138+H146+H188+H195</f>
        <v/>
      </c>
      <c r="I196" s="217">
        <f>I34+I65+I121+I138+I146+I188+I195</f>
        <v/>
      </c>
      <c r="J196" s="217">
        <f>J34+J65+J121+J138+J146+J188+J195</f>
        <v/>
      </c>
      <c r="K196" s="217">
        <f>K34+K65+K121+K138+K146+K188+K195</f>
        <v/>
      </c>
      <c r="L196" s="232">
        <f>L34+L65+L121+L138+L146+L188+L195</f>
        <v/>
      </c>
      <c r="M196" s="237">
        <f>M34+M65+M121+M138+M146+M188+M195</f>
        <v/>
      </c>
      <c r="N196" s="237">
        <f>N34+N65+N121+N138+N146+N188+N195</f>
        <v/>
      </c>
      <c r="O196" s="237">
        <f>O34+O65+O121+O138+O146+O188+O195</f>
        <v/>
      </c>
      <c r="P196" s="237">
        <f>P34+P65+P121+P138+P146+P188+P195</f>
        <v/>
      </c>
      <c r="Q196" s="237">
        <f>Q34+Q65+Q121+Q138+Q146+Q188+Q195</f>
        <v/>
      </c>
      <c r="R196" s="237">
        <f>R34+R65+R121+R138+R146+R188+R195</f>
        <v/>
      </c>
      <c r="S196" s="237">
        <f>S34+S65+S121+S138+S146+S188+S195</f>
        <v/>
      </c>
      <c r="T196" s="237" t="n"/>
      <c r="U196" s="237" t="n"/>
      <c r="V196" s="237" t="n"/>
      <c r="W196" s="237" t="n"/>
      <c r="X196" s="237" t="n"/>
      <c r="Y196" s="237" t="n"/>
      <c r="Z196" s="237">
        <f>Z34+Z65+Z121+Z138+Z146+Z188+Z195</f>
        <v/>
      </c>
      <c r="AA196" s="237">
        <f>AA34+AA65+AA121+AA138+AA146+AA188+AA195</f>
        <v/>
      </c>
      <c r="AB196" s="237">
        <f>AB34+AB65+AB121+AB138+AB146+AB188+AB195</f>
        <v/>
      </c>
      <c r="AC196" s="237">
        <f>AC34+AC65+AC121+AC138+AC146+AC188+AC195</f>
        <v/>
      </c>
      <c r="AD196" s="237">
        <f>AD34+AD65+AD121+AD138+AD146+AD188+AD195</f>
        <v/>
      </c>
      <c r="AE196" s="237">
        <f>AE34+AE65+AE121+AE138+AE146+AE188+AE195</f>
        <v/>
      </c>
      <c r="AF196" s="237">
        <f>AF34+AF65+AF121+AF138+AF146+AF188+AF195</f>
        <v/>
      </c>
      <c r="AG196" s="237" t="n"/>
      <c r="AH196" s="237" t="n"/>
      <c r="AI196" s="237">
        <f>AI34+AI65+AI121+AI138+AI146+AI188+AI195</f>
        <v/>
      </c>
      <c r="AJ196" s="237">
        <f>AJ34+AJ65+AJ121+AJ138+AJ146+AJ188+AJ195</f>
        <v/>
      </c>
      <c r="AK196" s="237">
        <f>AK34+AK65+AK121+AK138+AK146+AK188+AK195</f>
        <v/>
      </c>
      <c r="AL196" s="238" t="n"/>
    </row>
    <row r="197">
      <c r="A197" s="33" t="n"/>
      <c r="B197" s="199" t="n"/>
      <c r="C197" s="199" t="n"/>
      <c r="D197" s="218" t="inlineStr">
        <is>
          <t>四、计提保修金</t>
        </is>
      </c>
      <c r="E197" s="239" t="inlineStr">
        <is>
          <t>（在建：房建0.6%，其它0.4%；在保修期间的按0.3~0.5%自行确定;保修期结束为0）</t>
        </is>
      </c>
      <c r="F197" s="239" t="n"/>
      <c r="G197" s="239" t="n"/>
      <c r="H197" s="184" t="n"/>
      <c r="I197" s="184" t="n"/>
      <c r="J197" s="184">
        <f>H197+I197</f>
        <v/>
      </c>
      <c r="K197" s="184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>
        <f>Q69-S69</f>
        <v/>
      </c>
      <c r="AB197" s="240" t="n"/>
      <c r="AC197" s="240" t="n"/>
      <c r="AD197" s="240" t="n"/>
      <c r="AE197" s="240" t="n"/>
      <c r="AF197" s="240" t="n"/>
      <c r="AG197" s="240" t="n"/>
      <c r="AH197" s="240" t="n"/>
      <c r="AI197" s="240" t="n"/>
      <c r="AJ197" s="240" t="n"/>
      <c r="AK197" s="188" t="n"/>
      <c r="AL197" s="238" t="n"/>
    </row>
    <row r="198">
      <c r="A198" s="33" t="n"/>
      <c r="B198" s="199" t="n"/>
      <c r="C198" s="199" t="n"/>
      <c r="D198" s="218" t="inlineStr">
        <is>
          <t>五、过程节点奖金</t>
        </is>
      </c>
      <c r="E198" s="212" t="n"/>
      <c r="F198" s="212" t="n"/>
      <c r="G198" s="212" t="n"/>
      <c r="H198" s="184" t="n"/>
      <c r="I198" s="184" t="n"/>
      <c r="J198" s="184">
        <f>H198+I198</f>
        <v/>
      </c>
      <c r="K198" s="184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33" t="n"/>
      <c r="B199" s="199" t="n"/>
      <c r="C199" s="199" t="n"/>
      <c r="D199" s="218" t="inlineStr">
        <is>
          <t>六、资金占用费用</t>
        </is>
      </c>
      <c r="E199" s="212" t="n"/>
      <c r="F199" s="212" t="n"/>
      <c r="G199" s="212" t="n"/>
      <c r="H199" s="189" t="n"/>
      <c r="I199" s="189" t="n"/>
      <c r="J199" s="184">
        <f>H199+I199</f>
        <v/>
      </c>
      <c r="K199" s="189" t="n"/>
      <c r="L199" s="202">
        <f>J199-K199</f>
        <v/>
      </c>
      <c r="M199" s="241" t="n">
        <v>6780777.21</v>
      </c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188" t="n"/>
      <c r="AC199" s="188" t="n"/>
      <c r="AD199" s="188" t="n"/>
      <c r="AE199" s="188" t="n"/>
      <c r="AF199" s="188" t="n"/>
      <c r="AG199" s="188" t="n"/>
      <c r="AH199" s="188" t="n"/>
      <c r="AI199" s="188" t="n"/>
      <c r="AJ199" s="188" t="n"/>
      <c r="AK199" s="188" t="n"/>
      <c r="AL199" s="214" t="n"/>
    </row>
    <row r="200">
      <c r="A200" s="33" t="n"/>
      <c r="B200" s="199" t="n"/>
      <c r="C200" s="199" t="n"/>
      <c r="D200" s="218" t="inlineStr">
        <is>
          <t>七、局投资收益（局投资项目选填）</t>
        </is>
      </c>
      <c r="E200" s="212" t="n"/>
      <c r="F200" s="212" t="n"/>
      <c r="G200" s="212" t="n"/>
      <c r="H200" s="189" t="n"/>
      <c r="I200" s="189" t="n"/>
      <c r="J200" s="184">
        <f>H200+I200</f>
        <v/>
      </c>
      <c r="K200" s="189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55" t="n"/>
      <c r="B201" s="234" t="n"/>
      <c r="C201" s="234" t="n"/>
      <c r="D201" s="230" t="inlineStr">
        <is>
          <t>八、研发费用</t>
        </is>
      </c>
      <c r="E201" s="235" t="n"/>
      <c r="F201" s="235" t="n"/>
      <c r="G201" s="235" t="n"/>
      <c r="H201" s="217" t="n"/>
      <c r="I201" s="217" t="n"/>
      <c r="J201" s="217">
        <f>H201+I201</f>
        <v/>
      </c>
      <c r="K201" s="217" t="n"/>
      <c r="L201" s="232">
        <f>J201-K201</f>
        <v/>
      </c>
      <c r="M201" s="237">
        <f>SUM(M74:M76)</f>
        <v/>
      </c>
      <c r="N201" s="237">
        <f>SUM(N74:N76)</f>
        <v/>
      </c>
      <c r="O201" s="237">
        <f>SUM(O74:O76)</f>
        <v/>
      </c>
      <c r="P201" s="237">
        <f>SUM(P74:P76)</f>
        <v/>
      </c>
      <c r="Q201" s="237">
        <f>SUM(Q74:Q76)</f>
        <v/>
      </c>
      <c r="R201" s="237">
        <f>SUM(R74:R76)</f>
        <v/>
      </c>
      <c r="S201" s="237">
        <f>SUM(S74:S76)</f>
        <v/>
      </c>
      <c r="T201" s="237">
        <f>SUM(T74:T76)</f>
        <v/>
      </c>
      <c r="U201" s="237">
        <f>SUM(U74:U76)</f>
        <v/>
      </c>
      <c r="V201" s="237">
        <f>SUM(V74:V76)</f>
        <v/>
      </c>
      <c r="W201" s="237">
        <f>SUM(W74:W76)</f>
        <v/>
      </c>
      <c r="X201" s="237">
        <f>SUM(X74:X76)</f>
        <v/>
      </c>
      <c r="Y201" s="237">
        <f>SUM(Y74:Y76)</f>
        <v/>
      </c>
      <c r="Z201" s="237">
        <f>SUM(Z74:Z76)</f>
        <v/>
      </c>
      <c r="AA201" s="237">
        <f>SUM(AA74:AA76)</f>
        <v/>
      </c>
      <c r="AB201" s="237">
        <f>SUM(AB74:AB76)</f>
        <v/>
      </c>
      <c r="AC201" s="237">
        <f>SUM(AC74:AC76)</f>
        <v/>
      </c>
      <c r="AD201" s="237">
        <f>SUM(AD74:AD76)</f>
        <v/>
      </c>
      <c r="AE201" s="237">
        <f>SUM(AE74:AE76)</f>
        <v/>
      </c>
      <c r="AF201" s="237">
        <f>SUM(AF74:AF76)</f>
        <v/>
      </c>
      <c r="AG201" s="237">
        <f>SUM(AG74:AG76)</f>
        <v/>
      </c>
      <c r="AH201" s="237">
        <f>SUM(AH74:AH76)</f>
        <v/>
      </c>
      <c r="AI201" s="237">
        <f>SUM(AI74:AI76)</f>
        <v/>
      </c>
      <c r="AJ201" s="237">
        <f>SUM(AJ74:AJ76)</f>
        <v/>
      </c>
      <c r="AK201" s="237">
        <f>SUM(AK74:AK76)</f>
        <v/>
      </c>
      <c r="AL201" s="238" t="n"/>
    </row>
    <row r="202">
      <c r="A202" s="206" t="n"/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33" t="n">
        <v>1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>
        <f>H207+I207</f>
        <v/>
      </c>
      <c r="K207" s="189" t="n"/>
      <c r="L207" s="202">
        <f>J207-K207</f>
        <v/>
      </c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33" t="n">
        <v>2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 t="n"/>
      <c r="K208" s="189" t="n"/>
      <c r="L208" s="202" t="n"/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33" t="n">
        <v>3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 t="n"/>
      <c r="K209" s="189" t="n"/>
      <c r="L209" s="202" t="n"/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41" t="n"/>
      <c r="B210" s="215" t="n"/>
      <c r="C210" s="215" t="n"/>
      <c r="D210" s="230" t="inlineStr">
        <is>
          <t>九、成本及费用合计（三+四+五+六+七）</t>
        </is>
      </c>
      <c r="E210" s="231" t="n"/>
      <c r="F210" s="231" t="n"/>
      <c r="G210" s="231" t="n"/>
      <c r="H210" s="217">
        <f>H68+H69+H70+H71+#REF!</f>
        <v/>
      </c>
      <c r="I210" s="217">
        <f>I68+I69+I70+I71+#REF!</f>
        <v/>
      </c>
      <c r="J210" s="242">
        <f>J68+J69+J70+J71+#REF!</f>
        <v/>
      </c>
      <c r="K210" s="217">
        <f>K68+K69+K70+K71+#REF!</f>
        <v/>
      </c>
      <c r="L210" s="243">
        <f>L68+L69+L70+L71+#REF!</f>
        <v/>
      </c>
      <c r="M210" s="243">
        <f>M68+M69+M70+M71</f>
        <v/>
      </c>
      <c r="N210" s="243">
        <f>N68+N69+N70+N71</f>
        <v/>
      </c>
      <c r="O210" s="243">
        <f>O68+O69+O70+O71</f>
        <v/>
      </c>
      <c r="P210" s="243">
        <f>P68+P69+P70+P71</f>
        <v/>
      </c>
      <c r="Q210" s="243">
        <f>Q68+Q69+Q70+Q71</f>
        <v/>
      </c>
      <c r="R210" s="243">
        <f>R68+R69+R70+R71</f>
        <v/>
      </c>
      <c r="S210" s="237">
        <f>S68+S69+S70+S71</f>
        <v/>
      </c>
      <c r="T210" s="237" t="n"/>
      <c r="U210" s="237" t="n"/>
      <c r="V210" s="237" t="n"/>
      <c r="W210" s="237" t="n"/>
      <c r="X210" s="237" t="n"/>
      <c r="Y210" s="237" t="n"/>
      <c r="Z210" s="237">
        <f>Z68+Z69+Z70+Z71</f>
        <v/>
      </c>
      <c r="AA210" s="237">
        <f>AA68+AA69+AA70+AA71</f>
        <v/>
      </c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41" t="n"/>
      <c r="B211" s="215" t="n"/>
      <c r="C211" s="215" t="n"/>
      <c r="D211" s="230" t="inlineStr">
        <is>
          <t>十、增值税实际税负（按财务数据）</t>
        </is>
      </c>
      <c r="E211" s="231" t="inlineStr">
        <is>
          <t>根据财务账面实际已缴纳增值税额+尚需缴纳的增值税额</t>
        </is>
      </c>
      <c r="F211" s="231" t="n"/>
      <c r="G211" s="231" t="n"/>
      <c r="H211" s="217" t="n"/>
      <c r="I211" s="217" t="n"/>
      <c r="J211" s="242">
        <f>H78+I78</f>
        <v/>
      </c>
      <c r="K211" s="217" t="inlineStr">
        <is>
          <t>/</t>
        </is>
      </c>
      <c r="L211" s="243" t="inlineStr">
        <is>
          <t>/</t>
        </is>
      </c>
      <c r="M211" s="243" t="n"/>
      <c r="N211" s="243">
        <f>N6-N77</f>
        <v/>
      </c>
      <c r="O211" s="243" t="n"/>
      <c r="P211" s="243" t="n"/>
      <c r="Q211" s="243" t="inlineStr">
        <is>
          <t>/</t>
        </is>
      </c>
      <c r="R211" s="243">
        <f>N78+P78</f>
        <v/>
      </c>
      <c r="S211" s="237" t="n"/>
      <c r="T211" s="237" t="n"/>
      <c r="U211" s="237" t="n"/>
      <c r="V211" s="237" t="n"/>
      <c r="W211" s="237" t="n"/>
      <c r="X211" s="237" t="n"/>
      <c r="Y211" s="237" t="n"/>
      <c r="Z211" s="237" t="n"/>
      <c r="AA211" s="237" t="n"/>
      <c r="AB211" s="244" t="n"/>
      <c r="AC211" s="244" t="n"/>
      <c r="AD211" s="244" t="n"/>
      <c r="AE211" s="244" t="n"/>
      <c r="AF211" s="244" t="n"/>
      <c r="AG211" s="244" t="n"/>
      <c r="AH211" s="244" t="n"/>
      <c r="AI211" s="244" t="n"/>
      <c r="AJ211" s="244" t="n"/>
      <c r="AK211" s="245" t="n"/>
      <c r="AL211" s="246" t="n"/>
    </row>
    <row r="212">
      <c r="A212" s="41" t="n"/>
      <c r="B212" s="215" t="n"/>
      <c r="C212" s="215" t="n"/>
      <c r="D212" s="230" t="inlineStr">
        <is>
          <t>十一、税金及附加（按财务数据）</t>
        </is>
      </c>
      <c r="E212" s="231" t="inlineStr">
        <is>
          <t>根据财务账面实际已缴纳税金及附加+尚需缴纳的税金及附加</t>
        </is>
      </c>
      <c r="F212" s="231" t="n"/>
      <c r="G212" s="231" t="n"/>
      <c r="H212" s="217" t="n"/>
      <c r="I212" s="217" t="n"/>
      <c r="J212" s="242">
        <f>H79+I79</f>
        <v/>
      </c>
      <c r="K212" s="217" t="n"/>
      <c r="L212" s="243">
        <f>J79</f>
        <v/>
      </c>
      <c r="M212" s="247" t="n">
        <v>349670.26</v>
      </c>
      <c r="N212" s="243" t="n"/>
      <c r="O212" s="243">
        <f>L79-M79</f>
        <v/>
      </c>
      <c r="P212" s="243" t="n"/>
      <c r="Q212" s="243">
        <f>M79+O79</f>
        <v/>
      </c>
      <c r="R212" s="243">
        <f>Q79</f>
        <v/>
      </c>
      <c r="S212" s="237" t="n"/>
      <c r="T212" s="237" t="n"/>
      <c r="U212" s="237" t="n"/>
      <c r="V212" s="237" t="n"/>
      <c r="W212" s="237" t="n"/>
      <c r="X212" s="237" t="n"/>
      <c r="Y212" s="237" t="n"/>
      <c r="Z212" s="237" t="n"/>
      <c r="AA212" s="237" t="n"/>
      <c r="AB212" s="244" t="n"/>
      <c r="AC212" s="244" t="n"/>
      <c r="AD212" s="244" t="n"/>
      <c r="AE212" s="244" t="n"/>
      <c r="AF212" s="244" t="n"/>
      <c r="AG212" s="244" t="n"/>
      <c r="AH212" s="244" t="n"/>
      <c r="AI212" s="244" t="n"/>
      <c r="AJ212" s="244" t="n"/>
      <c r="AK212" s="245" t="n"/>
      <c r="AL212" s="246" t="n"/>
    </row>
    <row r="213">
      <c r="A213" s="41" t="n"/>
      <c r="B213" s="215" t="n"/>
      <c r="C213" s="215" t="n"/>
      <c r="D213" s="230" t="inlineStr">
        <is>
          <t>十二、利润</t>
        </is>
      </c>
      <c r="E213" s="231" t="n"/>
      <c r="F213" s="231" t="n"/>
      <c r="G213" s="231" t="n"/>
      <c r="H213" s="217" t="n"/>
      <c r="I213" s="217" t="n"/>
      <c r="J213" s="242">
        <f>J6-J77-J78-J79</f>
        <v/>
      </c>
      <c r="K213" s="217" t="n"/>
      <c r="L213" s="243" t="n"/>
      <c r="M213" s="243" t="n"/>
      <c r="N213" s="243" t="n"/>
      <c r="O213" s="243" t="n"/>
      <c r="P213" s="243" t="n"/>
      <c r="Q213" s="243" t="n"/>
      <c r="R213" s="243" t="n"/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4" t="n"/>
      <c r="AC213" s="244" t="n"/>
      <c r="AD213" s="244" t="n"/>
      <c r="AE213" s="244" t="n"/>
      <c r="AF213" s="244" t="n"/>
      <c r="AG213" s="244" t="n"/>
      <c r="AH213" s="244" t="n"/>
      <c r="AI213" s="244" t="n"/>
      <c r="AJ213" s="244" t="n"/>
      <c r="AK213" s="245" t="n"/>
      <c r="AL213" s="246" t="n"/>
    </row>
    <row r="214">
      <c r="A214" s="105" t="n"/>
      <c r="B214" s="106" t="n"/>
      <c r="C214" s="106" t="n"/>
      <c r="D214" s="107" t="inlineStr">
        <is>
          <t>十三、利润率</t>
        </is>
      </c>
      <c r="E214" s="108" t="n"/>
      <c r="F214" s="108" t="n"/>
      <c r="G214" s="108" t="n"/>
      <c r="H214" s="109" t="n"/>
      <c r="I214" s="109" t="n"/>
      <c r="J214" s="109">
        <f>J80/J6</f>
        <v/>
      </c>
      <c r="K214" s="109" t="n"/>
      <c r="L214" s="127">
        <f>L80/L6</f>
        <v/>
      </c>
      <c r="M214" s="127">
        <f>M80/M6</f>
        <v/>
      </c>
      <c r="N214" s="127" t="n"/>
      <c r="O214" s="127" t="n"/>
      <c r="P214" s="127" t="n"/>
      <c r="Q214" s="127">
        <f>Q80/Q6</f>
        <v/>
      </c>
      <c r="R214" s="127">
        <f>R80/R6</f>
        <v/>
      </c>
      <c r="S214" s="142" t="n"/>
      <c r="T214" s="142" t="n"/>
      <c r="U214" s="142" t="n"/>
      <c r="V214" s="142" t="n"/>
      <c r="W214" s="142" t="n"/>
      <c r="X214" s="142" t="n"/>
      <c r="Y214" s="142" t="n"/>
      <c r="Z214" s="142" t="n"/>
      <c r="AA214" s="142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54" t="n"/>
      <c r="AL214" s="155" t="n"/>
    </row>
    <row r="215">
      <c r="A215" s="111" t="n"/>
      <c r="B215" s="111" t="n"/>
      <c r="C215" s="111" t="n"/>
      <c r="D215" s="112" t="n"/>
      <c r="E215" s="113" t="n"/>
      <c r="F215" s="113" t="n"/>
      <c r="G215" s="113" t="n"/>
      <c r="H215" s="248" t="n"/>
      <c r="I215" s="248" t="n"/>
      <c r="J215" s="249" t="inlineStr">
        <is>
          <t>含税利润率</t>
        </is>
      </c>
      <c r="K215" s="250" t="n"/>
      <c r="L215" s="251" t="inlineStr">
        <is>
          <t>不含税利润率</t>
        </is>
      </c>
      <c r="M215" s="252" t="n"/>
      <c r="N215" s="252" t="n"/>
      <c r="O215" s="252" t="n"/>
      <c r="P215" s="252" t="n"/>
      <c r="Q215" s="252" t="n"/>
      <c r="R215" s="252" t="n"/>
      <c r="S215" s="252" t="n"/>
      <c r="T215" s="252" t="n"/>
      <c r="U215" s="252" t="n"/>
      <c r="V215" s="252" t="n"/>
      <c r="W215" s="252" t="n"/>
      <c r="X215" s="252" t="n"/>
      <c r="Y215" s="252" t="n"/>
      <c r="Z215" s="253" t="n"/>
      <c r="AA215" s="162" t="n"/>
      <c r="AB215" s="254" t="n"/>
      <c r="AC215" s="254" t="n"/>
      <c r="AD215" s="254" t="n"/>
      <c r="AE215" s="254" t="n"/>
      <c r="AF215" s="254" t="n"/>
      <c r="AG215" s="254" t="n"/>
      <c r="AH215" s="254" t="n"/>
      <c r="AI215" s="254" t="n"/>
      <c r="AJ215" s="254" t="n"/>
      <c r="AK215" s="254" t="n"/>
      <c r="AL215" s="156" t="n"/>
    </row>
    <row r="216">
      <c r="A216" s="111" t="n"/>
      <c r="B216" s="111" t="n"/>
      <c r="C216" s="111" t="n"/>
      <c r="D216" s="112" t="n"/>
      <c r="E216" s="113" t="n"/>
      <c r="F216" s="113" t="n"/>
      <c r="G216" s="113" t="n"/>
      <c r="H216" s="248" t="n"/>
      <c r="I216" s="248" t="n"/>
      <c r="J216" s="255" t="n"/>
      <c r="K216" s="248" t="n"/>
      <c r="L216" s="256" t="n"/>
      <c r="M216" s="252" t="n"/>
      <c r="N216" s="252" t="n"/>
      <c r="O216" s="252" t="n"/>
      <c r="P216" s="252" t="n"/>
      <c r="Q216" s="252" t="n"/>
      <c r="R216" s="252" t="n"/>
      <c r="S216" s="252" t="n"/>
      <c r="T216" s="252" t="n"/>
      <c r="U216" s="252" t="n"/>
      <c r="V216" s="252" t="n"/>
      <c r="W216" s="252" t="n"/>
      <c r="X216" s="252" t="n"/>
      <c r="Y216" s="252" t="n"/>
      <c r="Z216" s="253" t="n"/>
      <c r="AA216" s="162" t="n"/>
      <c r="AB216" s="254" t="n"/>
      <c r="AC216" s="254" t="n"/>
      <c r="AD216" s="254" t="n"/>
      <c r="AE216" s="254" t="n"/>
      <c r="AF216" s="254" t="n"/>
      <c r="AG216" s="254" t="n"/>
      <c r="AH216" s="254" t="n"/>
      <c r="AI216" s="254" t="n"/>
      <c r="AJ216" s="254" t="n"/>
      <c r="AK216" s="254" t="n"/>
      <c r="AL216" s="156" t="n"/>
    </row>
    <row r="217">
      <c r="A217" s="116" t="n"/>
      <c r="B217" s="116" t="n"/>
      <c r="C217" s="116" t="n"/>
      <c r="D217" s="117" t="n"/>
      <c r="E217" s="118" t="n"/>
      <c r="F217" s="118" t="n"/>
      <c r="G217" s="118" t="n"/>
      <c r="H217" s="119" t="n"/>
      <c r="I217" s="119" t="n"/>
      <c r="J217" s="134" t="n"/>
      <c r="K217" s="257" t="n"/>
      <c r="L217" s="257" t="n"/>
      <c r="M217" s="258" t="n"/>
      <c r="N217" s="257" t="n"/>
      <c r="O217" s="257" t="n"/>
      <c r="P217" s="259" t="n"/>
      <c r="Q217" s="259" t="n"/>
      <c r="R217" s="257" t="n"/>
      <c r="S217" s="260" t="n"/>
      <c r="T217" s="260" t="n"/>
      <c r="U217" s="260" t="n"/>
      <c r="V217" s="260" t="n"/>
      <c r="W217" s="260" t="n"/>
      <c r="X217" s="260" t="n"/>
      <c r="Y217" s="260" t="n"/>
      <c r="Z217" s="261" t="n"/>
      <c r="AA217" s="262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  <row r="218">
      <c r="A218" s="121" t="n"/>
      <c r="B218" s="121" t="n"/>
      <c r="C218" s="121" t="n"/>
      <c r="D218" s="121" t="n"/>
      <c r="E218" s="122" t="n"/>
      <c r="F218" s="122" t="n"/>
      <c r="G218" s="122" t="n"/>
      <c r="H218" s="122" t="n"/>
      <c r="I218" s="122" t="n"/>
      <c r="J218" s="122" t="n"/>
      <c r="K218" s="264" t="n"/>
      <c r="L218" s="122" t="n"/>
      <c r="M218" s="265" t="n"/>
      <c r="N218" s="265" t="n"/>
      <c r="O218" s="265" t="n"/>
      <c r="P218" s="265" t="n"/>
      <c r="Q218" s="265" t="n"/>
      <c r="R218" s="265" t="n"/>
      <c r="S218" s="260" t="n"/>
      <c r="T218" s="260" t="n"/>
      <c r="U218" s="260" t="n"/>
      <c r="V218" s="260" t="n"/>
      <c r="W218" s="260" t="n"/>
      <c r="X218" s="260" t="n"/>
      <c r="Y218" s="260" t="n"/>
      <c r="Z218" s="265" t="n"/>
      <c r="AA218" s="263" t="n"/>
      <c r="AB218" s="263" t="n"/>
      <c r="AC218" s="263" t="n"/>
      <c r="AD218" s="263" t="n"/>
      <c r="AE218" s="263" t="n"/>
      <c r="AF218" s="263" t="n"/>
      <c r="AG218" s="263" t="n"/>
      <c r="AH218" s="263" t="n"/>
      <c r="AI218" s="263" t="n"/>
      <c r="AJ218" s="263" t="n"/>
      <c r="AK218" s="263" t="n"/>
      <c r="AL218" s="121" t="n"/>
    </row>
    <row r="219">
      <c r="A219" s="121" t="n"/>
      <c r="B219" s="121" t="n"/>
      <c r="C219" s="121" t="n"/>
      <c r="D219" s="121" t="n"/>
      <c r="E219" s="122" t="n"/>
      <c r="F219" s="122" t="n"/>
      <c r="G219" s="122" t="n"/>
      <c r="H219" s="122" t="n"/>
      <c r="I219" s="122" t="n"/>
      <c r="J219" s="122" t="n"/>
      <c r="K219" s="264" t="n"/>
      <c r="L219" s="122" t="n"/>
      <c r="M219" s="265" t="n"/>
      <c r="N219" s="265" t="n"/>
      <c r="O219" s="265" t="n"/>
      <c r="P219" s="265" t="n"/>
      <c r="Q219" s="265" t="n"/>
      <c r="R219" s="265" t="n"/>
      <c r="S219" s="260" t="n"/>
      <c r="T219" s="260" t="n"/>
      <c r="U219" s="260" t="n"/>
      <c r="V219" s="260" t="n"/>
      <c r="W219" s="260" t="n"/>
      <c r="X219" s="260" t="n"/>
      <c r="Y219" s="260" t="n"/>
      <c r="Z219" s="265" t="n"/>
      <c r="AA219" s="263" t="n"/>
      <c r="AB219" s="263" t="n"/>
      <c r="AC219" s="263" t="n"/>
      <c r="AD219" s="263" t="n"/>
      <c r="AE219" s="263" t="n"/>
      <c r="AF219" s="263" t="n"/>
      <c r="AG219" s="263" t="n"/>
      <c r="AH219" s="263" t="n"/>
      <c r="AI219" s="263" t="n"/>
      <c r="AJ219" s="263" t="n"/>
      <c r="AK219" s="263" t="n"/>
      <c r="AL219" s="121" t="n"/>
    </row>
    <row r="220">
      <c r="A220" s="121" t="n"/>
      <c r="B220" s="121" t="n"/>
      <c r="C220" s="121" t="n"/>
      <c r="D220" s="121" t="n"/>
      <c r="E220" s="123" t="n"/>
      <c r="F220" s="123" t="n"/>
      <c r="G220" s="123" t="n"/>
      <c r="H220" s="122" t="n"/>
      <c r="I220" s="122" t="n"/>
      <c r="J220" s="122" t="n"/>
      <c r="K220" s="123" t="n"/>
      <c r="L220" s="122" t="n"/>
      <c r="M220" s="265" t="n"/>
      <c r="N220" s="261" t="n"/>
      <c r="O220" s="265" t="n"/>
      <c r="P220" s="265" t="n"/>
      <c r="Q220" s="265" t="n"/>
      <c r="R220" s="257" t="n"/>
      <c r="S220" s="260" t="n"/>
      <c r="T220" s="260" t="n"/>
      <c r="U220" s="260" t="n"/>
      <c r="V220" s="260" t="n"/>
      <c r="W220" s="260" t="n"/>
      <c r="X220" s="260" t="n"/>
      <c r="Y220" s="260" t="n"/>
      <c r="Z220" s="265" t="n"/>
      <c r="AA220" s="263" t="n"/>
      <c r="AB220" s="263" t="n"/>
      <c r="AC220" s="263" t="n"/>
      <c r="AD220" s="263" t="n"/>
      <c r="AE220" s="263" t="n"/>
      <c r="AF220" s="263" t="n"/>
      <c r="AG220" s="263" t="n"/>
      <c r="AH220" s="263" t="n"/>
      <c r="AI220" s="263" t="n"/>
      <c r="AJ220" s="263" t="n"/>
      <c r="AK220" s="263" t="n"/>
      <c r="AL220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2026-04-22T14:53:57Z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