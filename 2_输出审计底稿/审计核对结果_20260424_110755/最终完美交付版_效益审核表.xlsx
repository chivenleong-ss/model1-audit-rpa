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0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77" authorId="1" shapeId="0">
      <text>
        <t xml:space="preserve">**同财务账面合同履约成本/工程施工成本/机械租赁费数据一致**
</t>
      </text>
    </comment>
    <comment ref="M185" authorId="0" shapeId="0">
      <text>
        <t>于:
**同财务账面合同履约成本/工程施工成本其他直接费数据一致**</t>
      </text>
    </comment>
    <comment ref="M230" authorId="1" shapeId="0">
      <text>
        <t>**同财务账面合同履约成本/工程施工成本/间接费数据一致**</t>
      </text>
    </comment>
    <comment ref="D236" authorId="2" shapeId="0">
      <text>
        <t>（在建：房建0.6%，其它0.4%；在保修期间的按0.3~0.5%自行确定;保修期结束为0）</t>
      </text>
    </comment>
    <comment ref="E246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47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0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6" t="n"/>
      <c r="B7" s="267" t="inlineStr">
        <is>
          <t>客商编码</t>
        </is>
      </c>
      <c r="C7" s="267" t="inlineStr">
        <is>
          <t>合同编码</t>
        </is>
      </c>
      <c r="D7" s="268" t="inlineStr">
        <is>
          <t>客商名称</t>
        </is>
      </c>
      <c r="E7" s="269" t="inlineStr">
        <is>
          <t>主要工作内容</t>
        </is>
      </c>
      <c r="F7" s="269" t="inlineStr">
        <is>
          <t>是否办理最终结算</t>
        </is>
      </c>
      <c r="G7" s="270" t="inlineStr">
        <is>
          <t>最终结算时间</t>
        </is>
      </c>
      <c r="H7" s="271" t="inlineStr">
        <is>
          <t>商务、物资确认</t>
        </is>
      </c>
      <c r="I7" s="266" t="n"/>
      <c r="J7" s="266" t="n"/>
      <c r="K7" s="266" t="n"/>
      <c r="L7" s="266" t="n"/>
      <c r="M7" s="272" t="inlineStr">
        <is>
          <t>财务确认</t>
        </is>
      </c>
      <c r="N7" s="266" t="n"/>
      <c r="O7" s="266" t="n"/>
      <c r="P7" s="266" t="n"/>
      <c r="Q7" s="266" t="n"/>
      <c r="R7" s="266" t="n"/>
      <c r="S7" s="273" t="inlineStr">
        <is>
          <t>债务情况</t>
        </is>
      </c>
      <c r="T7" s="266" t="n"/>
      <c r="U7" s="266" t="n"/>
      <c r="V7" s="266" t="n"/>
      <c r="W7" s="266" t="n"/>
      <c r="X7" s="266" t="n"/>
      <c r="Y7" s="266" t="n"/>
      <c r="Z7" s="274" t="inlineStr">
        <is>
          <t>税务情况</t>
        </is>
      </c>
      <c r="AA7" s="266" t="n"/>
      <c r="AB7" s="266" t="n"/>
      <c r="AC7" s="266" t="n"/>
      <c r="AD7" s="266" t="n"/>
      <c r="AE7" s="266" t="n"/>
      <c r="AF7" s="266" t="n"/>
      <c r="AG7" s="266" t="n"/>
      <c r="AH7" s="266" t="n"/>
      <c r="AI7" s="266" t="n"/>
      <c r="AJ7" s="266" t="n"/>
      <c r="AK7" s="266" t="n"/>
      <c r="AL7" s="266" t="n"/>
    </row>
    <row r="8" ht="14" customHeight="1" s="159">
      <c r="A8" s="266" t="n"/>
      <c r="B8" s="266" t="n"/>
      <c r="C8" s="266" t="n"/>
      <c r="D8" s="266" t="n"/>
      <c r="E8" s="266" t="n"/>
      <c r="F8" s="266" t="n"/>
      <c r="G8" s="266" t="n"/>
      <c r="H8" s="271" t="inlineStr">
        <is>
          <t>商务已结(含税)</t>
        </is>
      </c>
      <c r="I8" s="271" t="inlineStr">
        <is>
          <t>截止目前应结未结(含税)</t>
        </is>
      </c>
      <c r="J8" s="271" t="inlineStr">
        <is>
          <t>实际诶计成本(含税)</t>
        </is>
      </c>
      <c r="K8" s="269" t="inlineStr">
        <is>
          <t>累计成本可抵扣增值税税金</t>
        </is>
      </c>
      <c r="L8" s="269" t="inlineStr">
        <is>
          <t>实际累计成本
（不含可抵扣税金）</t>
        </is>
      </c>
      <c r="M8" s="275" t="inlineStr">
        <is>
          <t>截止目前财务已入账成本（不含增值税）
**同财务账面合同履约成本/工程施工成本一致**</t>
        </is>
      </c>
      <c r="N8" s="275" t="inlineStr">
        <is>
          <t>已价税分离的增值税金
（财务账面数据）</t>
        </is>
      </c>
      <c r="O8" s="275" t="inlineStr">
        <is>
          <t>应入未入账成本（不含增值税）</t>
        </is>
      </c>
      <c r="P8" s="275" t="inlineStr">
        <is>
          <t>尚未价税分离的增值税金</t>
        </is>
      </c>
      <c r="Q8" s="275" t="inlineStr">
        <is>
          <t>实际成本
（不含增值税）</t>
        </is>
      </c>
      <c r="R8" s="275" t="inlineStr">
        <is>
          <t>实际成本
（含增值税）</t>
        </is>
      </c>
      <c r="S8" s="276" t="inlineStr">
        <is>
          <t>累计付款</t>
        </is>
      </c>
      <c r="T8" s="276" t="inlineStr">
        <is>
          <t>其中：财务账面已列报付款</t>
        </is>
      </c>
      <c r="U8" s="276" t="inlineStr">
        <is>
          <t>其中：已办理供应链或票据背书未入账付款</t>
        </is>
      </c>
      <c r="V8" s="276" t="inlineStr">
        <is>
          <t>其中：其他未入账付款</t>
        </is>
      </c>
      <c r="W8" s="276" t="inlineStr">
        <is>
          <t>债务总额</t>
        </is>
      </c>
      <c r="X8" s="276" t="inlineStr">
        <is>
          <t>其中：应付总额</t>
        </is>
      </c>
      <c r="Y8" s="276" t="inlineStr">
        <is>
          <t>是否已取得对账单
（以取得双方用印对账单为准）</t>
        </is>
      </c>
      <c r="Z8" s="277" t="inlineStr">
        <is>
          <t>累计已收取发票（含税）</t>
        </is>
      </c>
      <c r="AA8" s="277" t="inlineStr">
        <is>
          <t>其中：累计已收取营业税发票额</t>
        </is>
      </c>
      <c r="AB8" s="277" t="inlineStr">
        <is>
          <t>其中：累计已收取增值税发票额</t>
        </is>
      </c>
      <c r="AC8" s="277" t="inlineStr">
        <is>
          <t>其中：营业税及增值税预缴时已抵扣发票额</t>
        </is>
      </c>
      <c r="AD8" s="277" t="inlineStr">
        <is>
          <t>已收取增值税发票对应税额</t>
        </is>
      </c>
      <c r="AE8" s="277" t="inlineStr">
        <is>
          <t>其中：已认证税额</t>
        </is>
      </c>
      <c r="AF8" s="277" t="inlineStr">
        <is>
          <t>已收取待认证税额</t>
        </is>
      </c>
      <c r="AG8" s="277" t="n"/>
      <c r="AH8" s="277" t="inlineStr">
        <is>
          <t>按结算未收取发票额</t>
        </is>
      </c>
      <c r="AI8" s="277" t="inlineStr">
        <is>
          <t>按付款未收取发票额</t>
        </is>
      </c>
      <c r="AJ8" s="277" t="inlineStr">
        <is>
          <t>当前适用税率</t>
        </is>
      </c>
      <c r="AK8" s="277" t="inlineStr">
        <is>
          <t>其他应收-待扣减税额</t>
        </is>
      </c>
      <c r="AL8" s="2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8" t="n"/>
      <c r="B10" s="278" t="n">
        <v>1</v>
      </c>
      <c r="C10" s="278" t="n">
        <v>2</v>
      </c>
      <c r="D10" s="278" t="n">
        <v>3</v>
      </c>
      <c r="E10" s="278" t="n">
        <v>4</v>
      </c>
      <c r="F10" s="278" t="n">
        <v>5</v>
      </c>
      <c r="G10" s="278" t="n">
        <v>6</v>
      </c>
      <c r="H10" s="278" t="n">
        <v>7</v>
      </c>
      <c r="I10" s="278" t="n">
        <v>8</v>
      </c>
      <c r="J10" s="278" t="inlineStr">
        <is>
          <t>9=7+8</t>
        </is>
      </c>
      <c r="K10" s="278" t="n">
        <v>10</v>
      </c>
      <c r="L10" s="278" t="inlineStr">
        <is>
          <t>11=9-10</t>
        </is>
      </c>
      <c r="M10" s="278" t="n">
        <v>12</v>
      </c>
      <c r="N10" s="278" t="n">
        <v>13</v>
      </c>
      <c r="O10" s="278" t="inlineStr">
        <is>
          <t>14=11-12</t>
        </is>
      </c>
      <c r="P10" s="278" t="inlineStr">
        <is>
          <t>15=10-13</t>
        </is>
      </c>
      <c r="Q10" s="278" t="inlineStr">
        <is>
          <t>16=12+14</t>
        </is>
      </c>
      <c r="R10" s="278" t="inlineStr">
        <is>
          <t>17=12+13+14+15</t>
        </is>
      </c>
      <c r="S10" s="278" t="n">
        <v>18</v>
      </c>
      <c r="T10" s="278" t="n">
        <v>19</v>
      </c>
      <c r="U10" s="278" t="n">
        <v>20</v>
      </c>
      <c r="V10" s="278" t="n">
        <v>21</v>
      </c>
      <c r="W10" s="278" t="n">
        <v>22</v>
      </c>
      <c r="X10" s="278" t="n">
        <v>23</v>
      </c>
      <c r="Y10" s="278" t="n">
        <v>24</v>
      </c>
      <c r="Z10" s="278" t="n">
        <v>25</v>
      </c>
      <c r="AA10" s="278" t="n">
        <v>26</v>
      </c>
      <c r="AB10" s="278" t="n">
        <v>27</v>
      </c>
      <c r="AC10" s="278" t="n">
        <v>28</v>
      </c>
      <c r="AD10" s="278" t="n">
        <v>29</v>
      </c>
      <c r="AE10" s="278" t="n">
        <v>30</v>
      </c>
      <c r="AF10" s="278" t="n">
        <v>31</v>
      </c>
      <c r="AG10" s="278" t="n">
        <v>32</v>
      </c>
      <c r="AH10" s="278" t="n">
        <v>33</v>
      </c>
      <c r="AI10" s="278" t="n">
        <v>34</v>
      </c>
      <c r="AJ10" s="278" t="n">
        <v>35</v>
      </c>
      <c r="AK10" s="278" t="n">
        <v>36</v>
      </c>
      <c r="AL10" s="266" t="n"/>
    </row>
    <row r="11" ht="14" customFormat="1" customHeight="1" s="180">
      <c r="A11" s="279" t="n"/>
      <c r="B11" s="280" t="n"/>
      <c r="C11" s="280" t="n"/>
      <c r="D11" s="281" t="inlineStr">
        <is>
          <t>二、成本</t>
        </is>
      </c>
      <c r="E11" s="280" t="n"/>
      <c r="F11" s="280" t="n"/>
      <c r="G11" s="280" t="n"/>
      <c r="H11" s="282" t="n"/>
      <c r="I11" s="282" t="n"/>
      <c r="J11" s="282" t="n"/>
      <c r="K11" s="283" t="n"/>
      <c r="L11" s="284" t="n"/>
      <c r="M11" s="285" t="n"/>
      <c r="N11" s="285" t="n"/>
      <c r="O11" s="282">
        <f>L11-M11</f>
        <v/>
      </c>
      <c r="P11" s="282">
        <f>K11-N11</f>
        <v/>
      </c>
      <c r="Q11" s="282">
        <f>M11+O11</f>
        <v/>
      </c>
      <c r="R11" s="282">
        <f>M11+N11+O11+P11</f>
        <v/>
      </c>
      <c r="S11" s="286">
        <f>SUM(T11:V11)</f>
        <v/>
      </c>
      <c r="T11" s="286" t="n"/>
      <c r="U11" s="286" t="n"/>
      <c r="V11" s="286" t="n"/>
      <c r="W11" s="286" t="n"/>
      <c r="X11" s="286" t="n"/>
      <c r="Y11" s="286" t="n"/>
      <c r="Z11" s="286" t="n"/>
      <c r="AA11" s="286" t="n"/>
      <c r="AB11" s="286" t="n"/>
      <c r="AC11" s="286" t="n"/>
      <c r="AD11" s="286" t="n"/>
      <c r="AE11" s="286" t="n"/>
      <c r="AF11" s="286" t="n"/>
      <c r="AG11" s="286" t="n"/>
      <c r="AH11" s="286" t="n"/>
      <c r="AI11" s="286" t="n"/>
      <c r="AJ11" s="286" t="n"/>
      <c r="AK11" s="287">
        <f>AB11/1.17*0.17+AC11/1.16*0.16+AD11/1.11*0.11+AE11/1.1*0.1+AF11/1.09*0.09+AI11/1.03*0.03</f>
        <v/>
      </c>
      <c r="AL11" s="288" t="n"/>
    </row>
    <row r="12" ht="14" customFormat="1" customHeight="1" s="180">
      <c r="A12" s="279" t="n"/>
      <c r="B12" s="280" t="n"/>
      <c r="C12" s="280" t="n"/>
      <c r="D12" s="289" t="inlineStr">
        <is>
          <t>（一）人工费</t>
        </is>
      </c>
      <c r="E12" s="280" t="n"/>
      <c r="F12" s="280" t="n"/>
      <c r="G12" s="280" t="n"/>
      <c r="H12" s="282" t="n"/>
      <c r="I12" s="282" t="n"/>
      <c r="J12" s="282" t="n"/>
      <c r="K12" s="283" t="n"/>
      <c r="L12" s="284" t="n"/>
      <c r="M12" s="285" t="n"/>
      <c r="N12" s="285" t="n"/>
      <c r="O12" s="282">
        <f>L12-M12</f>
        <v/>
      </c>
      <c r="P12" s="282">
        <f>K12-N12</f>
        <v/>
      </c>
      <c r="Q12" s="282">
        <f>M12+O12</f>
        <v/>
      </c>
      <c r="R12" s="282">
        <f>M12+N12+O12+P12</f>
        <v/>
      </c>
      <c r="S12" s="286">
        <f>SUM(T12:V12)</f>
        <v/>
      </c>
      <c r="T12" s="287" t="n"/>
      <c r="U12" s="287" t="n"/>
      <c r="V12" s="287" t="n"/>
      <c r="W12" s="287" t="n"/>
      <c r="X12" s="287" t="n"/>
      <c r="Y12" s="287" t="n"/>
      <c r="Z12" s="287" t="n"/>
      <c r="AA12" s="286" t="n"/>
      <c r="AB12" s="286" t="n"/>
      <c r="AC12" s="286" t="n"/>
      <c r="AD12" s="286" t="n"/>
      <c r="AE12" s="286" t="n"/>
      <c r="AF12" s="286" t="n"/>
      <c r="AG12" s="286" t="n"/>
      <c r="AH12" s="286" t="n"/>
      <c r="AI12" s="286" t="n"/>
      <c r="AJ12" s="286" t="n"/>
      <c r="AK12" s="287">
        <f>AB12/1.17*0.17+AC12/1.16*0.16+AD12/1.11*0.11+AE12/1.1*0.1+AF12/1.09*0.09+AI12/1.03*0.03</f>
        <v/>
      </c>
      <c r="AL12" s="288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90" t="n"/>
      <c r="X13" s="290" t="n"/>
      <c r="Y13" s="290" t="n"/>
      <c r="Z13" s="290" t="n"/>
      <c r="AA13" s="290" t="n"/>
      <c r="AB13" s="290" t="n"/>
      <c r="AC13" s="290" t="n"/>
      <c r="AD13" s="290" t="n"/>
      <c r="AE13" s="290" t="n"/>
      <c r="AF13" s="290" t="n"/>
      <c r="AG13" s="290" t="n"/>
      <c r="AH13" s="290" t="n"/>
      <c r="AI13" s="290" t="n"/>
      <c r="AJ13" s="290" t="n"/>
      <c r="AK13" s="290" t="n"/>
      <c r="AL13" s="290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90" t="n"/>
      <c r="X14" s="290" t="n"/>
      <c r="Y14" s="290" t="n"/>
      <c r="Z14" s="290" t="n"/>
      <c r="AA14" s="290" t="n"/>
      <c r="AB14" s="290" t="n"/>
      <c r="AC14" s="290" t="n"/>
      <c r="AD14" s="290" t="n"/>
      <c r="AE14" s="290" t="n"/>
      <c r="AF14" s="290" t="n"/>
      <c r="AG14" s="290" t="n"/>
      <c r="AH14" s="290" t="n"/>
      <c r="AI14" s="290" t="n"/>
      <c r="AJ14" s="290" t="n"/>
      <c r="AK14" s="290" t="n"/>
      <c r="AL14" s="290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90" t="n"/>
      <c r="AH15" s="290" t="n"/>
      <c r="AI15" s="290" t="n"/>
      <c r="AJ15" s="290" t="n"/>
      <c r="AK15" s="290" t="n"/>
      <c r="AL15" s="290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90" t="n"/>
      <c r="X16" s="290" t="n"/>
      <c r="Y16" s="290" t="n"/>
      <c r="Z16" s="290" t="n"/>
      <c r="AA16" s="290" t="n"/>
      <c r="AB16" s="290" t="n"/>
      <c r="AC16" s="290" t="n"/>
      <c r="AD16" s="290" t="n"/>
      <c r="AE16" s="290" t="n"/>
      <c r="AF16" s="290" t="n"/>
      <c r="AG16" s="290" t="n"/>
      <c r="AH16" s="290" t="n"/>
      <c r="AI16" s="290" t="n"/>
      <c r="AJ16" s="290" t="n"/>
      <c r="AK16" s="290" t="n"/>
      <c r="AL16" s="290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90" t="n"/>
      <c r="X17" s="290" t="n"/>
      <c r="Y17" s="290" t="n"/>
      <c r="Z17" s="290" t="n"/>
      <c r="AA17" s="290" t="n"/>
      <c r="AB17" s="290" t="n"/>
      <c r="AC17" s="290" t="n"/>
      <c r="AD17" s="290" t="n"/>
      <c r="AE17" s="290" t="n"/>
      <c r="AF17" s="290" t="n"/>
      <c r="AG17" s="290" t="n"/>
      <c r="AH17" s="290" t="n"/>
      <c r="AI17" s="290" t="n"/>
      <c r="AJ17" s="290" t="n"/>
      <c r="AK17" s="290" t="n"/>
      <c r="AL17" s="290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90" t="n"/>
      <c r="X18" s="290" t="n"/>
      <c r="Y18" s="290" t="n"/>
      <c r="Z18" s="290" t="n"/>
      <c r="AA18" s="290" t="n"/>
      <c r="AB18" s="290" t="n"/>
      <c r="AC18" s="290" t="n"/>
      <c r="AD18" s="290" t="n"/>
      <c r="AE18" s="290" t="n"/>
      <c r="AF18" s="290" t="n"/>
      <c r="AG18" s="290" t="n"/>
      <c r="AH18" s="290" t="n"/>
      <c r="AI18" s="290" t="n"/>
      <c r="AJ18" s="290" t="n"/>
      <c r="AK18" s="290" t="n"/>
      <c r="AL18" s="290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90" t="n"/>
      <c r="X19" s="290" t="n"/>
      <c r="Y19" s="290" t="n"/>
      <c r="Z19" s="290" t="n"/>
      <c r="AA19" s="290" t="n"/>
      <c r="AB19" s="290" t="n"/>
      <c r="AC19" s="290" t="n"/>
      <c r="AD19" s="290" t="n"/>
      <c r="AE19" s="290" t="n"/>
      <c r="AF19" s="290" t="n"/>
      <c r="AG19" s="290" t="n"/>
      <c r="AH19" s="290" t="n"/>
      <c r="AI19" s="290" t="n"/>
      <c r="AJ19" s="290" t="n"/>
      <c r="AK19" s="290" t="n"/>
      <c r="AL19" s="290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90" t="n"/>
      <c r="X20" s="290" t="n"/>
      <c r="Y20" s="290" t="n"/>
      <c r="Z20" s="290" t="n"/>
      <c r="AA20" s="290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 t="n"/>
      <c r="AL20" s="290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90" t="n"/>
      <c r="X21" s="290" t="n"/>
      <c r="Y21" s="290" t="n"/>
      <c r="Z21" s="290" t="n"/>
      <c r="AA21" s="290" t="n"/>
      <c r="AB21" s="290" t="n"/>
      <c r="AC21" s="290" t="n"/>
      <c r="AD21" s="290" t="n"/>
      <c r="AE21" s="290" t="n"/>
      <c r="AF21" s="290" t="n"/>
      <c r="AG21" s="290" t="n"/>
      <c r="AH21" s="290" t="n"/>
      <c r="AI21" s="290" t="n"/>
      <c r="AJ21" s="290" t="n"/>
      <c r="AK21" s="290" t="n"/>
      <c r="AL21" s="290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90" t="n"/>
      <c r="X22" s="290" t="n"/>
      <c r="Y22" s="290" t="n"/>
      <c r="Z22" s="290" t="n"/>
      <c r="AA22" s="290" t="n"/>
      <c r="AB22" s="290" t="n"/>
      <c r="AC22" s="290" t="n"/>
      <c r="AD22" s="290" t="n"/>
      <c r="AE22" s="290" t="n"/>
      <c r="AF22" s="290" t="n"/>
      <c r="AG22" s="290" t="n"/>
      <c r="AH22" s="290" t="n"/>
      <c r="AI22" s="290" t="n"/>
      <c r="AJ22" s="290" t="n"/>
      <c r="AK22" s="290" t="n"/>
      <c r="AL22" s="290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90" t="n"/>
      <c r="X23" s="290" t="n"/>
      <c r="Y23" s="290" t="n"/>
      <c r="Z23" s="290" t="n"/>
      <c r="AA23" s="290" t="n"/>
      <c r="AB23" s="290" t="n"/>
      <c r="AC23" s="290" t="n"/>
      <c r="AD23" s="290" t="n"/>
      <c r="AE23" s="290" t="n"/>
      <c r="AF23" s="290" t="n"/>
      <c r="AG23" s="290" t="n"/>
      <c r="AH23" s="290" t="n"/>
      <c r="AI23" s="290" t="n"/>
      <c r="AJ23" s="290" t="n"/>
      <c r="AK23" s="290" t="n"/>
      <c r="AL23" s="290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90" t="n"/>
      <c r="X24" s="290" t="n"/>
      <c r="Y24" s="290" t="n"/>
      <c r="Z24" s="290" t="n"/>
      <c r="AA24" s="290" t="n"/>
      <c r="AB24" s="290" t="n"/>
      <c r="AC24" s="290" t="n"/>
      <c r="AD24" s="290" t="n"/>
      <c r="AE24" s="290" t="n"/>
      <c r="AF24" s="290" t="n"/>
      <c r="AG24" s="290" t="n"/>
      <c r="AH24" s="290" t="n"/>
      <c r="AI24" s="290" t="n"/>
      <c r="AJ24" s="290" t="n"/>
      <c r="AK24" s="290" t="n"/>
      <c r="AL24" s="290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90" t="n"/>
      <c r="X25" s="290" t="n"/>
      <c r="Y25" s="290" t="n"/>
      <c r="Z25" s="290" t="n"/>
      <c r="AA25" s="290" t="n"/>
      <c r="AB25" s="290" t="n"/>
      <c r="AC25" s="290" t="n"/>
      <c r="AD25" s="290" t="n"/>
      <c r="AE25" s="290" t="n"/>
      <c r="AF25" s="290" t="n"/>
      <c r="AG25" s="290" t="n"/>
      <c r="AH25" s="290" t="n"/>
      <c r="AI25" s="290" t="n"/>
      <c r="AJ25" s="290" t="n"/>
      <c r="AK25" s="290" t="n"/>
      <c r="AL25" s="290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90" t="n"/>
      <c r="X26" s="290" t="n"/>
      <c r="Y26" s="290" t="n"/>
      <c r="Z26" s="290" t="n"/>
      <c r="AA26" s="290" t="n"/>
      <c r="AB26" s="290" t="n"/>
      <c r="AC26" s="290" t="n"/>
      <c r="AD26" s="290" t="n"/>
      <c r="AE26" s="290" t="n"/>
      <c r="AF26" s="290" t="n"/>
      <c r="AG26" s="290" t="n"/>
      <c r="AH26" s="290" t="n"/>
      <c r="AI26" s="290" t="n"/>
      <c r="AJ26" s="290" t="n"/>
      <c r="AK26" s="290" t="n"/>
      <c r="AL26" s="290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0" t="n"/>
      <c r="X27" s="290" t="n"/>
      <c r="Y27" s="290" t="n"/>
      <c r="Z27" s="290" t="n"/>
      <c r="AA27" s="290" t="n"/>
      <c r="AB27" s="290" t="n"/>
      <c r="AC27" s="290" t="n"/>
      <c r="AD27" s="290" t="n"/>
      <c r="AE27" s="290" t="n"/>
      <c r="AF27" s="290" t="n"/>
      <c r="AG27" s="290" t="n"/>
      <c r="AH27" s="290" t="n"/>
      <c r="AI27" s="290" t="n"/>
      <c r="AJ27" s="290" t="n"/>
      <c r="AK27" s="290" t="n"/>
      <c r="AL27" s="290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0" t="n"/>
      <c r="X28" s="290" t="n"/>
      <c r="Y28" s="290" t="n"/>
      <c r="Z28" s="290" t="n"/>
      <c r="AA28" s="290" t="n"/>
      <c r="AB28" s="290" t="n"/>
      <c r="AC28" s="290" t="n"/>
      <c r="AD28" s="290" t="n"/>
      <c r="AE28" s="290" t="n"/>
      <c r="AF28" s="290" t="n"/>
      <c r="AG28" s="290" t="n"/>
      <c r="AH28" s="290" t="n"/>
      <c r="AI28" s="290" t="n"/>
      <c r="AJ28" s="290" t="n"/>
      <c r="AK28" s="290" t="n"/>
      <c r="AL28" s="290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0" t="n"/>
      <c r="X29" s="290" t="n"/>
      <c r="Y29" s="290" t="n"/>
      <c r="Z29" s="290" t="n"/>
      <c r="AA29" s="290" t="n"/>
      <c r="AB29" s="290" t="n"/>
      <c r="AC29" s="290" t="n"/>
      <c r="AD29" s="290" t="n"/>
      <c r="AE29" s="290" t="n"/>
      <c r="AF29" s="290" t="n"/>
      <c r="AG29" s="290" t="n"/>
      <c r="AH29" s="290" t="n"/>
      <c r="AI29" s="290" t="n"/>
      <c r="AJ29" s="290" t="n"/>
      <c r="AK29" s="290" t="n"/>
      <c r="AL29" s="290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0" t="n"/>
      <c r="X30" s="290" t="n"/>
      <c r="Y30" s="290" t="n"/>
      <c r="Z30" s="290" t="n"/>
      <c r="AA30" s="290" t="n"/>
      <c r="AB30" s="290" t="n"/>
      <c r="AC30" s="290" t="n"/>
      <c r="AD30" s="290" t="n"/>
      <c r="AE30" s="290" t="n"/>
      <c r="AF30" s="290" t="n"/>
      <c r="AG30" s="290" t="n"/>
      <c r="AH30" s="290" t="n"/>
      <c r="AI30" s="290" t="n"/>
      <c r="AJ30" s="290" t="n"/>
      <c r="AK30" s="290" t="n"/>
      <c r="AL30" s="290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0" t="n"/>
      <c r="X31" s="290" t="n"/>
      <c r="Y31" s="290" t="n"/>
      <c r="Z31" s="290" t="n"/>
      <c r="AA31" s="290" t="n"/>
      <c r="AB31" s="290" t="n"/>
      <c r="AC31" s="290" t="n"/>
      <c r="AD31" s="290" t="n"/>
      <c r="AE31" s="290" t="n"/>
      <c r="AF31" s="290" t="n"/>
      <c r="AG31" s="290" t="n"/>
      <c r="AH31" s="290" t="n"/>
      <c r="AI31" s="290" t="n"/>
      <c r="AJ31" s="290" t="n"/>
      <c r="AK31" s="290" t="n"/>
      <c r="AL31" s="290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0" t="n"/>
      <c r="X32" s="290" t="n"/>
      <c r="Y32" s="290" t="n"/>
      <c r="Z32" s="290" t="n"/>
      <c r="AA32" s="290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 t="n"/>
      <c r="AL32" s="290" t="n"/>
    </row>
    <row r="33" ht="14" customFormat="1" customHeight="1" s="180">
      <c r="A33" s="279" t="n"/>
      <c r="B33" s="280" t="n"/>
      <c r="C33" s="280" t="n"/>
      <c r="D33" s="291" t="inlineStr">
        <is>
          <t>**财务未列部分需增列***</t>
        </is>
      </c>
      <c r="E33" s="292" t="n"/>
      <c r="F33" s="292" t="n"/>
      <c r="G33" s="292" t="n"/>
      <c r="H33" s="282" t="n"/>
      <c r="I33" s="282" t="n"/>
      <c r="J33" s="282" t="n"/>
      <c r="K33" s="283" t="n"/>
      <c r="L33" s="284" t="n"/>
      <c r="M33" s="282" t="n"/>
      <c r="N33" s="282" t="n"/>
      <c r="O33" s="282">
        <f>L33-M33</f>
        <v/>
      </c>
      <c r="P33" s="282">
        <f>K33-N33</f>
        <v/>
      </c>
      <c r="Q33" s="282">
        <f>M33+O33</f>
        <v/>
      </c>
      <c r="R33" s="282">
        <f>M33+N33+O33+P33</f>
        <v/>
      </c>
      <c r="S33" s="286">
        <f>SUM(T33:V33)</f>
        <v/>
      </c>
      <c r="T33" s="282" t="n"/>
      <c r="U33" s="282" t="n"/>
      <c r="V33" s="282" t="n"/>
      <c r="W33" s="282" t="n"/>
      <c r="X33" s="282" t="n"/>
      <c r="Y33" s="282" t="n"/>
      <c r="Z33" s="282">
        <f>SUM(AA16:AJ16)</f>
        <v/>
      </c>
      <c r="AA33" s="293" t="n"/>
      <c r="AB33" s="287" t="n"/>
      <c r="AC33" s="287" t="n"/>
      <c r="AD33" s="287" t="n"/>
      <c r="AE33" s="287" t="n"/>
      <c r="AF33" s="287" t="n"/>
      <c r="AG33" s="287" t="n"/>
      <c r="AH33" s="287" t="n"/>
      <c r="AI33" s="287" t="n"/>
      <c r="AJ33" s="287" t="n"/>
      <c r="AK33" s="287">
        <f>AB16/1.17*0.17+AC16/1.16*0.16+AD16/1.11*0.11+AE16/1.1*0.1+AF16/1.09*0.09+AI16/1.03*0.03</f>
        <v/>
      </c>
      <c r="AL33" s="294" t="n"/>
    </row>
    <row r="34" ht="14" customFormat="1" customHeight="1" s="180">
      <c r="A34" s="295" t="n"/>
      <c r="B34" s="296" t="n"/>
      <c r="C34" s="296" t="n"/>
      <c r="D34" s="297" t="inlineStr">
        <is>
          <t>人工费小计：</t>
        </is>
      </c>
      <c r="E34" s="298">
        <f>SUM(E12:E33)</f>
        <v/>
      </c>
      <c r="F34" s="298">
        <f>SUM(F12:F33)</f>
        <v/>
      </c>
      <c r="G34" s="298">
        <f>SUM(G12:G33)</f>
        <v/>
      </c>
      <c r="H34" s="298">
        <f>SUM(H12:H33)</f>
        <v/>
      </c>
      <c r="I34" s="298">
        <f>SUM(I12:I33)</f>
        <v/>
      </c>
      <c r="J34" s="298">
        <f>SUM(J12:J33)</f>
        <v/>
      </c>
      <c r="K34" s="298">
        <f>SUM(K12:K33)</f>
        <v/>
      </c>
      <c r="L34" s="298">
        <f>SUM(L12:L33)</f>
        <v/>
      </c>
      <c r="M34" s="298">
        <f>SUM(M12:M33)</f>
        <v/>
      </c>
      <c r="N34" s="298">
        <f>SUM(N12:N33)</f>
        <v/>
      </c>
      <c r="O34" s="298">
        <f>SUM(O12:O33)</f>
        <v/>
      </c>
      <c r="P34" s="298">
        <f>SUM(P12:P33)</f>
        <v/>
      </c>
      <c r="Q34" s="298">
        <f>SUM(Q12:Q33)</f>
        <v/>
      </c>
      <c r="R34" s="298">
        <f>SUM(R12:R33)</f>
        <v/>
      </c>
      <c r="S34" s="298">
        <f>SUM(S12:S33)</f>
        <v/>
      </c>
      <c r="T34" s="298">
        <f>SUM(T12:T33)</f>
        <v/>
      </c>
      <c r="U34" s="298">
        <f>SUM(U12:U33)</f>
        <v/>
      </c>
      <c r="V34" s="298">
        <f>SUM(V12:V33)</f>
        <v/>
      </c>
      <c r="W34" s="298">
        <f>SUM(W12:W33)</f>
        <v/>
      </c>
      <c r="X34" s="298">
        <f>SUM(X12:X33)</f>
        <v/>
      </c>
      <c r="Y34" s="298">
        <f>SUM(Y12:Y33)</f>
        <v/>
      </c>
      <c r="Z34" s="298">
        <f>SUM(Z12:Z33)</f>
        <v/>
      </c>
      <c r="AA34" s="298">
        <f>SUM(AA12:AA33)</f>
        <v/>
      </c>
      <c r="AB34" s="298">
        <f>SUM(AB12:AB33)</f>
        <v/>
      </c>
      <c r="AC34" s="298">
        <f>SUM(AC12:AC33)</f>
        <v/>
      </c>
      <c r="AD34" s="298">
        <f>SUM(AD12:AD33)</f>
        <v/>
      </c>
      <c r="AE34" s="298">
        <f>SUM(AE12:AE33)</f>
        <v/>
      </c>
      <c r="AF34" s="298">
        <f>SUM(AF12:AF33)</f>
        <v/>
      </c>
      <c r="AG34" s="298">
        <f>SUM(AG12:AG33)</f>
        <v/>
      </c>
      <c r="AH34" s="298">
        <f>SUM(AH12:AH33)</f>
        <v/>
      </c>
      <c r="AI34" s="298">
        <f>SUM(AI12:AI33)</f>
        <v/>
      </c>
      <c r="AJ34" s="298">
        <f>SUM(AJ12:AJ33)</f>
        <v/>
      </c>
      <c r="AK34" s="298">
        <f>SUM(AK12:AK33)</f>
        <v/>
      </c>
      <c r="AL34" s="288" t="n"/>
    </row>
    <row r="35" ht="14" customFormat="1" customHeight="1" s="180">
      <c r="A35" s="279" t="n"/>
      <c r="B35" s="280" t="n"/>
      <c r="C35" s="280" t="n"/>
      <c r="D35" s="299" t="inlineStr">
        <is>
          <t>（二）分包工程</t>
        </is>
      </c>
      <c r="E35" s="280" t="n"/>
      <c r="F35" s="280" t="n"/>
      <c r="G35" s="280" t="n"/>
      <c r="H35" s="282" t="n"/>
      <c r="I35" s="282" t="n"/>
      <c r="J35" s="282" t="n"/>
      <c r="K35" s="283" t="n"/>
      <c r="L35" s="284" t="n"/>
      <c r="M35" s="282" t="n"/>
      <c r="N35" s="282" t="n"/>
      <c r="O35" s="282">
        <f>L35-M35</f>
        <v/>
      </c>
      <c r="P35" s="282">
        <f>K35-N35</f>
        <v/>
      </c>
      <c r="Q35" s="282">
        <f>M35+O35</f>
        <v/>
      </c>
      <c r="R35" s="282">
        <f>M35+N35+O35+P35</f>
        <v/>
      </c>
      <c r="S35" s="286">
        <f>SUM(T35:V35)</f>
        <v/>
      </c>
      <c r="T35" s="286" t="n"/>
      <c r="U35" s="286" t="n"/>
      <c r="V35" s="286" t="n"/>
      <c r="W35" s="286" t="n"/>
      <c r="X35" s="286" t="n"/>
      <c r="Y35" s="286" t="n"/>
      <c r="Z35" s="286" t="n"/>
      <c r="AA35" s="286" t="n"/>
      <c r="AB35" s="286" t="n"/>
      <c r="AC35" s="286" t="n"/>
      <c r="AD35" s="286" t="n"/>
      <c r="AE35" s="286" t="n"/>
      <c r="AF35" s="286" t="n"/>
      <c r="AG35" s="286" t="n"/>
      <c r="AH35" s="286" t="n"/>
      <c r="AI35" s="286" t="n"/>
      <c r="AJ35" s="286" t="n"/>
      <c r="AK35" s="287">
        <f>AB18/1.17*0.17+AC18/1.16*0.16+AD18/1.11*0.11+AE18/1.1*0.1+AF18/1.09*0.09+AI18/1.03*0.03</f>
        <v/>
      </c>
      <c r="AL35" s="288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  <c r="W36" s="290" t="n"/>
      <c r="X36" s="290" t="n"/>
      <c r="Y36" s="290" t="n"/>
      <c r="Z36" s="290" t="n"/>
      <c r="AA36" s="290" t="n"/>
      <c r="AB36" s="290" t="n"/>
      <c r="AC36" s="290" t="n"/>
      <c r="AD36" s="290" t="n"/>
      <c r="AE36" s="290" t="n"/>
      <c r="AF36" s="290" t="n"/>
      <c r="AG36" s="290" t="n"/>
      <c r="AH36" s="290" t="n"/>
      <c r="AI36" s="290" t="n"/>
      <c r="AJ36" s="290" t="n"/>
      <c r="AK36" s="290" t="n"/>
      <c r="AL36" s="290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  <c r="W37" s="290" t="n"/>
      <c r="X37" s="290" t="n"/>
      <c r="Y37" s="290" t="n"/>
      <c r="Z37" s="290" t="n"/>
      <c r="AA37" s="290" t="n"/>
      <c r="AB37" s="290" t="n"/>
      <c r="AC37" s="290" t="n"/>
      <c r="AD37" s="290" t="n"/>
      <c r="AE37" s="290" t="n"/>
      <c r="AF37" s="290" t="n"/>
      <c r="AG37" s="290" t="n"/>
      <c r="AH37" s="290" t="n"/>
      <c r="AI37" s="290" t="n"/>
      <c r="AJ37" s="290" t="n"/>
      <c r="AK37" s="290" t="n"/>
      <c r="AL37" s="290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  <c r="W38" s="290" t="n"/>
      <c r="X38" s="290" t="n"/>
      <c r="Y38" s="290" t="n"/>
      <c r="Z38" s="290" t="n"/>
      <c r="AA38" s="290" t="n"/>
      <c r="AB38" s="290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  <c r="W39" s="290" t="n"/>
      <c r="X39" s="290" t="n"/>
      <c r="Y39" s="290" t="n"/>
      <c r="Z39" s="290" t="n"/>
      <c r="AA39" s="290" t="n"/>
      <c r="AB39" s="290" t="n"/>
      <c r="AC39" s="290" t="n"/>
      <c r="AD39" s="290" t="n"/>
      <c r="AE39" s="290" t="n"/>
      <c r="AF39" s="290" t="n"/>
      <c r="AG39" s="290" t="n"/>
      <c r="AH39" s="290" t="n"/>
      <c r="AI39" s="290" t="n"/>
      <c r="AJ39" s="290" t="n"/>
      <c r="AK39" s="290" t="n"/>
      <c r="AL39" s="290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  <c r="W40" s="290" t="n"/>
      <c r="X40" s="290" t="n"/>
      <c r="Y40" s="290" t="n"/>
      <c r="Z40" s="290" t="n"/>
      <c r="AA40" s="290" t="n"/>
      <c r="AB40" s="290" t="n"/>
      <c r="AC40" s="290" t="n"/>
      <c r="AD40" s="290" t="n"/>
      <c r="AE40" s="290" t="n"/>
      <c r="AF40" s="290" t="n"/>
      <c r="AG40" s="290" t="n"/>
      <c r="AH40" s="290" t="n"/>
      <c r="AI40" s="290" t="n"/>
      <c r="AJ40" s="290" t="n"/>
      <c r="AK40" s="290" t="n"/>
      <c r="AL40" s="290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  <c r="W41" s="290" t="n"/>
      <c r="X41" s="290" t="n"/>
      <c r="Y41" s="290" t="n"/>
      <c r="Z41" s="290" t="n"/>
      <c r="AA41" s="290" t="n"/>
      <c r="AB41" s="290" t="n"/>
      <c r="AC41" s="290" t="n"/>
      <c r="AD41" s="290" t="n"/>
      <c r="AE41" s="290" t="n"/>
      <c r="AF41" s="290" t="n"/>
      <c r="AG41" s="290" t="n"/>
      <c r="AH41" s="290" t="n"/>
      <c r="AI41" s="290" t="n"/>
      <c r="AJ41" s="290" t="n"/>
      <c r="AK41" s="290" t="n"/>
      <c r="AL41" s="290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  <c r="W42" s="290" t="n"/>
      <c r="X42" s="290" t="n"/>
      <c r="Y42" s="290" t="n"/>
      <c r="Z42" s="290" t="n"/>
      <c r="AA42" s="290" t="n"/>
      <c r="AB42" s="290" t="n"/>
      <c r="AC42" s="290" t="n"/>
      <c r="AD42" s="290" t="n"/>
      <c r="AE42" s="290" t="n"/>
      <c r="AF42" s="290" t="n"/>
      <c r="AG42" s="290" t="n"/>
      <c r="AH42" s="290" t="n"/>
      <c r="AI42" s="290" t="n"/>
      <c r="AJ42" s="290" t="n"/>
      <c r="AK42" s="290" t="n"/>
      <c r="AL42" s="290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  <c r="W43" s="290" t="n"/>
      <c r="X43" s="290" t="n"/>
      <c r="Y43" s="290" t="n"/>
      <c r="Z43" s="290" t="n"/>
      <c r="AA43" s="290" t="n"/>
      <c r="AB43" s="290" t="n"/>
      <c r="AC43" s="290" t="n"/>
      <c r="AD43" s="290" t="n"/>
      <c r="AE43" s="290" t="n"/>
      <c r="AF43" s="290" t="n"/>
      <c r="AG43" s="290" t="n"/>
      <c r="AH43" s="290" t="n"/>
      <c r="AI43" s="290" t="n"/>
      <c r="AJ43" s="290" t="n"/>
      <c r="AK43" s="290" t="n"/>
      <c r="AL43" s="290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  <c r="W44" s="290" t="n"/>
      <c r="X44" s="290" t="n"/>
      <c r="Y44" s="290" t="n"/>
      <c r="Z44" s="290" t="n"/>
      <c r="AA44" s="290" t="n"/>
      <c r="AB44" s="290" t="n"/>
      <c r="AC44" s="290" t="n"/>
      <c r="AD44" s="290" t="n"/>
      <c r="AE44" s="290" t="n"/>
      <c r="AF44" s="290" t="n"/>
      <c r="AG44" s="290" t="n"/>
      <c r="AH44" s="290" t="n"/>
      <c r="AI44" s="290" t="n"/>
      <c r="AJ44" s="290" t="n"/>
      <c r="AK44" s="290" t="n"/>
      <c r="AL44" s="290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  <c r="W45" s="290" t="n"/>
      <c r="X45" s="290" t="n"/>
      <c r="Y45" s="290" t="n"/>
      <c r="Z45" s="290" t="n"/>
      <c r="AA45" s="290" t="n"/>
      <c r="AB45" s="290" t="n"/>
      <c r="AC45" s="290" t="n"/>
      <c r="AD45" s="290" t="n"/>
      <c r="AE45" s="290" t="n"/>
      <c r="AF45" s="290" t="n"/>
      <c r="AG45" s="290" t="n"/>
      <c r="AH45" s="290" t="n"/>
      <c r="AI45" s="290" t="n"/>
      <c r="AJ45" s="290" t="n"/>
      <c r="AK45" s="290" t="n"/>
      <c r="AL45" s="290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  <c r="W46" s="290" t="n"/>
      <c r="X46" s="290" t="n"/>
      <c r="Y46" s="290" t="n"/>
      <c r="Z46" s="290" t="n"/>
      <c r="AA46" s="290" t="n"/>
      <c r="AB46" s="290" t="n"/>
      <c r="AC46" s="290" t="n"/>
      <c r="AD46" s="290" t="n"/>
      <c r="AE46" s="290" t="n"/>
      <c r="AF46" s="290" t="n"/>
      <c r="AG46" s="290" t="n"/>
      <c r="AH46" s="290" t="n"/>
      <c r="AI46" s="290" t="n"/>
      <c r="AJ46" s="290" t="n"/>
      <c r="AK46" s="290" t="n"/>
      <c r="AL46" s="290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  <c r="W47" s="290" t="n"/>
      <c r="X47" s="290" t="n"/>
      <c r="Y47" s="290" t="n"/>
      <c r="Z47" s="290" t="n"/>
      <c r="AA47" s="290" t="n"/>
      <c r="AB47" s="290" t="n"/>
      <c r="AC47" s="290" t="n"/>
      <c r="AD47" s="290" t="n"/>
      <c r="AE47" s="290" t="n"/>
      <c r="AF47" s="290" t="n"/>
      <c r="AG47" s="290" t="n"/>
      <c r="AH47" s="290" t="n"/>
      <c r="AI47" s="290" t="n"/>
      <c r="AJ47" s="290" t="n"/>
      <c r="AK47" s="290" t="n"/>
      <c r="AL47" s="290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0" t="n"/>
      <c r="AF48" s="290" t="n"/>
      <c r="AG48" s="290" t="n"/>
      <c r="AH48" s="290" t="n"/>
      <c r="AI48" s="290" t="n"/>
      <c r="AJ48" s="290" t="n"/>
      <c r="AK48" s="290" t="n"/>
      <c r="AL48" s="290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  <c r="W49" s="290" t="n"/>
      <c r="X49" s="290" t="n"/>
      <c r="Y49" s="290" t="n"/>
      <c r="Z49" s="290" t="n"/>
      <c r="AA49" s="290" t="n"/>
      <c r="AB49" s="290" t="n"/>
      <c r="AC49" s="290" t="n"/>
      <c r="AD49" s="290" t="n"/>
      <c r="AE49" s="290" t="n"/>
      <c r="AF49" s="290" t="n"/>
      <c r="AG49" s="290" t="n"/>
      <c r="AH49" s="290" t="n"/>
      <c r="AI49" s="290" t="n"/>
      <c r="AJ49" s="290" t="n"/>
      <c r="AK49" s="290" t="n"/>
      <c r="AL49" s="290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  <c r="W50" s="290" t="n"/>
      <c r="X50" s="290" t="n"/>
      <c r="Y50" s="290" t="n"/>
      <c r="Z50" s="290" t="n"/>
      <c r="AA50" s="290" t="n"/>
      <c r="AB50" s="290" t="n"/>
      <c r="AC50" s="290" t="n"/>
      <c r="AD50" s="290" t="n"/>
      <c r="AE50" s="290" t="n"/>
      <c r="AF50" s="290" t="n"/>
      <c r="AG50" s="290" t="n"/>
      <c r="AH50" s="290" t="n"/>
      <c r="AI50" s="290" t="n"/>
      <c r="AJ50" s="290" t="n"/>
      <c r="AK50" s="290" t="n"/>
      <c r="AL50" s="290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  <c r="W51" s="290" t="n"/>
      <c r="X51" s="290" t="n"/>
      <c r="Y51" s="290" t="n"/>
      <c r="Z51" s="290" t="n"/>
      <c r="AA51" s="290" t="n"/>
      <c r="AB51" s="290" t="n"/>
      <c r="AC51" s="290" t="n"/>
      <c r="AD51" s="290" t="n"/>
      <c r="AE51" s="290" t="n"/>
      <c r="AF51" s="290" t="n"/>
      <c r="AG51" s="290" t="n"/>
      <c r="AH51" s="290" t="n"/>
      <c r="AI51" s="290" t="n"/>
      <c r="AJ51" s="290" t="n"/>
      <c r="AK51" s="290" t="n"/>
      <c r="AL51" s="290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  <c r="W52" s="290" t="n"/>
      <c r="X52" s="290" t="n"/>
      <c r="Y52" s="290" t="n"/>
      <c r="Z52" s="290" t="n"/>
      <c r="AA52" s="290" t="n"/>
      <c r="AB52" s="290" t="n"/>
      <c r="AC52" s="290" t="n"/>
      <c r="AD52" s="290" t="n"/>
      <c r="AE52" s="290" t="n"/>
      <c r="AF52" s="290" t="n"/>
      <c r="AG52" s="290" t="n"/>
      <c r="AH52" s="290" t="n"/>
      <c r="AI52" s="290" t="n"/>
      <c r="AJ52" s="290" t="n"/>
      <c r="AK52" s="290" t="n"/>
      <c r="AL52" s="290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  <c r="W53" s="290" t="n"/>
      <c r="X53" s="290" t="n"/>
      <c r="Y53" s="290" t="n"/>
      <c r="Z53" s="290" t="n"/>
      <c r="AA53" s="290" t="n"/>
      <c r="AB53" s="290" t="n"/>
      <c r="AC53" s="290" t="n"/>
      <c r="AD53" s="290" t="n"/>
      <c r="AE53" s="290" t="n"/>
      <c r="AF53" s="290" t="n"/>
      <c r="AG53" s="290" t="n"/>
      <c r="AH53" s="290" t="n"/>
      <c r="AI53" s="290" t="n"/>
      <c r="AJ53" s="290" t="n"/>
      <c r="AK53" s="290" t="n"/>
      <c r="AL53" s="290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  <c r="W54" s="290" t="n"/>
      <c r="X54" s="290" t="n"/>
      <c r="Y54" s="290" t="n"/>
      <c r="Z54" s="290" t="n"/>
      <c r="AA54" s="290" t="n"/>
      <c r="AB54" s="290" t="n"/>
      <c r="AC54" s="290" t="n"/>
      <c r="AD54" s="290" t="n"/>
      <c r="AE54" s="290" t="n"/>
      <c r="AF54" s="290" t="n"/>
      <c r="AG54" s="290" t="n"/>
      <c r="AH54" s="290" t="n"/>
      <c r="AI54" s="290" t="n"/>
      <c r="AJ54" s="290" t="n"/>
      <c r="AK54" s="290" t="n"/>
      <c r="AL54" s="290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  <c r="W55" s="290" t="n"/>
      <c r="X55" s="290" t="n"/>
      <c r="Y55" s="290" t="n"/>
      <c r="Z55" s="290" t="n"/>
      <c r="AA55" s="290" t="n"/>
      <c r="AB55" s="290" t="n"/>
      <c r="AC55" s="290" t="n"/>
      <c r="AD55" s="290" t="n"/>
      <c r="AE55" s="290" t="n"/>
      <c r="AF55" s="290" t="n"/>
      <c r="AG55" s="290" t="n"/>
      <c r="AH55" s="290" t="n"/>
      <c r="AI55" s="290" t="n"/>
      <c r="AJ55" s="290" t="n"/>
      <c r="AK55" s="290" t="n"/>
      <c r="AL55" s="290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  <c r="W56" s="290" t="n"/>
      <c r="X56" s="290" t="n"/>
      <c r="Y56" s="290" t="n"/>
      <c r="Z56" s="290" t="n"/>
      <c r="AA56" s="290" t="n"/>
      <c r="AB56" s="290" t="n"/>
      <c r="AC56" s="290" t="n"/>
      <c r="AD56" s="290" t="n"/>
      <c r="AE56" s="290" t="n"/>
      <c r="AF56" s="290" t="n"/>
      <c r="AG56" s="290" t="n"/>
      <c r="AH56" s="290" t="n"/>
      <c r="AI56" s="290" t="n"/>
      <c r="AJ56" s="290" t="n"/>
      <c r="AK56" s="290" t="n"/>
      <c r="AL56" s="290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  <c r="W57" s="290" t="n"/>
      <c r="X57" s="290" t="n"/>
      <c r="Y57" s="290" t="n"/>
      <c r="Z57" s="290" t="n"/>
      <c r="AA57" s="290" t="n"/>
      <c r="AB57" s="290" t="n"/>
      <c r="AC57" s="290" t="n"/>
      <c r="AD57" s="290" t="n"/>
      <c r="AE57" s="290" t="n"/>
      <c r="AF57" s="290" t="n"/>
      <c r="AG57" s="290" t="n"/>
      <c r="AH57" s="290" t="n"/>
      <c r="AI57" s="290" t="n"/>
      <c r="AJ57" s="290" t="n"/>
      <c r="AK57" s="290" t="n"/>
      <c r="AL57" s="290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  <c r="W58" s="290" t="n"/>
      <c r="X58" s="290" t="n"/>
      <c r="Y58" s="290" t="n"/>
      <c r="Z58" s="290" t="n"/>
      <c r="AA58" s="290" t="n"/>
      <c r="AB58" s="290" t="n"/>
      <c r="AC58" s="290" t="n"/>
      <c r="AD58" s="290" t="n"/>
      <c r="AE58" s="290" t="n"/>
      <c r="AF58" s="290" t="n"/>
      <c r="AG58" s="290" t="n"/>
      <c r="AH58" s="290" t="n"/>
      <c r="AI58" s="290" t="n"/>
      <c r="AJ58" s="290" t="n"/>
      <c r="AK58" s="290" t="n"/>
      <c r="AL58" s="290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  <c r="W59" s="290" t="n"/>
      <c r="X59" s="290" t="n"/>
      <c r="Y59" s="290" t="n"/>
      <c r="Z59" s="290" t="n"/>
      <c r="AA59" s="290" t="n"/>
      <c r="AB59" s="290" t="n"/>
      <c r="AC59" s="290" t="n"/>
      <c r="AD59" s="290" t="n"/>
      <c r="AE59" s="290" t="n"/>
      <c r="AF59" s="290" t="n"/>
      <c r="AG59" s="290" t="n"/>
      <c r="AH59" s="290" t="n"/>
      <c r="AI59" s="290" t="n"/>
      <c r="AJ59" s="290" t="n"/>
      <c r="AK59" s="290" t="n"/>
      <c r="AL59" s="290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  <c r="W60" s="290" t="n"/>
      <c r="X60" s="290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  <c r="AK60" s="290" t="n"/>
      <c r="AL60" s="290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  <c r="W61" s="290" t="n"/>
      <c r="X61" s="290" t="n"/>
      <c r="Y61" s="290" t="n"/>
      <c r="Z61" s="290" t="n"/>
      <c r="AA61" s="290" t="n"/>
      <c r="AB61" s="290" t="n"/>
      <c r="AC61" s="290" t="n"/>
      <c r="AD61" s="290" t="n"/>
      <c r="AE61" s="290" t="n"/>
      <c r="AF61" s="290" t="n"/>
      <c r="AG61" s="290" t="n"/>
      <c r="AH61" s="290" t="n"/>
      <c r="AI61" s="290" t="n"/>
      <c r="AJ61" s="290" t="n"/>
      <c r="AK61" s="290" t="n"/>
      <c r="AL61" s="290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  <c r="W62" s="290" t="n"/>
      <c r="X62" s="290" t="n"/>
      <c r="Y62" s="290" t="n"/>
      <c r="Z62" s="290" t="n"/>
      <c r="AA62" s="290" t="n"/>
      <c r="AB62" s="290" t="n"/>
      <c r="AC62" s="290" t="n"/>
      <c r="AD62" s="290" t="n"/>
      <c r="AE62" s="290" t="n"/>
      <c r="AF62" s="290" t="n"/>
      <c r="AG62" s="290" t="n"/>
      <c r="AH62" s="290" t="n"/>
      <c r="AI62" s="290" t="n"/>
      <c r="AJ62" s="290" t="n"/>
      <c r="AK62" s="290" t="n"/>
      <c r="AL62" s="290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90" t="n"/>
      <c r="X63" s="290" t="n"/>
      <c r="Y63" s="290" t="n"/>
      <c r="Z63" s="290" t="n"/>
      <c r="AA63" s="290" t="n"/>
      <c r="AB63" s="290" t="n"/>
      <c r="AC63" s="290" t="n"/>
      <c r="AD63" s="290" t="n"/>
      <c r="AE63" s="290" t="n"/>
      <c r="AF63" s="290" t="n"/>
      <c r="AG63" s="290" t="n"/>
      <c r="AH63" s="290" t="n"/>
      <c r="AI63" s="290" t="n"/>
      <c r="AJ63" s="290" t="n"/>
      <c r="AK63" s="290" t="n"/>
      <c r="AL63" s="290" t="n"/>
    </row>
    <row r="64" ht="14" customFormat="1" customHeight="1" s="180">
      <c r="A64" s="279" t="n"/>
      <c r="B64" s="280" t="n"/>
      <c r="C64" s="280" t="n"/>
      <c r="D64" s="291" t="inlineStr">
        <is>
          <t>**财务未列部分需增列***</t>
        </is>
      </c>
      <c r="E64" s="300" t="n"/>
      <c r="F64" s="300" t="n"/>
      <c r="G64" s="300" t="n"/>
      <c r="H64" s="282" t="n"/>
      <c r="I64" s="282" t="n"/>
      <c r="J64" s="282" t="n"/>
      <c r="K64" s="283" t="n"/>
      <c r="L64" s="284" t="n"/>
      <c r="M64" s="282" t="n"/>
      <c r="N64" s="282" t="n"/>
      <c r="O64" s="282">
        <f>L64-M64</f>
        <v/>
      </c>
      <c r="P64" s="282">
        <f>K64-N64</f>
        <v/>
      </c>
      <c r="Q64" s="282">
        <f>M64+O64</f>
        <v/>
      </c>
      <c r="R64" s="282">
        <f>M64+N64+O64+P64</f>
        <v/>
      </c>
      <c r="S64" s="286">
        <f>SUM(T64:V64)</f>
        <v/>
      </c>
      <c r="T64" s="282" t="n"/>
      <c r="U64" s="282" t="n"/>
      <c r="V64" s="282" t="n"/>
      <c r="W64" s="282" t="n"/>
      <c r="X64" s="282" t="n"/>
      <c r="Y64" s="282" t="n"/>
      <c r="Z64" s="286" t="n"/>
      <c r="AA64" s="286" t="n"/>
      <c r="AB64" s="287" t="n"/>
      <c r="AC64" s="287" t="n"/>
      <c r="AD64" s="287" t="n"/>
      <c r="AE64" s="287" t="n"/>
      <c r="AF64" s="287" t="n"/>
      <c r="AG64" s="287" t="n"/>
      <c r="AH64" s="287" t="n"/>
      <c r="AI64" s="287" t="n"/>
      <c r="AJ64" s="287" t="n"/>
      <c r="AK64" s="287">
        <f>AB22/1.17*0.17+AC22/1.16*0.16+AD22/1.11*0.11+AE22/1.1*0.1+AF22/1.09*0.09+AI22/1.03*0.03</f>
        <v/>
      </c>
      <c r="AL64" s="294" t="n"/>
    </row>
    <row r="65" ht="14" customFormat="1" customHeight="1" s="180">
      <c r="A65" s="295" t="n"/>
      <c r="B65" s="296" t="n"/>
      <c r="C65" s="296" t="n"/>
      <c r="D65" s="297" t="inlineStr">
        <is>
          <t>分包工程小计：</t>
        </is>
      </c>
      <c r="E65" s="298">
        <f>SUM(E35:E64)</f>
        <v/>
      </c>
      <c r="F65" s="298">
        <f>SUM(F35:F64)</f>
        <v/>
      </c>
      <c r="G65" s="298">
        <f>SUM(G35:G64)</f>
        <v/>
      </c>
      <c r="H65" s="298">
        <f>SUM(H35:H64)</f>
        <v/>
      </c>
      <c r="I65" s="298">
        <f>SUM(I35:I64)</f>
        <v/>
      </c>
      <c r="J65" s="298">
        <f>SUM(J35:J64)</f>
        <v/>
      </c>
      <c r="K65" s="298">
        <f>SUM(K35:K64)</f>
        <v/>
      </c>
      <c r="L65" s="298">
        <f>SUM(L35:L64)</f>
        <v/>
      </c>
      <c r="M65" s="298">
        <f>SUM(M35:M64)</f>
        <v/>
      </c>
      <c r="N65" s="298">
        <f>SUM(N35:N64)</f>
        <v/>
      </c>
      <c r="O65" s="298">
        <f>SUM(O35:O64)</f>
        <v/>
      </c>
      <c r="P65" s="298">
        <f>SUM(P35:P64)</f>
        <v/>
      </c>
      <c r="Q65" s="298">
        <f>SUM(Q35:Q64)</f>
        <v/>
      </c>
      <c r="R65" s="298">
        <f>SUM(R35:R64)</f>
        <v/>
      </c>
      <c r="S65" s="298">
        <f>SUM(S35:S64)</f>
        <v/>
      </c>
      <c r="T65" s="298">
        <f>SUM(T35:T64)</f>
        <v/>
      </c>
      <c r="U65" s="298">
        <f>SUM(U35:U64)</f>
        <v/>
      </c>
      <c r="V65" s="298">
        <f>SUM(V35:V64)</f>
        <v/>
      </c>
      <c r="W65" s="298">
        <f>SUM(W35:W64)</f>
        <v/>
      </c>
      <c r="X65" s="298">
        <f>SUM(X35:X64)</f>
        <v/>
      </c>
      <c r="Y65" s="298">
        <f>SUM(Y35:Y64)</f>
        <v/>
      </c>
      <c r="Z65" s="298">
        <f>SUM(Z35:Z64)</f>
        <v/>
      </c>
      <c r="AA65" s="298">
        <f>SUM(AA35:AA64)</f>
        <v/>
      </c>
      <c r="AB65" s="298">
        <f>SUM(AB35:AB64)</f>
        <v/>
      </c>
      <c r="AC65" s="298">
        <f>SUM(AC35:AC64)</f>
        <v/>
      </c>
      <c r="AD65" s="298">
        <f>SUM(AD35:AD64)</f>
        <v/>
      </c>
      <c r="AE65" s="298">
        <f>SUM(AE35:AE64)</f>
        <v/>
      </c>
      <c r="AF65" s="298">
        <f>SUM(AF35:AF64)</f>
        <v/>
      </c>
      <c r="AG65" s="298">
        <f>SUM(AG35:AG64)</f>
        <v/>
      </c>
      <c r="AH65" s="298">
        <f>SUM(AH35:AH64)</f>
        <v/>
      </c>
      <c r="AI65" s="298">
        <f>SUM(AI35:AI64)</f>
        <v/>
      </c>
      <c r="AJ65" s="298">
        <f>SUM(AJ35:AJ64)</f>
        <v/>
      </c>
      <c r="AK65" s="298">
        <f>SUM(AK35:AK64)</f>
        <v/>
      </c>
      <c r="AL65" s="288" t="n"/>
    </row>
    <row r="66" ht="14" customFormat="1" customHeight="1" s="180">
      <c r="A66" s="279" t="n"/>
      <c r="B66" s="280" t="n"/>
      <c r="C66" s="280" t="n"/>
      <c r="D66" s="299" t="inlineStr">
        <is>
          <t>(三)材料费</t>
        </is>
      </c>
      <c r="E66" s="280" t="n"/>
      <c r="F66" s="280" t="n"/>
      <c r="G66" s="280" t="n"/>
      <c r="H66" s="282" t="n"/>
      <c r="I66" s="282" t="n"/>
      <c r="J66" s="282" t="n"/>
      <c r="K66" s="283" t="n"/>
      <c r="L66" s="284" t="n"/>
      <c r="M66" s="282" t="n"/>
      <c r="N66" s="282" t="n"/>
      <c r="O66" s="282">
        <f>L66-M66</f>
        <v/>
      </c>
      <c r="P66" s="282">
        <f>K66-N66</f>
        <v/>
      </c>
      <c r="Q66" s="282">
        <f>M66+O66</f>
        <v/>
      </c>
      <c r="R66" s="282">
        <f>M66+N66+O66+P66</f>
        <v/>
      </c>
      <c r="S66" s="286">
        <f>SUM(T66:V66)</f>
        <v/>
      </c>
      <c r="T66" s="286" t="n"/>
      <c r="U66" s="286" t="n"/>
      <c r="V66" s="286" t="n"/>
      <c r="W66" s="286" t="n"/>
      <c r="X66" s="286" t="n"/>
      <c r="Y66" s="286" t="n"/>
      <c r="Z66" s="286" t="n"/>
      <c r="AA66" s="286" t="n"/>
      <c r="AB66" s="301" t="n"/>
      <c r="AC66" s="301" t="n"/>
      <c r="AD66" s="301" t="n"/>
      <c r="AE66" s="301" t="n"/>
      <c r="AF66" s="301" t="n"/>
      <c r="AG66" s="301" t="n"/>
      <c r="AH66" s="301" t="n"/>
      <c r="AI66" s="301" t="n"/>
      <c r="AJ66" s="301" t="n"/>
      <c r="AK66" s="287">
        <f>AB24/1.17*0.17+AC24/1.16*0.16+AD24/1.11*0.11+AE24/1.1*0.1+AF24/1.09*0.09+AI24/1.03*0.03</f>
        <v/>
      </c>
      <c r="AL66" s="302" t="n"/>
    </row>
    <row r="67" ht="14" customFormat="1" customHeight="1" s="180">
      <c r="A67" s="279" t="n"/>
      <c r="B67" s="280" t="n"/>
      <c r="C67" s="280" t="n"/>
      <c r="D67" s="282" t="inlineStr">
        <is>
          <t>（1）集中采购</t>
        </is>
      </c>
      <c r="E67" s="280" t="n"/>
      <c r="F67" s="280" t="n"/>
      <c r="G67" s="280" t="n"/>
      <c r="H67" s="282" t="n"/>
      <c r="I67" s="282" t="n"/>
      <c r="J67" s="282" t="n"/>
      <c r="K67" s="283" t="n"/>
      <c r="L67" s="284" t="n"/>
      <c r="M67" s="282" t="n"/>
      <c r="N67" s="282" t="n"/>
      <c r="O67" s="282">
        <f>L67-M67</f>
        <v/>
      </c>
      <c r="P67" s="282">
        <f>K67-N67</f>
        <v/>
      </c>
      <c r="Q67" s="282">
        <f>M67+O67</f>
        <v/>
      </c>
      <c r="R67" s="282">
        <f>M67+N67+O67+P67</f>
        <v/>
      </c>
      <c r="S67" s="286">
        <f>SUM(T67:V67)</f>
        <v/>
      </c>
      <c r="T67" s="286" t="n"/>
      <c r="U67" s="286" t="n"/>
      <c r="V67" s="286" t="n"/>
      <c r="W67" s="286" t="n"/>
      <c r="X67" s="286" t="n"/>
      <c r="Y67" s="286" t="n"/>
      <c r="Z67" s="286" t="n"/>
      <c r="AA67" s="286" t="n"/>
      <c r="AB67" s="301" t="n"/>
      <c r="AC67" s="301" t="n"/>
      <c r="AD67" s="301" t="n"/>
      <c r="AE67" s="301" t="n"/>
      <c r="AF67" s="301" t="n"/>
      <c r="AG67" s="301" t="n"/>
      <c r="AH67" s="301" t="n"/>
      <c r="AI67" s="301" t="n"/>
      <c r="AJ67" s="301" t="n"/>
      <c r="AK67" s="287">
        <f>AB25/1.17*0.17+AC25/1.16*0.16+AD25/1.11*0.11+AE25/1.1*0.1+AF25/1.09*0.09+AI25/1.03*0.03</f>
        <v/>
      </c>
      <c r="AL67" s="302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303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303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303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279" t="n"/>
      <c r="B71" s="280" t="n"/>
      <c r="C71" s="280" t="n"/>
      <c r="D71" s="282" t="inlineStr">
        <is>
          <t>（2）自行采购</t>
        </is>
      </c>
      <c r="E71" s="300" t="n"/>
      <c r="F71" s="300" t="n"/>
      <c r="G71" s="300" t="n"/>
      <c r="H71" s="282" t="n"/>
      <c r="I71" s="282" t="n"/>
      <c r="J71" s="282" t="n"/>
      <c r="K71" s="283" t="n"/>
      <c r="L71" s="284" t="n"/>
      <c r="M71" s="282" t="n"/>
      <c r="N71" s="282" t="n"/>
      <c r="O71" s="282">
        <f>L71-M71</f>
        <v/>
      </c>
      <c r="P71" s="282">
        <f>K71-N71</f>
        <v/>
      </c>
      <c r="Q71" s="282">
        <f>M71+O71</f>
        <v/>
      </c>
      <c r="R71" s="282">
        <f>M71+N71+O71+P71</f>
        <v/>
      </c>
      <c r="S71" s="286">
        <f>SUM(T71:V71)</f>
        <v/>
      </c>
      <c r="T71" s="286" t="n"/>
      <c r="U71" s="286" t="n"/>
      <c r="V71" s="286" t="n"/>
      <c r="W71" s="286" t="n"/>
      <c r="X71" s="286" t="n"/>
      <c r="Y71" s="286" t="n"/>
      <c r="Z71" s="282">
        <f>SUM(AA29:AJ29)</f>
        <v/>
      </c>
      <c r="AA71" s="286" t="n"/>
      <c r="AB71" s="301" t="n"/>
      <c r="AC71" s="301" t="n"/>
      <c r="AD71" s="301" t="n"/>
      <c r="AE71" s="301" t="n"/>
      <c r="AF71" s="301" t="n"/>
      <c r="AG71" s="301" t="n"/>
      <c r="AH71" s="301" t="n"/>
      <c r="AI71" s="301" t="n"/>
      <c r="AJ71" s="301" t="n"/>
      <c r="AK71" s="287">
        <f>AB29/1.17*0.17+AC29/1.16*0.16+AD29/1.11*0.11+AE29/1.1*0.1+AF29/1.09*0.09+AI29/1.03*0.03</f>
        <v/>
      </c>
      <c r="AL71" s="302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3096878.51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  <c r="W72" s="290" t="n"/>
      <c r="X72" s="290" t="n"/>
      <c r="Y72" s="290" t="n"/>
      <c r="Z72" s="290" t="n"/>
      <c r="AA72" s="290" t="n"/>
      <c r="AB72" s="290" t="n"/>
      <c r="AC72" s="290" t="n"/>
      <c r="AD72" s="290" t="n"/>
      <c r="AE72" s="290" t="n"/>
      <c r="AF72" s="290" t="n"/>
      <c r="AG72" s="290" t="n"/>
      <c r="AH72" s="290" t="n"/>
      <c r="AI72" s="290" t="n"/>
      <c r="AJ72" s="290" t="n"/>
      <c r="AK72" s="290" t="n"/>
      <c r="AL72" s="290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850171.01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  <c r="W73" s="290" t="n"/>
      <c r="X73" s="290" t="n"/>
      <c r="Y73" s="290" t="n"/>
      <c r="Z73" s="290" t="n"/>
      <c r="AA73" s="290" t="n"/>
      <c r="AB73" s="290" t="n"/>
      <c r="AC73" s="290" t="n"/>
      <c r="AD73" s="290" t="n"/>
      <c r="AE73" s="290" t="n"/>
      <c r="AF73" s="290" t="n"/>
      <c r="AG73" s="290" t="n"/>
      <c r="AH73" s="290" t="n"/>
      <c r="AI73" s="290" t="n"/>
      <c r="AJ73" s="290" t="n"/>
      <c r="AK73" s="290" t="n"/>
      <c r="AL73" s="290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5397227.5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  <c r="W74" s="290" t="n"/>
      <c r="X74" s="290" t="n"/>
      <c r="Y74" s="290" t="n"/>
      <c r="Z74" s="290" t="n"/>
      <c r="AA74" s="290" t="n"/>
      <c r="AB74" s="290" t="n"/>
      <c r="AC74" s="290" t="n"/>
      <c r="AD74" s="290" t="n"/>
      <c r="AE74" s="290" t="n"/>
      <c r="AF74" s="290" t="n"/>
      <c r="AG74" s="290" t="n"/>
      <c r="AH74" s="290" t="n"/>
      <c r="AI74" s="290" t="n"/>
      <c r="AJ74" s="290" t="n"/>
      <c r="AK74" s="290" t="n"/>
      <c r="AL74" s="290" t="n"/>
    </row>
    <row r="75" ht="14" customFormat="1" customHeight="1" s="180">
      <c r="A75" s="206" t="n">
        <v>4</v>
      </c>
      <c r="B75" s="206" t="inlineStr">
        <is>
          <t>100217442</t>
        </is>
      </c>
      <c r="C75" s="207" t="inlineStr">
        <is>
          <t>中建四局0200202101805001</t>
        </is>
      </c>
      <c r="D75" s="207" t="inlineStr">
        <is>
          <t>任丘市嘉宇运输有限公司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43538.85</v>
      </c>
      <c r="N75" s="210" t="n">
        <v>3594.95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43538.85</v>
      </c>
      <c r="U75" s="206" t="n"/>
      <c r="V75" s="206" t="n"/>
      <c r="W75" s="290" t="n"/>
      <c r="X75" s="290" t="n"/>
      <c r="Y75" s="290" t="n"/>
      <c r="Z75" s="290" t="n"/>
      <c r="AA75" s="290" t="n"/>
      <c r="AB75" s="290" t="n"/>
      <c r="AC75" s="290" t="n"/>
      <c r="AD75" s="290" t="n"/>
      <c r="AE75" s="290" t="n"/>
      <c r="AF75" s="290" t="n"/>
      <c r="AG75" s="290" t="n"/>
      <c r="AH75" s="290" t="n"/>
      <c r="AI75" s="290" t="n"/>
      <c r="AJ75" s="290" t="n"/>
      <c r="AK75" s="290" t="n"/>
      <c r="AL75" s="290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中建四局0200202101806004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16236.97</v>
      </c>
      <c r="N76" s="210" t="n">
        <v>1867.97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16236.97</v>
      </c>
      <c r="U76" s="206" t="n"/>
      <c r="V76" s="206" t="n"/>
      <c r="W76" s="290" t="n"/>
      <c r="X76" s="290" t="n"/>
      <c r="Y76" s="290" t="n"/>
      <c r="Z76" s="290" t="n"/>
      <c r="AA76" s="290" t="n"/>
      <c r="AB76" s="290" t="n"/>
      <c r="AC76" s="290" t="n"/>
      <c r="AD76" s="290" t="n"/>
      <c r="AE76" s="290" t="n"/>
      <c r="AF76" s="290" t="n"/>
      <c r="AG76" s="290" t="n"/>
      <c r="AH76" s="290" t="n"/>
      <c r="AI76" s="290" t="n"/>
      <c r="AJ76" s="290" t="n"/>
      <c r="AK76" s="290" t="n"/>
      <c r="AL76" s="290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中建四局0200202101806005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147201.71</v>
      </c>
      <c r="N77" s="210" t="n">
        <v>16934.71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147201.71</v>
      </c>
      <c r="U77" s="206" t="n"/>
      <c r="V77" s="206" t="n"/>
      <c r="W77" s="290" t="n"/>
      <c r="X77" s="290" t="n"/>
      <c r="Y77" s="290" t="n"/>
      <c r="Z77" s="290" t="n"/>
      <c r="AA77" s="290" t="n"/>
      <c r="AB77" s="290" t="n"/>
      <c r="AC77" s="290" t="n"/>
      <c r="AD77" s="290" t="n"/>
      <c r="AE77" s="290" t="n"/>
      <c r="AF77" s="290" t="n"/>
      <c r="AG77" s="290" t="n"/>
      <c r="AH77" s="290" t="n"/>
      <c r="AI77" s="290" t="n"/>
      <c r="AJ77" s="290" t="n"/>
      <c r="AK77" s="290" t="n"/>
      <c r="AL77" s="290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中建四局0200202101806006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2881651.85</v>
      </c>
      <c r="N78" s="210" t="n">
        <v>331517.47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2881651.85</v>
      </c>
      <c r="U78" s="206" t="n"/>
      <c r="V78" s="206" t="n"/>
      <c r="W78" s="290" t="n"/>
      <c r="X78" s="290" t="n"/>
      <c r="Y78" s="290" t="n"/>
      <c r="Z78" s="290" t="n"/>
      <c r="AA78" s="290" t="n"/>
      <c r="AB78" s="290" t="n"/>
      <c r="AC78" s="290" t="n"/>
      <c r="AD78" s="290" t="n"/>
      <c r="AE78" s="290" t="n"/>
      <c r="AF78" s="290" t="n"/>
      <c r="AG78" s="290" t="n"/>
      <c r="AH78" s="290" t="n"/>
      <c r="AI78" s="290" t="n"/>
      <c r="AJ78" s="290" t="n"/>
      <c r="AK78" s="290" t="n"/>
      <c r="AL78" s="290" t="n"/>
    </row>
    <row r="79" ht="26" customFormat="1" customHeight="1" s="180">
      <c r="A79" s="206" t="n">
        <v>8</v>
      </c>
      <c r="B79" s="206" t="inlineStr">
        <is>
          <t>100237790</t>
        </is>
      </c>
      <c r="C79" s="207" t="inlineStr">
        <is>
          <t>中建四局0200202101806016</t>
        </is>
      </c>
      <c r="D79" s="207" t="inlineStr">
        <is>
          <t>佛山唐贵五金电器有限公司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2399863.31</v>
      </c>
      <c r="N79" s="210" t="n">
        <v>276090.52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2399863.31</v>
      </c>
      <c r="U79" s="206" t="n"/>
      <c r="V79" s="206" t="n"/>
      <c r="W79" s="290" t="n"/>
      <c r="X79" s="290" t="n"/>
      <c r="Y79" s="290" t="n"/>
      <c r="Z79" s="290" t="n"/>
      <c r="AA79" s="290" t="n"/>
      <c r="AB79" s="290" t="n"/>
      <c r="AC79" s="290" t="n"/>
      <c r="AD79" s="290" t="n"/>
      <c r="AE79" s="290" t="n"/>
      <c r="AF79" s="290" t="n"/>
      <c r="AG79" s="290" t="n"/>
      <c r="AH79" s="290" t="n"/>
      <c r="AI79" s="290" t="n"/>
      <c r="AJ79" s="290" t="n"/>
      <c r="AK79" s="290" t="n"/>
      <c r="AL79" s="290" t="n"/>
    </row>
    <row r="80" ht="14" customFormat="1" customHeight="1" s="180">
      <c r="A80" s="206" t="n">
        <v>9</v>
      </c>
      <c r="B80" s="206" t="inlineStr">
        <is>
          <t>100146779</t>
        </is>
      </c>
      <c r="C80" s="207" t="inlineStr">
        <is>
          <t>中建四局0200202101806026</t>
        </is>
      </c>
      <c r="D80" s="207" t="inlineStr">
        <is>
          <t>佛山市南海区洪顺水泥构件厂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1137107.35</v>
      </c>
      <c r="N80" s="210" t="n">
        <v>130817.7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1137107.35</v>
      </c>
      <c r="U80" s="206" t="n"/>
      <c r="V80" s="206" t="n"/>
      <c r="W80" s="290" t="n"/>
      <c r="X80" s="290" t="n"/>
      <c r="Y80" s="290" t="n"/>
      <c r="Z80" s="290" t="n"/>
      <c r="AA80" s="290" t="n"/>
      <c r="AB80" s="290" t="n"/>
      <c r="AC80" s="290" t="n"/>
      <c r="AD80" s="290" t="n"/>
      <c r="AE80" s="290" t="n"/>
      <c r="AF80" s="290" t="n"/>
      <c r="AG80" s="290" t="n"/>
      <c r="AH80" s="290" t="n"/>
      <c r="AI80" s="290" t="n"/>
      <c r="AJ80" s="290" t="n"/>
      <c r="AK80" s="290" t="n"/>
      <c r="AL80" s="290" t="n"/>
    </row>
    <row r="81" ht="14" customFormat="1" customHeight="1" s="3">
      <c r="A81" s="206" t="n">
        <v>10</v>
      </c>
      <c r="B81" s="206" t="inlineStr">
        <is>
          <t>100206907</t>
        </is>
      </c>
      <c r="C81" s="207" t="inlineStr">
        <is>
          <t>中建四局0200202101806014</t>
        </is>
      </c>
      <c r="D81" s="207" t="inlineStr">
        <is>
          <t>佛山市开力电气有限公司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71419.39</v>
      </c>
      <c r="N81" s="210" t="n">
        <v>8216.389999999999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71419.39</v>
      </c>
      <c r="U81" s="206" t="n"/>
      <c r="V81" s="206" t="n"/>
      <c r="W81" s="290" t="n"/>
      <c r="X81" s="290" t="n"/>
      <c r="Y81" s="290" t="n"/>
      <c r="Z81" s="290" t="n"/>
      <c r="AA81" s="290" t="n"/>
      <c r="AB81" s="290" t="n"/>
      <c r="AC81" s="290" t="n"/>
      <c r="AD81" s="290" t="n"/>
      <c r="AE81" s="290" t="n"/>
      <c r="AF81" s="290" t="n"/>
      <c r="AG81" s="290" t="n"/>
      <c r="AH81" s="290" t="n"/>
      <c r="AI81" s="290" t="n"/>
      <c r="AJ81" s="290" t="n"/>
      <c r="AK81" s="290" t="n"/>
      <c r="AL81" s="290" t="n"/>
    </row>
    <row r="82" ht="14" customHeight="1" s="159">
      <c r="A82" s="206" t="n">
        <v>11</v>
      </c>
      <c r="B82" s="206" t="inlineStr">
        <is>
          <t>200162951</t>
        </is>
      </c>
      <c r="C82" s="207" t="inlineStr">
        <is>
          <t>中建四局0200202101806036</t>
        </is>
      </c>
      <c r="D82" s="207" t="inlineStr">
        <is>
          <t>佛山市翊德通新型环保科技建材有限公司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4938056.83</v>
      </c>
      <c r="N82" s="210" t="n">
        <v>568095.3199999999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4938056.52</v>
      </c>
      <c r="U82" s="206" t="n"/>
      <c r="V82" s="206" t="n"/>
      <c r="W82" s="290" t="n"/>
      <c r="X82" s="290" t="n"/>
      <c r="Y82" s="290" t="n"/>
      <c r="Z82" s="290" t="n"/>
      <c r="AA82" s="290" t="n"/>
      <c r="AB82" s="290" t="n"/>
      <c r="AC82" s="290" t="n"/>
      <c r="AD82" s="290" t="n"/>
      <c r="AE82" s="290" t="n"/>
      <c r="AF82" s="290" t="n"/>
      <c r="AG82" s="290" t="n"/>
      <c r="AH82" s="290" t="n"/>
      <c r="AI82" s="290" t="n"/>
      <c r="AJ82" s="290" t="n"/>
      <c r="AK82" s="290" t="n"/>
      <c r="AL82" s="290" t="n"/>
    </row>
    <row r="83" ht="14" customHeight="1" s="159">
      <c r="A83" s="206" t="n">
        <v>12</v>
      </c>
      <c r="B83" s="206" t="inlineStr">
        <is>
          <t>100217528</t>
        </is>
      </c>
      <c r="C83" s="207" t="inlineStr">
        <is>
          <t>中建四局0200202101803017</t>
        </is>
      </c>
      <c r="D83" s="207" t="inlineStr">
        <is>
          <t>佛山市耀盈活动房屋有限公司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70592.64999999999</v>
      </c>
      <c r="N83" s="210" t="n">
        <v>61180.3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507773.85</v>
      </c>
      <c r="U83" s="206" t="n"/>
      <c r="V83" s="206" t="n"/>
      <c r="W83" s="290" t="n"/>
      <c r="X83" s="290" t="n"/>
      <c r="Y83" s="290" t="n"/>
      <c r="Z83" s="290" t="n"/>
      <c r="AA83" s="290" t="n"/>
      <c r="AB83" s="290" t="n"/>
      <c r="AC83" s="290" t="n"/>
      <c r="AD83" s="290" t="n"/>
      <c r="AE83" s="290" t="n"/>
      <c r="AF83" s="290" t="n"/>
      <c r="AG83" s="290" t="n"/>
      <c r="AH83" s="290" t="n"/>
      <c r="AI83" s="290" t="n"/>
      <c r="AJ83" s="290" t="n"/>
      <c r="AK83" s="290" t="n"/>
      <c r="AL83" s="290" t="n"/>
    </row>
    <row r="84">
      <c r="A84" s="206" t="n">
        <v>13</v>
      </c>
      <c r="B84" s="206" t="inlineStr">
        <is>
          <t>100051486</t>
        </is>
      </c>
      <c r="C84" s="207" t="inlineStr">
        <is>
          <t>中建四局0200202101805009</t>
        </is>
      </c>
      <c r="D84" s="207" t="inlineStr">
        <is>
          <t>佛山市赢鑫建筑机械租赁有限公司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6420120.59</v>
      </c>
      <c r="N84" s="210" t="n">
        <v>738597.9399999999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6405720.63</v>
      </c>
      <c r="U84" s="206" t="n"/>
      <c r="V84" s="206" t="n"/>
      <c r="W84" s="290" t="n"/>
      <c r="X84" s="290" t="n"/>
      <c r="Y84" s="290" t="n"/>
      <c r="Z84" s="290" t="n"/>
      <c r="AA84" s="290" t="n"/>
      <c r="AB84" s="290" t="n"/>
      <c r="AC84" s="290" t="n"/>
      <c r="AD84" s="290" t="n"/>
      <c r="AE84" s="290" t="n"/>
      <c r="AF84" s="290" t="n"/>
      <c r="AG84" s="290" t="n"/>
      <c r="AH84" s="290" t="n"/>
      <c r="AI84" s="290" t="n"/>
      <c r="AJ84" s="290" t="n"/>
      <c r="AK84" s="290" t="n"/>
      <c r="AL84" s="290" t="n"/>
    </row>
    <row r="85">
      <c r="A85" s="206" t="n">
        <v>14</v>
      </c>
      <c r="B85" s="206" t="inlineStr">
        <is>
          <t>200363935</t>
        </is>
      </c>
      <c r="C85" s="207" t="inlineStr">
        <is>
          <t>中建四局0200202101805006</t>
        </is>
      </c>
      <c r="D85" s="207" t="inlineStr">
        <is>
          <t>佛山市雄壮建筑工程有限公司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1258796.37</v>
      </c>
      <c r="N85" s="210" t="n">
        <v>36663.97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1258000</v>
      </c>
      <c r="U85" s="206" t="n"/>
      <c r="V85" s="206" t="n"/>
      <c r="W85" s="290" t="n"/>
      <c r="X85" s="290" t="n"/>
      <c r="Y85" s="290" t="n"/>
      <c r="Z85" s="290" t="n"/>
      <c r="AA85" s="290" t="n"/>
      <c r="AB85" s="290" t="n"/>
      <c r="AC85" s="290" t="n"/>
      <c r="AD85" s="290" t="n"/>
      <c r="AE85" s="290" t="n"/>
      <c r="AF85" s="290" t="n"/>
      <c r="AG85" s="290" t="n"/>
      <c r="AH85" s="290" t="n"/>
      <c r="AI85" s="290" t="n"/>
      <c r="AJ85" s="290" t="n"/>
      <c r="AK85" s="290" t="n"/>
      <c r="AL85" s="290" t="n"/>
    </row>
    <row r="86">
      <c r="A86" s="206" t="n">
        <v>15</v>
      </c>
      <c r="B86" s="206" t="inlineStr">
        <is>
          <t>200477323</t>
        </is>
      </c>
      <c r="C86" s="207" t="inlineStr">
        <is>
          <t>中建四局0200202101805011</t>
        </is>
      </c>
      <c r="D86" s="207" t="inlineStr">
        <is>
          <t>佛山市霸伟建筑工程有限公司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1004065.5</v>
      </c>
      <c r="N86" s="210" t="n">
        <v>29244.62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999000</v>
      </c>
      <c r="U86" s="206" t="n"/>
      <c r="V86" s="206" t="n"/>
      <c r="W86" s="290" t="n"/>
      <c r="X86" s="290" t="n"/>
      <c r="Y86" s="290" t="n"/>
      <c r="Z86" s="290" t="n"/>
      <c r="AA86" s="290" t="n"/>
      <c r="AB86" s="290" t="n"/>
      <c r="AC86" s="290" t="n"/>
      <c r="AD86" s="290" t="n"/>
      <c r="AE86" s="290" t="n"/>
      <c r="AF86" s="290" t="n"/>
      <c r="AG86" s="290" t="n"/>
      <c r="AH86" s="290" t="n"/>
      <c r="AI86" s="290" t="n"/>
      <c r="AJ86" s="290" t="n"/>
      <c r="AK86" s="290" t="n"/>
      <c r="AL86" s="290" t="n"/>
    </row>
    <row r="87">
      <c r="A87" s="206" t="n">
        <v>16</v>
      </c>
      <c r="B87" s="206" t="inlineStr">
        <is>
          <t>100232795</t>
        </is>
      </c>
      <c r="C87" s="207" t="inlineStr">
        <is>
          <t>中建四局0200202101806001</t>
        </is>
      </c>
      <c r="D87" s="207" t="inlineStr">
        <is>
          <t>佰丽特（厦门）电气科技有限公司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377112.64</v>
      </c>
      <c r="N87" s="210" t="n">
        <v>43384.64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301690.11</v>
      </c>
      <c r="U87" s="206" t="n"/>
      <c r="V87" s="206" t="n"/>
      <c r="W87" s="290" t="n"/>
      <c r="X87" s="290" t="n"/>
      <c r="Y87" s="290" t="n"/>
      <c r="Z87" s="290" t="n"/>
      <c r="AA87" s="290" t="n"/>
      <c r="AB87" s="290" t="n"/>
      <c r="AC87" s="290" t="n"/>
      <c r="AD87" s="290" t="n"/>
      <c r="AE87" s="290" t="n"/>
      <c r="AF87" s="290" t="n"/>
      <c r="AG87" s="290" t="n"/>
      <c r="AH87" s="290" t="n"/>
      <c r="AI87" s="290" t="n"/>
      <c r="AJ87" s="290" t="n"/>
      <c r="AK87" s="290" t="n"/>
      <c r="AL87" s="290" t="n"/>
    </row>
    <row r="88">
      <c r="A88" s="206" t="n">
        <v>17</v>
      </c>
      <c r="B88" s="206" t="inlineStr">
        <is>
          <t>100093859</t>
        </is>
      </c>
      <c r="C88" s="207" t="inlineStr">
        <is>
          <t>中建四局0200202101805010</t>
        </is>
      </c>
      <c r="D88" s="207" t="inlineStr">
        <is>
          <t>嘉兴浩锐机械设备有限公司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1567589.22</v>
      </c>
      <c r="N88" s="210" t="n">
        <v>180342.12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1567589.22</v>
      </c>
      <c r="U88" s="206" t="n"/>
      <c r="V88" s="206" t="n"/>
      <c r="W88" s="290" t="n"/>
      <c r="X88" s="290" t="n"/>
      <c r="Y88" s="290" t="n"/>
      <c r="Z88" s="290" t="n"/>
      <c r="AA88" s="290" t="n"/>
      <c r="AB88" s="290" t="n"/>
      <c r="AC88" s="290" t="n"/>
      <c r="AD88" s="290" t="n"/>
      <c r="AE88" s="290" t="n"/>
      <c r="AF88" s="290" t="n"/>
      <c r="AG88" s="290" t="n"/>
      <c r="AH88" s="290" t="n"/>
      <c r="AI88" s="290" t="n"/>
      <c r="AJ88" s="290" t="n"/>
      <c r="AK88" s="290" t="n"/>
      <c r="AL88" s="290" t="n"/>
    </row>
    <row r="89">
      <c r="A89" s="206" t="n">
        <v>18</v>
      </c>
      <c r="B89" s="206" t="inlineStr">
        <is>
          <t>200678254</t>
        </is>
      </c>
      <c r="C89" s="207" t="inlineStr">
        <is>
          <t>中建四局020020210018040001</t>
        </is>
      </c>
      <c r="D89" s="207" t="inlineStr">
        <is>
          <t>四川川泸远豪建筑劳务有限公司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807973.5699999999</v>
      </c>
      <c r="N89" s="210" t="n">
        <v>403986.79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13454100</v>
      </c>
      <c r="U89" s="206" t="n"/>
      <c r="V89" s="206" t="n"/>
      <c r="W89" s="290" t="n"/>
      <c r="X89" s="290" t="n"/>
      <c r="Y89" s="290" t="n"/>
      <c r="Z89" s="290" t="n"/>
      <c r="AA89" s="290" t="n"/>
      <c r="AB89" s="290" t="n"/>
      <c r="AC89" s="290" t="n"/>
      <c r="AD89" s="290" t="n"/>
      <c r="AE89" s="290" t="n"/>
      <c r="AF89" s="290" t="n"/>
      <c r="AG89" s="290" t="n"/>
      <c r="AH89" s="290" t="n"/>
      <c r="AI89" s="290" t="n"/>
      <c r="AJ89" s="290" t="n"/>
      <c r="AK89" s="290" t="n"/>
      <c r="AL89" s="290" t="n"/>
    </row>
    <row r="90">
      <c r="A90" s="206" t="n">
        <v>19</v>
      </c>
      <c r="B90" s="206" t="inlineStr">
        <is>
          <t>200678254</t>
        </is>
      </c>
      <c r="C90" s="207" t="inlineStr">
        <is>
          <t>中建四局020020210018040002</t>
        </is>
      </c>
      <c r="D90" s="207" t="inlineStr">
        <is>
          <t>四川川泸远豪建筑劳务有限公司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43486.5</v>
      </c>
      <c r="N90" s="210" t="n">
        <v>21743.25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704906.36</v>
      </c>
      <c r="U90" s="206" t="n"/>
      <c r="V90" s="206" t="n"/>
      <c r="W90" s="290" t="n"/>
      <c r="X90" s="290" t="n"/>
      <c r="Y90" s="290" t="n"/>
      <c r="Z90" s="290" t="n"/>
      <c r="AA90" s="290" t="n"/>
      <c r="AB90" s="290" t="n"/>
      <c r="AC90" s="290" t="n"/>
      <c r="AD90" s="290" t="n"/>
      <c r="AE90" s="290" t="n"/>
      <c r="AF90" s="290" t="n"/>
      <c r="AG90" s="290" t="n"/>
      <c r="AH90" s="290" t="n"/>
      <c r="AI90" s="290" t="n"/>
      <c r="AJ90" s="290" t="n"/>
      <c r="AK90" s="290" t="n"/>
      <c r="AL90" s="290" t="n"/>
    </row>
    <row r="91">
      <c r="A91" s="206" t="n">
        <v>20</v>
      </c>
      <c r="B91" s="206" t="inlineStr">
        <is>
          <t>200678254</t>
        </is>
      </c>
      <c r="C91" s="207" t="inlineStr">
        <is>
          <t>中建四局020020210018040004</t>
        </is>
      </c>
      <c r="D91" s="207" t="inlineStr">
        <is>
          <t>四川川泸远豪建筑劳务有限公司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26042.77</v>
      </c>
      <c r="N91" s="210" t="n">
        <v>26042.77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894135</v>
      </c>
      <c r="U91" s="206" t="n"/>
      <c r="V91" s="206" t="n"/>
      <c r="W91" s="290" t="n"/>
      <c r="X91" s="290" t="n"/>
      <c r="Y91" s="290" t="n"/>
      <c r="Z91" s="290" t="n"/>
      <c r="AA91" s="290" t="n"/>
      <c r="AB91" s="290" t="n"/>
      <c r="AC91" s="290" t="n"/>
      <c r="AD91" s="290" t="n"/>
      <c r="AE91" s="290" t="n"/>
      <c r="AF91" s="290" t="n"/>
      <c r="AG91" s="290" t="n"/>
      <c r="AH91" s="290" t="n"/>
      <c r="AI91" s="290" t="n"/>
      <c r="AJ91" s="290" t="n"/>
      <c r="AK91" s="290" t="n"/>
      <c r="AL91" s="290" t="n"/>
    </row>
    <row r="92">
      <c r="A92" s="206" t="n">
        <v>21</v>
      </c>
      <c r="B92" s="206" t="inlineStr">
        <is>
          <t>200282611</t>
        </is>
      </c>
      <c r="C92" s="207" t="inlineStr">
        <is>
          <t>中建四局0200202101806009</t>
        </is>
      </c>
      <c r="D92" s="207" t="inlineStr">
        <is>
          <t>平安商贸有限公司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10027546.88</v>
      </c>
      <c r="N92" s="210" t="n">
        <v>1153611.59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10027546.88</v>
      </c>
      <c r="U92" s="206" t="n"/>
      <c r="V92" s="206" t="n"/>
      <c r="W92" s="290" t="n"/>
      <c r="X92" s="290" t="n"/>
      <c r="Y92" s="290" t="n"/>
      <c r="Z92" s="290" t="n"/>
      <c r="AA92" s="290" t="n"/>
      <c r="AB92" s="290" t="n"/>
      <c r="AC92" s="290" t="n"/>
      <c r="AD92" s="290" t="n"/>
      <c r="AE92" s="290" t="n"/>
      <c r="AF92" s="290" t="n"/>
      <c r="AG92" s="290" t="n"/>
      <c r="AH92" s="290" t="n"/>
      <c r="AI92" s="290" t="n"/>
      <c r="AJ92" s="290" t="n"/>
      <c r="AK92" s="290" t="n"/>
      <c r="AL92" s="290" t="n"/>
    </row>
    <row r="93">
      <c r="A93" s="206" t="n">
        <v>22</v>
      </c>
      <c r="B93" s="206" t="inlineStr">
        <is>
          <t>200120407</t>
        </is>
      </c>
      <c r="C93" s="207" t="inlineStr">
        <is>
          <t>中建四局0200202101803011</t>
        </is>
      </c>
      <c r="D93" s="207" t="inlineStr">
        <is>
          <t>广东华海建设集团有限公司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2007394.57</v>
      </c>
      <c r="N93" s="210" t="n">
        <v>1620857.48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17382710</v>
      </c>
      <c r="U93" s="206" t="n"/>
      <c r="V93" s="206" t="n"/>
      <c r="W93" s="290" t="n"/>
      <c r="X93" s="290" t="n"/>
      <c r="Y93" s="290" t="n"/>
      <c r="Z93" s="290" t="n"/>
      <c r="AA93" s="290" t="n"/>
      <c r="AB93" s="290" t="n"/>
      <c r="AC93" s="290" t="n"/>
      <c r="AD93" s="290" t="n"/>
      <c r="AE93" s="290" t="n"/>
      <c r="AF93" s="290" t="n"/>
      <c r="AG93" s="290" t="n"/>
      <c r="AH93" s="290" t="n"/>
      <c r="AI93" s="290" t="n"/>
      <c r="AJ93" s="290" t="n"/>
      <c r="AK93" s="290" t="n"/>
      <c r="AL93" s="290" t="n"/>
    </row>
    <row r="94">
      <c r="A94" s="206" t="n">
        <v>23</v>
      </c>
      <c r="B94" s="206" t="inlineStr">
        <is>
          <t>200393732</t>
        </is>
      </c>
      <c r="C94" s="207" t="inlineStr">
        <is>
          <t>中建四局020020210018030002</t>
        </is>
      </c>
      <c r="D94" s="207" t="inlineStr">
        <is>
          <t>广东城投建设集团有限公司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144026.64</v>
      </c>
      <c r="N94" s="210" t="n">
        <v>108019.98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1215005</v>
      </c>
      <c r="U94" s="206" t="n"/>
      <c r="V94" s="206" t="n"/>
      <c r="W94" s="290" t="n"/>
      <c r="X94" s="290" t="n"/>
      <c r="Y94" s="290" t="n"/>
      <c r="Z94" s="290" t="n"/>
      <c r="AA94" s="290" t="n"/>
      <c r="AB94" s="290" t="n"/>
      <c r="AC94" s="290" t="n"/>
      <c r="AD94" s="290" t="n"/>
      <c r="AE94" s="290" t="n"/>
      <c r="AF94" s="290" t="n"/>
      <c r="AG94" s="290" t="n"/>
      <c r="AH94" s="290" t="n"/>
      <c r="AI94" s="290" t="n"/>
      <c r="AJ94" s="290" t="n"/>
      <c r="AK94" s="290" t="n"/>
      <c r="AL94" s="290" t="n"/>
    </row>
    <row r="95">
      <c r="A95" s="206" t="n">
        <v>24</v>
      </c>
      <c r="B95" s="206" t="inlineStr">
        <is>
          <t>200609375</t>
        </is>
      </c>
      <c r="C95" s="207" t="inlineStr">
        <is>
          <t>中建四局0200202101806040</t>
        </is>
      </c>
      <c r="D95" s="207" t="inlineStr">
        <is>
          <t>广东富景成环保建材有限公司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436086.94</v>
      </c>
      <c r="N95" s="210" t="n">
        <v>50169.29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436086.94</v>
      </c>
      <c r="U95" s="206" t="n"/>
      <c r="V95" s="206" t="n"/>
      <c r="W95" s="290" t="n"/>
      <c r="X95" s="290" t="n"/>
      <c r="Y95" s="290" t="n"/>
      <c r="Z95" s="290" t="n"/>
      <c r="AA95" s="290" t="n"/>
      <c r="AB95" s="290" t="n"/>
      <c r="AC95" s="290" t="n"/>
      <c r="AD95" s="290" t="n"/>
      <c r="AE95" s="290" t="n"/>
      <c r="AF95" s="290" t="n"/>
      <c r="AG95" s="290" t="n"/>
      <c r="AH95" s="290" t="n"/>
      <c r="AI95" s="290" t="n"/>
      <c r="AJ95" s="290" t="n"/>
      <c r="AK95" s="290" t="n"/>
      <c r="AL95" s="290" t="n"/>
    </row>
    <row r="96">
      <c r="A96" s="206" t="n">
        <v>25</v>
      </c>
      <c r="B96" s="206" t="inlineStr">
        <is>
          <t>200589118</t>
        </is>
      </c>
      <c r="C96" s="207" t="inlineStr">
        <is>
          <t>中建四局020020210018060001</t>
        </is>
      </c>
      <c r="D96" s="207" t="inlineStr">
        <is>
          <t>广东广物中南建材集团有限公司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4858077.99</v>
      </c>
      <c r="N96" s="210" t="n">
        <v>558893.95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4858077.99</v>
      </c>
      <c r="U96" s="206" t="n"/>
      <c r="V96" s="206" t="n"/>
      <c r="W96" s="290" t="n"/>
      <c r="X96" s="290" t="n"/>
      <c r="Y96" s="290" t="n"/>
      <c r="Z96" s="290" t="n"/>
      <c r="AA96" s="290" t="n"/>
      <c r="AB96" s="290" t="n"/>
      <c r="AC96" s="290" t="n"/>
      <c r="AD96" s="290" t="n"/>
      <c r="AE96" s="290" t="n"/>
      <c r="AF96" s="290" t="n"/>
      <c r="AG96" s="290" t="n"/>
      <c r="AH96" s="290" t="n"/>
      <c r="AI96" s="290" t="n"/>
      <c r="AJ96" s="290" t="n"/>
      <c r="AK96" s="290" t="n"/>
      <c r="AL96" s="290" t="n"/>
    </row>
    <row r="97">
      <c r="A97" s="206" t="n">
        <v>26</v>
      </c>
      <c r="B97" s="206" t="inlineStr">
        <is>
          <t>100218495</t>
        </is>
      </c>
      <c r="C97" s="207" t="inlineStr">
        <is>
          <t>中建四局0200202101806024</t>
        </is>
      </c>
      <c r="D97" s="207" t="inlineStr">
        <is>
          <t>广东广物物资有限公司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58918878.23</v>
      </c>
      <c r="N97" s="210" t="n">
        <v>6778278.02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57634200</v>
      </c>
      <c r="U97" s="206" t="n"/>
      <c r="V97" s="206" t="n"/>
      <c r="W97" s="290" t="n"/>
      <c r="X97" s="290" t="n"/>
      <c r="Y97" s="290" t="n"/>
      <c r="Z97" s="290" t="n"/>
      <c r="AA97" s="290" t="n"/>
      <c r="AB97" s="290" t="n"/>
      <c r="AC97" s="290" t="n"/>
      <c r="AD97" s="290" t="n"/>
      <c r="AE97" s="290" t="n"/>
      <c r="AF97" s="290" t="n"/>
      <c r="AG97" s="290" t="n"/>
      <c r="AH97" s="290" t="n"/>
      <c r="AI97" s="290" t="n"/>
      <c r="AJ97" s="290" t="n"/>
      <c r="AK97" s="290" t="n"/>
      <c r="AL97" s="290" t="n"/>
    </row>
    <row r="98">
      <c r="A98" s="206" t="n">
        <v>27</v>
      </c>
      <c r="B98" s="206" t="inlineStr">
        <is>
          <t>200430199</t>
        </is>
      </c>
      <c r="C98" s="207" t="inlineStr">
        <is>
          <t>中建四局0200202101803023</t>
        </is>
      </c>
      <c r="D98" s="207" t="inlineStr">
        <is>
          <t>广东振华建筑有限公司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26131.2</v>
      </c>
      <c r="N98" s="210" t="n">
        <v>13065.6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260000</v>
      </c>
      <c r="U98" s="206" t="n"/>
      <c r="V98" s="206" t="n"/>
      <c r="W98" s="290" t="n"/>
      <c r="X98" s="290" t="n"/>
      <c r="Y98" s="290" t="n"/>
      <c r="Z98" s="290" t="n"/>
      <c r="AA98" s="290" t="n"/>
      <c r="AB98" s="290" t="n"/>
      <c r="AC98" s="290" t="n"/>
      <c r="AD98" s="290" t="n"/>
      <c r="AE98" s="290" t="n"/>
      <c r="AF98" s="290" t="n"/>
      <c r="AG98" s="290" t="n"/>
      <c r="AH98" s="290" t="n"/>
      <c r="AI98" s="290" t="n"/>
      <c r="AJ98" s="290" t="n"/>
      <c r="AK98" s="290" t="n"/>
      <c r="AL98" s="290" t="n"/>
    </row>
    <row r="99">
      <c r="A99" s="206" t="n">
        <v>28</v>
      </c>
      <c r="B99" s="206" t="inlineStr">
        <is>
          <t>100217200</t>
        </is>
      </c>
      <c r="C99" s="207" t="inlineStr">
        <is>
          <t>中建四局0200202101806042</t>
        </is>
      </c>
      <c r="D99" s="207" t="inlineStr">
        <is>
          <t>广东新瑞龙生态建材有限公司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11236299.01</v>
      </c>
      <c r="N99" s="210" t="n">
        <v>1292671.55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10199210.04</v>
      </c>
      <c r="U99" s="206" t="n"/>
      <c r="V99" s="206" t="n"/>
      <c r="W99" s="290" t="n"/>
      <c r="X99" s="290" t="n"/>
      <c r="Y99" s="290" t="n"/>
      <c r="Z99" s="290" t="n"/>
      <c r="AA99" s="290" t="n"/>
      <c r="AB99" s="290" t="n"/>
      <c r="AC99" s="290" t="n"/>
      <c r="AD99" s="290" t="n"/>
      <c r="AE99" s="290" t="n"/>
      <c r="AF99" s="290" t="n"/>
      <c r="AG99" s="290" t="n"/>
      <c r="AH99" s="290" t="n"/>
      <c r="AI99" s="290" t="n"/>
      <c r="AJ99" s="290" t="n"/>
      <c r="AK99" s="290" t="n"/>
      <c r="AL99" s="290" t="n"/>
    </row>
    <row r="100">
      <c r="A100" s="206" t="n">
        <v>29</v>
      </c>
      <c r="B100" s="206" t="inlineStr">
        <is>
          <t>200053581</t>
        </is>
      </c>
      <c r="C100" s="207" t="inlineStr">
        <is>
          <t>中建四局0200202101803003</t>
        </is>
      </c>
      <c r="D100" s="207" t="inlineStr">
        <is>
          <t>广东粤忠晟保安服务有限公司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186288.16</v>
      </c>
      <c r="N100" s="210" t="n">
        <v>122373.19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2284661</v>
      </c>
      <c r="U100" s="206" t="n"/>
      <c r="V100" s="206" t="n"/>
      <c r="W100" s="290" t="n"/>
      <c r="X100" s="290" t="n"/>
      <c r="Y100" s="290" t="n"/>
      <c r="Z100" s="290" t="n"/>
      <c r="AA100" s="290" t="n"/>
      <c r="AB100" s="290" t="n"/>
      <c r="AC100" s="290" t="n"/>
      <c r="AD100" s="290" t="n"/>
      <c r="AE100" s="290" t="n"/>
      <c r="AF100" s="290" t="n"/>
      <c r="AG100" s="290" t="n"/>
      <c r="AH100" s="290" t="n"/>
      <c r="AI100" s="290" t="n"/>
      <c r="AJ100" s="290" t="n"/>
      <c r="AK100" s="290" t="n"/>
      <c r="AL100" s="290" t="n"/>
    </row>
    <row r="101">
      <c r="A101" s="206" t="n">
        <v>30</v>
      </c>
      <c r="B101" s="206" t="inlineStr">
        <is>
          <t>100095592</t>
        </is>
      </c>
      <c r="C101" s="207" t="inlineStr">
        <is>
          <t>中建四局0200202101803005</t>
        </is>
      </c>
      <c r="D101" s="207" t="inlineStr">
        <is>
          <t>广东金华城建设集团有限公司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1126308.44</v>
      </c>
      <c r="N101" s="210" t="n">
        <v>889462.14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9688900</v>
      </c>
      <c r="U101" s="206" t="n"/>
      <c r="V101" s="206" t="n"/>
      <c r="W101" s="290" t="n"/>
      <c r="X101" s="290" t="n"/>
      <c r="Y101" s="290" t="n"/>
      <c r="Z101" s="290" t="n"/>
      <c r="AA101" s="290" t="n"/>
      <c r="AB101" s="290" t="n"/>
      <c r="AC101" s="290" t="n"/>
      <c r="AD101" s="290" t="n"/>
      <c r="AE101" s="290" t="n"/>
      <c r="AF101" s="290" t="n"/>
      <c r="AG101" s="290" t="n"/>
      <c r="AH101" s="290" t="n"/>
      <c r="AI101" s="290" t="n"/>
      <c r="AJ101" s="290" t="n"/>
      <c r="AK101" s="290" t="n"/>
      <c r="AL101" s="290" t="n"/>
    </row>
    <row r="102">
      <c r="A102" s="206" t="n">
        <v>31</v>
      </c>
      <c r="B102" s="206" t="inlineStr">
        <is>
          <t>200350492</t>
        </is>
      </c>
      <c r="C102" s="207" t="inlineStr">
        <is>
          <t>中建四局0200202101803010</t>
        </is>
      </c>
      <c r="D102" s="207" t="inlineStr">
        <is>
          <t>广东鑫弘盛建设工程有限公司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3689953.91</v>
      </c>
      <c r="N102" s="210" t="n">
        <v>2928739.94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34881345</v>
      </c>
      <c r="U102" s="206" t="n"/>
      <c r="V102" s="206" t="n"/>
      <c r="W102" s="290" t="n"/>
      <c r="X102" s="290" t="n"/>
      <c r="Y102" s="290" t="n"/>
      <c r="Z102" s="290" t="n"/>
      <c r="AA102" s="290" t="n"/>
      <c r="AB102" s="290" t="n"/>
      <c r="AC102" s="290" t="n"/>
      <c r="AD102" s="290" t="n"/>
      <c r="AE102" s="290" t="n"/>
      <c r="AF102" s="290" t="n"/>
      <c r="AG102" s="290" t="n"/>
      <c r="AH102" s="290" t="n"/>
      <c r="AI102" s="290" t="n"/>
      <c r="AJ102" s="290" t="n"/>
      <c r="AK102" s="290" t="n"/>
      <c r="AL102" s="290" t="n"/>
    </row>
    <row r="103">
      <c r="A103" s="206" t="n">
        <v>32</v>
      </c>
      <c r="B103" s="206" t="inlineStr">
        <is>
          <t>100217564</t>
        </is>
      </c>
      <c r="C103" s="207" t="inlineStr">
        <is>
          <t>中建四局0200202101806015</t>
        </is>
      </c>
      <c r="D103" s="207" t="inlineStr">
        <is>
          <t>广东顺德雍强贸易有限公司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5734183.71</v>
      </c>
      <c r="N103" s="210" t="n">
        <v>659684.51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5722211.35</v>
      </c>
      <c r="U103" s="206" t="n"/>
      <c r="V103" s="206" t="n"/>
      <c r="W103" s="290" t="n"/>
      <c r="X103" s="290" t="n"/>
      <c r="Y103" s="290" t="n"/>
      <c r="Z103" s="290" t="n"/>
      <c r="AA103" s="290" t="n"/>
      <c r="AB103" s="290" t="n"/>
      <c r="AC103" s="290" t="n"/>
      <c r="AD103" s="290" t="n"/>
      <c r="AE103" s="290" t="n"/>
      <c r="AF103" s="290" t="n"/>
      <c r="AG103" s="290" t="n"/>
      <c r="AH103" s="290" t="n"/>
      <c r="AI103" s="290" t="n"/>
      <c r="AJ103" s="290" t="n"/>
      <c r="AK103" s="290" t="n"/>
      <c r="AL103" s="290" t="n"/>
    </row>
    <row r="104">
      <c r="A104" s="206" t="n">
        <v>33</v>
      </c>
      <c r="B104" s="206" t="inlineStr">
        <is>
          <t>100117504</t>
        </is>
      </c>
      <c r="C104" s="207" t="inlineStr">
        <is>
          <t>中建四局0200202101805005</t>
        </is>
      </c>
      <c r="D104" s="207" t="inlineStr">
        <is>
          <t>广州大丰工程机械设备有限公司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1204275.07</v>
      </c>
      <c r="N104" s="210" t="n">
        <v>138544.93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1204275.07</v>
      </c>
      <c r="U104" s="206" t="n"/>
      <c r="V104" s="206" t="n"/>
      <c r="W104" s="290" t="n"/>
      <c r="X104" s="290" t="n"/>
      <c r="Y104" s="290" t="n"/>
      <c r="Z104" s="290" t="n"/>
      <c r="AA104" s="290" t="n"/>
      <c r="AB104" s="290" t="n"/>
      <c r="AC104" s="290" t="n"/>
      <c r="AD104" s="290" t="n"/>
      <c r="AE104" s="290" t="n"/>
      <c r="AF104" s="290" t="n"/>
      <c r="AG104" s="290" t="n"/>
      <c r="AH104" s="290" t="n"/>
      <c r="AI104" s="290" t="n"/>
      <c r="AJ104" s="290" t="n"/>
      <c r="AK104" s="290" t="n"/>
      <c r="AL104" s="290" t="n"/>
    </row>
    <row r="105">
      <c r="A105" s="206" t="n">
        <v>34</v>
      </c>
      <c r="B105" s="206" t="inlineStr">
        <is>
          <t>200028988</t>
        </is>
      </c>
      <c r="C105" s="207" t="inlineStr">
        <is>
          <t>中建四局0200202101806020</t>
        </is>
      </c>
      <c r="D105" s="207" t="inlineStr">
        <is>
          <t>广州天源混凝土有限公司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85098547.58</v>
      </c>
      <c r="N105" s="210" t="n">
        <v>2479172.51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76114127.56</v>
      </c>
      <c r="U105" s="206" t="n"/>
      <c r="V105" s="206" t="n"/>
      <c r="W105" s="290" t="n"/>
      <c r="X105" s="290" t="n"/>
      <c r="Y105" s="290" t="n"/>
      <c r="Z105" s="290" t="n"/>
      <c r="AA105" s="290" t="n"/>
      <c r="AB105" s="290" t="n"/>
      <c r="AC105" s="290" t="n"/>
      <c r="AD105" s="290" t="n"/>
      <c r="AE105" s="290" t="n"/>
      <c r="AF105" s="290" t="n"/>
      <c r="AG105" s="290" t="n"/>
      <c r="AH105" s="290" t="n"/>
      <c r="AI105" s="290" t="n"/>
      <c r="AJ105" s="290" t="n"/>
      <c r="AK105" s="290" t="n"/>
      <c r="AL105" s="290" t="n"/>
    </row>
    <row r="106">
      <c r="A106" s="206" t="n">
        <v>35</v>
      </c>
      <c r="B106" s="206" t="inlineStr">
        <is>
          <t>100118018</t>
        </is>
      </c>
      <c r="C106" s="207" t="inlineStr">
        <is>
          <t>中建四局0200202101806023</t>
        </is>
      </c>
      <c r="D106" s="207" t="inlineStr">
        <is>
          <t>广州天达混凝土有限公司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7240794.28</v>
      </c>
      <c r="N106" s="210" t="n">
        <v>210896.97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7240794.28</v>
      </c>
      <c r="U106" s="206" t="n"/>
      <c r="V106" s="206" t="n"/>
      <c r="W106" s="290" t="n"/>
      <c r="X106" s="290" t="n"/>
      <c r="Y106" s="290" t="n"/>
      <c r="Z106" s="290" t="n"/>
      <c r="AA106" s="290" t="n"/>
      <c r="AB106" s="290" t="n"/>
      <c r="AC106" s="290" t="n"/>
      <c r="AD106" s="290" t="n"/>
      <c r="AE106" s="290" t="n"/>
      <c r="AF106" s="290" t="n"/>
      <c r="AG106" s="290" t="n"/>
      <c r="AH106" s="290" t="n"/>
      <c r="AI106" s="290" t="n"/>
      <c r="AJ106" s="290" t="n"/>
      <c r="AK106" s="290" t="n"/>
      <c r="AL106" s="290" t="n"/>
    </row>
    <row r="107">
      <c r="A107" s="206" t="n">
        <v>36</v>
      </c>
      <c r="B107" s="206" t="inlineStr">
        <is>
          <t>200353812</t>
        </is>
      </c>
      <c r="C107" s="207" t="inlineStr">
        <is>
          <t>中建四局0200202101805007</t>
        </is>
      </c>
      <c r="D107" s="207" t="inlineStr">
        <is>
          <t>广州小老虎建筑机械租赁有限公司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12388266.76</v>
      </c>
      <c r="N107" s="210" t="n">
        <v>1022884.43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12388266.76</v>
      </c>
      <c r="U107" s="206" t="n"/>
      <c r="V107" s="206" t="n"/>
      <c r="W107" s="290" t="n"/>
      <c r="X107" s="290" t="n"/>
      <c r="Y107" s="290" t="n"/>
      <c r="Z107" s="290" t="n"/>
      <c r="AA107" s="290" t="n"/>
      <c r="AB107" s="290" t="n"/>
      <c r="AC107" s="290" t="n"/>
      <c r="AD107" s="290" t="n"/>
      <c r="AE107" s="290" t="n"/>
      <c r="AF107" s="290" t="n"/>
      <c r="AG107" s="290" t="n"/>
      <c r="AH107" s="290" t="n"/>
      <c r="AI107" s="290" t="n"/>
      <c r="AJ107" s="290" t="n"/>
      <c r="AK107" s="290" t="n"/>
      <c r="AL107" s="290" t="n"/>
    </row>
    <row r="108">
      <c r="A108" s="206" t="n">
        <v>37</v>
      </c>
      <c r="B108" s="206" t="inlineStr">
        <is>
          <t>200167577</t>
        </is>
      </c>
      <c r="C108" s="207" t="inlineStr">
        <is>
          <t>中建四局0200202101803018</t>
        </is>
      </c>
      <c r="D108" s="207" t="inlineStr">
        <is>
          <t>广州巧艺佳建筑装饰工程有限公司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80524.72</v>
      </c>
      <c r="N108" s="210" t="n">
        <v>62680.61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756733.7</v>
      </c>
      <c r="U108" s="206" t="n"/>
      <c r="V108" s="206" t="n"/>
      <c r="W108" s="290" t="n"/>
      <c r="X108" s="290" t="n"/>
      <c r="Y108" s="290" t="n"/>
      <c r="Z108" s="290" t="n"/>
      <c r="AA108" s="290" t="n"/>
      <c r="AB108" s="290" t="n"/>
      <c r="AC108" s="290" t="n"/>
      <c r="AD108" s="290" t="n"/>
      <c r="AE108" s="290" t="n"/>
      <c r="AF108" s="290" t="n"/>
      <c r="AG108" s="290" t="n"/>
      <c r="AH108" s="290" t="n"/>
      <c r="AI108" s="290" t="n"/>
      <c r="AJ108" s="290" t="n"/>
      <c r="AK108" s="290" t="n"/>
      <c r="AL108" s="290" t="n"/>
    </row>
    <row r="109">
      <c r="A109" s="206" t="n">
        <v>38</v>
      </c>
      <c r="B109" s="206" t="inlineStr">
        <is>
          <t>200167577</t>
        </is>
      </c>
      <c r="C109" s="207" t="inlineStr">
        <is>
          <t>中建四局0200202101803019</t>
        </is>
      </c>
      <c r="D109" s="207" t="inlineStr">
        <is>
          <t>广州巧艺佳建筑装饰工程有限公司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188246.86</v>
      </c>
      <c r="N109" s="210" t="n">
        <v>142971.95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1731549.1</v>
      </c>
      <c r="U109" s="206" t="n"/>
      <c r="V109" s="206" t="n"/>
      <c r="W109" s="290" t="n"/>
      <c r="X109" s="290" t="n"/>
      <c r="Y109" s="290" t="n"/>
      <c r="Z109" s="290" t="n"/>
      <c r="AA109" s="290" t="n"/>
      <c r="AB109" s="290" t="n"/>
      <c r="AC109" s="290" t="n"/>
      <c r="AD109" s="290" t="n"/>
      <c r="AE109" s="290" t="n"/>
      <c r="AF109" s="290" t="n"/>
      <c r="AG109" s="290" t="n"/>
      <c r="AH109" s="290" t="n"/>
      <c r="AI109" s="290" t="n"/>
      <c r="AJ109" s="290" t="n"/>
      <c r="AK109" s="290" t="n"/>
      <c r="AL109" s="290" t="n"/>
    </row>
    <row r="110">
      <c r="A110" s="206" t="n">
        <v>39</v>
      </c>
      <c r="B110" s="206" t="inlineStr">
        <is>
          <t>100060432</t>
        </is>
      </c>
      <c r="C110" s="207" t="inlineStr">
        <is>
          <t>中建四局0200202101803004</t>
        </is>
      </c>
      <c r="D110" s="207" t="inlineStr">
        <is>
          <t>广州市亲力劳务派遣有限公司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828786.13</v>
      </c>
      <c r="N110" s="210" t="n">
        <v>448169.28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14546400</v>
      </c>
      <c r="U110" s="206" t="n"/>
      <c r="V110" s="206" t="n"/>
      <c r="W110" s="290" t="n"/>
      <c r="X110" s="290" t="n"/>
      <c r="Y110" s="290" t="n"/>
      <c r="Z110" s="290" t="n"/>
      <c r="AA110" s="290" t="n"/>
      <c r="AB110" s="290" t="n"/>
      <c r="AC110" s="290" t="n"/>
      <c r="AD110" s="290" t="n"/>
      <c r="AE110" s="290" t="n"/>
      <c r="AF110" s="290" t="n"/>
      <c r="AG110" s="290" t="n"/>
      <c r="AH110" s="290" t="n"/>
      <c r="AI110" s="290" t="n"/>
      <c r="AJ110" s="290" t="n"/>
      <c r="AK110" s="290" t="n"/>
      <c r="AL110" s="290" t="n"/>
    </row>
    <row r="111">
      <c r="A111" s="206" t="n">
        <v>40</v>
      </c>
      <c r="B111" s="206" t="inlineStr">
        <is>
          <t>100060432</t>
        </is>
      </c>
      <c r="C111" s="207" t="inlineStr">
        <is>
          <t>中建四局0200202101803014</t>
        </is>
      </c>
      <c r="D111" s="207" t="inlineStr">
        <is>
          <t>广州市亲力劳务派遣有限公司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2248677.96</v>
      </c>
      <c r="N111" s="210" t="n">
        <v>1242269.38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42593124.4</v>
      </c>
      <c r="U111" s="206" t="n"/>
      <c r="V111" s="206" t="n"/>
      <c r="W111" s="290" t="n"/>
      <c r="X111" s="290" t="n"/>
      <c r="Y111" s="290" t="n"/>
      <c r="Z111" s="290" t="n"/>
      <c r="AA111" s="290" t="n"/>
      <c r="AB111" s="290" t="n"/>
      <c r="AC111" s="290" t="n"/>
      <c r="AD111" s="290" t="n"/>
      <c r="AE111" s="290" t="n"/>
      <c r="AF111" s="290" t="n"/>
      <c r="AG111" s="290" t="n"/>
      <c r="AH111" s="290" t="n"/>
      <c r="AI111" s="290" t="n"/>
      <c r="AJ111" s="290" t="n"/>
      <c r="AK111" s="290" t="n"/>
      <c r="AL111" s="290" t="n"/>
    </row>
    <row r="112">
      <c r="A112" s="206" t="n">
        <v>41</v>
      </c>
      <c r="B112" s="206" t="inlineStr">
        <is>
          <t>100060432</t>
        </is>
      </c>
      <c r="C112" s="207" t="inlineStr">
        <is>
          <t>中建四局0200202101804001</t>
        </is>
      </c>
      <c r="D112" s="207" t="inlineStr">
        <is>
          <t>广州市亲力劳务派遣有限公司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790183.1</v>
      </c>
      <c r="N112" s="210" t="n">
        <v>444003.04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15241016.3</v>
      </c>
      <c r="U112" s="206" t="n"/>
      <c r="V112" s="206" t="n"/>
      <c r="W112" s="290" t="n"/>
      <c r="X112" s="290" t="n"/>
      <c r="Y112" s="290" t="n"/>
      <c r="Z112" s="290" t="n"/>
      <c r="AA112" s="290" t="n"/>
      <c r="AB112" s="290" t="n"/>
      <c r="AC112" s="290" t="n"/>
      <c r="AD112" s="290" t="n"/>
      <c r="AE112" s="290" t="n"/>
      <c r="AF112" s="290" t="n"/>
      <c r="AG112" s="290" t="n"/>
      <c r="AH112" s="290" t="n"/>
      <c r="AI112" s="290" t="n"/>
      <c r="AJ112" s="290" t="n"/>
      <c r="AK112" s="290" t="n"/>
      <c r="AL112" s="290" t="n"/>
    </row>
    <row r="113">
      <c r="A113" s="206" t="n">
        <v>42</v>
      </c>
      <c r="B113" s="206" t="inlineStr">
        <is>
          <t>100060432</t>
        </is>
      </c>
      <c r="C113" s="207" t="inlineStr">
        <is>
          <t>中建四局0200202101804002</t>
        </is>
      </c>
      <c r="D113" s="207" t="inlineStr">
        <is>
          <t>广州市亲力劳务派遣有限公司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141792.55</v>
      </c>
      <c r="N113" s="210" t="n">
        <v>77169.42999999999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2453800</v>
      </c>
      <c r="U113" s="206" t="n"/>
      <c r="V113" s="206" t="n"/>
      <c r="W113" s="290" t="n"/>
      <c r="X113" s="290" t="n"/>
      <c r="Y113" s="290" t="n"/>
      <c r="Z113" s="290" t="n"/>
      <c r="AA113" s="290" t="n"/>
      <c r="AB113" s="290" t="n"/>
      <c r="AC113" s="290" t="n"/>
      <c r="AD113" s="290" t="n"/>
      <c r="AE113" s="290" t="n"/>
      <c r="AF113" s="290" t="n"/>
      <c r="AG113" s="290" t="n"/>
      <c r="AH113" s="290" t="n"/>
      <c r="AI113" s="290" t="n"/>
      <c r="AJ113" s="290" t="n"/>
      <c r="AK113" s="290" t="n"/>
      <c r="AL113" s="290" t="n"/>
    </row>
    <row r="114">
      <c r="A114" s="206" t="n">
        <v>43</v>
      </c>
      <c r="B114" s="206" t="inlineStr">
        <is>
          <t>100060432</t>
        </is>
      </c>
      <c r="C114" s="207" t="inlineStr">
        <is>
          <t>中建四局0200202101804003</t>
        </is>
      </c>
      <c r="D114" s="207" t="inlineStr">
        <is>
          <t>广州市亲力劳务派遣有限公司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53830.46</v>
      </c>
      <c r="N114" s="210" t="n">
        <v>30742.83</v>
      </c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10" t="n">
        <v>923900</v>
      </c>
      <c r="U114" s="206" t="n"/>
      <c r="V114" s="206" t="n"/>
      <c r="W114" s="290" t="n"/>
      <c r="X114" s="290" t="n"/>
      <c r="Y114" s="290" t="n"/>
      <c r="Z114" s="290" t="n"/>
      <c r="AA114" s="290" t="n"/>
      <c r="AB114" s="290" t="n"/>
      <c r="AC114" s="290" t="n"/>
      <c r="AD114" s="290" t="n"/>
      <c r="AE114" s="290" t="n"/>
      <c r="AF114" s="290" t="n"/>
      <c r="AG114" s="290" t="n"/>
      <c r="AH114" s="290" t="n"/>
      <c r="AI114" s="290" t="n"/>
      <c r="AJ114" s="290" t="n"/>
      <c r="AK114" s="290" t="n"/>
      <c r="AL114" s="290" t="n"/>
    </row>
    <row r="115">
      <c r="A115" s="206" t="n">
        <v>44</v>
      </c>
      <c r="B115" s="206" t="inlineStr">
        <is>
          <t>100060432</t>
        </is>
      </c>
      <c r="C115" s="207" t="inlineStr">
        <is>
          <t>中建四局0200202101804004</t>
        </is>
      </c>
      <c r="D115" s="207" t="inlineStr">
        <is>
          <t>广州市亲力劳务派遣有限公司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6" t="n"/>
      <c r="M115" s="210" t="n">
        <v>288748.53</v>
      </c>
      <c r="N115" s="210" t="n">
        <v>153682.39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5226426.6</v>
      </c>
      <c r="U115" s="206" t="n"/>
      <c r="V115" s="206" t="n"/>
      <c r="W115" s="290" t="n"/>
      <c r="X115" s="290" t="n"/>
      <c r="Y115" s="290" t="n"/>
      <c r="Z115" s="290" t="n"/>
      <c r="AA115" s="290" t="n"/>
      <c r="AB115" s="290" t="n"/>
      <c r="AC115" s="290" t="n"/>
      <c r="AD115" s="290" t="n"/>
      <c r="AE115" s="290" t="n"/>
      <c r="AF115" s="290" t="n"/>
      <c r="AG115" s="290" t="n"/>
      <c r="AH115" s="290" t="n"/>
      <c r="AI115" s="290" t="n"/>
      <c r="AJ115" s="290" t="n"/>
      <c r="AK115" s="290" t="n"/>
      <c r="AL115" s="290" t="n"/>
    </row>
    <row r="116">
      <c r="A116" s="206" t="n">
        <v>45</v>
      </c>
      <c r="B116" s="206" t="inlineStr">
        <is>
          <t>100060432</t>
        </is>
      </c>
      <c r="C116" s="207" t="inlineStr">
        <is>
          <t>中建四局0200202101804005</t>
        </is>
      </c>
      <c r="D116" s="207" t="inlineStr">
        <is>
          <t>广州市亲力劳务派遣有限公司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6" t="n"/>
      <c r="M116" s="210" t="n">
        <v>66007.42999999999</v>
      </c>
      <c r="N116" s="210" t="n">
        <v>34528.25</v>
      </c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10" t="n">
        <v>1014500</v>
      </c>
      <c r="U116" s="206" t="n"/>
      <c r="V116" s="206" t="n"/>
      <c r="W116" s="290" t="n"/>
      <c r="X116" s="290" t="n"/>
      <c r="Y116" s="290" t="n"/>
      <c r="Z116" s="290" t="n"/>
      <c r="AA116" s="290" t="n"/>
      <c r="AB116" s="290" t="n"/>
      <c r="AC116" s="290" t="n"/>
      <c r="AD116" s="290" t="n"/>
      <c r="AE116" s="290" t="n"/>
      <c r="AF116" s="290" t="n"/>
      <c r="AG116" s="290" t="n"/>
      <c r="AH116" s="290" t="n"/>
      <c r="AI116" s="290" t="n"/>
      <c r="AJ116" s="290" t="n"/>
      <c r="AK116" s="290" t="n"/>
      <c r="AL116" s="290" t="n"/>
    </row>
    <row r="117">
      <c r="A117" s="206" t="n">
        <v>46</v>
      </c>
      <c r="B117" s="206" t="inlineStr">
        <is>
          <t>100060432</t>
        </is>
      </c>
      <c r="C117" s="207" t="inlineStr">
        <is>
          <t>中建四局0200202101804006</t>
        </is>
      </c>
      <c r="D117" s="207" t="inlineStr">
        <is>
          <t>广州市亲力劳务派遣有限公司</t>
        </is>
      </c>
      <c r="E117" s="206" t="n"/>
      <c r="F117" s="206" t="n"/>
      <c r="G117" s="206" t="n"/>
      <c r="H117" s="206" t="n"/>
      <c r="I117" s="206" t="n"/>
      <c r="J117" s="206" t="n"/>
      <c r="K117" s="208" t="n"/>
      <c r="L117" s="206" t="n"/>
      <c r="M117" s="210" t="n">
        <v>1561929.96</v>
      </c>
      <c r="N117" s="210" t="n">
        <v>859623.09</v>
      </c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10" t="n">
        <v>29431074</v>
      </c>
      <c r="U117" s="206" t="n"/>
      <c r="V117" s="206" t="n"/>
      <c r="W117" s="290" t="n"/>
      <c r="X117" s="290" t="n"/>
      <c r="Y117" s="290" t="n"/>
      <c r="Z117" s="290" t="n"/>
      <c r="AA117" s="290" t="n"/>
      <c r="AB117" s="290" t="n"/>
      <c r="AC117" s="290" t="n"/>
      <c r="AD117" s="290" t="n"/>
      <c r="AE117" s="290" t="n"/>
      <c r="AF117" s="290" t="n"/>
      <c r="AG117" s="290" t="n"/>
      <c r="AH117" s="290" t="n"/>
      <c r="AI117" s="290" t="n"/>
      <c r="AJ117" s="290" t="n"/>
      <c r="AK117" s="290" t="n"/>
      <c r="AL117" s="290" t="n"/>
    </row>
    <row r="118">
      <c r="A118" s="206" t="n">
        <v>47</v>
      </c>
      <c r="B118" s="206" t="inlineStr">
        <is>
          <t>100060432</t>
        </is>
      </c>
      <c r="C118" s="207" t="inlineStr">
        <is>
          <t>中建四局0200202101804007</t>
        </is>
      </c>
      <c r="D118" s="207" t="inlineStr">
        <is>
          <t>广州市亲力劳务派遣有限公司</t>
        </is>
      </c>
      <c r="E118" s="206" t="n"/>
      <c r="F118" s="206" t="n"/>
      <c r="G118" s="206" t="n"/>
      <c r="H118" s="206" t="n"/>
      <c r="I118" s="206" t="n"/>
      <c r="J118" s="206" t="n"/>
      <c r="K118" s="208" t="n"/>
      <c r="L118" s="206" t="n"/>
      <c r="M118" s="210" t="n">
        <v>1477333.37</v>
      </c>
      <c r="N118" s="210" t="n">
        <v>810062.35</v>
      </c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10" t="n">
        <v>27075493.73</v>
      </c>
      <c r="U118" s="206" t="n"/>
      <c r="V118" s="206" t="n"/>
      <c r="W118" s="290" t="n"/>
      <c r="X118" s="290" t="n"/>
      <c r="Y118" s="290" t="n"/>
      <c r="Z118" s="290" t="n"/>
      <c r="AA118" s="290" t="n"/>
      <c r="AB118" s="290" t="n"/>
      <c r="AC118" s="290" t="n"/>
      <c r="AD118" s="290" t="n"/>
      <c r="AE118" s="290" t="n"/>
      <c r="AF118" s="290" t="n"/>
      <c r="AG118" s="290" t="n"/>
      <c r="AH118" s="290" t="n"/>
      <c r="AI118" s="290" t="n"/>
      <c r="AJ118" s="290" t="n"/>
      <c r="AK118" s="290" t="n"/>
      <c r="AL118" s="290" t="n"/>
    </row>
    <row r="119">
      <c r="A119" s="206" t="n">
        <v>48</v>
      </c>
      <c r="B119" s="206" t="inlineStr">
        <is>
          <t>100060432</t>
        </is>
      </c>
      <c r="C119" s="207" t="inlineStr">
        <is>
          <t>中建四局0200202101804008</t>
        </is>
      </c>
      <c r="D119" s="207" t="inlineStr">
        <is>
          <t>广州市亲力劳务派遣有限公司</t>
        </is>
      </c>
      <c r="E119" s="206" t="n"/>
      <c r="F119" s="206" t="n"/>
      <c r="G119" s="206" t="n"/>
      <c r="H119" s="206" t="n"/>
      <c r="I119" s="206" t="n"/>
      <c r="J119" s="206" t="n"/>
      <c r="K119" s="208" t="n"/>
      <c r="L119" s="206" t="n"/>
      <c r="M119" s="210" t="n">
        <v>68039.21000000001</v>
      </c>
      <c r="N119" s="210" t="n">
        <v>36853.78</v>
      </c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10" t="n">
        <v>1137500</v>
      </c>
      <c r="U119" s="206" t="n"/>
      <c r="V119" s="206" t="n"/>
      <c r="W119" s="290" t="n"/>
      <c r="X119" s="290" t="n"/>
      <c r="Y119" s="290" t="n"/>
      <c r="Z119" s="290" t="n"/>
      <c r="AA119" s="290" t="n"/>
      <c r="AB119" s="290" t="n"/>
      <c r="AC119" s="290" t="n"/>
      <c r="AD119" s="290" t="n"/>
      <c r="AE119" s="290" t="n"/>
      <c r="AF119" s="290" t="n"/>
      <c r="AG119" s="290" t="n"/>
      <c r="AH119" s="290" t="n"/>
      <c r="AI119" s="290" t="n"/>
      <c r="AJ119" s="290" t="n"/>
      <c r="AK119" s="290" t="n"/>
      <c r="AL119" s="290" t="n"/>
    </row>
    <row r="120">
      <c r="A120" s="206" t="n">
        <v>49</v>
      </c>
      <c r="B120" s="206" t="inlineStr">
        <is>
          <t>100060432</t>
        </is>
      </c>
      <c r="C120" s="207" t="inlineStr">
        <is>
          <t>中建四局0200202101804010</t>
        </is>
      </c>
      <c r="D120" s="207" t="inlineStr">
        <is>
          <t>广州市亲力劳务派遣有限公司</t>
        </is>
      </c>
      <c r="E120" s="206" t="n"/>
      <c r="F120" s="206" t="n"/>
      <c r="G120" s="206" t="n"/>
      <c r="H120" s="206" t="n"/>
      <c r="I120" s="206" t="n"/>
      <c r="J120" s="206" t="n"/>
      <c r="K120" s="208" t="n"/>
      <c r="L120" s="206" t="n"/>
      <c r="M120" s="210" t="n">
        <v>428544.36</v>
      </c>
      <c r="N120" s="210" t="n">
        <v>226612.33</v>
      </c>
      <c r="O120" s="206">
        <f>L120-M120</f>
        <v/>
      </c>
      <c r="P120" s="206">
        <f>K120-N120</f>
        <v/>
      </c>
      <c r="Q120" s="206">
        <f>M120+O120</f>
        <v/>
      </c>
      <c r="R120" s="206">
        <f>M120+N120+O120+P120</f>
        <v/>
      </c>
      <c r="S120" s="206" t="n"/>
      <c r="T120" s="210" t="n">
        <v>7600600</v>
      </c>
      <c r="U120" s="206" t="n"/>
      <c r="V120" s="206" t="n"/>
      <c r="W120" s="290" t="n"/>
      <c r="X120" s="290" t="n"/>
      <c r="Y120" s="290" t="n"/>
      <c r="Z120" s="290" t="n"/>
      <c r="AA120" s="290" t="n"/>
      <c r="AB120" s="290" t="n"/>
      <c r="AC120" s="290" t="n"/>
      <c r="AD120" s="290" t="n"/>
      <c r="AE120" s="290" t="n"/>
      <c r="AF120" s="290" t="n"/>
      <c r="AG120" s="290" t="n"/>
      <c r="AH120" s="290" t="n"/>
      <c r="AI120" s="290" t="n"/>
      <c r="AJ120" s="290" t="n"/>
      <c r="AK120" s="290" t="n"/>
      <c r="AL120" s="290" t="n"/>
    </row>
    <row r="121">
      <c r="A121" s="206" t="n">
        <v>50</v>
      </c>
      <c r="B121" s="206" t="inlineStr">
        <is>
          <t>200162948</t>
        </is>
      </c>
      <c r="C121" s="207" t="inlineStr">
        <is>
          <t>中建四局0200202101805004</t>
        </is>
      </c>
      <c r="D121" s="207" t="inlineStr">
        <is>
          <t>广州市仁发运输有限公司</t>
        </is>
      </c>
      <c r="E121" s="206" t="n"/>
      <c r="F121" s="206" t="n"/>
      <c r="G121" s="206" t="n"/>
      <c r="H121" s="206" t="n"/>
      <c r="I121" s="206" t="n"/>
      <c r="J121" s="206" t="n"/>
      <c r="K121" s="208" t="n"/>
      <c r="L121" s="206" t="n"/>
      <c r="M121" s="210" t="n">
        <v>188659.94</v>
      </c>
      <c r="N121" s="210" t="n">
        <v>5494.92</v>
      </c>
      <c r="O121" s="206">
        <f>L121-M121</f>
        <v/>
      </c>
      <c r="P121" s="206">
        <f>K121-N121</f>
        <v/>
      </c>
      <c r="Q121" s="206">
        <f>M121+O121</f>
        <v/>
      </c>
      <c r="R121" s="206">
        <f>M121+N121+O121+P121</f>
        <v/>
      </c>
      <c r="S121" s="206" t="n"/>
      <c r="T121" s="210" t="n">
        <v>188659.94</v>
      </c>
      <c r="U121" s="206" t="n"/>
      <c r="V121" s="206" t="n"/>
      <c r="W121" s="290" t="n"/>
      <c r="X121" s="290" t="n"/>
      <c r="Y121" s="290" t="n"/>
      <c r="Z121" s="290" t="n"/>
      <c r="AA121" s="290" t="n"/>
      <c r="AB121" s="290" t="n"/>
      <c r="AC121" s="290" t="n"/>
      <c r="AD121" s="290" t="n"/>
      <c r="AE121" s="290" t="n"/>
      <c r="AF121" s="290" t="n"/>
      <c r="AG121" s="290" t="n"/>
      <c r="AH121" s="290" t="n"/>
      <c r="AI121" s="290" t="n"/>
      <c r="AJ121" s="290" t="n"/>
      <c r="AK121" s="290" t="n"/>
      <c r="AL121" s="290" t="n"/>
    </row>
    <row r="122">
      <c r="A122" s="206" t="n">
        <v>51</v>
      </c>
      <c r="B122" s="206" t="inlineStr">
        <is>
          <t>200328198</t>
        </is>
      </c>
      <c r="C122" s="207" t="inlineStr">
        <is>
          <t>中建四局0200202101803022</t>
        </is>
      </c>
      <c r="D122" s="207" t="inlineStr">
        <is>
          <t>广州市华居宝建筑装饰工程实业有限公司</t>
        </is>
      </c>
      <c r="E122" s="206" t="n"/>
      <c r="F122" s="206" t="n"/>
      <c r="G122" s="206" t="n"/>
      <c r="H122" s="206" t="n"/>
      <c r="I122" s="206" t="n"/>
      <c r="J122" s="206" t="n"/>
      <c r="K122" s="208" t="n"/>
      <c r="L122" s="206" t="n"/>
      <c r="M122" s="210" t="n">
        <v>493268.5</v>
      </c>
      <c r="N122" s="210" t="n">
        <v>389361.13</v>
      </c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10" t="n">
        <v>4669100</v>
      </c>
      <c r="U122" s="206" t="n"/>
      <c r="V122" s="206" t="n"/>
      <c r="W122" s="290" t="n"/>
      <c r="X122" s="290" t="n"/>
      <c r="Y122" s="290" t="n"/>
      <c r="Z122" s="290" t="n"/>
      <c r="AA122" s="290" t="n"/>
      <c r="AB122" s="290" t="n"/>
      <c r="AC122" s="290" t="n"/>
      <c r="AD122" s="290" t="n"/>
      <c r="AE122" s="290" t="n"/>
      <c r="AF122" s="290" t="n"/>
      <c r="AG122" s="290" t="n"/>
      <c r="AH122" s="290" t="n"/>
      <c r="AI122" s="290" t="n"/>
      <c r="AJ122" s="290" t="n"/>
      <c r="AK122" s="290" t="n"/>
      <c r="AL122" s="290" t="n"/>
    </row>
    <row r="123">
      <c r="A123" s="206" t="n">
        <v>52</v>
      </c>
      <c r="B123" s="206" t="inlineStr">
        <is>
          <t>100217350</t>
        </is>
      </c>
      <c r="C123" s="207" t="inlineStr">
        <is>
          <t>中建四局0200202101806003</t>
        </is>
      </c>
      <c r="D123" s="207" t="inlineStr">
        <is>
          <t>广州市嘉宇金属制品有限公司</t>
        </is>
      </c>
      <c r="E123" s="206" t="n"/>
      <c r="F123" s="206" t="n"/>
      <c r="G123" s="206" t="n"/>
      <c r="H123" s="206" t="n"/>
      <c r="I123" s="206" t="n"/>
      <c r="J123" s="206" t="n"/>
      <c r="K123" s="208" t="n"/>
      <c r="L123" s="206" t="n"/>
      <c r="M123" s="210" t="n">
        <v>470508.27</v>
      </c>
      <c r="N123" s="210" t="n">
        <v>54129.27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470508.27</v>
      </c>
      <c r="U123" s="206" t="n"/>
      <c r="V123" s="206" t="n"/>
      <c r="W123" s="290" t="n"/>
      <c r="X123" s="290" t="n"/>
      <c r="Y123" s="290" t="n"/>
      <c r="Z123" s="290" t="n"/>
      <c r="AA123" s="290" t="n"/>
      <c r="AB123" s="290" t="n"/>
      <c r="AC123" s="290" t="n"/>
      <c r="AD123" s="290" t="n"/>
      <c r="AE123" s="290" t="n"/>
      <c r="AF123" s="290" t="n"/>
      <c r="AG123" s="290" t="n"/>
      <c r="AH123" s="290" t="n"/>
      <c r="AI123" s="290" t="n"/>
      <c r="AJ123" s="290" t="n"/>
      <c r="AK123" s="290" t="n"/>
      <c r="AL123" s="290" t="n"/>
    </row>
    <row r="124">
      <c r="A124" s="206" t="n">
        <v>53</v>
      </c>
      <c r="B124" s="206" t="inlineStr">
        <is>
          <t>100217450</t>
        </is>
      </c>
      <c r="C124" s="207" t="inlineStr">
        <is>
          <t>中建四局0200202101806041</t>
        </is>
      </c>
      <c r="D124" s="207" t="inlineStr">
        <is>
          <t>广州市常宏建材有限公司</t>
        </is>
      </c>
      <c r="E124" s="206" t="n"/>
      <c r="F124" s="206" t="n"/>
      <c r="G124" s="206" t="n"/>
      <c r="H124" s="206" t="n"/>
      <c r="I124" s="206" t="n"/>
      <c r="J124" s="206" t="n"/>
      <c r="K124" s="208" t="n"/>
      <c r="L124" s="206" t="n"/>
      <c r="M124" s="210" t="n">
        <v>36882.07</v>
      </c>
      <c r="N124" s="210" t="n">
        <v>4243.07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36882.07</v>
      </c>
      <c r="U124" s="206" t="n"/>
      <c r="V124" s="206" t="n"/>
      <c r="W124" s="290" t="n"/>
      <c r="X124" s="290" t="n"/>
      <c r="Y124" s="290" t="n"/>
      <c r="Z124" s="290" t="n"/>
      <c r="AA124" s="290" t="n"/>
      <c r="AB124" s="290" t="n"/>
      <c r="AC124" s="290" t="n"/>
      <c r="AD124" s="290" t="n"/>
      <c r="AE124" s="290" t="n"/>
      <c r="AF124" s="290" t="n"/>
      <c r="AG124" s="290" t="n"/>
      <c r="AH124" s="290" t="n"/>
      <c r="AI124" s="290" t="n"/>
      <c r="AJ124" s="290" t="n"/>
      <c r="AK124" s="290" t="n"/>
      <c r="AL124" s="290" t="n"/>
    </row>
    <row r="125">
      <c r="A125" s="206" t="n">
        <v>54</v>
      </c>
      <c r="B125" s="206" t="inlineStr">
        <is>
          <t>100115149</t>
        </is>
      </c>
      <c r="C125" s="207" t="inlineStr">
        <is>
          <t>中建四局0200202101806035</t>
        </is>
      </c>
      <c r="D125" s="207" t="inlineStr">
        <is>
          <t>广州市建邦建材有限公司</t>
        </is>
      </c>
      <c r="E125" s="206" t="n"/>
      <c r="F125" s="206" t="n"/>
      <c r="G125" s="206" t="n"/>
      <c r="H125" s="206" t="n"/>
      <c r="I125" s="206" t="n"/>
      <c r="J125" s="206" t="n"/>
      <c r="K125" s="208" t="n"/>
      <c r="L125" s="206" t="n"/>
      <c r="M125" s="210" t="n">
        <v>8682273.960000001</v>
      </c>
      <c r="N125" s="210" t="n">
        <v>998845.46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8682273.960000001</v>
      </c>
      <c r="U125" s="206" t="n"/>
      <c r="V125" s="206" t="n"/>
      <c r="W125" s="290" t="n"/>
      <c r="X125" s="290" t="n"/>
      <c r="Y125" s="290" t="n"/>
      <c r="Z125" s="290" t="n"/>
      <c r="AA125" s="290" t="n"/>
      <c r="AB125" s="290" t="n"/>
      <c r="AC125" s="290" t="n"/>
      <c r="AD125" s="290" t="n"/>
      <c r="AE125" s="290" t="n"/>
      <c r="AF125" s="290" t="n"/>
      <c r="AG125" s="290" t="n"/>
      <c r="AH125" s="290" t="n"/>
      <c r="AI125" s="290" t="n"/>
      <c r="AJ125" s="290" t="n"/>
      <c r="AK125" s="290" t="n"/>
      <c r="AL125" s="290" t="n"/>
    </row>
    <row r="126">
      <c r="A126" s="206" t="n">
        <v>55</v>
      </c>
      <c r="B126" s="206" t="inlineStr">
        <is>
          <t>100147894</t>
        </is>
      </c>
      <c r="C126" s="207" t="inlineStr">
        <is>
          <t>中建四局0200202101806007</t>
        </is>
      </c>
      <c r="D126" s="207" t="inlineStr">
        <is>
          <t>广州市息县旺建材有限公司</t>
        </is>
      </c>
      <c r="E126" s="206" t="n"/>
      <c r="F126" s="206" t="n"/>
      <c r="G126" s="206" t="n"/>
      <c r="H126" s="206" t="n"/>
      <c r="I126" s="206" t="n"/>
      <c r="J126" s="206" t="n"/>
      <c r="K126" s="208" t="n"/>
      <c r="L126" s="206" t="n"/>
      <c r="M126" s="210" t="n">
        <v>1073787.56</v>
      </c>
      <c r="N126" s="210" t="n">
        <v>123533.02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1067146.16</v>
      </c>
      <c r="U126" s="206" t="n"/>
      <c r="V126" s="206" t="n"/>
      <c r="W126" s="290" t="n"/>
      <c r="X126" s="290" t="n"/>
      <c r="Y126" s="290" t="n"/>
      <c r="Z126" s="290" t="n"/>
      <c r="AA126" s="290" t="n"/>
      <c r="AB126" s="290" t="n"/>
      <c r="AC126" s="290" t="n"/>
      <c r="AD126" s="290" t="n"/>
      <c r="AE126" s="290" t="n"/>
      <c r="AF126" s="290" t="n"/>
      <c r="AG126" s="290" t="n"/>
      <c r="AH126" s="290" t="n"/>
      <c r="AI126" s="290" t="n"/>
      <c r="AJ126" s="290" t="n"/>
      <c r="AK126" s="290" t="n"/>
      <c r="AL126" s="290" t="n"/>
    </row>
    <row r="127">
      <c r="A127" s="206" t="n">
        <v>56</v>
      </c>
      <c r="B127" s="206" t="inlineStr">
        <is>
          <t>100006039</t>
        </is>
      </c>
      <c r="C127" s="207" t="inlineStr">
        <is>
          <t>中建四局0200202101803016</t>
        </is>
      </c>
      <c r="D127" s="207" t="inlineStr">
        <is>
          <t>广州市桃园建材有限公司</t>
        </is>
      </c>
      <c r="E127" s="206" t="n"/>
      <c r="F127" s="206" t="n"/>
      <c r="G127" s="206" t="n"/>
      <c r="H127" s="206" t="n"/>
      <c r="I127" s="206" t="n"/>
      <c r="J127" s="206" t="n"/>
      <c r="K127" s="208" t="n"/>
      <c r="L127" s="206" t="n"/>
      <c r="M127" s="210" t="n">
        <v>13265.06</v>
      </c>
      <c r="N127" s="210" t="n">
        <v>7082.56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243167.55</v>
      </c>
      <c r="U127" s="206" t="n"/>
      <c r="V127" s="206" t="n"/>
      <c r="W127" s="290" t="n"/>
      <c r="X127" s="290" t="n"/>
      <c r="Y127" s="290" t="n"/>
      <c r="Z127" s="290" t="n"/>
      <c r="AA127" s="290" t="n"/>
      <c r="AB127" s="290" t="n"/>
      <c r="AC127" s="290" t="n"/>
      <c r="AD127" s="290" t="n"/>
      <c r="AE127" s="290" t="n"/>
      <c r="AF127" s="290" t="n"/>
      <c r="AG127" s="290" t="n"/>
      <c r="AH127" s="290" t="n"/>
      <c r="AI127" s="290" t="n"/>
      <c r="AJ127" s="290" t="n"/>
      <c r="AK127" s="290" t="n"/>
      <c r="AL127" s="290" t="n"/>
    </row>
    <row r="128">
      <c r="A128" s="206" t="n">
        <v>57</v>
      </c>
      <c r="B128" s="206" t="inlineStr">
        <is>
          <t>200163448</t>
        </is>
      </c>
      <c r="C128" s="207" t="inlineStr">
        <is>
          <t>中建四局020020210018030001</t>
        </is>
      </c>
      <c r="D128" s="207" t="inlineStr">
        <is>
          <t>广州市森平装饰材料有限公司</t>
        </is>
      </c>
      <c r="E128" s="206" t="n"/>
      <c r="F128" s="206" t="n"/>
      <c r="G128" s="206" t="n"/>
      <c r="H128" s="206" t="n"/>
      <c r="I128" s="206" t="n"/>
      <c r="J128" s="206" t="n"/>
      <c r="K128" s="208" t="n"/>
      <c r="L128" s="206" t="n"/>
      <c r="M128" s="210" t="n">
        <v>126813.72</v>
      </c>
      <c r="N128" s="210" t="n">
        <v>95110.28999999999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953000</v>
      </c>
      <c r="U128" s="206" t="n"/>
      <c r="V128" s="206" t="n"/>
      <c r="W128" s="290" t="n"/>
      <c r="X128" s="290" t="n"/>
      <c r="Y128" s="290" t="n"/>
      <c r="Z128" s="290" t="n"/>
      <c r="AA128" s="290" t="n"/>
      <c r="AB128" s="290" t="n"/>
      <c r="AC128" s="290" t="n"/>
      <c r="AD128" s="290" t="n"/>
      <c r="AE128" s="290" t="n"/>
      <c r="AF128" s="290" t="n"/>
      <c r="AG128" s="290" t="n"/>
      <c r="AH128" s="290" t="n"/>
      <c r="AI128" s="290" t="n"/>
      <c r="AJ128" s="290" t="n"/>
      <c r="AK128" s="290" t="n"/>
      <c r="AL128" s="290" t="n"/>
    </row>
    <row r="129">
      <c r="A129" s="206" t="n">
        <v>58</v>
      </c>
      <c r="B129" s="206" t="inlineStr">
        <is>
          <t>200335317</t>
        </is>
      </c>
      <c r="C129" s="207" t="inlineStr">
        <is>
          <t>中建四局0200202101806029</t>
        </is>
      </c>
      <c r="D129" s="207" t="inlineStr">
        <is>
          <t>广州市汇亿鑫贸易有限公司</t>
        </is>
      </c>
      <c r="E129" s="206" t="n"/>
      <c r="F129" s="206" t="n"/>
      <c r="G129" s="206" t="n"/>
      <c r="H129" s="206" t="n"/>
      <c r="I129" s="206" t="n"/>
      <c r="J129" s="206" t="n"/>
      <c r="K129" s="208" t="n"/>
      <c r="L129" s="206" t="n"/>
      <c r="M129" s="210" t="n">
        <v>309636.95</v>
      </c>
      <c r="N129" s="210" t="n">
        <v>35621.95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309636.95</v>
      </c>
      <c r="U129" s="206" t="n"/>
      <c r="V129" s="206" t="n"/>
      <c r="W129" s="290" t="n"/>
      <c r="X129" s="290" t="n"/>
      <c r="Y129" s="290" t="n"/>
      <c r="Z129" s="290" t="n"/>
      <c r="AA129" s="290" t="n"/>
      <c r="AB129" s="290" t="n"/>
      <c r="AC129" s="290" t="n"/>
      <c r="AD129" s="290" t="n"/>
      <c r="AE129" s="290" t="n"/>
      <c r="AF129" s="290" t="n"/>
      <c r="AG129" s="290" t="n"/>
      <c r="AH129" s="290" t="n"/>
      <c r="AI129" s="290" t="n"/>
      <c r="AJ129" s="290" t="n"/>
      <c r="AK129" s="290" t="n"/>
      <c r="AL129" s="290" t="n"/>
    </row>
    <row r="130">
      <c r="A130" s="206" t="n">
        <v>59</v>
      </c>
      <c r="B130" s="206" t="inlineStr">
        <is>
          <t>100006014</t>
        </is>
      </c>
      <c r="C130" s="207" t="inlineStr">
        <is>
          <t>中建四局0200202101806038</t>
        </is>
      </c>
      <c r="D130" s="207" t="inlineStr">
        <is>
          <t>广州市番禺区石楼镇沙南建材二厂</t>
        </is>
      </c>
      <c r="E130" s="206" t="n"/>
      <c r="F130" s="206" t="n"/>
      <c r="G130" s="206" t="n"/>
      <c r="H130" s="206" t="n"/>
      <c r="I130" s="206" t="n"/>
      <c r="J130" s="206" t="n"/>
      <c r="K130" s="208" t="n"/>
      <c r="L130" s="206" t="n"/>
      <c r="M130" s="210" t="n">
        <v>1764728.27</v>
      </c>
      <c r="N130" s="210" t="n">
        <v>203021.99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1764728.27</v>
      </c>
      <c r="U130" s="206" t="n"/>
      <c r="V130" s="206" t="n"/>
      <c r="W130" s="290" t="n"/>
      <c r="X130" s="290" t="n"/>
      <c r="Y130" s="290" t="n"/>
      <c r="Z130" s="290" t="n"/>
      <c r="AA130" s="290" t="n"/>
      <c r="AB130" s="290" t="n"/>
      <c r="AC130" s="290" t="n"/>
      <c r="AD130" s="290" t="n"/>
      <c r="AE130" s="290" t="n"/>
      <c r="AF130" s="290" t="n"/>
      <c r="AG130" s="290" t="n"/>
      <c r="AH130" s="290" t="n"/>
      <c r="AI130" s="290" t="n"/>
      <c r="AJ130" s="290" t="n"/>
      <c r="AK130" s="290" t="n"/>
      <c r="AL130" s="290" t="n"/>
    </row>
    <row r="131">
      <c r="A131" s="206" t="n">
        <v>60</v>
      </c>
      <c r="B131" s="206" t="inlineStr">
        <is>
          <t>100118301</t>
        </is>
      </c>
      <c r="C131" s="207" t="inlineStr">
        <is>
          <t>中建四局0200202101806019</t>
        </is>
      </c>
      <c r="D131" s="207" t="inlineStr">
        <is>
          <t>广州市维意建材有限公司</t>
        </is>
      </c>
      <c r="E131" s="206" t="n"/>
      <c r="F131" s="206" t="n"/>
      <c r="G131" s="206" t="n"/>
      <c r="H131" s="206" t="n"/>
      <c r="I131" s="206" t="n"/>
      <c r="J131" s="206" t="n"/>
      <c r="K131" s="208" t="n"/>
      <c r="L131" s="206" t="n"/>
      <c r="M131" s="210" t="n">
        <v>27960598.15</v>
      </c>
      <c r="N131" s="210" t="n">
        <v>814386.39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27960598.15</v>
      </c>
      <c r="U131" s="206" t="n"/>
      <c r="V131" s="206" t="n"/>
      <c r="W131" s="290" t="n"/>
      <c r="X131" s="290" t="n"/>
      <c r="Y131" s="290" t="n"/>
      <c r="Z131" s="290" t="n"/>
      <c r="AA131" s="290" t="n"/>
      <c r="AB131" s="290" t="n"/>
      <c r="AC131" s="290" t="n"/>
      <c r="AD131" s="290" t="n"/>
      <c r="AE131" s="290" t="n"/>
      <c r="AF131" s="290" t="n"/>
      <c r="AG131" s="290" t="n"/>
      <c r="AH131" s="290" t="n"/>
      <c r="AI131" s="290" t="n"/>
      <c r="AJ131" s="290" t="n"/>
      <c r="AK131" s="290" t="n"/>
      <c r="AL131" s="290" t="n"/>
    </row>
    <row r="132">
      <c r="A132" s="206" t="n">
        <v>61</v>
      </c>
      <c r="B132" s="206" t="inlineStr">
        <is>
          <t>100118101</t>
        </is>
      </c>
      <c r="C132" s="207" t="inlineStr">
        <is>
          <t>中建四局0200202101806032</t>
        </is>
      </c>
      <c r="D132" s="207" t="inlineStr">
        <is>
          <t>广州市长兴混凝土有限公司</t>
        </is>
      </c>
      <c r="E132" s="206" t="n"/>
      <c r="F132" s="206" t="n"/>
      <c r="G132" s="206" t="n"/>
      <c r="H132" s="206" t="n"/>
      <c r="I132" s="206" t="n"/>
      <c r="J132" s="206" t="n"/>
      <c r="K132" s="208" t="n"/>
      <c r="L132" s="206" t="n"/>
      <c r="M132" s="210" t="n">
        <v>7340064.34</v>
      </c>
      <c r="N132" s="210" t="n">
        <v>213788.29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7297640.86</v>
      </c>
      <c r="U132" s="206" t="n"/>
      <c r="V132" s="206" t="n"/>
      <c r="W132" s="290" t="n"/>
      <c r="X132" s="290" t="n"/>
      <c r="Y132" s="290" t="n"/>
      <c r="Z132" s="290" t="n"/>
      <c r="AA132" s="290" t="n"/>
      <c r="AB132" s="290" t="n"/>
      <c r="AC132" s="290" t="n"/>
      <c r="AD132" s="290" t="n"/>
      <c r="AE132" s="290" t="n"/>
      <c r="AF132" s="290" t="n"/>
      <c r="AG132" s="290" t="n"/>
      <c r="AH132" s="290" t="n"/>
      <c r="AI132" s="290" t="n"/>
      <c r="AJ132" s="290" t="n"/>
      <c r="AK132" s="290" t="n"/>
      <c r="AL132" s="290" t="n"/>
    </row>
    <row r="133">
      <c r="A133" s="206" t="n">
        <v>62</v>
      </c>
      <c r="B133" s="206" t="inlineStr">
        <is>
          <t>100217478</t>
        </is>
      </c>
      <c r="C133" s="207" t="inlineStr">
        <is>
          <t>中建四局0200202101806017</t>
        </is>
      </c>
      <c r="D133" s="207" t="inlineStr">
        <is>
          <t>广州建侯建材有限公司</t>
        </is>
      </c>
      <c r="E133" s="206" t="n"/>
      <c r="F133" s="206" t="n"/>
      <c r="G133" s="206" t="n"/>
      <c r="H133" s="206" t="n"/>
      <c r="I133" s="206" t="n"/>
      <c r="J133" s="206" t="n"/>
      <c r="K133" s="208" t="n"/>
      <c r="L133" s="206" t="n"/>
      <c r="M133" s="210" t="n">
        <v>1739020.42</v>
      </c>
      <c r="N133" s="210" t="n">
        <v>200064.3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1739020.42</v>
      </c>
      <c r="U133" s="206" t="n"/>
      <c r="V133" s="206" t="n"/>
      <c r="W133" s="290" t="n"/>
      <c r="X133" s="290" t="n"/>
      <c r="Y133" s="290" t="n"/>
      <c r="Z133" s="290" t="n"/>
      <c r="AA133" s="290" t="n"/>
      <c r="AB133" s="290" t="n"/>
      <c r="AC133" s="290" t="n"/>
      <c r="AD133" s="290" t="n"/>
      <c r="AE133" s="290" t="n"/>
      <c r="AF133" s="290" t="n"/>
      <c r="AG133" s="290" t="n"/>
      <c r="AH133" s="290" t="n"/>
      <c r="AI133" s="290" t="n"/>
      <c r="AJ133" s="290" t="n"/>
      <c r="AK133" s="290" t="n"/>
      <c r="AL133" s="290" t="n"/>
    </row>
    <row r="134">
      <c r="A134" s="206" t="n">
        <v>63</v>
      </c>
      <c r="B134" s="206" t="inlineStr">
        <is>
          <t>200524589</t>
        </is>
      </c>
      <c r="C134" s="207" t="inlineStr">
        <is>
          <t>中建四局0200202101803020</t>
        </is>
      </c>
      <c r="D134" s="207" t="inlineStr">
        <is>
          <t>广州新广建设工程有限公司</t>
        </is>
      </c>
      <c r="E134" s="206" t="n"/>
      <c r="F134" s="206" t="n"/>
      <c r="G134" s="206" t="n"/>
      <c r="H134" s="206" t="n"/>
      <c r="I134" s="206" t="n"/>
      <c r="J134" s="206" t="n"/>
      <c r="K134" s="208" t="n"/>
      <c r="L134" s="206" t="n"/>
      <c r="M134" s="210" t="n">
        <v>145056.2</v>
      </c>
      <c r="N134" s="210" t="n">
        <v>116872.2</v>
      </c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10" t="n">
        <v>1412300</v>
      </c>
      <c r="U134" s="206" t="n"/>
      <c r="V134" s="206" t="n"/>
      <c r="W134" s="290" t="n"/>
      <c r="X134" s="290" t="n"/>
      <c r="Y134" s="290" t="n"/>
      <c r="Z134" s="290" t="n"/>
      <c r="AA134" s="290" t="n"/>
      <c r="AB134" s="290" t="n"/>
      <c r="AC134" s="290" t="n"/>
      <c r="AD134" s="290" t="n"/>
      <c r="AE134" s="290" t="n"/>
      <c r="AF134" s="290" t="n"/>
      <c r="AG134" s="290" t="n"/>
      <c r="AH134" s="290" t="n"/>
      <c r="AI134" s="290" t="n"/>
      <c r="AJ134" s="290" t="n"/>
      <c r="AK134" s="290" t="n"/>
      <c r="AL134" s="290" t="n"/>
    </row>
    <row r="135">
      <c r="A135" s="206" t="n">
        <v>64</v>
      </c>
      <c r="B135" s="206" t="inlineStr">
        <is>
          <t>100217539</t>
        </is>
      </c>
      <c r="C135" s="207" t="inlineStr">
        <is>
          <t>中建四局0200202101805003</t>
        </is>
      </c>
      <c r="D135" s="207" t="inlineStr">
        <is>
          <t>广州易达运输有限公司</t>
        </is>
      </c>
      <c r="E135" s="206" t="n"/>
      <c r="F135" s="206" t="n"/>
      <c r="G135" s="206" t="n"/>
      <c r="H135" s="206" t="n"/>
      <c r="I135" s="206" t="n"/>
      <c r="J135" s="206" t="n"/>
      <c r="K135" s="208" t="n"/>
      <c r="L135" s="206" t="n"/>
      <c r="M135" s="210" t="n">
        <v>218594.76</v>
      </c>
      <c r="N135" s="210" t="n">
        <v>4631.78</v>
      </c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10" t="n">
        <v>218594.76</v>
      </c>
      <c r="U135" s="206" t="n"/>
      <c r="V135" s="206" t="n"/>
      <c r="W135" s="290" t="n"/>
      <c r="X135" s="290" t="n"/>
      <c r="Y135" s="290" t="n"/>
      <c r="Z135" s="290" t="n"/>
      <c r="AA135" s="290" t="n"/>
      <c r="AB135" s="290" t="n"/>
      <c r="AC135" s="290" t="n"/>
      <c r="AD135" s="290" t="n"/>
      <c r="AE135" s="290" t="n"/>
      <c r="AF135" s="290" t="n"/>
      <c r="AG135" s="290" t="n"/>
      <c r="AH135" s="290" t="n"/>
      <c r="AI135" s="290" t="n"/>
      <c r="AJ135" s="290" t="n"/>
      <c r="AK135" s="290" t="n"/>
      <c r="AL135" s="290" t="n"/>
    </row>
    <row r="136">
      <c r="A136" s="206" t="n">
        <v>65</v>
      </c>
      <c r="B136" s="206" t="inlineStr">
        <is>
          <t>100094223</t>
        </is>
      </c>
      <c r="C136" s="207" t="inlineStr">
        <is>
          <t>中建四局0200202101806034</t>
        </is>
      </c>
      <c r="D136" s="207" t="inlineStr">
        <is>
          <t>广州晴泰蓝环保工程有限公司</t>
        </is>
      </c>
      <c r="E136" s="206" t="n"/>
      <c r="F136" s="206" t="n"/>
      <c r="G136" s="206" t="n"/>
      <c r="H136" s="206" t="n"/>
      <c r="I136" s="206" t="n"/>
      <c r="J136" s="206" t="n"/>
      <c r="K136" s="208" t="n"/>
      <c r="L136" s="206" t="n"/>
      <c r="M136" s="210" t="n">
        <v>158200</v>
      </c>
      <c r="N136" s="210" t="n">
        <v>18200</v>
      </c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10" t="n">
        <v>158200</v>
      </c>
      <c r="U136" s="206" t="n"/>
      <c r="V136" s="206" t="n"/>
      <c r="W136" s="290" t="n"/>
      <c r="X136" s="290" t="n"/>
      <c r="Y136" s="290" t="n"/>
      <c r="Z136" s="290" t="n"/>
      <c r="AA136" s="290" t="n"/>
      <c r="AB136" s="290" t="n"/>
      <c r="AC136" s="290" t="n"/>
      <c r="AD136" s="290" t="n"/>
      <c r="AE136" s="290" t="n"/>
      <c r="AF136" s="290" t="n"/>
      <c r="AG136" s="290" t="n"/>
      <c r="AH136" s="290" t="n"/>
      <c r="AI136" s="290" t="n"/>
      <c r="AJ136" s="290" t="n"/>
      <c r="AK136" s="290" t="n"/>
      <c r="AL136" s="290" t="n"/>
    </row>
    <row r="137">
      <c r="A137" s="206" t="n">
        <v>66</v>
      </c>
      <c r="B137" s="206" t="inlineStr">
        <is>
          <t>100217502</t>
        </is>
      </c>
      <c r="C137" s="207" t="inlineStr">
        <is>
          <t>中建四局0200202101805002</t>
        </is>
      </c>
      <c r="D137" s="207" t="inlineStr">
        <is>
          <t>广州湘亿货运代理有限公司</t>
        </is>
      </c>
      <c r="E137" s="206" t="n"/>
      <c r="F137" s="206" t="n"/>
      <c r="G137" s="206" t="n"/>
      <c r="H137" s="206" t="n"/>
      <c r="I137" s="206" t="n"/>
      <c r="J137" s="206" t="n"/>
      <c r="K137" s="208" t="n"/>
      <c r="L137" s="206" t="n"/>
      <c r="M137" s="210" t="n">
        <v>74576.83</v>
      </c>
      <c r="N137" s="210" t="n">
        <v>6157.73</v>
      </c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10" t="n">
        <v>74576.83</v>
      </c>
      <c r="U137" s="206" t="n"/>
      <c r="V137" s="206" t="n"/>
      <c r="W137" s="290" t="n"/>
      <c r="X137" s="290" t="n"/>
      <c r="Y137" s="290" t="n"/>
      <c r="Z137" s="290" t="n"/>
      <c r="AA137" s="290" t="n"/>
      <c r="AB137" s="290" t="n"/>
      <c r="AC137" s="290" t="n"/>
      <c r="AD137" s="290" t="n"/>
      <c r="AE137" s="290" t="n"/>
      <c r="AF137" s="290" t="n"/>
      <c r="AG137" s="290" t="n"/>
      <c r="AH137" s="290" t="n"/>
      <c r="AI137" s="290" t="n"/>
      <c r="AJ137" s="290" t="n"/>
      <c r="AK137" s="290" t="n"/>
      <c r="AL137" s="290" t="n"/>
    </row>
    <row r="138">
      <c r="A138" s="206" t="n">
        <v>67</v>
      </c>
      <c r="B138" s="206" t="inlineStr">
        <is>
          <t>200310203</t>
        </is>
      </c>
      <c r="C138" s="207" t="inlineStr">
        <is>
          <t>中建四局02002021018030025</t>
        </is>
      </c>
      <c r="D138" s="207" t="inlineStr">
        <is>
          <t>广州爱创广告策划有限公司</t>
        </is>
      </c>
      <c r="E138" s="206" t="n"/>
      <c r="F138" s="206" t="n"/>
      <c r="G138" s="206" t="n"/>
      <c r="H138" s="206" t="n"/>
      <c r="I138" s="206" t="n"/>
      <c r="J138" s="206" t="n"/>
      <c r="K138" s="208" t="n"/>
      <c r="L138" s="206" t="n"/>
      <c r="M138" s="210" t="n">
        <v>40876.39</v>
      </c>
      <c r="N138" s="210" t="n">
        <v>27250.93</v>
      </c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10" t="n">
        <v>481000</v>
      </c>
      <c r="U138" s="206" t="n"/>
      <c r="V138" s="206" t="n"/>
      <c r="W138" s="290" t="n"/>
      <c r="X138" s="290" t="n"/>
      <c r="Y138" s="290" t="n"/>
      <c r="Z138" s="290" t="n"/>
      <c r="AA138" s="290" t="n"/>
      <c r="AB138" s="290" t="n"/>
      <c r="AC138" s="290" t="n"/>
      <c r="AD138" s="290" t="n"/>
      <c r="AE138" s="290" t="n"/>
      <c r="AF138" s="290" t="n"/>
      <c r="AG138" s="290" t="n"/>
      <c r="AH138" s="290" t="n"/>
      <c r="AI138" s="290" t="n"/>
      <c r="AJ138" s="290" t="n"/>
      <c r="AK138" s="290" t="n"/>
      <c r="AL138" s="290" t="n"/>
    </row>
    <row r="139">
      <c r="A139" s="206" t="n">
        <v>68</v>
      </c>
      <c r="B139" s="206" t="inlineStr">
        <is>
          <t>200413088</t>
        </is>
      </c>
      <c r="C139" s="207" t="inlineStr">
        <is>
          <t>中建四局0200202101806021</t>
        </is>
      </c>
      <c r="D139" s="207" t="inlineStr">
        <is>
          <t>广州盒子住宅科技有限公司</t>
        </is>
      </c>
      <c r="E139" s="206" t="n"/>
      <c r="F139" s="206" t="n"/>
      <c r="G139" s="206" t="n"/>
      <c r="H139" s="206" t="n"/>
      <c r="I139" s="206" t="n"/>
      <c r="J139" s="206" t="n"/>
      <c r="K139" s="208" t="n"/>
      <c r="L139" s="206" t="n"/>
      <c r="M139" s="210" t="n">
        <v>15739667.3</v>
      </c>
      <c r="N139" s="210" t="n">
        <v>1793690.33</v>
      </c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10" t="n">
        <v>8652600</v>
      </c>
      <c r="U139" s="206" t="n"/>
      <c r="V139" s="206" t="n"/>
      <c r="W139" s="290" t="n"/>
      <c r="X139" s="290" t="n"/>
      <c r="Y139" s="290" t="n"/>
      <c r="Z139" s="290" t="n"/>
      <c r="AA139" s="290" t="n"/>
      <c r="AB139" s="290" t="n"/>
      <c r="AC139" s="290" t="n"/>
      <c r="AD139" s="290" t="n"/>
      <c r="AE139" s="290" t="n"/>
      <c r="AF139" s="290" t="n"/>
      <c r="AG139" s="290" t="n"/>
      <c r="AH139" s="290" t="n"/>
      <c r="AI139" s="290" t="n"/>
      <c r="AJ139" s="290" t="n"/>
      <c r="AK139" s="290" t="n"/>
      <c r="AL139" s="290" t="n"/>
    </row>
    <row r="140">
      <c r="A140" s="206" t="n">
        <v>69</v>
      </c>
      <c r="B140" s="206" t="inlineStr">
        <is>
          <t>100082913</t>
        </is>
      </c>
      <c r="C140" s="207" t="inlineStr">
        <is>
          <t>中建四局0200202101803024</t>
        </is>
      </c>
      <c r="D140" s="207" t="inlineStr">
        <is>
          <t>广州盛绿建材有限公司</t>
        </is>
      </c>
      <c r="E140" s="206" t="n"/>
      <c r="F140" s="206" t="n"/>
      <c r="G140" s="206" t="n"/>
      <c r="H140" s="206" t="n"/>
      <c r="I140" s="206" t="n"/>
      <c r="J140" s="206" t="n"/>
      <c r="K140" s="208" t="n"/>
      <c r="L140" s="206" t="n"/>
      <c r="M140" s="210" t="n">
        <v>85585.59</v>
      </c>
      <c r="N140" s="210" t="n">
        <v>64189.19</v>
      </c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10" t="n">
        <v>685000</v>
      </c>
      <c r="U140" s="206" t="n"/>
      <c r="V140" s="206" t="n"/>
      <c r="W140" s="290" t="n"/>
      <c r="X140" s="290" t="n"/>
      <c r="Y140" s="290" t="n"/>
      <c r="Z140" s="290" t="n"/>
      <c r="AA140" s="290" t="n"/>
      <c r="AB140" s="290" t="n"/>
      <c r="AC140" s="290" t="n"/>
      <c r="AD140" s="290" t="n"/>
      <c r="AE140" s="290" t="n"/>
      <c r="AF140" s="290" t="n"/>
      <c r="AG140" s="290" t="n"/>
      <c r="AH140" s="290" t="n"/>
      <c r="AI140" s="290" t="n"/>
      <c r="AJ140" s="290" t="n"/>
      <c r="AK140" s="290" t="n"/>
      <c r="AL140" s="290" t="n"/>
    </row>
    <row r="141">
      <c r="A141" s="206" t="n">
        <v>70</v>
      </c>
      <c r="B141" s="206" t="inlineStr">
        <is>
          <t>200234923</t>
        </is>
      </c>
      <c r="C141" s="207" t="inlineStr">
        <is>
          <t>中建四局0200202101806013</t>
        </is>
      </c>
      <c r="D141" s="207" t="inlineStr">
        <is>
          <t>广州睿越建材有限公司</t>
        </is>
      </c>
      <c r="E141" s="206" t="n"/>
      <c r="F141" s="206" t="n"/>
      <c r="G141" s="206" t="n"/>
      <c r="H141" s="206" t="n"/>
      <c r="I141" s="206" t="n"/>
      <c r="J141" s="206" t="n"/>
      <c r="K141" s="208" t="n"/>
      <c r="L141" s="206" t="n"/>
      <c r="M141" s="210" t="n">
        <v>49393.04</v>
      </c>
      <c r="N141" s="210" t="n">
        <v>5682.39</v>
      </c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10" t="n">
        <v>49393.04</v>
      </c>
      <c r="U141" s="206" t="n"/>
      <c r="V141" s="206" t="n"/>
      <c r="W141" s="290" t="n"/>
      <c r="X141" s="290" t="n"/>
      <c r="Y141" s="290" t="n"/>
      <c r="Z141" s="290" t="n"/>
      <c r="AA141" s="290" t="n"/>
      <c r="AB141" s="290" t="n"/>
      <c r="AC141" s="290" t="n"/>
      <c r="AD141" s="290" t="n"/>
      <c r="AE141" s="290" t="n"/>
      <c r="AF141" s="290" t="n"/>
      <c r="AG141" s="290" t="n"/>
      <c r="AH141" s="290" t="n"/>
      <c r="AI141" s="290" t="n"/>
      <c r="AJ141" s="290" t="n"/>
      <c r="AK141" s="290" t="n"/>
      <c r="AL141" s="290" t="n"/>
    </row>
    <row r="142">
      <c r="A142" s="206" t="n">
        <v>71</v>
      </c>
      <c r="B142" s="206" t="inlineStr">
        <is>
          <t>100119801</t>
        </is>
      </c>
      <c r="C142" s="207" t="inlineStr">
        <is>
          <t>中建四局0200202101806037</t>
        </is>
      </c>
      <c r="D142" s="207" t="inlineStr">
        <is>
          <t>广州禄臻贸易有限公司</t>
        </is>
      </c>
      <c r="E142" s="206" t="n"/>
      <c r="F142" s="206" t="n"/>
      <c r="G142" s="206" t="n"/>
      <c r="H142" s="206" t="n"/>
      <c r="I142" s="206" t="n"/>
      <c r="J142" s="206" t="n"/>
      <c r="K142" s="208" t="n"/>
      <c r="L142" s="206" t="n"/>
      <c r="M142" s="210" t="n">
        <v>657842.09</v>
      </c>
      <c r="N142" s="210" t="n">
        <v>75681</v>
      </c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10" t="n">
        <v>657842.08</v>
      </c>
      <c r="U142" s="206" t="n"/>
      <c r="V142" s="206" t="n"/>
      <c r="W142" s="290" t="n"/>
      <c r="X142" s="290" t="n"/>
      <c r="Y142" s="290" t="n"/>
      <c r="Z142" s="290" t="n"/>
      <c r="AA142" s="290" t="n"/>
      <c r="AB142" s="290" t="n"/>
      <c r="AC142" s="290" t="n"/>
      <c r="AD142" s="290" t="n"/>
      <c r="AE142" s="290" t="n"/>
      <c r="AF142" s="290" t="n"/>
      <c r="AG142" s="290" t="n"/>
      <c r="AH142" s="290" t="n"/>
      <c r="AI142" s="290" t="n"/>
      <c r="AJ142" s="290" t="n"/>
      <c r="AK142" s="290" t="n"/>
      <c r="AL142" s="290" t="n"/>
    </row>
    <row r="143">
      <c r="A143" s="206" t="n">
        <v>72</v>
      </c>
      <c r="B143" s="206" t="inlineStr">
        <is>
          <t>100217147</t>
        </is>
      </c>
      <c r="C143" s="207" t="inlineStr">
        <is>
          <t>中建四局020020210018040003</t>
        </is>
      </c>
      <c r="D143" s="207" t="inlineStr">
        <is>
          <t>广州精诚建筑劳务有限公司</t>
        </is>
      </c>
      <c r="E143" s="206" t="n"/>
      <c r="F143" s="206" t="n"/>
      <c r="G143" s="206" t="n"/>
      <c r="H143" s="206" t="n"/>
      <c r="I143" s="206" t="n"/>
      <c r="J143" s="206" t="n"/>
      <c r="K143" s="208" t="n"/>
      <c r="L143" s="206" t="n"/>
      <c r="M143" s="210" t="n">
        <v>287179.35</v>
      </c>
      <c r="N143" s="210" t="n">
        <v>185985.2</v>
      </c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10" t="n">
        <v>5184957.19</v>
      </c>
      <c r="U143" s="206" t="n"/>
      <c r="V143" s="206" t="n"/>
      <c r="W143" s="290" t="n"/>
      <c r="X143" s="290" t="n"/>
      <c r="Y143" s="290" t="n"/>
      <c r="Z143" s="290" t="n"/>
      <c r="AA143" s="290" t="n"/>
      <c r="AB143" s="290" t="n"/>
      <c r="AC143" s="290" t="n"/>
      <c r="AD143" s="290" t="n"/>
      <c r="AE143" s="290" t="n"/>
      <c r="AF143" s="290" t="n"/>
      <c r="AG143" s="290" t="n"/>
      <c r="AH143" s="290" t="n"/>
      <c r="AI143" s="290" t="n"/>
      <c r="AJ143" s="290" t="n"/>
      <c r="AK143" s="290" t="n"/>
      <c r="AL143" s="290" t="n"/>
    </row>
    <row r="144">
      <c r="A144" s="206" t="n">
        <v>73</v>
      </c>
      <c r="B144" s="206" t="inlineStr">
        <is>
          <t>100217147</t>
        </is>
      </c>
      <c r="C144" s="207" t="inlineStr">
        <is>
          <t>中建四局0200202101803006</t>
        </is>
      </c>
      <c r="D144" s="207" t="inlineStr">
        <is>
          <t>广州精诚建筑劳务有限公司</t>
        </is>
      </c>
      <c r="E144" s="206" t="n"/>
      <c r="F144" s="206" t="n"/>
      <c r="G144" s="206" t="n"/>
      <c r="H144" s="206" t="n"/>
      <c r="I144" s="206" t="n"/>
      <c r="J144" s="206" t="n"/>
      <c r="K144" s="208" t="n"/>
      <c r="L144" s="206" t="n"/>
      <c r="M144" s="210" t="n">
        <v>624668.92</v>
      </c>
      <c r="N144" s="210" t="n">
        <v>491883.5</v>
      </c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10" t="n">
        <v>5957255.62</v>
      </c>
      <c r="U144" s="206" t="n"/>
      <c r="V144" s="206" t="n"/>
      <c r="W144" s="290" t="n"/>
      <c r="X144" s="290" t="n"/>
      <c r="Y144" s="290" t="n"/>
      <c r="Z144" s="290" t="n"/>
      <c r="AA144" s="290" t="n"/>
      <c r="AB144" s="290" t="n"/>
      <c r="AC144" s="290" t="n"/>
      <c r="AD144" s="290" t="n"/>
      <c r="AE144" s="290" t="n"/>
      <c r="AF144" s="290" t="n"/>
      <c r="AG144" s="290" t="n"/>
      <c r="AH144" s="290" t="n"/>
      <c r="AI144" s="290" t="n"/>
      <c r="AJ144" s="290" t="n"/>
      <c r="AK144" s="290" t="n"/>
      <c r="AL144" s="290" t="n"/>
    </row>
    <row r="145">
      <c r="A145" s="206" t="n">
        <v>74</v>
      </c>
      <c r="B145" s="206" t="inlineStr">
        <is>
          <t>100217843</t>
        </is>
      </c>
      <c r="C145" s="207" t="inlineStr">
        <is>
          <t>中建四局0200202101806039</t>
        </is>
      </c>
      <c r="D145" s="207" t="inlineStr">
        <is>
          <t>广州绿色金融街投资管理有限公司</t>
        </is>
      </c>
      <c r="E145" s="206" t="n"/>
      <c r="F145" s="206" t="n"/>
      <c r="G145" s="206" t="n"/>
      <c r="H145" s="206" t="n"/>
      <c r="I145" s="206" t="n"/>
      <c r="J145" s="206" t="n"/>
      <c r="K145" s="208" t="n"/>
      <c r="L145" s="206" t="n"/>
      <c r="M145" s="210" t="n">
        <v>34229862.99</v>
      </c>
      <c r="N145" s="210" t="n">
        <v>3937948.82</v>
      </c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10" t="n">
        <v>34229862.99</v>
      </c>
      <c r="U145" s="206" t="n"/>
      <c r="V145" s="206" t="n"/>
      <c r="W145" s="290" t="n"/>
      <c r="X145" s="290" t="n"/>
      <c r="Y145" s="290" t="n"/>
      <c r="Z145" s="290" t="n"/>
      <c r="AA145" s="290" t="n"/>
      <c r="AB145" s="290" t="n"/>
      <c r="AC145" s="290" t="n"/>
      <c r="AD145" s="290" t="n"/>
      <c r="AE145" s="290" t="n"/>
      <c r="AF145" s="290" t="n"/>
      <c r="AG145" s="290" t="n"/>
      <c r="AH145" s="290" t="n"/>
      <c r="AI145" s="290" t="n"/>
      <c r="AJ145" s="290" t="n"/>
      <c r="AK145" s="290" t="n"/>
      <c r="AL145" s="290" t="n"/>
    </row>
    <row r="146">
      <c r="A146" s="206" t="n">
        <v>75</v>
      </c>
      <c r="B146" s="206" t="inlineStr">
        <is>
          <t>200050849</t>
        </is>
      </c>
      <c r="C146" s="207" t="inlineStr">
        <is>
          <t>中建四局0200202101803009</t>
        </is>
      </c>
      <c r="D146" s="207" t="inlineStr">
        <is>
          <t>广州轲达土石方工程有限公司</t>
        </is>
      </c>
      <c r="E146" s="206" t="n"/>
      <c r="F146" s="206" t="n"/>
      <c r="G146" s="206" t="n"/>
      <c r="H146" s="206" t="n"/>
      <c r="I146" s="206" t="n"/>
      <c r="J146" s="206" t="n"/>
      <c r="K146" s="208" t="n"/>
      <c r="L146" s="206" t="n"/>
      <c r="M146" s="210" t="n">
        <v>562875.4</v>
      </c>
      <c r="N146" s="210" t="n">
        <v>425595.11</v>
      </c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10" t="n">
        <v>4881700</v>
      </c>
      <c r="U146" s="206" t="n"/>
      <c r="V146" s="206" t="n"/>
      <c r="W146" s="290" t="n"/>
      <c r="X146" s="290" t="n"/>
      <c r="Y146" s="290" t="n"/>
      <c r="Z146" s="290" t="n"/>
      <c r="AA146" s="290" t="n"/>
      <c r="AB146" s="290" t="n"/>
      <c r="AC146" s="290" t="n"/>
      <c r="AD146" s="290" t="n"/>
      <c r="AE146" s="290" t="n"/>
      <c r="AF146" s="290" t="n"/>
      <c r="AG146" s="290" t="n"/>
      <c r="AH146" s="290" t="n"/>
      <c r="AI146" s="290" t="n"/>
      <c r="AJ146" s="290" t="n"/>
      <c r="AK146" s="290" t="n"/>
      <c r="AL146" s="290" t="n"/>
    </row>
    <row r="147">
      <c r="A147" s="206" t="n">
        <v>76</v>
      </c>
      <c r="B147" s="206" t="inlineStr">
        <is>
          <t>100217163</t>
        </is>
      </c>
      <c r="C147" s="207" t="inlineStr">
        <is>
          <t>中建四局0200202101806002</t>
        </is>
      </c>
      <c r="D147" s="207" t="inlineStr">
        <is>
          <t>广州辰辰建材租赁有限公司</t>
        </is>
      </c>
      <c r="E147" s="206" t="n"/>
      <c r="F147" s="206" t="n"/>
      <c r="G147" s="206" t="n"/>
      <c r="H147" s="206" t="n"/>
      <c r="I147" s="206" t="n"/>
      <c r="J147" s="206" t="n"/>
      <c r="K147" s="208" t="n"/>
      <c r="L147" s="206" t="n"/>
      <c r="M147" s="210" t="n">
        <v>4030449.58</v>
      </c>
      <c r="N147" s="210" t="n">
        <v>463680.09</v>
      </c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10" t="n">
        <v>4017620.13</v>
      </c>
      <c r="U147" s="206" t="n"/>
      <c r="V147" s="206" t="n"/>
      <c r="W147" s="290" t="n"/>
      <c r="X147" s="290" t="n"/>
      <c r="Y147" s="290" t="n"/>
      <c r="Z147" s="290" t="n"/>
      <c r="AA147" s="290" t="n"/>
      <c r="AB147" s="290" t="n"/>
      <c r="AC147" s="290" t="n"/>
      <c r="AD147" s="290" t="n"/>
      <c r="AE147" s="290" t="n"/>
      <c r="AF147" s="290" t="n"/>
      <c r="AG147" s="290" t="n"/>
      <c r="AH147" s="290" t="n"/>
      <c r="AI147" s="290" t="n"/>
      <c r="AJ147" s="290" t="n"/>
      <c r="AK147" s="290" t="n"/>
      <c r="AL147" s="290" t="n"/>
    </row>
    <row r="148">
      <c r="A148" s="206" t="n">
        <v>77</v>
      </c>
      <c r="B148" s="206" t="inlineStr">
        <is>
          <t>200140248</t>
        </is>
      </c>
      <c r="C148" s="207" t="inlineStr">
        <is>
          <t>中建四局0200202101803001</t>
        </is>
      </c>
      <c r="D148" s="207" t="inlineStr">
        <is>
          <t>广州陇飞广告有限公司</t>
        </is>
      </c>
      <c r="E148" s="206" t="n"/>
      <c r="F148" s="206" t="n"/>
      <c r="G148" s="206" t="n"/>
      <c r="H148" s="206" t="n"/>
      <c r="I148" s="206" t="n"/>
      <c r="J148" s="206" t="n"/>
      <c r="K148" s="208" t="n"/>
      <c r="L148" s="206" t="n"/>
      <c r="M148" s="210" t="n">
        <v>67973.44</v>
      </c>
      <c r="N148" s="210" t="n">
        <v>35791.76</v>
      </c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10" t="n">
        <v>1378952.99</v>
      </c>
      <c r="U148" s="206" t="n"/>
      <c r="V148" s="206" t="n"/>
      <c r="W148" s="290" t="n"/>
      <c r="X148" s="290" t="n"/>
      <c r="Y148" s="290" t="n"/>
      <c r="Z148" s="290" t="n"/>
      <c r="AA148" s="290" t="n"/>
      <c r="AB148" s="290" t="n"/>
      <c r="AC148" s="290" t="n"/>
      <c r="AD148" s="290" t="n"/>
      <c r="AE148" s="290" t="n"/>
      <c r="AF148" s="290" t="n"/>
      <c r="AG148" s="290" t="n"/>
      <c r="AH148" s="290" t="n"/>
      <c r="AI148" s="290" t="n"/>
      <c r="AJ148" s="290" t="n"/>
      <c r="AK148" s="290" t="n"/>
      <c r="AL148" s="290" t="n"/>
    </row>
    <row r="149">
      <c r="A149" s="206" t="n">
        <v>78</v>
      </c>
      <c r="B149" s="206" t="inlineStr">
        <is>
          <t>200098421</t>
        </is>
      </c>
      <c r="C149" s="207" t="inlineStr">
        <is>
          <t>中建四局0200202101803015</t>
        </is>
      </c>
      <c r="D149" s="207" t="inlineStr">
        <is>
          <t>广州鸿伟广告工程有限公司</t>
        </is>
      </c>
      <c r="E149" s="206" t="n"/>
      <c r="F149" s="206" t="n"/>
      <c r="G149" s="206" t="n"/>
      <c r="H149" s="206" t="n"/>
      <c r="I149" s="206" t="n"/>
      <c r="J149" s="206" t="n"/>
      <c r="K149" s="208" t="n"/>
      <c r="L149" s="206" t="n"/>
      <c r="M149" s="210" t="n">
        <v>14063.11</v>
      </c>
      <c r="N149" s="210" t="n">
        <v>8437.870000000001</v>
      </c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10" t="n">
        <v>282000</v>
      </c>
      <c r="U149" s="206" t="n"/>
      <c r="V149" s="206" t="n"/>
      <c r="W149" s="290" t="n"/>
      <c r="X149" s="290" t="n"/>
      <c r="Y149" s="290" t="n"/>
      <c r="Z149" s="290" t="n"/>
      <c r="AA149" s="290" t="n"/>
      <c r="AB149" s="290" t="n"/>
      <c r="AC149" s="290" t="n"/>
      <c r="AD149" s="290" t="n"/>
      <c r="AE149" s="290" t="n"/>
      <c r="AF149" s="290" t="n"/>
      <c r="AG149" s="290" t="n"/>
      <c r="AH149" s="290" t="n"/>
      <c r="AI149" s="290" t="n"/>
      <c r="AJ149" s="290" t="n"/>
      <c r="AK149" s="290" t="n"/>
      <c r="AL149" s="290" t="n"/>
    </row>
    <row r="150">
      <c r="A150" s="206" t="n">
        <v>79</v>
      </c>
      <c r="B150" s="206" t="inlineStr">
        <is>
          <t>200009555</t>
        </is>
      </c>
      <c r="C150" s="207" t="inlineStr">
        <is>
          <t>中建四局0200202101806030</t>
        </is>
      </c>
      <c r="D150" s="207" t="inlineStr">
        <is>
          <t>广联达科技股份有限公司</t>
        </is>
      </c>
      <c r="E150" s="206" t="n"/>
      <c r="F150" s="206" t="n"/>
      <c r="G150" s="206" t="n"/>
      <c r="H150" s="206" t="n"/>
      <c r="I150" s="206" t="n"/>
      <c r="J150" s="206" t="n"/>
      <c r="K150" s="208" t="n"/>
      <c r="L150" s="206" t="n"/>
      <c r="M150" s="210" t="n">
        <v>50000</v>
      </c>
      <c r="N150" s="210" t="n">
        <v>5752.21</v>
      </c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10" t="n">
        <v>50000</v>
      </c>
      <c r="U150" s="206" t="n"/>
      <c r="V150" s="206" t="n"/>
      <c r="W150" s="290" t="n"/>
      <c r="X150" s="290" t="n"/>
      <c r="Y150" s="290" t="n"/>
      <c r="Z150" s="290" t="n"/>
      <c r="AA150" s="290" t="n"/>
      <c r="AB150" s="290" t="n"/>
      <c r="AC150" s="290" t="n"/>
      <c r="AD150" s="290" t="n"/>
      <c r="AE150" s="290" t="n"/>
      <c r="AF150" s="290" t="n"/>
      <c r="AG150" s="290" t="n"/>
      <c r="AH150" s="290" t="n"/>
      <c r="AI150" s="290" t="n"/>
      <c r="AJ150" s="290" t="n"/>
      <c r="AK150" s="290" t="n"/>
      <c r="AL150" s="290" t="n"/>
    </row>
    <row r="151">
      <c r="A151" s="206" t="n">
        <v>80</v>
      </c>
      <c r="B151" s="206" t="inlineStr">
        <is>
          <t>100089001</t>
        </is>
      </c>
      <c r="C151" s="207" t="inlineStr">
        <is>
          <t>中建四局0200202101803002</t>
        </is>
      </c>
      <c r="D151" s="207" t="inlineStr">
        <is>
          <t>正工模块化建筑科技（深圳）有限公司</t>
        </is>
      </c>
      <c r="E151" s="206" t="n"/>
      <c r="F151" s="206" t="n"/>
      <c r="G151" s="206" t="n"/>
      <c r="H151" s="206" t="n"/>
      <c r="I151" s="206" t="n"/>
      <c r="J151" s="206" t="n"/>
      <c r="K151" s="208" t="n"/>
      <c r="L151" s="206" t="n"/>
      <c r="M151" s="210" t="n">
        <v>161128.75</v>
      </c>
      <c r="N151" s="210" t="n">
        <v>136848.07</v>
      </c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10" t="n">
        <v>1189525.58</v>
      </c>
      <c r="U151" s="206" t="n"/>
      <c r="V151" s="206" t="n"/>
      <c r="W151" s="290" t="n"/>
      <c r="X151" s="290" t="n"/>
      <c r="Y151" s="290" t="n"/>
      <c r="Z151" s="290" t="n"/>
      <c r="AA151" s="290" t="n"/>
      <c r="AB151" s="290" t="n"/>
      <c r="AC151" s="290" t="n"/>
      <c r="AD151" s="290" t="n"/>
      <c r="AE151" s="290" t="n"/>
      <c r="AF151" s="290" t="n"/>
      <c r="AG151" s="290" t="n"/>
      <c r="AH151" s="290" t="n"/>
      <c r="AI151" s="290" t="n"/>
      <c r="AJ151" s="290" t="n"/>
      <c r="AK151" s="290" t="n"/>
      <c r="AL151" s="290" t="n"/>
    </row>
    <row r="152">
      <c r="A152" s="206" t="n">
        <v>81</v>
      </c>
      <c r="B152" s="206" t="inlineStr">
        <is>
          <t>100089001</t>
        </is>
      </c>
      <c r="C152" s="207" t="inlineStr">
        <is>
          <t>中建四局0200202101803008</t>
        </is>
      </c>
      <c r="D152" s="207" t="inlineStr">
        <is>
          <t>正工模块化建筑科技（深圳）有限公司</t>
        </is>
      </c>
      <c r="E152" s="206" t="n"/>
      <c r="F152" s="206" t="n"/>
      <c r="G152" s="206" t="n"/>
      <c r="H152" s="206" t="n"/>
      <c r="I152" s="206" t="n"/>
      <c r="J152" s="206" t="n"/>
      <c r="K152" s="208" t="n"/>
      <c r="L152" s="206" t="n"/>
      <c r="M152" s="210" t="n">
        <v>134793.15</v>
      </c>
      <c r="N152" s="210" t="n">
        <v>114830.34</v>
      </c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10" t="n">
        <v>998140.64</v>
      </c>
      <c r="U152" s="206" t="n"/>
      <c r="V152" s="206" t="n"/>
      <c r="W152" s="290" t="n"/>
      <c r="X152" s="290" t="n"/>
      <c r="Y152" s="290" t="n"/>
      <c r="Z152" s="290" t="n"/>
      <c r="AA152" s="290" t="n"/>
      <c r="AB152" s="290" t="n"/>
      <c r="AC152" s="290" t="n"/>
      <c r="AD152" s="290" t="n"/>
      <c r="AE152" s="290" t="n"/>
      <c r="AF152" s="290" t="n"/>
      <c r="AG152" s="290" t="n"/>
      <c r="AH152" s="290" t="n"/>
      <c r="AI152" s="290" t="n"/>
      <c r="AJ152" s="290" t="n"/>
      <c r="AK152" s="290" t="n"/>
      <c r="AL152" s="290" t="n"/>
    </row>
    <row r="153">
      <c r="A153" s="206" t="n">
        <v>82</v>
      </c>
      <c r="B153" s="206" t="inlineStr">
        <is>
          <t>100089014</t>
        </is>
      </c>
      <c r="C153" s="207" t="inlineStr">
        <is>
          <t>中建四局0200202101803012</t>
        </is>
      </c>
      <c r="D153" s="207" t="inlineStr">
        <is>
          <t>江西志特新材料股份有限公司</t>
        </is>
      </c>
      <c r="E153" s="206" t="n"/>
      <c r="F153" s="206" t="n"/>
      <c r="G153" s="206" t="n"/>
      <c r="H153" s="206" t="n"/>
      <c r="I153" s="206" t="n"/>
      <c r="J153" s="206" t="n"/>
      <c r="K153" s="208" t="n"/>
      <c r="L153" s="206" t="n"/>
      <c r="M153" s="210" t="n">
        <v>1389019.98</v>
      </c>
      <c r="N153" s="210" t="n">
        <v>1184934.15</v>
      </c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10" t="n">
        <v>10299812.4</v>
      </c>
      <c r="U153" s="206" t="n"/>
      <c r="V153" s="206" t="n"/>
      <c r="W153" s="290" t="n"/>
      <c r="X153" s="290" t="n"/>
      <c r="Y153" s="290" t="n"/>
      <c r="Z153" s="290" t="n"/>
      <c r="AA153" s="290" t="n"/>
      <c r="AB153" s="290" t="n"/>
      <c r="AC153" s="290" t="n"/>
      <c r="AD153" s="290" t="n"/>
      <c r="AE153" s="290" t="n"/>
      <c r="AF153" s="290" t="n"/>
      <c r="AG153" s="290" t="n"/>
      <c r="AH153" s="290" t="n"/>
      <c r="AI153" s="290" t="n"/>
      <c r="AJ153" s="290" t="n"/>
      <c r="AK153" s="290" t="n"/>
      <c r="AL153" s="290" t="n"/>
    </row>
    <row r="154">
      <c r="A154" s="206" t="n">
        <v>83</v>
      </c>
      <c r="B154" s="206" t="inlineStr">
        <is>
          <t>100170699</t>
        </is>
      </c>
      <c r="C154" s="207" t="inlineStr">
        <is>
          <t>中建四局0200202101806027</t>
        </is>
      </c>
      <c r="D154" s="207" t="inlineStr">
        <is>
          <t>浙商中拓集团（广东）有限公司</t>
        </is>
      </c>
      <c r="E154" s="206" t="n"/>
      <c r="F154" s="206" t="n"/>
      <c r="G154" s="206" t="n"/>
      <c r="H154" s="206" t="n"/>
      <c r="I154" s="206" t="n"/>
      <c r="J154" s="206" t="n"/>
      <c r="K154" s="208" t="n"/>
      <c r="L154" s="206" t="n"/>
      <c r="M154" s="210" t="n">
        <v>787757.3</v>
      </c>
      <c r="N154" s="210" t="n">
        <v>90626.95</v>
      </c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10" t="n">
        <v>787757.3</v>
      </c>
      <c r="U154" s="206" t="n"/>
      <c r="V154" s="206" t="n"/>
      <c r="W154" s="290" t="n"/>
      <c r="X154" s="290" t="n"/>
      <c r="Y154" s="290" t="n"/>
      <c r="Z154" s="290" t="n"/>
      <c r="AA154" s="290" t="n"/>
      <c r="AB154" s="290" t="n"/>
      <c r="AC154" s="290" t="n"/>
      <c r="AD154" s="290" t="n"/>
      <c r="AE154" s="290" t="n"/>
      <c r="AF154" s="290" t="n"/>
      <c r="AG154" s="290" t="n"/>
      <c r="AH154" s="290" t="n"/>
      <c r="AI154" s="290" t="n"/>
      <c r="AJ154" s="290" t="n"/>
      <c r="AK154" s="290" t="n"/>
      <c r="AL154" s="290" t="n"/>
    </row>
    <row r="155">
      <c r="A155" s="206" t="n">
        <v>84</v>
      </c>
      <c r="B155" s="206" t="inlineStr">
        <is>
          <t>200447949</t>
        </is>
      </c>
      <c r="C155" s="207" t="inlineStr">
        <is>
          <t>中建四局0200202101803007</t>
        </is>
      </c>
      <c r="D155" s="207" t="inlineStr">
        <is>
          <t>深圳市他拍档科技有限公司</t>
        </is>
      </c>
      <c r="E155" s="206" t="n"/>
      <c r="F155" s="206" t="n"/>
      <c r="G155" s="206" t="n"/>
      <c r="H155" s="206" t="n"/>
      <c r="I155" s="206" t="n"/>
      <c r="J155" s="206" t="n"/>
      <c r="K155" s="208" t="n"/>
      <c r="L155" s="206" t="n"/>
      <c r="M155" s="210" t="n">
        <v>111928.36</v>
      </c>
      <c r="N155" s="210" t="n">
        <v>108396.07</v>
      </c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10" t="n">
        <v>1308300</v>
      </c>
      <c r="U155" s="206" t="n"/>
      <c r="V155" s="206" t="n"/>
      <c r="W155" s="290" t="n"/>
      <c r="X155" s="290" t="n"/>
      <c r="Y155" s="290" t="n"/>
      <c r="Z155" s="290" t="n"/>
      <c r="AA155" s="290" t="n"/>
      <c r="AB155" s="290" t="n"/>
      <c r="AC155" s="290" t="n"/>
      <c r="AD155" s="290" t="n"/>
      <c r="AE155" s="290" t="n"/>
      <c r="AF155" s="290" t="n"/>
      <c r="AG155" s="290" t="n"/>
      <c r="AH155" s="290" t="n"/>
      <c r="AI155" s="290" t="n"/>
      <c r="AJ155" s="290" t="n"/>
      <c r="AK155" s="290" t="n"/>
      <c r="AL155" s="290" t="n"/>
    </row>
    <row r="156">
      <c r="A156" s="206" t="n">
        <v>85</v>
      </c>
      <c r="B156" s="206" t="inlineStr">
        <is>
          <t>200280905</t>
        </is>
      </c>
      <c r="C156" s="207" t="inlineStr">
        <is>
          <t>中建四局0200202101803013</t>
        </is>
      </c>
      <c r="D156" s="207" t="inlineStr">
        <is>
          <t>深圳市宏富丽晶建筑装饰工程有限公司</t>
        </is>
      </c>
      <c r="E156" s="206" t="n"/>
      <c r="F156" s="206" t="n"/>
      <c r="G156" s="206" t="n"/>
      <c r="H156" s="206" t="n"/>
      <c r="I156" s="206" t="n"/>
      <c r="J156" s="206" t="n"/>
      <c r="K156" s="208" t="n"/>
      <c r="L156" s="206" t="n"/>
      <c r="M156" s="210" t="n">
        <v>41101.56</v>
      </c>
      <c r="N156" s="210" t="n">
        <v>33118.76</v>
      </c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10" t="n">
        <v>401100</v>
      </c>
      <c r="U156" s="206" t="n"/>
      <c r="V156" s="206" t="n"/>
      <c r="W156" s="290" t="n"/>
      <c r="X156" s="290" t="n"/>
      <c r="Y156" s="290" t="n"/>
      <c r="Z156" s="290" t="n"/>
      <c r="AA156" s="290" t="n"/>
      <c r="AB156" s="290" t="n"/>
      <c r="AC156" s="290" t="n"/>
      <c r="AD156" s="290" t="n"/>
      <c r="AE156" s="290" t="n"/>
      <c r="AF156" s="290" t="n"/>
      <c r="AG156" s="290" t="n"/>
      <c r="AH156" s="290" t="n"/>
      <c r="AI156" s="290" t="n"/>
      <c r="AJ156" s="290" t="n"/>
      <c r="AK156" s="290" t="n"/>
      <c r="AL156" s="290" t="n"/>
    </row>
    <row r="157">
      <c r="A157" s="206" t="n">
        <v>86</v>
      </c>
      <c r="B157" s="206" t="inlineStr">
        <is>
          <t>100198899</t>
        </is>
      </c>
      <c r="C157" s="207" t="inlineStr">
        <is>
          <t>中建四局0200202101806008</t>
        </is>
      </c>
      <c r="D157" s="207" t="inlineStr">
        <is>
          <t>深圳市金仪时代环保产业有限公司</t>
        </is>
      </c>
      <c r="E157" s="206" t="n"/>
      <c r="F157" s="206" t="n"/>
      <c r="G157" s="206" t="n"/>
      <c r="H157" s="206" t="n"/>
      <c r="I157" s="206" t="n"/>
      <c r="J157" s="206" t="n"/>
      <c r="K157" s="208" t="n"/>
      <c r="L157" s="206" t="n"/>
      <c r="M157" s="210" t="n">
        <v>52420.7</v>
      </c>
      <c r="N157" s="210" t="n">
        <v>6030.7</v>
      </c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10" t="n">
        <v>52420.7</v>
      </c>
      <c r="U157" s="206" t="n"/>
      <c r="V157" s="206" t="n"/>
      <c r="W157" s="290" t="n"/>
      <c r="X157" s="290" t="n"/>
      <c r="Y157" s="290" t="n"/>
      <c r="Z157" s="290" t="n"/>
      <c r="AA157" s="290" t="n"/>
      <c r="AB157" s="290" t="n"/>
      <c r="AC157" s="290" t="n"/>
      <c r="AD157" s="290" t="n"/>
      <c r="AE157" s="290" t="n"/>
      <c r="AF157" s="290" t="n"/>
      <c r="AG157" s="290" t="n"/>
      <c r="AH157" s="290" t="n"/>
      <c r="AI157" s="290" t="n"/>
      <c r="AJ157" s="290" t="n"/>
      <c r="AK157" s="290" t="n"/>
      <c r="AL157" s="290" t="n"/>
    </row>
    <row r="158">
      <c r="A158" s="206" t="n">
        <v>87</v>
      </c>
      <c r="B158" s="206" t="inlineStr">
        <is>
          <t>100218623</t>
        </is>
      </c>
      <c r="C158" s="207" t="inlineStr">
        <is>
          <t>中建四局0200202101806043</t>
        </is>
      </c>
      <c r="D158" s="207" t="inlineStr">
        <is>
          <t>深圳市鑫源发陶瓷有限公司</t>
        </is>
      </c>
      <c r="E158" s="206" t="n"/>
      <c r="F158" s="206" t="n"/>
      <c r="G158" s="206" t="n"/>
      <c r="H158" s="206" t="n"/>
      <c r="I158" s="206" t="n"/>
      <c r="J158" s="206" t="n"/>
      <c r="K158" s="208" t="n"/>
      <c r="L158" s="206" t="n"/>
      <c r="M158" s="210" t="n">
        <v>249101.19</v>
      </c>
      <c r="N158" s="210" t="n">
        <v>28657.66</v>
      </c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10" t="n">
        <v>249101.19</v>
      </c>
      <c r="U158" s="206" t="n"/>
      <c r="V158" s="206" t="n"/>
      <c r="W158" s="290" t="n"/>
      <c r="X158" s="290" t="n"/>
      <c r="Y158" s="290" t="n"/>
      <c r="Z158" s="290" t="n"/>
      <c r="AA158" s="290" t="n"/>
      <c r="AB158" s="290" t="n"/>
      <c r="AC158" s="290" t="n"/>
      <c r="AD158" s="290" t="n"/>
      <c r="AE158" s="290" t="n"/>
      <c r="AF158" s="290" t="n"/>
      <c r="AG158" s="290" t="n"/>
      <c r="AH158" s="290" t="n"/>
      <c r="AI158" s="290" t="n"/>
      <c r="AJ158" s="290" t="n"/>
      <c r="AK158" s="290" t="n"/>
      <c r="AL158" s="290" t="n"/>
    </row>
    <row r="159">
      <c r="A159" s="206" t="n">
        <v>88</v>
      </c>
      <c r="B159" s="206" t="inlineStr">
        <is>
          <t>200165033</t>
        </is>
      </c>
      <c r="C159" s="207" t="inlineStr">
        <is>
          <t>中建四局0200202101803021</t>
        </is>
      </c>
      <c r="D159" s="207" t="inlineStr">
        <is>
          <t>深圳市鹏兴机电工程有限公司</t>
        </is>
      </c>
      <c r="E159" s="206" t="n"/>
      <c r="F159" s="206" t="n"/>
      <c r="G159" s="206" t="n"/>
      <c r="H159" s="206" t="n"/>
      <c r="I159" s="206" t="n"/>
      <c r="J159" s="206" t="n"/>
      <c r="K159" s="208" t="n"/>
      <c r="L159" s="206" t="n"/>
      <c r="M159" s="210" t="n">
        <v>3853435.3</v>
      </c>
      <c r="N159" s="210" t="n">
        <v>2909197.29</v>
      </c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10" t="n">
        <v>33467842.59</v>
      </c>
      <c r="U159" s="206" t="n"/>
      <c r="V159" s="206" t="n"/>
      <c r="W159" s="290" t="n"/>
      <c r="X159" s="290" t="n"/>
      <c r="Y159" s="290" t="n"/>
      <c r="Z159" s="290" t="n"/>
      <c r="AA159" s="290" t="n"/>
      <c r="AB159" s="290" t="n"/>
      <c r="AC159" s="290" t="n"/>
      <c r="AD159" s="290" t="n"/>
      <c r="AE159" s="290" t="n"/>
      <c r="AF159" s="290" t="n"/>
      <c r="AG159" s="290" t="n"/>
      <c r="AH159" s="290" t="n"/>
      <c r="AI159" s="290" t="n"/>
      <c r="AJ159" s="290" t="n"/>
      <c r="AK159" s="290" t="n"/>
      <c r="AL159" s="290" t="n"/>
    </row>
    <row r="160">
      <c r="A160" s="206" t="n">
        <v>89</v>
      </c>
      <c r="B160" s="206" t="inlineStr">
        <is>
          <t>100074117</t>
        </is>
      </c>
      <c r="C160" s="207" t="inlineStr">
        <is>
          <t>中建四局0200202101806011</t>
        </is>
      </c>
      <c r="D160" s="207" t="inlineStr">
        <is>
          <t>清远市榕兴新型环保建材有限责任公司</t>
        </is>
      </c>
      <c r="E160" s="206" t="n"/>
      <c r="F160" s="206" t="n"/>
      <c r="G160" s="206" t="n"/>
      <c r="H160" s="206" t="n"/>
      <c r="I160" s="206" t="n"/>
      <c r="J160" s="206" t="n"/>
      <c r="K160" s="208" t="n"/>
      <c r="L160" s="206" t="n"/>
      <c r="M160" s="210" t="n">
        <v>1437040.36</v>
      </c>
      <c r="N160" s="210" t="n">
        <v>165323.22</v>
      </c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10" t="n">
        <v>1437040.36</v>
      </c>
      <c r="U160" s="206" t="n"/>
      <c r="V160" s="206" t="n"/>
      <c r="W160" s="290" t="n"/>
      <c r="X160" s="290" t="n"/>
      <c r="Y160" s="290" t="n"/>
      <c r="Z160" s="290" t="n"/>
      <c r="AA160" s="290" t="n"/>
      <c r="AB160" s="290" t="n"/>
      <c r="AC160" s="290" t="n"/>
      <c r="AD160" s="290" t="n"/>
      <c r="AE160" s="290" t="n"/>
      <c r="AF160" s="290" t="n"/>
      <c r="AG160" s="290" t="n"/>
      <c r="AH160" s="290" t="n"/>
      <c r="AI160" s="290" t="n"/>
      <c r="AJ160" s="290" t="n"/>
      <c r="AK160" s="290" t="n"/>
      <c r="AL160" s="290" t="n"/>
    </row>
    <row r="161">
      <c r="A161" s="206" t="n">
        <v>90</v>
      </c>
      <c r="B161" s="206" t="inlineStr">
        <is>
          <t>200421551</t>
        </is>
      </c>
      <c r="C161" s="207" t="inlineStr">
        <is>
          <t>中建四局0200202101804009</t>
        </is>
      </c>
      <c r="D161" s="207" t="inlineStr">
        <is>
          <t>湖南阳旭建筑劳务服务有限公司</t>
        </is>
      </c>
      <c r="E161" s="206" t="n"/>
      <c r="F161" s="206" t="n"/>
      <c r="G161" s="206" t="n"/>
      <c r="H161" s="206" t="n"/>
      <c r="I161" s="206" t="n"/>
      <c r="J161" s="206" t="n"/>
      <c r="K161" s="208" t="n"/>
      <c r="L161" s="206" t="n"/>
      <c r="M161" s="210" t="n">
        <v>270713.87</v>
      </c>
      <c r="N161" s="210" t="n">
        <v>148363.9</v>
      </c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10" t="n">
        <v>4971100</v>
      </c>
      <c r="U161" s="206" t="n"/>
      <c r="V161" s="206" t="n"/>
      <c r="W161" s="290" t="n"/>
      <c r="X161" s="290" t="n"/>
      <c r="Y161" s="290" t="n"/>
      <c r="Z161" s="290" t="n"/>
      <c r="AA161" s="290" t="n"/>
      <c r="AB161" s="290" t="n"/>
      <c r="AC161" s="290" t="n"/>
      <c r="AD161" s="290" t="n"/>
      <c r="AE161" s="290" t="n"/>
      <c r="AF161" s="290" t="n"/>
      <c r="AG161" s="290" t="n"/>
      <c r="AH161" s="290" t="n"/>
      <c r="AI161" s="290" t="n"/>
      <c r="AJ161" s="290" t="n"/>
      <c r="AK161" s="290" t="n"/>
      <c r="AL161" s="290" t="n"/>
    </row>
    <row r="162">
      <c r="A162" s="206" t="n">
        <v>91</v>
      </c>
      <c r="B162" s="206" t="inlineStr">
        <is>
          <t>100114405</t>
        </is>
      </c>
      <c r="C162" s="207" t="inlineStr">
        <is>
          <t>中建四局0200202101806018</t>
        </is>
      </c>
      <c r="D162" s="207" t="inlineStr">
        <is>
          <t>祁东县明达轻质陶粒厂</t>
        </is>
      </c>
      <c r="E162" s="206" t="n"/>
      <c r="F162" s="206" t="n"/>
      <c r="G162" s="206" t="n"/>
      <c r="H162" s="206" t="n"/>
      <c r="I162" s="206" t="n"/>
      <c r="J162" s="206" t="n"/>
      <c r="K162" s="208" t="n"/>
      <c r="L162" s="206" t="n"/>
      <c r="M162" s="210" t="n">
        <v>551649.48</v>
      </c>
      <c r="N162" s="210" t="n">
        <v>16863.59</v>
      </c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10" t="n">
        <v>549855.73</v>
      </c>
      <c r="U162" s="206" t="n"/>
      <c r="V162" s="206" t="n"/>
      <c r="W162" s="290" t="n"/>
      <c r="X162" s="290" t="n"/>
      <c r="Y162" s="290" t="n"/>
      <c r="Z162" s="290" t="n"/>
      <c r="AA162" s="290" t="n"/>
      <c r="AB162" s="290" t="n"/>
      <c r="AC162" s="290" t="n"/>
      <c r="AD162" s="290" t="n"/>
      <c r="AE162" s="290" t="n"/>
      <c r="AF162" s="290" t="n"/>
      <c r="AG162" s="290" t="n"/>
      <c r="AH162" s="290" t="n"/>
      <c r="AI162" s="290" t="n"/>
      <c r="AJ162" s="290" t="n"/>
      <c r="AK162" s="290" t="n"/>
      <c r="AL162" s="290" t="n"/>
    </row>
    <row r="163">
      <c r="A163" s="206" t="n">
        <v>92</v>
      </c>
      <c r="B163" s="206" t="inlineStr">
        <is>
          <t>100199057</t>
        </is>
      </c>
      <c r="C163" s="207" t="inlineStr">
        <is>
          <t>中建四局0200202101806010</t>
        </is>
      </c>
      <c r="D163" s="207" t="inlineStr">
        <is>
          <t>福建省莆田市龙兴劳保用品有限公司</t>
        </is>
      </c>
      <c r="E163" s="206" t="n"/>
      <c r="F163" s="206" t="n"/>
      <c r="G163" s="206" t="n"/>
      <c r="H163" s="206" t="n"/>
      <c r="I163" s="206" t="n"/>
      <c r="J163" s="206" t="n"/>
      <c r="K163" s="208" t="n"/>
      <c r="L163" s="206" t="n"/>
      <c r="M163" s="210" t="n">
        <v>575487.03</v>
      </c>
      <c r="N163" s="210" t="n">
        <v>66206.64999999999</v>
      </c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10" t="n">
        <v>575487.03</v>
      </c>
      <c r="U163" s="206" t="n"/>
      <c r="V163" s="206" t="n"/>
      <c r="W163" s="290" t="n"/>
      <c r="X163" s="290" t="n"/>
      <c r="Y163" s="290" t="n"/>
      <c r="Z163" s="290" t="n"/>
      <c r="AA163" s="290" t="n"/>
      <c r="AB163" s="290" t="n"/>
      <c r="AC163" s="290" t="n"/>
      <c r="AD163" s="290" t="n"/>
      <c r="AE163" s="290" t="n"/>
      <c r="AF163" s="290" t="n"/>
      <c r="AG163" s="290" t="n"/>
      <c r="AH163" s="290" t="n"/>
      <c r="AI163" s="290" t="n"/>
      <c r="AJ163" s="290" t="n"/>
      <c r="AK163" s="290" t="n"/>
      <c r="AL163" s="290" t="n"/>
    </row>
    <row r="164">
      <c r="A164" s="206" t="n">
        <v>93</v>
      </c>
      <c r="B164" s="206" t="inlineStr">
        <is>
          <t>100199057</t>
        </is>
      </c>
      <c r="C164" s="207" t="inlineStr">
        <is>
          <t>中建四局0200202101806031</t>
        </is>
      </c>
      <c r="D164" s="207" t="inlineStr">
        <is>
          <t>福建省莆田市龙兴劳保用品有限公司</t>
        </is>
      </c>
      <c r="E164" s="206" t="n"/>
      <c r="F164" s="206" t="n"/>
      <c r="G164" s="206" t="n"/>
      <c r="H164" s="206" t="n"/>
      <c r="I164" s="206" t="n"/>
      <c r="J164" s="206" t="n"/>
      <c r="K164" s="208" t="n"/>
      <c r="L164" s="206" t="n"/>
      <c r="M164" s="210" t="n">
        <v>54788.28</v>
      </c>
      <c r="N164" s="210" t="n">
        <v>6303.07</v>
      </c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10" t="n">
        <v>54788.28</v>
      </c>
      <c r="U164" s="206" t="n"/>
      <c r="V164" s="206" t="n"/>
      <c r="W164" s="290" t="n"/>
      <c r="X164" s="290" t="n"/>
      <c r="Y164" s="290" t="n"/>
      <c r="Z164" s="290" t="n"/>
      <c r="AA164" s="290" t="n"/>
      <c r="AB164" s="290" t="n"/>
      <c r="AC164" s="290" t="n"/>
      <c r="AD164" s="290" t="n"/>
      <c r="AE164" s="290" t="n"/>
      <c r="AF164" s="290" t="n"/>
      <c r="AG164" s="290" t="n"/>
      <c r="AH164" s="290" t="n"/>
      <c r="AI164" s="290" t="n"/>
      <c r="AJ164" s="290" t="n"/>
      <c r="AK164" s="290" t="n"/>
      <c r="AL164" s="290" t="n"/>
    </row>
    <row r="165">
      <c r="A165" s="206" t="n">
        <v>94</v>
      </c>
      <c r="B165" s="206" t="n"/>
      <c r="C165" s="207" t="n"/>
      <c r="D165" s="207" t="inlineStr">
        <is>
          <t>废旧物资消耗（SQD）</t>
        </is>
      </c>
      <c r="E165" s="206" t="n"/>
      <c r="F165" s="206" t="n"/>
      <c r="G165" s="206" t="n"/>
      <c r="H165" s="206" t="n"/>
      <c r="I165" s="206" t="n"/>
      <c r="J165" s="206" t="n"/>
      <c r="K165" s="208" t="n"/>
      <c r="L165" s="206" t="n"/>
      <c r="M165" s="210" t="n">
        <v>7911.36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0" t="n"/>
      <c r="X165" s="290" t="n"/>
      <c r="Y165" s="290" t="n"/>
      <c r="Z165" s="290" t="n"/>
      <c r="AA165" s="290" t="n"/>
      <c r="AB165" s="290" t="n"/>
      <c r="AC165" s="290" t="n"/>
      <c r="AD165" s="290" t="n"/>
      <c r="AE165" s="290" t="n"/>
      <c r="AF165" s="290" t="n"/>
      <c r="AG165" s="290" t="n"/>
      <c r="AH165" s="290" t="n"/>
      <c r="AI165" s="290" t="n"/>
      <c r="AJ165" s="290" t="n"/>
      <c r="AK165" s="290" t="n"/>
      <c r="AL165" s="290" t="n"/>
    </row>
    <row r="166">
      <c r="A166" s="206" t="n">
        <v>95</v>
      </c>
      <c r="B166" s="206" t="n"/>
      <c r="C166" s="207" t="n"/>
      <c r="D166" s="207" t="inlineStr">
        <is>
          <t>减：研发领用材料</t>
        </is>
      </c>
      <c r="E166" s="206" t="n"/>
      <c r="F166" s="206" t="n"/>
      <c r="G166" s="206" t="n"/>
      <c r="H166" s="206" t="n"/>
      <c r="I166" s="206" t="n"/>
      <c r="J166" s="206" t="n"/>
      <c r="K166" s="208" t="n"/>
      <c r="L166" s="206" t="n"/>
      <c r="M166" s="210" t="n">
        <v>-25030932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0" t="n"/>
      <c r="X166" s="290" t="n"/>
      <c r="Y166" s="290" t="n"/>
      <c r="Z166" s="290" t="n"/>
      <c r="AA166" s="290" t="n"/>
      <c r="AB166" s="290" t="n"/>
      <c r="AC166" s="290" t="n"/>
      <c r="AD166" s="290" t="n"/>
      <c r="AE166" s="290" t="n"/>
      <c r="AF166" s="290" t="n"/>
      <c r="AG166" s="290" t="n"/>
      <c r="AH166" s="290" t="n"/>
      <c r="AI166" s="290" t="n"/>
      <c r="AJ166" s="290" t="n"/>
      <c r="AK166" s="290" t="n"/>
      <c r="AL166" s="290" t="n"/>
    </row>
    <row r="167">
      <c r="A167" s="279" t="n">
        <v>96</v>
      </c>
      <c r="B167" s="280" t="n"/>
      <c r="C167" s="280" t="n"/>
      <c r="D167" s="299" t="inlineStr">
        <is>
          <t>材料调入</t>
        </is>
      </c>
      <c r="E167" s="280" t="n"/>
      <c r="F167" s="280" t="n"/>
      <c r="G167" s="280" t="n"/>
      <c r="H167" s="282" t="n"/>
      <c r="I167" s="282" t="n"/>
      <c r="J167" s="282" t="n"/>
      <c r="K167" s="283" t="n"/>
      <c r="L167" s="284" t="n"/>
      <c r="M167" s="304" t="n">
        <v>17996069.15</v>
      </c>
      <c r="N167" s="282" t="n"/>
      <c r="O167" s="282">
        <f>L167-M167</f>
        <v/>
      </c>
      <c r="P167" s="282">
        <f>K167-N167</f>
        <v/>
      </c>
      <c r="Q167" s="282">
        <f>M167+O167</f>
        <v/>
      </c>
      <c r="R167" s="282">
        <f>M167+N167+O167+P167</f>
        <v/>
      </c>
      <c r="S167" s="286">
        <f>SUM(T167:V167)</f>
        <v/>
      </c>
      <c r="T167" s="286" t="n"/>
      <c r="U167" s="286" t="n"/>
      <c r="V167" s="286" t="n"/>
      <c r="W167" s="286" t="n"/>
      <c r="X167" s="286" t="n"/>
      <c r="Y167" s="286" t="n"/>
      <c r="Z167" s="282">
        <f>SUM(AA30:AJ30)</f>
        <v/>
      </c>
      <c r="AA167" s="286" t="n"/>
      <c r="AB167" s="301" t="n"/>
      <c r="AC167" s="301" t="n"/>
      <c r="AD167" s="301" t="n"/>
      <c r="AE167" s="301" t="n"/>
      <c r="AF167" s="301" t="n"/>
      <c r="AG167" s="301" t="n"/>
      <c r="AH167" s="301" t="n"/>
      <c r="AI167" s="301" t="n"/>
      <c r="AJ167" s="301" t="n"/>
      <c r="AK167" s="287">
        <f>AB30/1.17*0.17+AC30/1.16*0.16+AD30/1.11*0.11+AE30/1.1*0.1+AF30/1.09*0.09+AI30/1.03*0.03</f>
        <v/>
      </c>
      <c r="AL167" s="302" t="n"/>
    </row>
    <row r="168">
      <c r="A168" s="279" t="n">
        <v>97</v>
      </c>
      <c r="B168" s="280" t="n"/>
      <c r="C168" s="280" t="n"/>
      <c r="D168" s="299" t="inlineStr">
        <is>
          <t>材料调出（注：负数填报）</t>
        </is>
      </c>
      <c r="E168" s="305" t="n"/>
      <c r="F168" s="305" t="n"/>
      <c r="G168" s="305" t="n"/>
      <c r="H168" s="306" t="n"/>
      <c r="I168" s="306" t="n"/>
      <c r="J168" s="282" t="n"/>
      <c r="K168" s="283" t="n"/>
      <c r="L168" s="284" t="n"/>
      <c r="M168" s="307" t="n">
        <v>-8003517.42</v>
      </c>
      <c r="N168" s="306" t="n"/>
      <c r="O168" s="282">
        <f>L168-M168</f>
        <v/>
      </c>
      <c r="P168" s="282">
        <f>K168-N168</f>
        <v/>
      </c>
      <c r="Q168" s="282">
        <f>M168+O168</f>
        <v/>
      </c>
      <c r="R168" s="282">
        <f>M168+N168+O168+P168</f>
        <v/>
      </c>
      <c r="S168" s="286">
        <f>SUM(T168:V168)</f>
        <v/>
      </c>
      <c r="T168" s="306" t="n"/>
      <c r="U168" s="306" t="n"/>
      <c r="V168" s="306" t="n"/>
      <c r="W168" s="306" t="n"/>
      <c r="X168" s="306" t="n"/>
      <c r="Y168" s="306" t="n"/>
      <c r="Z168" s="282">
        <f>SUM(AA31:AJ31)</f>
        <v/>
      </c>
      <c r="AA168" s="306" t="n"/>
      <c r="AB168" s="308" t="n"/>
      <c r="AC168" s="308" t="n"/>
      <c r="AD168" s="308" t="n"/>
      <c r="AE168" s="308" t="n"/>
      <c r="AF168" s="308" t="n"/>
      <c r="AG168" s="308" t="n"/>
      <c r="AH168" s="308" t="n"/>
      <c r="AI168" s="308" t="n"/>
      <c r="AJ168" s="308" t="n"/>
      <c r="AK168" s="287">
        <f>AB31/1.17*0.17+AC31/1.16*0.16+AD31/1.11*0.11+AE31/1.1*0.1+AF31/1.09*0.09+AI31/1.03*0.03</f>
        <v/>
      </c>
      <c r="AL168" s="309" t="n"/>
    </row>
    <row r="169">
      <c r="A169" s="279" t="n"/>
      <c r="B169" s="280" t="n"/>
      <c r="C169" s="280" t="n"/>
      <c r="D169" s="299" t="inlineStr">
        <is>
          <t>材料库存（注：项目已结算未使用材料冲减项目成本，负数填报）</t>
        </is>
      </c>
      <c r="E169" s="305" t="n"/>
      <c r="F169" s="305" t="n"/>
      <c r="G169" s="305" t="n"/>
      <c r="H169" s="306" t="n"/>
      <c r="I169" s="306" t="n"/>
      <c r="J169" s="282" t="n"/>
      <c r="K169" s="283" t="n"/>
      <c r="L169" s="284" t="n"/>
      <c r="M169" s="306" t="n"/>
      <c r="N169" s="306" t="n"/>
      <c r="O169" s="282" t="n"/>
      <c r="P169" s="282" t="n"/>
      <c r="Q169" s="282" t="n"/>
      <c r="R169" s="282" t="n"/>
      <c r="S169" s="286" t="n"/>
      <c r="T169" s="306" t="n"/>
      <c r="U169" s="306" t="n"/>
      <c r="V169" s="306" t="n"/>
      <c r="W169" s="306" t="n"/>
      <c r="X169" s="306" t="n"/>
      <c r="Y169" s="306" t="n"/>
      <c r="Z169" s="282" t="n"/>
      <c r="AA169" s="306" t="n"/>
      <c r="AB169" s="308" t="n"/>
      <c r="AC169" s="308" t="n"/>
      <c r="AD169" s="308" t="n"/>
      <c r="AE169" s="308" t="n"/>
      <c r="AF169" s="308" t="n"/>
      <c r="AG169" s="308" t="n"/>
      <c r="AH169" s="308" t="n"/>
      <c r="AI169" s="308" t="n"/>
      <c r="AJ169" s="308" t="n"/>
      <c r="AK169" s="287" t="n"/>
      <c r="AL169" s="309" t="n"/>
    </row>
    <row r="170">
      <c r="A170" s="279" t="n"/>
      <c r="B170" s="280" t="n"/>
      <c r="C170" s="280" t="n"/>
      <c r="D170" s="291" t="inlineStr">
        <is>
          <t>**财务未列部分需增列***</t>
        </is>
      </c>
      <c r="E170" s="300" t="n"/>
      <c r="F170" s="300" t="n"/>
      <c r="G170" s="300" t="n"/>
      <c r="H170" s="282" t="n"/>
      <c r="I170" s="282" t="n"/>
      <c r="J170" s="282" t="n"/>
      <c r="K170" s="283" t="n"/>
      <c r="L170" s="284" t="n"/>
      <c r="M170" s="282" t="n"/>
      <c r="N170" s="282" t="n"/>
      <c r="O170" s="282">
        <f>L170-M170</f>
        <v/>
      </c>
      <c r="P170" s="282">
        <f>K170-N170</f>
        <v/>
      </c>
      <c r="Q170" s="282">
        <f>M170+O170</f>
        <v/>
      </c>
      <c r="R170" s="282">
        <f>M170+N170+O170+P170</f>
        <v/>
      </c>
      <c r="S170" s="286">
        <f>SUM(T170:V170)</f>
        <v/>
      </c>
      <c r="T170" s="286" t="n"/>
      <c r="U170" s="286" t="n"/>
      <c r="V170" s="286" t="n"/>
      <c r="W170" s="286" t="n"/>
      <c r="X170" s="286" t="n"/>
      <c r="Y170" s="286" t="n"/>
      <c r="Z170" s="286" t="n"/>
      <c r="AA170" s="286" t="n"/>
      <c r="AB170" s="301" t="n"/>
      <c r="AC170" s="301" t="n"/>
      <c r="AD170" s="301" t="n"/>
      <c r="AE170" s="301" t="n"/>
      <c r="AF170" s="301" t="n"/>
      <c r="AG170" s="301" t="n"/>
      <c r="AH170" s="301" t="n"/>
      <c r="AI170" s="301" t="n"/>
      <c r="AJ170" s="301" t="n"/>
      <c r="AK170" s="287">
        <f>AB33/1.17*0.17+AC33/1.16*0.16+AD33/1.11*0.11+AE33/1.1*0.1+AF33/1.09*0.09+AI33/1.03*0.03</f>
        <v/>
      </c>
      <c r="AL170" s="302" t="n"/>
    </row>
    <row r="171">
      <c r="A171" s="295" t="n"/>
      <c r="B171" s="296" t="n"/>
      <c r="C171" s="296" t="n"/>
      <c r="D171" s="297" t="inlineStr">
        <is>
          <t>材料费小计：</t>
        </is>
      </c>
      <c r="E171" s="298">
        <f>SUM(E66:E170)</f>
        <v/>
      </c>
      <c r="F171" s="298">
        <f>SUM(F66:F170)</f>
        <v/>
      </c>
      <c r="G171" s="298">
        <f>SUM(G66:G170)</f>
        <v/>
      </c>
      <c r="H171" s="298">
        <f>SUM(H66:H170)</f>
        <v/>
      </c>
      <c r="I171" s="298">
        <f>SUM(I66:I170)</f>
        <v/>
      </c>
      <c r="J171" s="298">
        <f>SUM(J66:J170)</f>
        <v/>
      </c>
      <c r="K171" s="298">
        <f>SUM(K66:K170)</f>
        <v/>
      </c>
      <c r="L171" s="298">
        <f>SUM(L66:L170)</f>
        <v/>
      </c>
      <c r="M171" s="298">
        <f>SUM(M66:M170)</f>
        <v/>
      </c>
      <c r="N171" s="298">
        <f>SUM(N66:N170)</f>
        <v/>
      </c>
      <c r="O171" s="298">
        <f>SUM(O66:O170)</f>
        <v/>
      </c>
      <c r="P171" s="298">
        <f>SUM(P66:P170)</f>
        <v/>
      </c>
      <c r="Q171" s="298">
        <f>SUM(Q66:Q170)</f>
        <v/>
      </c>
      <c r="R171" s="298">
        <f>SUM(R66:R170)</f>
        <v/>
      </c>
      <c r="S171" s="298">
        <f>SUM(S66:S170)</f>
        <v/>
      </c>
      <c r="T171" s="298">
        <f>SUM(T66:T170)</f>
        <v/>
      </c>
      <c r="U171" s="298">
        <f>SUM(U66:U170)</f>
        <v/>
      </c>
      <c r="V171" s="298">
        <f>SUM(V66:V170)</f>
        <v/>
      </c>
      <c r="W171" s="298">
        <f>SUM(W66:W170)</f>
        <v/>
      </c>
      <c r="X171" s="298">
        <f>SUM(X66:X170)</f>
        <v/>
      </c>
      <c r="Y171" s="298">
        <f>SUM(Y66:Y170)</f>
        <v/>
      </c>
      <c r="Z171" s="298">
        <f>SUM(Z66:Z170)</f>
        <v/>
      </c>
      <c r="AA171" s="298">
        <f>SUM(AA66:AA170)</f>
        <v/>
      </c>
      <c r="AB171" s="298">
        <f>SUM(AB66:AB170)</f>
        <v/>
      </c>
      <c r="AC171" s="298">
        <f>SUM(AC66:AC170)</f>
        <v/>
      </c>
      <c r="AD171" s="298">
        <f>SUM(AD66:AD170)</f>
        <v/>
      </c>
      <c r="AE171" s="298">
        <f>SUM(AE66:AE170)</f>
        <v/>
      </c>
      <c r="AF171" s="298">
        <f>SUM(AF66:AF170)</f>
        <v/>
      </c>
      <c r="AG171" s="298">
        <f>SUM(AG66:AG170)</f>
        <v/>
      </c>
      <c r="AH171" s="298">
        <f>SUM(AH66:AH170)</f>
        <v/>
      </c>
      <c r="AI171" s="298">
        <f>SUM(AI66:AI170)</f>
        <v/>
      </c>
      <c r="AJ171" s="298">
        <f>SUM(AJ66:AJ170)</f>
        <v/>
      </c>
      <c r="AK171" s="298">
        <f>SUM(AK66:AK170)</f>
        <v/>
      </c>
      <c r="AL171" s="288" t="n"/>
    </row>
    <row r="172">
      <c r="A172" s="279" t="n"/>
      <c r="B172" s="280" t="n"/>
      <c r="C172" s="280" t="n"/>
      <c r="D172" s="299" t="inlineStr">
        <is>
          <t>(四）机械租赁费</t>
        </is>
      </c>
      <c r="E172" s="292" t="n"/>
      <c r="F172" s="292" t="n"/>
      <c r="G172" s="292" t="n"/>
      <c r="H172" s="282" t="n"/>
      <c r="I172" s="282" t="n"/>
      <c r="J172" s="282" t="n"/>
      <c r="K172" s="283" t="n">
        <v>0</v>
      </c>
      <c r="L172" s="284">
        <f>J172-K172</f>
        <v/>
      </c>
      <c r="M172" s="285" t="n"/>
      <c r="N172" s="285" t="n"/>
      <c r="O172" s="282">
        <f>L172-M172</f>
        <v/>
      </c>
      <c r="P172" s="282">
        <f>K172-N172</f>
        <v/>
      </c>
      <c r="Q172" s="282">
        <f>M172+O172</f>
        <v/>
      </c>
      <c r="R172" s="282">
        <f>M172+N172+O172+P172</f>
        <v/>
      </c>
      <c r="S172" s="286">
        <f>SUM(T172:V172)</f>
        <v/>
      </c>
      <c r="T172" s="286" t="n"/>
      <c r="U172" s="286" t="n"/>
      <c r="V172" s="286" t="n"/>
      <c r="W172" s="286" t="n"/>
      <c r="X172" s="286" t="n"/>
      <c r="Y172" s="286" t="n"/>
      <c r="Z172" s="286" t="n"/>
      <c r="AA172" s="286" t="n"/>
      <c r="AB172" s="286" t="n"/>
      <c r="AC172" s="286" t="n"/>
      <c r="AD172" s="286" t="n"/>
      <c r="AE172" s="286" t="n"/>
      <c r="AF172" s="286" t="n"/>
      <c r="AG172" s="286" t="n"/>
      <c r="AH172" s="286" t="n"/>
      <c r="AI172" s="286" t="n"/>
      <c r="AJ172" s="286" t="n"/>
      <c r="AK172" s="287">
        <f>AB35/1.17*0.17+AC35/1.16*0.16+AD35/1.11*0.11+AE35/1.1*0.1+AF35/1.09*0.09+AI35/1.03*0.03</f>
        <v/>
      </c>
      <c r="AL172" s="288" t="n"/>
    </row>
    <row r="173">
      <c r="A173" s="206" t="n">
        <v>1</v>
      </c>
      <c r="B173" s="206" t="n"/>
      <c r="C173" s="207" t="n"/>
      <c r="D173" s="207" t="inlineStr">
        <is>
          <t>ZGD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-709.27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90" t="n"/>
      <c r="X173" s="290" t="n"/>
      <c r="Y173" s="290" t="n"/>
      <c r="Z173" s="290" t="n"/>
      <c r="AA173" s="290" t="n"/>
      <c r="AB173" s="290" t="n"/>
      <c r="AC173" s="290" t="n"/>
      <c r="AD173" s="290" t="n"/>
      <c r="AE173" s="290" t="n"/>
      <c r="AF173" s="290" t="n"/>
      <c r="AG173" s="290" t="n"/>
      <c r="AH173" s="290" t="n"/>
      <c r="AI173" s="290" t="n"/>
      <c r="AJ173" s="290" t="n"/>
      <c r="AK173" s="290" t="n"/>
      <c r="AL173" s="290" t="n"/>
    </row>
    <row r="174">
      <c r="A174" s="206" t="n"/>
      <c r="B174" s="206" t="n"/>
      <c r="C174" s="207" t="n"/>
      <c r="D174" s="207" t="n"/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5438.34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90" t="n"/>
      <c r="X174" s="290" t="n"/>
      <c r="Y174" s="290" t="n"/>
      <c r="Z174" s="290" t="n"/>
      <c r="AA174" s="290" t="n"/>
      <c r="AB174" s="290" t="n"/>
      <c r="AC174" s="290" t="n"/>
      <c r="AD174" s="290" t="n"/>
      <c r="AE174" s="290" t="n"/>
      <c r="AF174" s="290" t="n"/>
      <c r="AG174" s="290" t="n"/>
      <c r="AH174" s="290" t="n"/>
      <c r="AI174" s="290" t="n"/>
      <c r="AJ174" s="290" t="n"/>
      <c r="AK174" s="290" t="n"/>
      <c r="AL174" s="290" t="n"/>
    </row>
    <row r="175">
      <c r="A175" s="206" t="n">
        <v>2</v>
      </c>
      <c r="B175" s="206" t="n"/>
      <c r="C175" s="207" t="n"/>
      <c r="D175" s="207" t="inlineStr">
        <is>
          <t>JXZ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30661.52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90" t="n"/>
      <c r="X175" s="290" t="n"/>
      <c r="Y175" s="290" t="n"/>
      <c r="Z175" s="290" t="n"/>
      <c r="AA175" s="290" t="n"/>
      <c r="AB175" s="290" t="n"/>
      <c r="AC175" s="290" t="n"/>
      <c r="AD175" s="290" t="n"/>
      <c r="AE175" s="290" t="n"/>
      <c r="AF175" s="290" t="n"/>
      <c r="AG175" s="290" t="n"/>
      <c r="AH175" s="290" t="n"/>
      <c r="AI175" s="290" t="n"/>
      <c r="AJ175" s="290" t="n"/>
      <c r="AK175" s="290" t="n"/>
      <c r="AL175" s="290" t="n"/>
    </row>
    <row r="176">
      <c r="A176" s="279" t="n"/>
      <c r="B176" s="280" t="n"/>
      <c r="C176" s="280" t="n"/>
      <c r="D176" s="291" t="inlineStr">
        <is>
          <t>**财务未列部分需增列***</t>
        </is>
      </c>
      <c r="E176" s="310" t="n"/>
      <c r="F176" s="310" t="n"/>
      <c r="G176" s="310" t="n"/>
      <c r="H176" s="282" t="n"/>
      <c r="I176" s="282" t="n"/>
      <c r="J176" s="282" t="n"/>
      <c r="K176" s="283" t="n">
        <v>0</v>
      </c>
      <c r="L176" s="284">
        <f>J176-K176</f>
        <v/>
      </c>
      <c r="M176" s="311" t="n"/>
      <c r="N176" s="311" t="n"/>
      <c r="O176" s="282">
        <f>L176-M176</f>
        <v/>
      </c>
      <c r="P176" s="282">
        <f>K176-N176</f>
        <v/>
      </c>
      <c r="Q176" s="282">
        <f>M176+O176</f>
        <v/>
      </c>
      <c r="R176" s="282">
        <f>M176+N176+O176+P176</f>
        <v/>
      </c>
      <c r="S176" s="286">
        <f>SUM(T176:V176)</f>
        <v/>
      </c>
      <c r="T176" s="311" t="n"/>
      <c r="U176" s="311" t="n"/>
      <c r="V176" s="311" t="n"/>
      <c r="W176" s="311" t="n"/>
      <c r="X176" s="311" t="n"/>
      <c r="Y176" s="311" t="n"/>
      <c r="Z176" s="311" t="n"/>
      <c r="AA176" s="286" t="n"/>
      <c r="AB176" s="287" t="n"/>
      <c r="AC176" s="287" t="n"/>
      <c r="AD176" s="287" t="n"/>
      <c r="AE176" s="287" t="n"/>
      <c r="AF176" s="287" t="n"/>
      <c r="AG176" s="287" t="n"/>
      <c r="AH176" s="287" t="n"/>
      <c r="AI176" s="287" t="n"/>
      <c r="AJ176" s="287" t="n"/>
      <c r="AK176" s="287">
        <f>AB37/1.17*0.17+AC37/1.16*0.16+AD37/1.11*0.11+AE37/1.1*0.1+AF37/1.09*0.09+AI37/1.03*0.03</f>
        <v/>
      </c>
      <c r="AL176" s="294" t="n"/>
    </row>
    <row r="177">
      <c r="A177" s="295" t="n"/>
      <c r="B177" s="296" t="n"/>
      <c r="C177" s="296" t="n"/>
      <c r="D177" s="312" t="inlineStr">
        <is>
          <t>机械费小计：</t>
        </is>
      </c>
      <c r="E177" s="313" t="n"/>
      <c r="F177" s="313" t="n"/>
      <c r="G177" s="313" t="n"/>
      <c r="H177" s="298">
        <f>SUM(H172:H176)</f>
        <v/>
      </c>
      <c r="I177" s="298">
        <f>SUM(I172:I176)</f>
        <v/>
      </c>
      <c r="J177" s="298">
        <f>SUM(J172:J176)</f>
        <v/>
      </c>
      <c r="K177" s="298">
        <f>SUM(K172:K176)</f>
        <v/>
      </c>
      <c r="L177" s="314">
        <f>SUM(L172:L176)</f>
        <v/>
      </c>
      <c r="M177" s="298">
        <f>SUM(M172:M176)</f>
        <v/>
      </c>
      <c r="N177" s="298">
        <f>SUM(N172:N176)</f>
        <v/>
      </c>
      <c r="O177" s="298">
        <f>SUM(O172:O176)</f>
        <v/>
      </c>
      <c r="P177" s="298">
        <f>SUM(P172:P176)</f>
        <v/>
      </c>
      <c r="Q177" s="298">
        <f>SUM(Q172:Q176)</f>
        <v/>
      </c>
      <c r="R177" s="298">
        <f>SUM(R172:R176)</f>
        <v/>
      </c>
      <c r="S177" s="298">
        <f>SUM(S172:S176)</f>
        <v/>
      </c>
      <c r="T177" s="298" t="n"/>
      <c r="U177" s="298" t="n"/>
      <c r="V177" s="298" t="n"/>
      <c r="W177" s="298" t="n"/>
      <c r="X177" s="298" t="n"/>
      <c r="Y177" s="298" t="n"/>
      <c r="Z177" s="298">
        <f>SUM(Z172:Z176)</f>
        <v/>
      </c>
      <c r="AA177" s="298">
        <f>SUM(AA172:AA176)</f>
        <v/>
      </c>
      <c r="AB177" s="298" t="n"/>
      <c r="AC177" s="298" t="n"/>
      <c r="AD177" s="298" t="n"/>
      <c r="AE177" s="298" t="n"/>
      <c r="AF177" s="298" t="n"/>
      <c r="AG177" s="298" t="n"/>
      <c r="AH177" s="298" t="n"/>
      <c r="AI177" s="298" t="n"/>
      <c r="AJ177" s="298" t="n"/>
      <c r="AK177" s="298" t="n"/>
      <c r="AL177" s="288" t="n"/>
    </row>
    <row r="178">
      <c r="A178" s="279" t="n"/>
      <c r="B178" s="280" t="n"/>
      <c r="C178" s="280" t="n"/>
      <c r="D178" s="299" t="inlineStr">
        <is>
          <t>（五）其他直接费</t>
        </is>
      </c>
      <c r="E178" s="292" t="n"/>
      <c r="F178" s="292" t="n"/>
      <c r="G178" s="292" t="n"/>
      <c r="H178" s="282" t="n"/>
      <c r="I178" s="282" t="n"/>
      <c r="J178" s="285" t="n">
        <v>0</v>
      </c>
      <c r="K178" s="283" t="n">
        <v>0</v>
      </c>
      <c r="L178" s="284">
        <f>J178-N178-P178</f>
        <v/>
      </c>
      <c r="M178" s="285" t="n"/>
      <c r="N178" s="285" t="n"/>
      <c r="O178" s="282">
        <f>L178-M178</f>
        <v/>
      </c>
      <c r="P178" s="282">
        <f>K178-N178</f>
        <v/>
      </c>
      <c r="Q178" s="282">
        <f>M178+O178</f>
        <v/>
      </c>
      <c r="R178" s="282">
        <f>M178+N178+O178+P178</f>
        <v/>
      </c>
      <c r="S178" s="286">
        <f>SUM(T178:V178)</f>
        <v/>
      </c>
      <c r="T178" s="286" t="n"/>
      <c r="U178" s="286" t="n"/>
      <c r="V178" s="286" t="n"/>
      <c r="W178" s="286" t="n"/>
      <c r="X178" s="286" t="n"/>
      <c r="Y178" s="286" t="n"/>
      <c r="Z178" s="286" t="n"/>
      <c r="AA178" s="286" t="n"/>
      <c r="AB178" s="286" t="n"/>
      <c r="AC178" s="286" t="n"/>
      <c r="AD178" s="286" t="n"/>
      <c r="AE178" s="286" t="n"/>
      <c r="AF178" s="286" t="n"/>
      <c r="AG178" s="286" t="n"/>
      <c r="AH178" s="286" t="n"/>
      <c r="AI178" s="286" t="n"/>
      <c r="AJ178" s="286" t="n"/>
      <c r="AK178" s="287" t="n"/>
      <c r="AL178" s="288" t="n"/>
    </row>
    <row r="179">
      <c r="A179" s="206" t="n">
        <v>1</v>
      </c>
      <c r="B179" s="206" t="n"/>
      <c r="C179" s="207" t="n"/>
      <c r="D179" s="207" t="inlineStr">
        <is>
          <t>保险费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2060794.4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90" t="n"/>
      <c r="X179" s="290" t="n"/>
      <c r="Y179" s="290" t="n"/>
      <c r="Z179" s="290" t="n"/>
      <c r="AA179" s="290" t="n"/>
      <c r="AB179" s="290" t="n"/>
      <c r="AC179" s="290" t="n"/>
      <c r="AD179" s="290" t="n"/>
      <c r="AE179" s="290" t="n"/>
      <c r="AF179" s="290" t="n"/>
      <c r="AG179" s="290" t="n"/>
      <c r="AH179" s="290" t="n"/>
      <c r="AI179" s="290" t="n"/>
      <c r="AJ179" s="290" t="n"/>
      <c r="AK179" s="290" t="n"/>
      <c r="AL179" s="290" t="n"/>
    </row>
    <row r="180">
      <c r="A180" s="206" t="n">
        <v>2</v>
      </c>
      <c r="B180" s="206" t="n"/>
      <c r="C180" s="207" t="n"/>
      <c r="D180" s="207" t="inlineStr">
        <is>
          <t>其他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4351039.99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90" t="n"/>
      <c r="X180" s="290" t="n"/>
      <c r="Y180" s="290" t="n"/>
      <c r="Z180" s="290" t="n"/>
      <c r="AA180" s="290" t="n"/>
      <c r="AB180" s="290" t="n"/>
      <c r="AC180" s="290" t="n"/>
      <c r="AD180" s="290" t="n"/>
      <c r="AE180" s="290" t="n"/>
      <c r="AF180" s="290" t="n"/>
      <c r="AG180" s="290" t="n"/>
      <c r="AH180" s="290" t="n"/>
      <c r="AI180" s="290" t="n"/>
      <c r="AJ180" s="290" t="n"/>
      <c r="AK180" s="290" t="n"/>
      <c r="AL180" s="290" t="n"/>
    </row>
    <row r="181">
      <c r="A181" s="206" t="n">
        <v>3</v>
      </c>
      <c r="B181" s="206" t="n"/>
      <c r="C181" s="207" t="n"/>
      <c r="D181" s="207" t="inlineStr">
        <is>
          <t>咨询费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1165.05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90" t="n"/>
      <c r="X181" s="290" t="n"/>
      <c r="Y181" s="290" t="n"/>
      <c r="Z181" s="290" t="n"/>
      <c r="AA181" s="290" t="n"/>
      <c r="AB181" s="290" t="n"/>
      <c r="AC181" s="290" t="n"/>
      <c r="AD181" s="290" t="n"/>
      <c r="AE181" s="290" t="n"/>
      <c r="AF181" s="290" t="n"/>
      <c r="AG181" s="290" t="n"/>
      <c r="AH181" s="290" t="n"/>
      <c r="AI181" s="290" t="n"/>
      <c r="AJ181" s="290" t="n"/>
      <c r="AK181" s="290" t="n"/>
      <c r="AL181" s="290" t="n"/>
    </row>
    <row r="182">
      <c r="A182" s="206" t="n">
        <v>4</v>
      </c>
      <c r="B182" s="206" t="n"/>
      <c r="C182" s="207" t="n"/>
      <c r="D182" s="207" t="inlineStr">
        <is>
          <t>检验试验费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2298882.29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90" t="n"/>
      <c r="X182" s="290" t="n"/>
      <c r="Y182" s="290" t="n"/>
      <c r="Z182" s="290" t="n"/>
      <c r="AA182" s="290" t="n"/>
      <c r="AB182" s="290" t="n"/>
      <c r="AC182" s="290" t="n"/>
      <c r="AD182" s="290" t="n"/>
      <c r="AE182" s="290" t="n"/>
      <c r="AF182" s="290" t="n"/>
      <c r="AG182" s="290" t="n"/>
      <c r="AH182" s="290" t="n"/>
      <c r="AI182" s="290" t="n"/>
      <c r="AJ182" s="290" t="n"/>
      <c r="AK182" s="290" t="n"/>
      <c r="AL182" s="290" t="n"/>
    </row>
    <row r="183">
      <c r="A183" s="206" t="n">
        <v>5</v>
      </c>
      <c r="B183" s="206" t="n"/>
      <c r="C183" s="207" t="n"/>
      <c r="D183" s="207" t="inlineStr">
        <is>
          <t>水电费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8300988.65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90" t="n"/>
      <c r="X183" s="290" t="n"/>
      <c r="Y183" s="290" t="n"/>
      <c r="Z183" s="290" t="n"/>
      <c r="AA183" s="290" t="n"/>
      <c r="AB183" s="290" t="n"/>
      <c r="AC183" s="290" t="n"/>
      <c r="AD183" s="290" t="n"/>
      <c r="AE183" s="290" t="n"/>
      <c r="AF183" s="290" t="n"/>
      <c r="AG183" s="290" t="n"/>
      <c r="AH183" s="290" t="n"/>
      <c r="AI183" s="290" t="n"/>
      <c r="AJ183" s="290" t="n"/>
      <c r="AK183" s="290" t="n"/>
      <c r="AL183" s="290" t="n"/>
    </row>
    <row r="184">
      <c r="A184" s="279" t="n"/>
      <c r="B184" s="280" t="n"/>
      <c r="C184" s="280" t="n"/>
      <c r="D184" s="291" t="inlineStr">
        <is>
          <t>**财务未列部分需增列***</t>
        </is>
      </c>
      <c r="E184" s="292" t="n"/>
      <c r="F184" s="292" t="n"/>
      <c r="G184" s="292" t="n"/>
      <c r="H184" s="282" t="n"/>
      <c r="I184" s="282" t="n"/>
      <c r="J184" s="285" t="n"/>
      <c r="K184" s="283" t="n"/>
      <c r="L184" s="284">
        <f>J184-K184</f>
        <v/>
      </c>
      <c r="M184" s="315" t="n"/>
      <c r="N184" s="315" t="n"/>
      <c r="O184" s="282">
        <f>L184-M184</f>
        <v/>
      </c>
      <c r="P184" s="282">
        <f>K184-N184</f>
        <v/>
      </c>
      <c r="Q184" s="282">
        <f>M184+O184</f>
        <v/>
      </c>
      <c r="R184" s="282">
        <f>M184+N184+O184+P184</f>
        <v/>
      </c>
      <c r="S184" s="286">
        <f>SUM(T184:V184)</f>
        <v/>
      </c>
      <c r="T184" s="315" t="n"/>
      <c r="U184" s="315" t="n"/>
      <c r="V184" s="315" t="n"/>
      <c r="W184" s="315" t="n"/>
      <c r="X184" s="315" t="n"/>
      <c r="Y184" s="315" t="n"/>
      <c r="Z184" s="282">
        <f>SUM(AA45:AJ45)</f>
        <v/>
      </c>
      <c r="AA184" s="286" t="n"/>
      <c r="AB184" s="286" t="n"/>
      <c r="AC184" s="286" t="n"/>
      <c r="AD184" s="286" t="n"/>
      <c r="AE184" s="286" t="n"/>
      <c r="AF184" s="286" t="n"/>
      <c r="AG184" s="286" t="n"/>
      <c r="AH184" s="286" t="n"/>
      <c r="AI184" s="286" t="n"/>
      <c r="AJ184" s="286" t="n"/>
      <c r="AK184" s="287" t="n"/>
      <c r="AL184" s="288" t="n"/>
    </row>
    <row r="185">
      <c r="A185" s="316" t="n"/>
      <c r="B185" s="317" t="n"/>
      <c r="C185" s="317" t="n"/>
      <c r="D185" s="312" t="inlineStr">
        <is>
          <t>其他直接费小计：</t>
        </is>
      </c>
      <c r="E185" s="318" t="n"/>
      <c r="F185" s="318" t="n"/>
      <c r="G185" s="318" t="n"/>
      <c r="H185" s="298">
        <f>SUM(H178:H184)</f>
        <v/>
      </c>
      <c r="I185" s="298">
        <f>SUM(I178:I184)</f>
        <v/>
      </c>
      <c r="J185" s="298">
        <f>SUM(J178:J184)</f>
        <v/>
      </c>
      <c r="K185" s="298">
        <f>SUM(K178:K184)</f>
        <v/>
      </c>
      <c r="L185" s="314">
        <f>SUM(L178:L184)</f>
        <v/>
      </c>
      <c r="M185" s="298">
        <f>SUM(M178:M184)</f>
        <v/>
      </c>
      <c r="N185" s="298">
        <f>SUM(N178:N184)</f>
        <v/>
      </c>
      <c r="O185" s="298">
        <f>L185-M185</f>
        <v/>
      </c>
      <c r="P185" s="298">
        <f>SUM(P178:P184)</f>
        <v/>
      </c>
      <c r="Q185" s="298">
        <f>M185+O185</f>
        <v/>
      </c>
      <c r="R185" s="298">
        <f>SUM(R178:R184)</f>
        <v/>
      </c>
      <c r="S185" s="298">
        <f>SUM(S178:S184)</f>
        <v/>
      </c>
      <c r="T185" s="298" t="n"/>
      <c r="U185" s="298" t="n"/>
      <c r="V185" s="298" t="n"/>
      <c r="W185" s="298" t="n"/>
      <c r="X185" s="298" t="n"/>
      <c r="Y185" s="298" t="n"/>
      <c r="Z185" s="298">
        <f>SUM(Z178:Z184)</f>
        <v/>
      </c>
      <c r="AA185" s="298">
        <f>SUM(AA178:AA184)</f>
        <v/>
      </c>
      <c r="AB185" s="298">
        <f>SUM(AB178:AB184)</f>
        <v/>
      </c>
      <c r="AC185" s="298">
        <f>SUM(AC178:AC184)</f>
        <v/>
      </c>
      <c r="AD185" s="298">
        <f>SUM(AD178:AD184)</f>
        <v/>
      </c>
      <c r="AE185" s="298">
        <f>SUM(AE178:AE184)</f>
        <v/>
      </c>
      <c r="AF185" s="298">
        <f>SUM(AF178:AF184)</f>
        <v/>
      </c>
      <c r="AG185" s="298" t="n"/>
      <c r="AH185" s="298" t="n"/>
      <c r="AI185" s="298">
        <f>SUM(AI178:AI184)</f>
        <v/>
      </c>
      <c r="AJ185" s="298">
        <f>SUM(AJ178:AJ184)</f>
        <v/>
      </c>
      <c r="AK185" s="298">
        <f>SUM(AK178:AK184)</f>
        <v/>
      </c>
      <c r="AL185" s="288" t="n"/>
    </row>
    <row r="186">
      <c r="A186" s="279" t="n"/>
      <c r="B186" s="280" t="n"/>
      <c r="C186" s="280" t="n"/>
      <c r="D186" s="299" t="inlineStr">
        <is>
          <t>（六）间接费</t>
        </is>
      </c>
      <c r="E186" s="292" t="n"/>
      <c r="F186" s="292" t="n"/>
      <c r="G186" s="292" t="n"/>
      <c r="H186" s="285" t="n"/>
      <c r="I186" s="282" t="n"/>
      <c r="J186" s="282" t="n">
        <v>0</v>
      </c>
      <c r="K186" s="283" t="n">
        <v>0</v>
      </c>
      <c r="L186" s="284">
        <f>J186-N186-P186</f>
        <v/>
      </c>
      <c r="M186" s="285" t="n"/>
      <c r="N186" s="285" t="n"/>
      <c r="O186" s="282">
        <f>L186-M186</f>
        <v/>
      </c>
      <c r="P186" s="282">
        <f>K186-N186</f>
        <v/>
      </c>
      <c r="Q186" s="282">
        <f>M186+O186</f>
        <v/>
      </c>
      <c r="R186" s="282">
        <f>M186+N186+O186+P186</f>
        <v/>
      </c>
      <c r="S186" s="286">
        <f>SUM(T186:V186)</f>
        <v/>
      </c>
      <c r="T186" s="286" t="n"/>
      <c r="U186" s="286" t="n"/>
      <c r="V186" s="286" t="n"/>
      <c r="W186" s="286" t="n"/>
      <c r="X186" s="286" t="n"/>
      <c r="Y186" s="286" t="n"/>
      <c r="Z186" s="286" t="n"/>
      <c r="AA186" s="286" t="n"/>
      <c r="AB186" s="286" t="n"/>
      <c r="AC186" s="286" t="n"/>
      <c r="AD186" s="286" t="n"/>
      <c r="AE186" s="286" t="n"/>
      <c r="AF186" s="286" t="n"/>
      <c r="AG186" s="286" t="n"/>
      <c r="AH186" s="286" t="n"/>
      <c r="AI186" s="286" t="n"/>
      <c r="AJ186" s="286" t="n"/>
      <c r="AK186" s="287" t="n"/>
      <c r="AL186" s="288" t="n"/>
    </row>
    <row r="187">
      <c r="A187" s="206" t="n">
        <v>1</v>
      </c>
      <c r="B187" s="206" t="n"/>
      <c r="C187" s="207" t="n"/>
      <c r="D187" s="207" t="inlineStr">
        <is>
          <t>ZGD-境内差旅费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6">
        <f>J187-K187</f>
        <v/>
      </c>
      <c r="M187" s="210" t="n">
        <v>227.68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  <c r="W187" s="290" t="n"/>
      <c r="X187" s="290" t="n"/>
      <c r="Y187" s="290" t="n"/>
      <c r="Z187" s="290" t="n"/>
      <c r="AA187" s="290" t="n"/>
      <c r="AB187" s="290" t="n"/>
      <c r="AC187" s="290" t="n"/>
      <c r="AD187" s="290" t="n"/>
      <c r="AE187" s="290" t="n"/>
      <c r="AF187" s="290" t="n"/>
      <c r="AG187" s="290" t="n"/>
      <c r="AH187" s="290" t="n"/>
      <c r="AI187" s="290" t="n"/>
      <c r="AJ187" s="290" t="n"/>
      <c r="AK187" s="290" t="n"/>
      <c r="AL187" s="290" t="n"/>
    </row>
    <row r="188">
      <c r="A188" s="206" t="n">
        <v>2</v>
      </c>
      <c r="B188" s="206" t="n"/>
      <c r="C188" s="207" t="n"/>
      <c r="D188" s="207" t="inlineStr">
        <is>
          <t>ZGD-工会经费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6">
        <f>J188-K188</f>
        <v/>
      </c>
      <c r="M188" s="210" t="n">
        <v>115907.8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  <c r="W188" s="290" t="n"/>
      <c r="X188" s="290" t="n"/>
      <c r="Y188" s="290" t="n"/>
      <c r="Z188" s="290" t="n"/>
      <c r="AA188" s="290" t="n"/>
      <c r="AB188" s="290" t="n"/>
      <c r="AC188" s="290" t="n"/>
      <c r="AD188" s="290" t="n"/>
      <c r="AE188" s="290" t="n"/>
      <c r="AF188" s="290" t="n"/>
      <c r="AG188" s="290" t="n"/>
      <c r="AH188" s="290" t="n"/>
      <c r="AI188" s="290" t="n"/>
      <c r="AJ188" s="290" t="n"/>
      <c r="AK188" s="290" t="n"/>
      <c r="AL188" s="290" t="n"/>
    </row>
    <row r="189">
      <c r="A189" s="206" t="n">
        <v>3</v>
      </c>
      <c r="B189" s="206" t="n"/>
      <c r="C189" s="207" t="n"/>
      <c r="D189" s="207" t="inlineStr">
        <is>
          <t>ZGD-工资</t>
        </is>
      </c>
      <c r="E189" s="206" t="n"/>
      <c r="F189" s="206" t="n"/>
      <c r="G189" s="206" t="n"/>
      <c r="H189" s="206" t="n"/>
      <c r="I189" s="206" t="n"/>
      <c r="J189" s="206">
        <f>H189+I189</f>
        <v/>
      </c>
      <c r="K189" s="208" t="n"/>
      <c r="L189" s="206">
        <f>J189-K189</f>
        <v/>
      </c>
      <c r="M189" s="210" t="n">
        <v>-42912.81</v>
      </c>
      <c r="N189" s="206" t="n"/>
      <c r="O189" s="206">
        <f>L189-M189</f>
        <v/>
      </c>
      <c r="P189" s="206">
        <f>K189-N189</f>
        <v/>
      </c>
      <c r="Q189" s="206">
        <f>M189+O189</f>
        <v/>
      </c>
      <c r="R189" s="206">
        <f>M189+N189+O189+P189</f>
        <v/>
      </c>
      <c r="S189" s="206" t="n"/>
      <c r="T189" s="206" t="n"/>
      <c r="U189" s="206" t="n"/>
      <c r="V189" s="206" t="n"/>
      <c r="W189" s="290" t="n"/>
      <c r="X189" s="290" t="n"/>
      <c r="Y189" s="290" t="n"/>
      <c r="Z189" s="290" t="n"/>
      <c r="AA189" s="290" t="n"/>
      <c r="AB189" s="290" t="n"/>
      <c r="AC189" s="290" t="n"/>
      <c r="AD189" s="290" t="n"/>
      <c r="AE189" s="290" t="n"/>
      <c r="AF189" s="290" t="n"/>
      <c r="AG189" s="290" t="n"/>
      <c r="AH189" s="290" t="n"/>
      <c r="AI189" s="290" t="n"/>
      <c r="AJ189" s="290" t="n"/>
      <c r="AK189" s="290" t="n"/>
      <c r="AL189" s="290" t="n"/>
    </row>
    <row r="190">
      <c r="A190" s="206" t="n">
        <v>4</v>
      </c>
      <c r="B190" s="206" t="n"/>
      <c r="C190" s="207" t="n"/>
      <c r="D190" s="207" t="inlineStr">
        <is>
          <t>ZGD-折旧费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6">
        <f>J190-K190</f>
        <v/>
      </c>
      <c r="M190" s="210" t="n">
        <v>709.35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  <c r="W190" s="290" t="n"/>
      <c r="X190" s="290" t="n"/>
      <c r="Y190" s="290" t="n"/>
      <c r="Z190" s="290" t="n"/>
      <c r="AA190" s="290" t="n"/>
      <c r="AB190" s="290" t="n"/>
      <c r="AC190" s="290" t="n"/>
      <c r="AD190" s="290" t="n"/>
      <c r="AE190" s="290" t="n"/>
      <c r="AF190" s="290" t="n"/>
      <c r="AG190" s="290" t="n"/>
      <c r="AH190" s="290" t="n"/>
      <c r="AI190" s="290" t="n"/>
      <c r="AJ190" s="290" t="n"/>
      <c r="AK190" s="290" t="n"/>
      <c r="AL190" s="290" t="n"/>
    </row>
    <row r="191">
      <c r="A191" s="206" t="n">
        <v>5</v>
      </c>
      <c r="B191" s="206" t="n"/>
      <c r="C191" s="207" t="n"/>
      <c r="D191" s="207" t="inlineStr">
        <is>
          <t>书报资料费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6">
        <f>J191-K191</f>
        <v/>
      </c>
      <c r="M191" s="210" t="n">
        <v>220.88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  <c r="W191" s="290" t="n"/>
      <c r="X191" s="290" t="n"/>
      <c r="Y191" s="290" t="n"/>
      <c r="Z191" s="290" t="n"/>
      <c r="AA191" s="290" t="n"/>
      <c r="AB191" s="290" t="n"/>
      <c r="AC191" s="290" t="n"/>
      <c r="AD191" s="290" t="n"/>
      <c r="AE191" s="290" t="n"/>
      <c r="AF191" s="290" t="n"/>
      <c r="AG191" s="290" t="n"/>
      <c r="AH191" s="290" t="n"/>
      <c r="AI191" s="290" t="n"/>
      <c r="AJ191" s="290" t="n"/>
      <c r="AK191" s="290" t="n"/>
      <c r="AL191" s="290" t="n"/>
    </row>
    <row r="192">
      <c r="A192" s="206" t="n">
        <v>6</v>
      </c>
      <c r="B192" s="206" t="n"/>
      <c r="C192" s="207" t="n"/>
      <c r="D192" s="207" t="inlineStr">
        <is>
          <t>企业年金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6">
        <f>J192-K192</f>
        <v/>
      </c>
      <c r="M192" s="210" t="n">
        <v>186548.56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  <c r="W192" s="290" t="n"/>
      <c r="X192" s="290" t="n"/>
      <c r="Y192" s="290" t="n"/>
      <c r="Z192" s="290" t="n"/>
      <c r="AA192" s="290" t="n"/>
      <c r="AB192" s="290" t="n"/>
      <c r="AC192" s="290" t="n"/>
      <c r="AD192" s="290" t="n"/>
      <c r="AE192" s="290" t="n"/>
      <c r="AF192" s="290" t="n"/>
      <c r="AG192" s="290" t="n"/>
      <c r="AH192" s="290" t="n"/>
      <c r="AI192" s="290" t="n"/>
      <c r="AJ192" s="290" t="n"/>
      <c r="AK192" s="290" t="n"/>
      <c r="AL192" s="290" t="n"/>
    </row>
    <row r="193">
      <c r="A193" s="206" t="n">
        <v>7</v>
      </c>
      <c r="B193" s="206" t="n"/>
      <c r="C193" s="207" t="n"/>
      <c r="D193" s="207" t="inlineStr">
        <is>
          <t>会议费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6">
        <f>J193-K193</f>
        <v/>
      </c>
      <c r="M193" s="210" t="n">
        <v>5867.37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  <c r="W193" s="290" t="n"/>
      <c r="X193" s="290" t="n"/>
      <c r="Y193" s="290" t="n"/>
      <c r="Z193" s="290" t="n"/>
      <c r="AA193" s="290" t="n"/>
      <c r="AB193" s="290" t="n"/>
      <c r="AC193" s="290" t="n"/>
      <c r="AD193" s="290" t="n"/>
      <c r="AE193" s="290" t="n"/>
      <c r="AF193" s="290" t="n"/>
      <c r="AG193" s="290" t="n"/>
      <c r="AH193" s="290" t="n"/>
      <c r="AI193" s="290" t="n"/>
      <c r="AJ193" s="290" t="n"/>
      <c r="AK193" s="290" t="n"/>
      <c r="AL193" s="290" t="n"/>
    </row>
    <row r="194">
      <c r="A194" s="206" t="n">
        <v>8</v>
      </c>
      <c r="B194" s="206" t="n"/>
      <c r="C194" s="207" t="n"/>
      <c r="D194" s="207" t="inlineStr">
        <is>
          <t>住房公积金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6">
        <f>J194-K194</f>
        <v/>
      </c>
      <c r="M194" s="210" t="n">
        <v>921583.74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  <c r="W194" s="290" t="n"/>
      <c r="X194" s="290" t="n"/>
      <c r="Y194" s="290" t="n"/>
      <c r="Z194" s="290" t="n"/>
      <c r="AA194" s="290" t="n"/>
      <c r="AB194" s="290" t="n"/>
      <c r="AC194" s="290" t="n"/>
      <c r="AD194" s="290" t="n"/>
      <c r="AE194" s="290" t="n"/>
      <c r="AF194" s="290" t="n"/>
      <c r="AG194" s="290" t="n"/>
      <c r="AH194" s="290" t="n"/>
      <c r="AI194" s="290" t="n"/>
      <c r="AJ194" s="290" t="n"/>
      <c r="AK194" s="290" t="n"/>
      <c r="AL194" s="290" t="n"/>
    </row>
    <row r="195">
      <c r="A195" s="206" t="n">
        <v>9</v>
      </c>
      <c r="B195" s="206" t="n"/>
      <c r="C195" s="207" t="n"/>
      <c r="D195" s="207" t="inlineStr">
        <is>
          <t>保险费</t>
        </is>
      </c>
      <c r="E195" s="206" t="n"/>
      <c r="F195" s="206" t="n"/>
      <c r="G195" s="206" t="n"/>
      <c r="H195" s="206" t="n"/>
      <c r="I195" s="206" t="n"/>
      <c r="J195" s="206">
        <f>H195+I195</f>
        <v/>
      </c>
      <c r="K195" s="208" t="n"/>
      <c r="L195" s="206">
        <f>J195-K195</f>
        <v/>
      </c>
      <c r="M195" s="210" t="n">
        <v>4245.28</v>
      </c>
      <c r="N195" s="206" t="n"/>
      <c r="O195" s="206">
        <f>L195-M195</f>
        <v/>
      </c>
      <c r="P195" s="206">
        <f>K195-N195</f>
        <v/>
      </c>
      <c r="Q195" s="206">
        <f>M195+O195</f>
        <v/>
      </c>
      <c r="R195" s="206">
        <f>M195+N195+O195+P195</f>
        <v/>
      </c>
      <c r="S195" s="206" t="n"/>
      <c r="T195" s="206" t="n"/>
      <c r="U195" s="206" t="n"/>
      <c r="V195" s="206" t="n"/>
      <c r="W195" s="290" t="n"/>
      <c r="X195" s="290" t="n"/>
      <c r="Y195" s="290" t="n"/>
      <c r="Z195" s="290" t="n"/>
      <c r="AA195" s="290" t="n"/>
      <c r="AB195" s="290" t="n"/>
      <c r="AC195" s="290" t="n"/>
      <c r="AD195" s="290" t="n"/>
      <c r="AE195" s="290" t="n"/>
      <c r="AF195" s="290" t="n"/>
      <c r="AG195" s="290" t="n"/>
      <c r="AH195" s="290" t="n"/>
      <c r="AI195" s="290" t="n"/>
      <c r="AJ195" s="290" t="n"/>
      <c r="AK195" s="290" t="n"/>
      <c r="AL195" s="290" t="n"/>
    </row>
    <row r="196">
      <c r="A196" s="206" t="n">
        <v>10</v>
      </c>
      <c r="B196" s="206" t="n"/>
      <c r="C196" s="207" t="n"/>
      <c r="D196" s="207" t="inlineStr">
        <is>
          <t>修理费</t>
        </is>
      </c>
      <c r="E196" s="206" t="n"/>
      <c r="F196" s="206" t="n"/>
      <c r="G196" s="206" t="n"/>
      <c r="H196" s="206" t="n"/>
      <c r="I196" s="206" t="n"/>
      <c r="J196" s="206">
        <f>H196+I196</f>
        <v/>
      </c>
      <c r="K196" s="208" t="n"/>
      <c r="L196" s="206">
        <f>J196-K196</f>
        <v/>
      </c>
      <c r="M196" s="210" t="n">
        <v>27769.38</v>
      </c>
      <c r="N196" s="206" t="n"/>
      <c r="O196" s="206">
        <f>L196-M196</f>
        <v/>
      </c>
      <c r="P196" s="206">
        <f>K196-N196</f>
        <v/>
      </c>
      <c r="Q196" s="206">
        <f>M196+O196</f>
        <v/>
      </c>
      <c r="R196" s="206">
        <f>M196+N196+O196+P196</f>
        <v/>
      </c>
      <c r="S196" s="206" t="n"/>
      <c r="T196" s="206" t="n"/>
      <c r="U196" s="206" t="n"/>
      <c r="V196" s="206" t="n"/>
      <c r="W196" s="290" t="n"/>
      <c r="X196" s="290" t="n"/>
      <c r="Y196" s="290" t="n"/>
      <c r="Z196" s="290" t="n"/>
      <c r="AA196" s="290" t="n"/>
      <c r="AB196" s="290" t="n"/>
      <c r="AC196" s="290" t="n"/>
      <c r="AD196" s="290" t="n"/>
      <c r="AE196" s="290" t="n"/>
      <c r="AF196" s="290" t="n"/>
      <c r="AG196" s="290" t="n"/>
      <c r="AH196" s="290" t="n"/>
      <c r="AI196" s="290" t="n"/>
      <c r="AJ196" s="290" t="n"/>
      <c r="AK196" s="290" t="n"/>
      <c r="AL196" s="290" t="n"/>
    </row>
    <row r="197">
      <c r="A197" s="206" t="n">
        <v>11</v>
      </c>
      <c r="B197" s="206" t="n"/>
      <c r="C197" s="207" t="n"/>
      <c r="D197" s="207" t="inlineStr">
        <is>
          <t>其他</t>
        </is>
      </c>
      <c r="E197" s="206" t="n"/>
      <c r="F197" s="206" t="n"/>
      <c r="G197" s="206" t="n"/>
      <c r="H197" s="206" t="n"/>
      <c r="I197" s="206" t="n"/>
      <c r="J197" s="206">
        <f>H197+I197</f>
        <v/>
      </c>
      <c r="K197" s="208" t="n"/>
      <c r="L197" s="206">
        <f>J197-K197</f>
        <v/>
      </c>
      <c r="M197" s="210" t="n">
        <v>445466.64</v>
      </c>
      <c r="N197" s="206" t="n"/>
      <c r="O197" s="206">
        <f>L197-M197</f>
        <v/>
      </c>
      <c r="P197" s="206">
        <f>K197-N197</f>
        <v/>
      </c>
      <c r="Q197" s="206">
        <f>M197+O197</f>
        <v/>
      </c>
      <c r="R197" s="206">
        <f>M197+N197+O197+P197</f>
        <v/>
      </c>
      <c r="S197" s="206" t="n"/>
      <c r="T197" s="206" t="n"/>
      <c r="U197" s="206" t="n"/>
      <c r="V197" s="206" t="n"/>
      <c r="W197" s="290" t="n"/>
      <c r="X197" s="290" t="n"/>
      <c r="Y197" s="290" t="n"/>
      <c r="Z197" s="290" t="n"/>
      <c r="AA197" s="290" t="n"/>
      <c r="AB197" s="290" t="n"/>
      <c r="AC197" s="290" t="n"/>
      <c r="AD197" s="290" t="n"/>
      <c r="AE197" s="290" t="n"/>
      <c r="AF197" s="290" t="n"/>
      <c r="AG197" s="290" t="n"/>
      <c r="AH197" s="290" t="n"/>
      <c r="AI197" s="290" t="n"/>
      <c r="AJ197" s="290" t="n"/>
      <c r="AK197" s="290" t="n"/>
      <c r="AL197" s="290" t="n"/>
    </row>
    <row r="198">
      <c r="A198" s="206" t="n">
        <v>12</v>
      </c>
      <c r="B198" s="206" t="n"/>
      <c r="C198" s="207" t="n"/>
      <c r="D198" s="207" t="inlineStr">
        <is>
          <t>其他补充保险</t>
        </is>
      </c>
      <c r="E198" s="206" t="n"/>
      <c r="F198" s="206" t="n"/>
      <c r="G198" s="206" t="n"/>
      <c r="H198" s="206" t="n"/>
      <c r="I198" s="206" t="n"/>
      <c r="J198" s="206">
        <f>H198+I198</f>
        <v/>
      </c>
      <c r="K198" s="208" t="n"/>
      <c r="L198" s="206">
        <f>J198-K198</f>
        <v/>
      </c>
      <c r="M198" s="210" t="n">
        <v>87.84</v>
      </c>
      <c r="N198" s="206" t="n"/>
      <c r="O198" s="206">
        <f>L198-M198</f>
        <v/>
      </c>
      <c r="P198" s="206">
        <f>K198-N198</f>
        <v/>
      </c>
      <c r="Q198" s="206">
        <f>M198+O198</f>
        <v/>
      </c>
      <c r="R198" s="206">
        <f>M198+N198+O198+P198</f>
        <v/>
      </c>
      <c r="S198" s="206" t="n"/>
      <c r="T198" s="206" t="n"/>
      <c r="U198" s="206" t="n"/>
      <c r="V198" s="206" t="n"/>
      <c r="W198" s="290" t="n"/>
      <c r="X198" s="290" t="n"/>
      <c r="Y198" s="290" t="n"/>
      <c r="Z198" s="290" t="n"/>
      <c r="AA198" s="290" t="n"/>
      <c r="AB198" s="290" t="n"/>
      <c r="AC198" s="290" t="n"/>
      <c r="AD198" s="290" t="n"/>
      <c r="AE198" s="290" t="n"/>
      <c r="AF198" s="290" t="n"/>
      <c r="AG198" s="290" t="n"/>
      <c r="AH198" s="290" t="n"/>
      <c r="AI198" s="290" t="n"/>
      <c r="AJ198" s="290" t="n"/>
      <c r="AK198" s="290" t="n"/>
      <c r="AL198" s="290" t="n"/>
    </row>
    <row r="199">
      <c r="A199" s="206" t="n">
        <v>13</v>
      </c>
      <c r="B199" s="206" t="n"/>
      <c r="C199" s="207" t="n"/>
      <c r="D199" s="207" t="inlineStr">
        <is>
          <t>冲晒印刷费</t>
        </is>
      </c>
      <c r="E199" s="206" t="n"/>
      <c r="F199" s="206" t="n"/>
      <c r="G199" s="206" t="n"/>
      <c r="H199" s="206" t="n"/>
      <c r="I199" s="206" t="n"/>
      <c r="J199" s="206">
        <f>H199+I199</f>
        <v/>
      </c>
      <c r="K199" s="208" t="n"/>
      <c r="L199" s="206">
        <f>J199-K199</f>
        <v/>
      </c>
      <c r="M199" s="210" t="n">
        <v>112428.15</v>
      </c>
      <c r="N199" s="206" t="n"/>
      <c r="O199" s="206">
        <f>L199-M199</f>
        <v/>
      </c>
      <c r="P199" s="206">
        <f>K199-N199</f>
        <v/>
      </c>
      <c r="Q199" s="206">
        <f>M199+O199</f>
        <v/>
      </c>
      <c r="R199" s="206">
        <f>M199+N199+O199+P199</f>
        <v/>
      </c>
      <c r="S199" s="206" t="n"/>
      <c r="T199" s="206" t="n"/>
      <c r="U199" s="206" t="n"/>
      <c r="V199" s="206" t="n"/>
      <c r="W199" s="290" t="n"/>
      <c r="X199" s="290" t="n"/>
      <c r="Y199" s="290" t="n"/>
      <c r="Z199" s="290" t="n"/>
      <c r="AA199" s="290" t="n"/>
      <c r="AB199" s="290" t="n"/>
      <c r="AC199" s="290" t="n"/>
      <c r="AD199" s="290" t="n"/>
      <c r="AE199" s="290" t="n"/>
      <c r="AF199" s="290" t="n"/>
      <c r="AG199" s="290" t="n"/>
      <c r="AH199" s="290" t="n"/>
      <c r="AI199" s="290" t="n"/>
      <c r="AJ199" s="290" t="n"/>
      <c r="AK199" s="290" t="n"/>
      <c r="AL199" s="290" t="n"/>
    </row>
    <row r="200">
      <c r="A200" s="206" t="n">
        <v>14</v>
      </c>
      <c r="B200" s="206" t="n"/>
      <c r="C200" s="207" t="n"/>
      <c r="D200" s="207" t="inlineStr">
        <is>
          <t>办公用品费</t>
        </is>
      </c>
      <c r="E200" s="206" t="n"/>
      <c r="F200" s="206" t="n"/>
      <c r="G200" s="206" t="n"/>
      <c r="H200" s="206" t="n"/>
      <c r="I200" s="206" t="n"/>
      <c r="J200" s="206">
        <f>H200+I200</f>
        <v/>
      </c>
      <c r="K200" s="208" t="n"/>
      <c r="L200" s="206">
        <f>J200-K200</f>
        <v/>
      </c>
      <c r="M200" s="210" t="n">
        <v>607692.39</v>
      </c>
      <c r="N200" s="206" t="n"/>
      <c r="O200" s="206">
        <f>L200-M200</f>
        <v/>
      </c>
      <c r="P200" s="206">
        <f>K200-N200</f>
        <v/>
      </c>
      <c r="Q200" s="206">
        <f>M200+O200</f>
        <v/>
      </c>
      <c r="R200" s="206">
        <f>M200+N200+O200+P200</f>
        <v/>
      </c>
      <c r="S200" s="206" t="n"/>
      <c r="T200" s="206" t="n"/>
      <c r="U200" s="206" t="n"/>
      <c r="V200" s="206" t="n"/>
      <c r="W200" s="290" t="n"/>
      <c r="X200" s="290" t="n"/>
      <c r="Y200" s="290" t="n"/>
      <c r="Z200" s="290" t="n"/>
      <c r="AA200" s="290" t="n"/>
      <c r="AB200" s="290" t="n"/>
      <c r="AC200" s="290" t="n"/>
      <c r="AD200" s="290" t="n"/>
      <c r="AE200" s="290" t="n"/>
      <c r="AF200" s="290" t="n"/>
      <c r="AG200" s="290" t="n"/>
      <c r="AH200" s="290" t="n"/>
      <c r="AI200" s="290" t="n"/>
      <c r="AJ200" s="290" t="n"/>
      <c r="AK200" s="290" t="n"/>
      <c r="AL200" s="290" t="n"/>
    </row>
    <row r="201">
      <c r="A201" s="206" t="n">
        <v>15</v>
      </c>
      <c r="B201" s="206" t="n"/>
      <c r="C201" s="207" t="n"/>
      <c r="D201" s="207" t="inlineStr">
        <is>
          <t>医疗保险</t>
        </is>
      </c>
      <c r="E201" s="206" t="n"/>
      <c r="F201" s="206" t="n"/>
      <c r="G201" s="206" t="n"/>
      <c r="H201" s="206" t="n"/>
      <c r="I201" s="206" t="n"/>
      <c r="J201" s="206">
        <f>H201+I201</f>
        <v/>
      </c>
      <c r="K201" s="208" t="n"/>
      <c r="L201" s="206">
        <f>J201-K201</f>
        <v/>
      </c>
      <c r="M201" s="210" t="n">
        <v>453554.98</v>
      </c>
      <c r="N201" s="206" t="n"/>
      <c r="O201" s="206">
        <f>L201-M201</f>
        <v/>
      </c>
      <c r="P201" s="206">
        <f>K201-N201</f>
        <v/>
      </c>
      <c r="Q201" s="206">
        <f>M201+O201</f>
        <v/>
      </c>
      <c r="R201" s="206">
        <f>M201+N201+O201+P201</f>
        <v/>
      </c>
      <c r="S201" s="206" t="n"/>
      <c r="T201" s="206" t="n"/>
      <c r="U201" s="206" t="n"/>
      <c r="V201" s="206" t="n"/>
      <c r="W201" s="290" t="n"/>
      <c r="X201" s="290" t="n"/>
      <c r="Y201" s="290" t="n"/>
      <c r="Z201" s="290" t="n"/>
      <c r="AA201" s="290" t="n"/>
      <c r="AB201" s="290" t="n"/>
      <c r="AC201" s="290" t="n"/>
      <c r="AD201" s="290" t="n"/>
      <c r="AE201" s="290" t="n"/>
      <c r="AF201" s="290" t="n"/>
      <c r="AG201" s="290" t="n"/>
      <c r="AH201" s="290" t="n"/>
      <c r="AI201" s="290" t="n"/>
      <c r="AJ201" s="290" t="n"/>
      <c r="AK201" s="290" t="n"/>
      <c r="AL201" s="290" t="n"/>
    </row>
    <row r="202">
      <c r="A202" s="206" t="n">
        <v>16</v>
      </c>
      <c r="B202" s="206" t="n"/>
      <c r="C202" s="207" t="n"/>
      <c r="D202" s="207" t="inlineStr">
        <is>
          <t>基本养老保险</t>
        </is>
      </c>
      <c r="E202" s="206" t="n"/>
      <c r="F202" s="206" t="n"/>
      <c r="G202" s="206" t="n"/>
      <c r="H202" s="206" t="n"/>
      <c r="I202" s="206" t="n"/>
      <c r="J202" s="206">
        <f>H202+I202</f>
        <v/>
      </c>
      <c r="K202" s="208" t="n"/>
      <c r="L202" s="206">
        <f>J202-K202</f>
        <v/>
      </c>
      <c r="M202" s="210" t="n">
        <v>1111816.95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  <c r="W202" s="290" t="n"/>
      <c r="X202" s="290" t="n"/>
      <c r="Y202" s="290" t="n"/>
      <c r="Z202" s="290" t="n"/>
      <c r="AA202" s="290" t="n"/>
      <c r="AB202" s="290" t="n"/>
      <c r="AC202" s="290" t="n"/>
      <c r="AD202" s="290" t="n"/>
      <c r="AE202" s="290" t="n"/>
      <c r="AF202" s="290" t="n"/>
      <c r="AG202" s="290" t="n"/>
      <c r="AH202" s="290" t="n"/>
      <c r="AI202" s="290" t="n"/>
      <c r="AJ202" s="290" t="n"/>
      <c r="AK202" s="290" t="n"/>
      <c r="AL202" s="290" t="n"/>
    </row>
    <row r="203">
      <c r="A203" s="206" t="n">
        <v>17</v>
      </c>
      <c r="B203" s="206" t="n"/>
      <c r="C203" s="207" t="n"/>
      <c r="D203" s="207" t="inlineStr">
        <is>
          <t>境内差旅费</t>
        </is>
      </c>
      <c r="E203" s="206" t="n"/>
      <c r="F203" s="206" t="n"/>
      <c r="G203" s="206" t="n"/>
      <c r="H203" s="206" t="n"/>
      <c r="I203" s="206" t="n"/>
      <c r="J203" s="206">
        <f>H203+I203</f>
        <v/>
      </c>
      <c r="K203" s="208" t="n"/>
      <c r="L203" s="206">
        <f>J203-K203</f>
        <v/>
      </c>
      <c r="M203" s="210" t="n">
        <v>28860.18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  <c r="W203" s="290" t="n"/>
      <c r="X203" s="290" t="n"/>
      <c r="Y203" s="290" t="n"/>
      <c r="Z203" s="290" t="n"/>
      <c r="AA203" s="290" t="n"/>
      <c r="AB203" s="290" t="n"/>
      <c r="AC203" s="290" t="n"/>
      <c r="AD203" s="290" t="n"/>
      <c r="AE203" s="290" t="n"/>
      <c r="AF203" s="290" t="n"/>
      <c r="AG203" s="290" t="n"/>
      <c r="AH203" s="290" t="n"/>
      <c r="AI203" s="290" t="n"/>
      <c r="AJ203" s="290" t="n"/>
      <c r="AK203" s="290" t="n"/>
      <c r="AL203" s="290" t="n"/>
    </row>
    <row r="204">
      <c r="A204" s="206" t="n">
        <v>18</v>
      </c>
      <c r="B204" s="206" t="n"/>
      <c r="C204" s="207" t="n"/>
      <c r="D204" s="207" t="inlineStr">
        <is>
          <t>失业保险</t>
        </is>
      </c>
      <c r="E204" s="206" t="n"/>
      <c r="F204" s="206" t="n"/>
      <c r="G204" s="206" t="n"/>
      <c r="H204" s="206" t="n"/>
      <c r="I204" s="206" t="n"/>
      <c r="J204" s="206">
        <f>H204+I204</f>
        <v/>
      </c>
      <c r="K204" s="208" t="n"/>
      <c r="L204" s="206">
        <f>J204-K204</f>
        <v/>
      </c>
      <c r="M204" s="210" t="n">
        <v>45975.32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  <c r="W204" s="290" t="n"/>
      <c r="X204" s="290" t="n"/>
      <c r="Y204" s="290" t="n"/>
      <c r="Z204" s="290" t="n"/>
      <c r="AA204" s="290" t="n"/>
      <c r="AB204" s="290" t="n"/>
      <c r="AC204" s="290" t="n"/>
      <c r="AD204" s="290" t="n"/>
      <c r="AE204" s="290" t="n"/>
      <c r="AF204" s="290" t="n"/>
      <c r="AG204" s="290" t="n"/>
      <c r="AH204" s="290" t="n"/>
      <c r="AI204" s="290" t="n"/>
      <c r="AJ204" s="290" t="n"/>
      <c r="AK204" s="290" t="n"/>
      <c r="AL204" s="290" t="n"/>
    </row>
    <row r="205">
      <c r="A205" s="206" t="n">
        <v>19</v>
      </c>
      <c r="B205" s="206" t="n"/>
      <c r="C205" s="207" t="n"/>
      <c r="D205" s="207" t="inlineStr">
        <is>
          <t>工会经费</t>
        </is>
      </c>
      <c r="E205" s="206" t="n"/>
      <c r="F205" s="206" t="n"/>
      <c r="G205" s="206" t="n"/>
      <c r="H205" s="206" t="n"/>
      <c r="I205" s="206" t="n"/>
      <c r="J205" s="206">
        <f>H205+I205</f>
        <v/>
      </c>
      <c r="K205" s="208" t="n"/>
      <c r="L205" s="206">
        <f>J205-K205</f>
        <v/>
      </c>
      <c r="M205" s="210" t="n">
        <v>150995.69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  <c r="W205" s="290" t="n"/>
      <c r="X205" s="290" t="n"/>
      <c r="Y205" s="290" t="n"/>
      <c r="Z205" s="290" t="n"/>
      <c r="AA205" s="290" t="n"/>
      <c r="AB205" s="290" t="n"/>
      <c r="AC205" s="290" t="n"/>
      <c r="AD205" s="290" t="n"/>
      <c r="AE205" s="290" t="n"/>
      <c r="AF205" s="290" t="n"/>
      <c r="AG205" s="290" t="n"/>
      <c r="AH205" s="290" t="n"/>
      <c r="AI205" s="290" t="n"/>
      <c r="AJ205" s="290" t="n"/>
      <c r="AK205" s="290" t="n"/>
      <c r="AL205" s="290" t="n"/>
    </row>
    <row r="206">
      <c r="A206" s="206" t="n">
        <v>20</v>
      </c>
      <c r="B206" s="206" t="n"/>
      <c r="C206" s="207" t="n"/>
      <c r="D206" s="207" t="inlineStr">
        <is>
          <t>工伤保险</t>
        </is>
      </c>
      <c r="E206" s="206" t="n"/>
      <c r="F206" s="206" t="n"/>
      <c r="G206" s="206" t="n"/>
      <c r="H206" s="206" t="n"/>
      <c r="I206" s="206" t="n"/>
      <c r="J206" s="206">
        <f>H206+I206</f>
        <v/>
      </c>
      <c r="K206" s="208" t="n"/>
      <c r="L206" s="206">
        <f>J206-K206</f>
        <v/>
      </c>
      <c r="M206" s="210" t="n">
        <v>43560.14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  <c r="W206" s="290" t="n"/>
      <c r="X206" s="290" t="n"/>
      <c r="Y206" s="290" t="n"/>
      <c r="Z206" s="290" t="n"/>
      <c r="AA206" s="290" t="n"/>
      <c r="AB206" s="290" t="n"/>
      <c r="AC206" s="290" t="n"/>
      <c r="AD206" s="290" t="n"/>
      <c r="AE206" s="290" t="n"/>
      <c r="AF206" s="290" t="n"/>
      <c r="AG206" s="290" t="n"/>
      <c r="AH206" s="290" t="n"/>
      <c r="AI206" s="290" t="n"/>
      <c r="AJ206" s="290" t="n"/>
      <c r="AK206" s="290" t="n"/>
      <c r="AL206" s="290" t="n"/>
    </row>
    <row r="207">
      <c r="A207" s="206" t="n">
        <v>21</v>
      </c>
      <c r="B207" s="206" t="n"/>
      <c r="C207" s="207" t="n"/>
      <c r="D207" s="207" t="inlineStr">
        <is>
          <t>工资</t>
        </is>
      </c>
      <c r="E207" s="206" t="n"/>
      <c r="F207" s="206" t="n"/>
      <c r="G207" s="206" t="n"/>
      <c r="H207" s="206" t="n"/>
      <c r="I207" s="206" t="n"/>
      <c r="J207" s="206">
        <f>H207+I207</f>
        <v/>
      </c>
      <c r="K207" s="208" t="n"/>
      <c r="L207" s="206">
        <f>J207-K207</f>
        <v/>
      </c>
      <c r="M207" s="210" t="n">
        <v>21079637.05</v>
      </c>
      <c r="N207" s="206" t="n"/>
      <c r="O207" s="206">
        <f>L207-M207</f>
        <v/>
      </c>
      <c r="P207" s="206">
        <f>K207-N207</f>
        <v/>
      </c>
      <c r="Q207" s="206">
        <f>M207+O207</f>
        <v/>
      </c>
      <c r="R207" s="206">
        <f>M207+N207+O207+P207</f>
        <v/>
      </c>
      <c r="S207" s="206" t="n"/>
      <c r="T207" s="206" t="n"/>
      <c r="U207" s="206" t="n"/>
      <c r="V207" s="206" t="n"/>
      <c r="W207" s="290" t="n"/>
      <c r="X207" s="290" t="n"/>
      <c r="Y207" s="290" t="n"/>
      <c r="Z207" s="290" t="n"/>
      <c r="AA207" s="290" t="n"/>
      <c r="AB207" s="290" t="n"/>
      <c r="AC207" s="290" t="n"/>
      <c r="AD207" s="290" t="n"/>
      <c r="AE207" s="290" t="n"/>
      <c r="AF207" s="290" t="n"/>
      <c r="AG207" s="290" t="n"/>
      <c r="AH207" s="290" t="n"/>
      <c r="AI207" s="290" t="n"/>
      <c r="AJ207" s="290" t="n"/>
      <c r="AK207" s="290" t="n"/>
      <c r="AL207" s="290" t="n"/>
    </row>
    <row r="208">
      <c r="A208" s="206" t="n">
        <v>22</v>
      </c>
      <c r="B208" s="206" t="n"/>
      <c r="C208" s="207" t="n"/>
      <c r="D208" s="207" t="inlineStr">
        <is>
          <t>市内交通费</t>
        </is>
      </c>
      <c r="E208" s="206" t="n"/>
      <c r="F208" s="206" t="n"/>
      <c r="G208" s="206" t="n"/>
      <c r="H208" s="206" t="n"/>
      <c r="I208" s="206" t="n"/>
      <c r="J208" s="206">
        <f>H208+I208</f>
        <v/>
      </c>
      <c r="K208" s="208" t="n"/>
      <c r="L208" s="206">
        <f>J208-K208</f>
        <v/>
      </c>
      <c r="M208" s="210" t="n">
        <v>5663.74</v>
      </c>
      <c r="N208" s="206" t="n"/>
      <c r="O208" s="206">
        <f>L208-M208</f>
        <v/>
      </c>
      <c r="P208" s="206">
        <f>K208-N208</f>
        <v/>
      </c>
      <c r="Q208" s="206">
        <f>M208+O208</f>
        <v/>
      </c>
      <c r="R208" s="206">
        <f>M208+N208+O208+P208</f>
        <v/>
      </c>
      <c r="S208" s="206" t="n"/>
      <c r="T208" s="206" t="n"/>
      <c r="U208" s="206" t="n"/>
      <c r="V208" s="206" t="n"/>
      <c r="W208" s="290" t="n"/>
      <c r="X208" s="290" t="n"/>
      <c r="Y208" s="290" t="n"/>
      <c r="Z208" s="290" t="n"/>
      <c r="AA208" s="290" t="n"/>
      <c r="AB208" s="290" t="n"/>
      <c r="AC208" s="290" t="n"/>
      <c r="AD208" s="290" t="n"/>
      <c r="AE208" s="290" t="n"/>
      <c r="AF208" s="290" t="n"/>
      <c r="AG208" s="290" t="n"/>
      <c r="AH208" s="290" t="n"/>
      <c r="AI208" s="290" t="n"/>
      <c r="AJ208" s="290" t="n"/>
      <c r="AK208" s="290" t="n"/>
      <c r="AL208" s="290" t="n"/>
    </row>
    <row r="209">
      <c r="A209" s="206" t="n">
        <v>23</v>
      </c>
      <c r="B209" s="206" t="n"/>
      <c r="C209" s="207" t="n"/>
      <c r="D209" s="207" t="inlineStr">
        <is>
          <t>律师费</t>
        </is>
      </c>
      <c r="E209" s="206" t="n"/>
      <c r="F209" s="206" t="n"/>
      <c r="G209" s="206" t="n"/>
      <c r="H209" s="206" t="n"/>
      <c r="I209" s="206" t="n"/>
      <c r="J209" s="206">
        <f>H209+I209</f>
        <v/>
      </c>
      <c r="K209" s="208" t="n"/>
      <c r="L209" s="206">
        <f>J209-K209</f>
        <v/>
      </c>
      <c r="M209" s="210" t="n">
        <v>14327.83</v>
      </c>
      <c r="N209" s="206" t="n"/>
      <c r="O209" s="206">
        <f>L209-M209</f>
        <v/>
      </c>
      <c r="P209" s="206">
        <f>K209-N209</f>
        <v/>
      </c>
      <c r="Q209" s="206">
        <f>M209+O209</f>
        <v/>
      </c>
      <c r="R209" s="206">
        <f>M209+N209+O209+P209</f>
        <v/>
      </c>
      <c r="S209" s="206" t="n"/>
      <c r="T209" s="206" t="n"/>
      <c r="U209" s="206" t="n"/>
      <c r="V209" s="206" t="n"/>
      <c r="W209" s="290" t="n"/>
      <c r="X209" s="290" t="n"/>
      <c r="Y209" s="290" t="n"/>
      <c r="Z209" s="290" t="n"/>
      <c r="AA209" s="290" t="n"/>
      <c r="AB209" s="290" t="n"/>
      <c r="AC209" s="290" t="n"/>
      <c r="AD209" s="290" t="n"/>
      <c r="AE209" s="290" t="n"/>
      <c r="AF209" s="290" t="n"/>
      <c r="AG209" s="290" t="n"/>
      <c r="AH209" s="290" t="n"/>
      <c r="AI209" s="290" t="n"/>
      <c r="AJ209" s="290" t="n"/>
      <c r="AK209" s="290" t="n"/>
      <c r="AL209" s="290" t="n"/>
    </row>
    <row r="210">
      <c r="A210" s="206" t="n">
        <v>24</v>
      </c>
      <c r="B210" s="206" t="n"/>
      <c r="C210" s="207" t="n"/>
      <c r="D210" s="207" t="inlineStr">
        <is>
          <t>折旧费</t>
        </is>
      </c>
      <c r="E210" s="206" t="n"/>
      <c r="F210" s="206" t="n"/>
      <c r="G210" s="206" t="n"/>
      <c r="H210" s="206" t="n"/>
      <c r="I210" s="206" t="n"/>
      <c r="J210" s="206">
        <f>H210+I210</f>
        <v/>
      </c>
      <c r="K210" s="208" t="n"/>
      <c r="L210" s="206">
        <f>J210-K210</f>
        <v/>
      </c>
      <c r="M210" s="210" t="n">
        <v>65460.13</v>
      </c>
      <c r="N210" s="206" t="n"/>
      <c r="O210" s="206">
        <f>L210-M210</f>
        <v/>
      </c>
      <c r="P210" s="206">
        <f>K210-N210</f>
        <v/>
      </c>
      <c r="Q210" s="206">
        <f>M210+O210</f>
        <v/>
      </c>
      <c r="R210" s="206">
        <f>M210+N210+O210+P210</f>
        <v/>
      </c>
      <c r="S210" s="206" t="n"/>
      <c r="T210" s="206" t="n"/>
      <c r="U210" s="206" t="n"/>
      <c r="V210" s="206" t="n"/>
      <c r="W210" s="290" t="n"/>
      <c r="X210" s="290" t="n"/>
      <c r="Y210" s="290" t="n"/>
      <c r="Z210" s="290" t="n"/>
      <c r="AA210" s="290" t="n"/>
      <c r="AB210" s="290" t="n"/>
      <c r="AC210" s="290" t="n"/>
      <c r="AD210" s="290" t="n"/>
      <c r="AE210" s="290" t="n"/>
      <c r="AF210" s="290" t="n"/>
      <c r="AG210" s="290" t="n"/>
      <c r="AH210" s="290" t="n"/>
      <c r="AI210" s="290" t="n"/>
      <c r="AJ210" s="290" t="n"/>
      <c r="AK210" s="290" t="n"/>
      <c r="AL210" s="290" t="n"/>
    </row>
    <row r="211">
      <c r="A211" s="206" t="n">
        <v>25</v>
      </c>
      <c r="B211" s="206" t="n"/>
      <c r="C211" s="207" t="n"/>
      <c r="D211" s="207" t="inlineStr">
        <is>
          <t>水电费</t>
        </is>
      </c>
      <c r="E211" s="206" t="n"/>
      <c r="F211" s="206" t="n"/>
      <c r="G211" s="206" t="n"/>
      <c r="H211" s="206" t="n"/>
      <c r="I211" s="206" t="n"/>
      <c r="J211" s="206">
        <f>H211+I211</f>
        <v/>
      </c>
      <c r="K211" s="208" t="n"/>
      <c r="L211" s="206">
        <f>J211-K211</f>
        <v/>
      </c>
      <c r="M211" s="210" t="n">
        <v>1915223.39</v>
      </c>
      <c r="N211" s="206" t="n"/>
      <c r="O211" s="206">
        <f>L211-M211</f>
        <v/>
      </c>
      <c r="P211" s="206">
        <f>K211-N211</f>
        <v/>
      </c>
      <c r="Q211" s="206">
        <f>M211+O211</f>
        <v/>
      </c>
      <c r="R211" s="206">
        <f>M211+N211+O211+P211</f>
        <v/>
      </c>
      <c r="S211" s="206" t="n"/>
      <c r="T211" s="206" t="n"/>
      <c r="U211" s="206" t="n"/>
      <c r="V211" s="206" t="n"/>
      <c r="W211" s="290" t="n"/>
      <c r="X211" s="290" t="n"/>
      <c r="Y211" s="290" t="n"/>
      <c r="Z211" s="290" t="n"/>
      <c r="AA211" s="290" t="n"/>
      <c r="AB211" s="290" t="n"/>
      <c r="AC211" s="290" t="n"/>
      <c r="AD211" s="290" t="n"/>
      <c r="AE211" s="290" t="n"/>
      <c r="AF211" s="290" t="n"/>
      <c r="AG211" s="290" t="n"/>
      <c r="AH211" s="290" t="n"/>
      <c r="AI211" s="290" t="n"/>
      <c r="AJ211" s="290" t="n"/>
      <c r="AK211" s="290" t="n"/>
      <c r="AL211" s="290" t="n"/>
    </row>
    <row r="212">
      <c r="A212" s="206" t="n">
        <v>26</v>
      </c>
      <c r="B212" s="206" t="n"/>
      <c r="C212" s="207" t="n"/>
      <c r="D212" s="207" t="inlineStr">
        <is>
          <t>燃油费</t>
        </is>
      </c>
      <c r="E212" s="206" t="n"/>
      <c r="F212" s="206" t="n"/>
      <c r="G212" s="206" t="n"/>
      <c r="H212" s="206" t="n"/>
      <c r="I212" s="206" t="n"/>
      <c r="J212" s="206">
        <f>H212+I212</f>
        <v/>
      </c>
      <c r="K212" s="208" t="n"/>
      <c r="L212" s="206">
        <f>J212-K212</f>
        <v/>
      </c>
      <c r="M212" s="210" t="n">
        <v>210747.51</v>
      </c>
      <c r="N212" s="206" t="n"/>
      <c r="O212" s="206">
        <f>L212-M212</f>
        <v/>
      </c>
      <c r="P212" s="206">
        <f>K212-N212</f>
        <v/>
      </c>
      <c r="Q212" s="206">
        <f>M212+O212</f>
        <v/>
      </c>
      <c r="R212" s="206">
        <f>M212+N212+O212+P212</f>
        <v/>
      </c>
      <c r="S212" s="206" t="n"/>
      <c r="T212" s="206" t="n"/>
      <c r="U212" s="206" t="n"/>
      <c r="V212" s="206" t="n"/>
      <c r="W212" s="290" t="n"/>
      <c r="X212" s="290" t="n"/>
      <c r="Y212" s="290" t="n"/>
      <c r="Z212" s="290" t="n"/>
      <c r="AA212" s="290" t="n"/>
      <c r="AB212" s="290" t="n"/>
      <c r="AC212" s="290" t="n"/>
      <c r="AD212" s="290" t="n"/>
      <c r="AE212" s="290" t="n"/>
      <c r="AF212" s="290" t="n"/>
      <c r="AG212" s="290" t="n"/>
      <c r="AH212" s="290" t="n"/>
      <c r="AI212" s="290" t="n"/>
      <c r="AJ212" s="290" t="n"/>
      <c r="AK212" s="290" t="n"/>
      <c r="AL212" s="290" t="n"/>
    </row>
    <row r="213">
      <c r="A213" s="206" t="n">
        <v>27</v>
      </c>
      <c r="B213" s="206" t="n"/>
      <c r="C213" s="207" t="n"/>
      <c r="D213" s="207" t="inlineStr">
        <is>
          <t>物业租赁费</t>
        </is>
      </c>
      <c r="E213" s="206" t="n"/>
      <c r="F213" s="206" t="n"/>
      <c r="G213" s="206" t="n"/>
      <c r="H213" s="206" t="n"/>
      <c r="I213" s="206" t="n"/>
      <c r="J213" s="206">
        <f>H213+I213</f>
        <v/>
      </c>
      <c r="K213" s="208" t="n"/>
      <c r="L213" s="206">
        <f>J213-K213</f>
        <v/>
      </c>
      <c r="M213" s="210" t="n">
        <v>223298.47</v>
      </c>
      <c r="N213" s="206" t="n"/>
      <c r="O213" s="206">
        <f>L213-M213</f>
        <v/>
      </c>
      <c r="P213" s="206">
        <f>K213-N213</f>
        <v/>
      </c>
      <c r="Q213" s="206">
        <f>M213+O213</f>
        <v/>
      </c>
      <c r="R213" s="206">
        <f>M213+N213+O213+P213</f>
        <v/>
      </c>
      <c r="S213" s="206" t="n"/>
      <c r="T213" s="206" t="n"/>
      <c r="U213" s="206" t="n"/>
      <c r="V213" s="206" t="n"/>
      <c r="W213" s="290" t="n"/>
      <c r="X213" s="290" t="n"/>
      <c r="Y213" s="290" t="n"/>
      <c r="Z213" s="290" t="n"/>
      <c r="AA213" s="290" t="n"/>
      <c r="AB213" s="290" t="n"/>
      <c r="AC213" s="290" t="n"/>
      <c r="AD213" s="290" t="n"/>
      <c r="AE213" s="290" t="n"/>
      <c r="AF213" s="290" t="n"/>
      <c r="AG213" s="290" t="n"/>
      <c r="AH213" s="290" t="n"/>
      <c r="AI213" s="290" t="n"/>
      <c r="AJ213" s="290" t="n"/>
      <c r="AK213" s="290" t="n"/>
      <c r="AL213" s="290" t="n"/>
    </row>
    <row r="214">
      <c r="A214" s="206" t="n">
        <v>28</v>
      </c>
      <c r="B214" s="206" t="n"/>
      <c r="C214" s="207" t="n"/>
      <c r="D214" s="207" t="inlineStr">
        <is>
          <t>物业管理费</t>
        </is>
      </c>
      <c r="E214" s="206" t="n"/>
      <c r="F214" s="206" t="n"/>
      <c r="G214" s="206" t="n"/>
      <c r="H214" s="206" t="n"/>
      <c r="I214" s="206" t="n"/>
      <c r="J214" s="206">
        <f>H214+I214</f>
        <v/>
      </c>
      <c r="K214" s="208" t="n"/>
      <c r="L214" s="206">
        <f>J214-K214</f>
        <v/>
      </c>
      <c r="M214" s="210" t="n">
        <v>463287.94</v>
      </c>
      <c r="N214" s="206" t="n"/>
      <c r="O214" s="206">
        <f>L214-M214</f>
        <v/>
      </c>
      <c r="P214" s="206">
        <f>K214-N214</f>
        <v/>
      </c>
      <c r="Q214" s="206">
        <f>M214+O214</f>
        <v/>
      </c>
      <c r="R214" s="206">
        <f>M214+N214+O214+P214</f>
        <v/>
      </c>
      <c r="S214" s="206" t="n"/>
      <c r="T214" s="206" t="n"/>
      <c r="U214" s="206" t="n"/>
      <c r="V214" s="206" t="n"/>
      <c r="W214" s="290" t="n"/>
      <c r="X214" s="290" t="n"/>
      <c r="Y214" s="290" t="n"/>
      <c r="Z214" s="290" t="n"/>
      <c r="AA214" s="290" t="n"/>
      <c r="AB214" s="290" t="n"/>
      <c r="AC214" s="290" t="n"/>
      <c r="AD214" s="290" t="n"/>
      <c r="AE214" s="290" t="n"/>
      <c r="AF214" s="290" t="n"/>
      <c r="AG214" s="290" t="n"/>
      <c r="AH214" s="290" t="n"/>
      <c r="AI214" s="290" t="n"/>
      <c r="AJ214" s="290" t="n"/>
      <c r="AK214" s="290" t="n"/>
      <c r="AL214" s="290" t="n"/>
    </row>
    <row r="215">
      <c r="A215" s="206" t="n">
        <v>29</v>
      </c>
      <c r="B215" s="206" t="n"/>
      <c r="C215" s="207" t="n"/>
      <c r="D215" s="207" t="inlineStr">
        <is>
          <t>物料消耗</t>
        </is>
      </c>
      <c r="E215" s="206" t="n"/>
      <c r="F215" s="206" t="n"/>
      <c r="G215" s="206" t="n"/>
      <c r="H215" s="206" t="n"/>
      <c r="I215" s="206" t="n"/>
      <c r="J215" s="206">
        <f>H215+I215</f>
        <v/>
      </c>
      <c r="K215" s="208" t="n"/>
      <c r="L215" s="206">
        <f>J215-K215</f>
        <v/>
      </c>
      <c r="M215" s="210" t="n">
        <v>4059.41</v>
      </c>
      <c r="N215" s="206" t="n"/>
      <c r="O215" s="206">
        <f>L215-M215</f>
        <v/>
      </c>
      <c r="P215" s="206">
        <f>K215-N215</f>
        <v/>
      </c>
      <c r="Q215" s="206">
        <f>M215+O215</f>
        <v/>
      </c>
      <c r="R215" s="206">
        <f>M215+N215+O215+P215</f>
        <v/>
      </c>
      <c r="S215" s="206" t="n"/>
      <c r="T215" s="206" t="n"/>
      <c r="U215" s="206" t="n"/>
      <c r="V215" s="206" t="n"/>
      <c r="W215" s="290" t="n"/>
      <c r="X215" s="290" t="n"/>
      <c r="Y215" s="290" t="n"/>
      <c r="Z215" s="290" t="n"/>
      <c r="AA215" s="290" t="n"/>
      <c r="AB215" s="290" t="n"/>
      <c r="AC215" s="290" t="n"/>
      <c r="AD215" s="290" t="n"/>
      <c r="AE215" s="290" t="n"/>
      <c r="AF215" s="290" t="n"/>
      <c r="AG215" s="290" t="n"/>
      <c r="AH215" s="290" t="n"/>
      <c r="AI215" s="290" t="n"/>
      <c r="AJ215" s="290" t="n"/>
      <c r="AK215" s="290" t="n"/>
      <c r="AL215" s="290" t="n"/>
    </row>
    <row r="216">
      <c r="A216" s="206" t="n">
        <v>30</v>
      </c>
      <c r="B216" s="206" t="n"/>
      <c r="C216" s="207" t="n"/>
      <c r="D216" s="207" t="inlineStr">
        <is>
          <t>生育保险</t>
        </is>
      </c>
      <c r="E216" s="206" t="n"/>
      <c r="F216" s="206" t="n"/>
      <c r="G216" s="206" t="n"/>
      <c r="H216" s="206" t="n"/>
      <c r="I216" s="206" t="n"/>
      <c r="J216" s="206">
        <f>H216+I216</f>
        <v/>
      </c>
      <c r="K216" s="208" t="n"/>
      <c r="L216" s="206">
        <f>J216-K216</f>
        <v/>
      </c>
      <c r="M216" s="210" t="n">
        <v>4798.28</v>
      </c>
      <c r="N216" s="206" t="n"/>
      <c r="O216" s="206">
        <f>L216-M216</f>
        <v/>
      </c>
      <c r="P216" s="206">
        <f>K216-N216</f>
        <v/>
      </c>
      <c r="Q216" s="206">
        <f>M216+O216</f>
        <v/>
      </c>
      <c r="R216" s="206">
        <f>M216+N216+O216+P216</f>
        <v/>
      </c>
      <c r="S216" s="206" t="n"/>
      <c r="T216" s="206" t="n"/>
      <c r="U216" s="206" t="n"/>
      <c r="V216" s="206" t="n"/>
      <c r="W216" s="290" t="n"/>
      <c r="X216" s="290" t="n"/>
      <c r="Y216" s="290" t="n"/>
      <c r="Z216" s="290" t="n"/>
      <c r="AA216" s="290" t="n"/>
      <c r="AB216" s="290" t="n"/>
      <c r="AC216" s="290" t="n"/>
      <c r="AD216" s="290" t="n"/>
      <c r="AE216" s="290" t="n"/>
      <c r="AF216" s="290" t="n"/>
      <c r="AG216" s="290" t="n"/>
      <c r="AH216" s="290" t="n"/>
      <c r="AI216" s="290" t="n"/>
      <c r="AJ216" s="290" t="n"/>
      <c r="AK216" s="290" t="n"/>
      <c r="AL216" s="290" t="n"/>
    </row>
    <row r="217">
      <c r="A217" s="206" t="n">
        <v>31</v>
      </c>
      <c r="B217" s="206" t="n"/>
      <c r="C217" s="207" t="n"/>
      <c r="D217" s="207" t="inlineStr">
        <is>
          <t>社保及公积金</t>
        </is>
      </c>
      <c r="E217" s="206" t="n"/>
      <c r="F217" s="206" t="n"/>
      <c r="G217" s="206" t="n"/>
      <c r="H217" s="206" t="n"/>
      <c r="I217" s="206" t="n"/>
      <c r="J217" s="206">
        <f>H217+I217</f>
        <v/>
      </c>
      <c r="K217" s="208" t="n"/>
      <c r="L217" s="206">
        <f>J217-K217</f>
        <v/>
      </c>
      <c r="M217" s="210" t="n">
        <v>1410339.33</v>
      </c>
      <c r="N217" s="206" t="n"/>
      <c r="O217" s="206">
        <f>L217-M217</f>
        <v/>
      </c>
      <c r="P217" s="206">
        <f>K217-N217</f>
        <v/>
      </c>
      <c r="Q217" s="206">
        <f>M217+O217</f>
        <v/>
      </c>
      <c r="R217" s="206">
        <f>M217+N217+O217+P217</f>
        <v/>
      </c>
      <c r="S217" s="206" t="n"/>
      <c r="T217" s="206" t="n"/>
      <c r="U217" s="206" t="n"/>
      <c r="V217" s="206" t="n"/>
      <c r="W217" s="290" t="n"/>
      <c r="X217" s="290" t="n"/>
      <c r="Y217" s="290" t="n"/>
      <c r="Z217" s="290" t="n"/>
      <c r="AA217" s="290" t="n"/>
      <c r="AB217" s="290" t="n"/>
      <c r="AC217" s="290" t="n"/>
      <c r="AD217" s="290" t="n"/>
      <c r="AE217" s="290" t="n"/>
      <c r="AF217" s="290" t="n"/>
      <c r="AG217" s="290" t="n"/>
      <c r="AH217" s="290" t="n"/>
      <c r="AI217" s="290" t="n"/>
      <c r="AJ217" s="290" t="n"/>
      <c r="AK217" s="290" t="n"/>
      <c r="AL217" s="290" t="n"/>
    </row>
    <row r="218">
      <c r="A218" s="206" t="n">
        <v>32</v>
      </c>
      <c r="B218" s="206" t="n"/>
      <c r="C218" s="207" t="n"/>
      <c r="D218" s="207" t="inlineStr">
        <is>
          <t>租车费</t>
        </is>
      </c>
      <c r="E218" s="206" t="n"/>
      <c r="F218" s="206" t="n"/>
      <c r="G218" s="206" t="n"/>
      <c r="H218" s="206" t="n"/>
      <c r="I218" s="206" t="n"/>
      <c r="J218" s="206">
        <f>H218+I218</f>
        <v/>
      </c>
      <c r="K218" s="208" t="n"/>
      <c r="L218" s="206">
        <f>J218-K218</f>
        <v/>
      </c>
      <c r="M218" s="210" t="n">
        <v>429894.83</v>
      </c>
      <c r="N218" s="206" t="n"/>
      <c r="O218" s="206">
        <f>L218-M218</f>
        <v/>
      </c>
      <c r="P218" s="206">
        <f>K218-N218</f>
        <v/>
      </c>
      <c r="Q218" s="206">
        <f>M218+O218</f>
        <v/>
      </c>
      <c r="R218" s="206">
        <f>M218+N218+O218+P218</f>
        <v/>
      </c>
      <c r="S218" s="206" t="n"/>
      <c r="T218" s="206" t="n"/>
      <c r="U218" s="206" t="n"/>
      <c r="V218" s="206" t="n"/>
      <c r="W218" s="290" t="n"/>
      <c r="X218" s="290" t="n"/>
      <c r="Y218" s="290" t="n"/>
      <c r="Z218" s="290" t="n"/>
      <c r="AA218" s="290" t="n"/>
      <c r="AB218" s="290" t="n"/>
      <c r="AC218" s="290" t="n"/>
      <c r="AD218" s="290" t="n"/>
      <c r="AE218" s="290" t="n"/>
      <c r="AF218" s="290" t="n"/>
      <c r="AG218" s="290" t="n"/>
      <c r="AH218" s="290" t="n"/>
      <c r="AI218" s="290" t="n"/>
      <c r="AJ218" s="290" t="n"/>
      <c r="AK218" s="290" t="n"/>
      <c r="AL218" s="290" t="n"/>
    </row>
    <row r="219">
      <c r="A219" s="206" t="n">
        <v>33</v>
      </c>
      <c r="B219" s="206" t="n"/>
      <c r="C219" s="207" t="n"/>
      <c r="D219" s="207" t="inlineStr">
        <is>
          <t>维修保养费</t>
        </is>
      </c>
      <c r="E219" s="206" t="n"/>
      <c r="F219" s="206" t="n"/>
      <c r="G219" s="206" t="n"/>
      <c r="H219" s="206" t="n"/>
      <c r="I219" s="206" t="n"/>
      <c r="J219" s="206">
        <f>H219+I219</f>
        <v/>
      </c>
      <c r="K219" s="208" t="n"/>
      <c r="L219" s="206">
        <f>J219-K219</f>
        <v/>
      </c>
      <c r="M219" s="210" t="n">
        <v>34521.89</v>
      </c>
      <c r="N219" s="206" t="n"/>
      <c r="O219" s="206">
        <f>L219-M219</f>
        <v/>
      </c>
      <c r="P219" s="206">
        <f>K219-N219</f>
        <v/>
      </c>
      <c r="Q219" s="206">
        <f>M219+O219</f>
        <v/>
      </c>
      <c r="R219" s="206">
        <f>M219+N219+O219+P219</f>
        <v/>
      </c>
      <c r="S219" s="206" t="n"/>
      <c r="T219" s="206" t="n"/>
      <c r="U219" s="206" t="n"/>
      <c r="V219" s="206" t="n"/>
      <c r="W219" s="290" t="n"/>
      <c r="X219" s="290" t="n"/>
      <c r="Y219" s="290" t="n"/>
      <c r="Z219" s="290" t="n"/>
      <c r="AA219" s="290" t="n"/>
      <c r="AB219" s="290" t="n"/>
      <c r="AC219" s="290" t="n"/>
      <c r="AD219" s="290" t="n"/>
      <c r="AE219" s="290" t="n"/>
      <c r="AF219" s="290" t="n"/>
      <c r="AG219" s="290" t="n"/>
      <c r="AH219" s="290" t="n"/>
      <c r="AI219" s="290" t="n"/>
      <c r="AJ219" s="290" t="n"/>
      <c r="AK219" s="290" t="n"/>
      <c r="AL219" s="290" t="n"/>
    </row>
    <row r="220">
      <c r="A220" s="206" t="n">
        <v>34</v>
      </c>
      <c r="B220" s="206" t="n"/>
      <c r="C220" s="207" t="n"/>
      <c r="D220" s="207" t="inlineStr">
        <is>
          <t>网络使用费</t>
        </is>
      </c>
      <c r="E220" s="206" t="n"/>
      <c r="F220" s="206" t="n"/>
      <c r="G220" s="206" t="n"/>
      <c r="H220" s="206" t="n"/>
      <c r="I220" s="206" t="n"/>
      <c r="J220" s="206">
        <f>H220+I220</f>
        <v/>
      </c>
      <c r="K220" s="208" t="n"/>
      <c r="L220" s="206">
        <f>J220-K220</f>
        <v/>
      </c>
      <c r="M220" s="210" t="n">
        <v>114830.51</v>
      </c>
      <c r="N220" s="206" t="n"/>
      <c r="O220" s="206">
        <f>L220-M220</f>
        <v/>
      </c>
      <c r="P220" s="206">
        <f>K220-N220</f>
        <v/>
      </c>
      <c r="Q220" s="206">
        <f>M220+O220</f>
        <v/>
      </c>
      <c r="R220" s="206">
        <f>M220+N220+O220+P220</f>
        <v/>
      </c>
      <c r="S220" s="206" t="n"/>
      <c r="T220" s="206" t="n"/>
      <c r="U220" s="206" t="n"/>
      <c r="V220" s="206" t="n"/>
      <c r="W220" s="290" t="n"/>
      <c r="X220" s="290" t="n"/>
      <c r="Y220" s="290" t="n"/>
      <c r="Z220" s="290" t="n"/>
      <c r="AA220" s="290" t="n"/>
      <c r="AB220" s="290" t="n"/>
      <c r="AC220" s="290" t="n"/>
      <c r="AD220" s="290" t="n"/>
      <c r="AE220" s="290" t="n"/>
      <c r="AF220" s="290" t="n"/>
      <c r="AG220" s="290" t="n"/>
      <c r="AH220" s="290" t="n"/>
      <c r="AI220" s="290" t="n"/>
      <c r="AJ220" s="290" t="n"/>
      <c r="AK220" s="290" t="n"/>
      <c r="AL220" s="290" t="n"/>
    </row>
    <row r="221">
      <c r="A221" s="206" t="n">
        <v>35</v>
      </c>
      <c r="B221" s="206" t="n"/>
      <c r="C221" s="207" t="n"/>
      <c r="D221" s="207" t="inlineStr">
        <is>
          <t>职工教育经费</t>
        </is>
      </c>
      <c r="E221" s="206" t="n"/>
      <c r="F221" s="206" t="n"/>
      <c r="G221" s="206" t="n"/>
      <c r="H221" s="206" t="n"/>
      <c r="I221" s="206" t="n"/>
      <c r="J221" s="206">
        <f>H221+I221</f>
        <v/>
      </c>
      <c r="K221" s="208" t="n"/>
      <c r="L221" s="206">
        <f>J221-K221</f>
        <v/>
      </c>
      <c r="M221" s="210" t="n">
        <v>135820.32</v>
      </c>
      <c r="N221" s="206" t="n"/>
      <c r="O221" s="206">
        <f>L221-M221</f>
        <v/>
      </c>
      <c r="P221" s="206">
        <f>K221-N221</f>
        <v/>
      </c>
      <c r="Q221" s="206">
        <f>M221+O221</f>
        <v/>
      </c>
      <c r="R221" s="206">
        <f>M221+N221+O221+P221</f>
        <v/>
      </c>
      <c r="S221" s="206" t="n"/>
      <c r="T221" s="206" t="n"/>
      <c r="U221" s="206" t="n"/>
      <c r="V221" s="206" t="n"/>
      <c r="W221" s="290" t="n"/>
      <c r="X221" s="290" t="n"/>
      <c r="Y221" s="290" t="n"/>
      <c r="Z221" s="290" t="n"/>
      <c r="AA221" s="290" t="n"/>
      <c r="AB221" s="290" t="n"/>
      <c r="AC221" s="290" t="n"/>
      <c r="AD221" s="290" t="n"/>
      <c r="AE221" s="290" t="n"/>
      <c r="AF221" s="290" t="n"/>
      <c r="AG221" s="290" t="n"/>
      <c r="AH221" s="290" t="n"/>
      <c r="AI221" s="290" t="n"/>
      <c r="AJ221" s="290" t="n"/>
      <c r="AK221" s="290" t="n"/>
      <c r="AL221" s="290" t="n"/>
    </row>
    <row r="222">
      <c r="A222" s="206" t="n">
        <v>36</v>
      </c>
      <c r="B222" s="206" t="n"/>
      <c r="C222" s="207" t="n"/>
      <c r="D222" s="207" t="inlineStr">
        <is>
          <t>职工福利费</t>
        </is>
      </c>
      <c r="E222" s="206" t="n"/>
      <c r="F222" s="206" t="n"/>
      <c r="G222" s="206" t="n"/>
      <c r="H222" s="206" t="n"/>
      <c r="I222" s="206" t="n"/>
      <c r="J222" s="206">
        <f>H222+I222</f>
        <v/>
      </c>
      <c r="K222" s="208" t="n"/>
      <c r="L222" s="206">
        <f>J222-K222</f>
        <v/>
      </c>
      <c r="M222" s="210" t="n">
        <v>824342.88</v>
      </c>
      <c r="N222" s="206" t="n"/>
      <c r="O222" s="206">
        <f>L222-M222</f>
        <v/>
      </c>
      <c r="P222" s="206">
        <f>K222-N222</f>
        <v/>
      </c>
      <c r="Q222" s="206">
        <f>M222+O222</f>
        <v/>
      </c>
      <c r="R222" s="206">
        <f>M222+N222+O222+P222</f>
        <v/>
      </c>
      <c r="S222" s="206" t="n"/>
      <c r="T222" s="206" t="n"/>
      <c r="U222" s="206" t="n"/>
      <c r="V222" s="206" t="n"/>
      <c r="W222" s="290" t="n"/>
      <c r="X222" s="290" t="n"/>
      <c r="Y222" s="290" t="n"/>
      <c r="Z222" s="290" t="n"/>
      <c r="AA222" s="290" t="n"/>
      <c r="AB222" s="290" t="n"/>
      <c r="AC222" s="290" t="n"/>
      <c r="AD222" s="290" t="n"/>
      <c r="AE222" s="290" t="n"/>
      <c r="AF222" s="290" t="n"/>
      <c r="AG222" s="290" t="n"/>
      <c r="AH222" s="290" t="n"/>
      <c r="AI222" s="290" t="n"/>
      <c r="AJ222" s="290" t="n"/>
      <c r="AK222" s="290" t="n"/>
      <c r="AL222" s="290" t="n"/>
    </row>
    <row r="223">
      <c r="A223" s="206" t="n">
        <v>37</v>
      </c>
      <c r="B223" s="206" t="n"/>
      <c r="C223" s="207" t="n"/>
      <c r="D223" s="207" t="inlineStr">
        <is>
          <t>补充医疗保险</t>
        </is>
      </c>
      <c r="E223" s="206" t="n"/>
      <c r="F223" s="206" t="n"/>
      <c r="G223" s="206" t="n"/>
      <c r="H223" s="206" t="n"/>
      <c r="I223" s="206" t="n"/>
      <c r="J223" s="206">
        <f>H223+I223</f>
        <v/>
      </c>
      <c r="K223" s="208" t="n"/>
      <c r="L223" s="206">
        <f>J223-K223</f>
        <v/>
      </c>
      <c r="M223" s="210" t="n">
        <v>7322.89</v>
      </c>
      <c r="N223" s="206" t="n"/>
      <c r="O223" s="206">
        <f>L223-M223</f>
        <v/>
      </c>
      <c r="P223" s="206">
        <f>K223-N223</f>
        <v/>
      </c>
      <c r="Q223" s="206">
        <f>M223+O223</f>
        <v/>
      </c>
      <c r="R223" s="206">
        <f>M223+N223+O223+P223</f>
        <v/>
      </c>
      <c r="S223" s="206" t="n"/>
      <c r="T223" s="206" t="n"/>
      <c r="U223" s="206" t="n"/>
      <c r="V223" s="206" t="n"/>
      <c r="W223" s="290" t="n"/>
      <c r="X223" s="290" t="n"/>
      <c r="Y223" s="290" t="n"/>
      <c r="Z223" s="290" t="n"/>
      <c r="AA223" s="290" t="n"/>
      <c r="AB223" s="290" t="n"/>
      <c r="AC223" s="290" t="n"/>
      <c r="AD223" s="290" t="n"/>
      <c r="AE223" s="290" t="n"/>
      <c r="AF223" s="290" t="n"/>
      <c r="AG223" s="290" t="n"/>
      <c r="AH223" s="290" t="n"/>
      <c r="AI223" s="290" t="n"/>
      <c r="AJ223" s="290" t="n"/>
      <c r="AK223" s="290" t="n"/>
      <c r="AL223" s="290" t="n"/>
    </row>
    <row r="224">
      <c r="A224" s="206" t="n">
        <v>38</v>
      </c>
      <c r="B224" s="206" t="n"/>
      <c r="C224" s="207" t="n"/>
      <c r="D224" s="207" t="inlineStr">
        <is>
          <t>诉讼费</t>
        </is>
      </c>
      <c r="E224" s="206" t="n"/>
      <c r="F224" s="206" t="n"/>
      <c r="G224" s="206" t="n"/>
      <c r="H224" s="206" t="n"/>
      <c r="I224" s="206" t="n"/>
      <c r="J224" s="206">
        <f>H224+I224</f>
        <v/>
      </c>
      <c r="K224" s="208" t="n"/>
      <c r="L224" s="206">
        <f>J224-K224</f>
        <v/>
      </c>
      <c r="M224" s="210" t="n">
        <v>36638.87</v>
      </c>
      <c r="N224" s="206" t="n"/>
      <c r="O224" s="206">
        <f>L224-M224</f>
        <v/>
      </c>
      <c r="P224" s="206">
        <f>K224-N224</f>
        <v/>
      </c>
      <c r="Q224" s="206">
        <f>M224+O224</f>
        <v/>
      </c>
      <c r="R224" s="206">
        <f>M224+N224+O224+P224</f>
        <v/>
      </c>
      <c r="S224" s="206" t="n"/>
      <c r="T224" s="206" t="n"/>
      <c r="U224" s="206" t="n"/>
      <c r="V224" s="206" t="n"/>
      <c r="W224" s="290" t="n"/>
      <c r="X224" s="290" t="n"/>
      <c r="Y224" s="290" t="n"/>
      <c r="Z224" s="290" t="n"/>
      <c r="AA224" s="290" t="n"/>
      <c r="AB224" s="290" t="n"/>
      <c r="AC224" s="290" t="n"/>
      <c r="AD224" s="290" t="n"/>
      <c r="AE224" s="290" t="n"/>
      <c r="AF224" s="290" t="n"/>
      <c r="AG224" s="290" t="n"/>
      <c r="AH224" s="290" t="n"/>
      <c r="AI224" s="290" t="n"/>
      <c r="AJ224" s="290" t="n"/>
      <c r="AK224" s="290" t="n"/>
      <c r="AL224" s="290" t="n"/>
    </row>
    <row r="225">
      <c r="A225" s="206" t="n">
        <v>39</v>
      </c>
      <c r="B225" s="206" t="n"/>
      <c r="C225" s="207" t="n"/>
      <c r="D225" s="207" t="inlineStr">
        <is>
          <t>路桥及停车费</t>
        </is>
      </c>
      <c r="E225" s="206" t="n"/>
      <c r="F225" s="206" t="n"/>
      <c r="G225" s="206" t="n"/>
      <c r="H225" s="206" t="n"/>
      <c r="I225" s="206" t="n"/>
      <c r="J225" s="206">
        <f>H225+I225</f>
        <v/>
      </c>
      <c r="K225" s="208" t="n"/>
      <c r="L225" s="206">
        <f>J225-K225</f>
        <v/>
      </c>
      <c r="M225" s="210" t="n">
        <v>78817.39999999999</v>
      </c>
      <c r="N225" s="206" t="n"/>
      <c r="O225" s="206">
        <f>L225-M225</f>
        <v/>
      </c>
      <c r="P225" s="206">
        <f>K225-N225</f>
        <v/>
      </c>
      <c r="Q225" s="206">
        <f>M225+O225</f>
        <v/>
      </c>
      <c r="R225" s="206">
        <f>M225+N225+O225+P225</f>
        <v/>
      </c>
      <c r="S225" s="206" t="n"/>
      <c r="T225" s="206" t="n"/>
      <c r="U225" s="206" t="n"/>
      <c r="V225" s="206" t="n"/>
      <c r="W225" s="290" t="n"/>
      <c r="X225" s="290" t="n"/>
      <c r="Y225" s="290" t="n"/>
      <c r="Z225" s="290" t="n"/>
      <c r="AA225" s="290" t="n"/>
      <c r="AB225" s="290" t="n"/>
      <c r="AC225" s="290" t="n"/>
      <c r="AD225" s="290" t="n"/>
      <c r="AE225" s="290" t="n"/>
      <c r="AF225" s="290" t="n"/>
      <c r="AG225" s="290" t="n"/>
      <c r="AH225" s="290" t="n"/>
      <c r="AI225" s="290" t="n"/>
      <c r="AJ225" s="290" t="n"/>
      <c r="AK225" s="290" t="n"/>
      <c r="AL225" s="290" t="n"/>
    </row>
    <row r="226">
      <c r="A226" s="206" t="n">
        <v>40</v>
      </c>
      <c r="B226" s="206" t="n"/>
      <c r="C226" s="207" t="n"/>
      <c r="D226" s="207" t="inlineStr">
        <is>
          <t>软件费</t>
        </is>
      </c>
      <c r="E226" s="206" t="n"/>
      <c r="F226" s="206" t="n"/>
      <c r="G226" s="206" t="n"/>
      <c r="H226" s="206" t="n"/>
      <c r="I226" s="206" t="n"/>
      <c r="J226" s="206">
        <f>H226+I226</f>
        <v/>
      </c>
      <c r="K226" s="208" t="n"/>
      <c r="L226" s="206">
        <f>J226-K226</f>
        <v/>
      </c>
      <c r="M226" s="210" t="n">
        <v>209326.47</v>
      </c>
      <c r="N226" s="206" t="n"/>
      <c r="O226" s="206">
        <f>L226-M226</f>
        <v/>
      </c>
      <c r="P226" s="206">
        <f>K226-N226</f>
        <v/>
      </c>
      <c r="Q226" s="206">
        <f>M226+O226</f>
        <v/>
      </c>
      <c r="R226" s="206">
        <f>M226+N226+O226+P226</f>
        <v/>
      </c>
      <c r="S226" s="206" t="n"/>
      <c r="T226" s="206" t="n"/>
      <c r="U226" s="206" t="n"/>
      <c r="V226" s="206" t="n"/>
      <c r="W226" s="290" t="n"/>
      <c r="X226" s="290" t="n"/>
      <c r="Y226" s="290" t="n"/>
      <c r="Z226" s="290" t="n"/>
      <c r="AA226" s="290" t="n"/>
      <c r="AB226" s="290" t="n"/>
      <c r="AC226" s="290" t="n"/>
      <c r="AD226" s="290" t="n"/>
      <c r="AE226" s="290" t="n"/>
      <c r="AF226" s="290" t="n"/>
      <c r="AG226" s="290" t="n"/>
      <c r="AH226" s="290" t="n"/>
      <c r="AI226" s="290" t="n"/>
      <c r="AJ226" s="290" t="n"/>
      <c r="AK226" s="290" t="n"/>
      <c r="AL226" s="290" t="n"/>
    </row>
    <row r="227">
      <c r="A227" s="206" t="n">
        <v>41</v>
      </c>
      <c r="B227" s="206" t="n"/>
      <c r="C227" s="207" t="n"/>
      <c r="D227" s="207" t="inlineStr">
        <is>
          <t>通信费</t>
        </is>
      </c>
      <c r="E227" s="206" t="n"/>
      <c r="F227" s="206" t="n"/>
      <c r="G227" s="206" t="n"/>
      <c r="H227" s="206" t="n"/>
      <c r="I227" s="206" t="n"/>
      <c r="J227" s="206">
        <f>H227+I227</f>
        <v/>
      </c>
      <c r="K227" s="208" t="n"/>
      <c r="L227" s="206">
        <f>J227-K227</f>
        <v/>
      </c>
      <c r="M227" s="210" t="n">
        <v>192969.09</v>
      </c>
      <c r="N227" s="206" t="n"/>
      <c r="O227" s="206">
        <f>L227-M227</f>
        <v/>
      </c>
      <c r="P227" s="206">
        <f>K227-N227</f>
        <v/>
      </c>
      <c r="Q227" s="206">
        <f>M227+O227</f>
        <v/>
      </c>
      <c r="R227" s="206">
        <f>M227+N227+O227+P227</f>
        <v/>
      </c>
      <c r="S227" s="206" t="n"/>
      <c r="T227" s="206" t="n"/>
      <c r="U227" s="206" t="n"/>
      <c r="V227" s="206" t="n"/>
      <c r="W227" s="290" t="n"/>
      <c r="X227" s="290" t="n"/>
      <c r="Y227" s="290" t="n"/>
      <c r="Z227" s="290" t="n"/>
      <c r="AA227" s="290" t="n"/>
      <c r="AB227" s="290" t="n"/>
      <c r="AC227" s="290" t="n"/>
      <c r="AD227" s="290" t="n"/>
      <c r="AE227" s="290" t="n"/>
      <c r="AF227" s="290" t="n"/>
      <c r="AG227" s="290" t="n"/>
      <c r="AH227" s="290" t="n"/>
      <c r="AI227" s="290" t="n"/>
      <c r="AJ227" s="290" t="n"/>
      <c r="AK227" s="290" t="n"/>
      <c r="AL227" s="290" t="n"/>
    </row>
    <row r="228">
      <c r="A228" s="206" t="n">
        <v>42</v>
      </c>
      <c r="B228" s="206" t="n"/>
      <c r="C228" s="207" t="n"/>
      <c r="D228" s="207" t="inlineStr">
        <is>
          <t>邮寄费</t>
        </is>
      </c>
      <c r="E228" s="206" t="n"/>
      <c r="F228" s="206" t="n"/>
      <c r="G228" s="206" t="n"/>
      <c r="H228" s="206" t="n"/>
      <c r="I228" s="206" t="n"/>
      <c r="J228" s="206">
        <f>H228+I228</f>
        <v/>
      </c>
      <c r="K228" s="208" t="n"/>
      <c r="L228" s="206">
        <f>J228-K228</f>
        <v/>
      </c>
      <c r="M228" s="210" t="n">
        <v>1030.72</v>
      </c>
      <c r="N228" s="206" t="n"/>
      <c r="O228" s="206">
        <f>L228-M228</f>
        <v/>
      </c>
      <c r="P228" s="206">
        <f>K228-N228</f>
        <v/>
      </c>
      <c r="Q228" s="206">
        <f>M228+O228</f>
        <v/>
      </c>
      <c r="R228" s="206">
        <f>M228+N228+O228+P228</f>
        <v/>
      </c>
      <c r="S228" s="206" t="n"/>
      <c r="T228" s="206" t="n"/>
      <c r="U228" s="206" t="n"/>
      <c r="V228" s="206" t="n"/>
      <c r="W228" s="290" t="n"/>
      <c r="X228" s="290" t="n"/>
      <c r="Y228" s="290" t="n"/>
      <c r="Z228" s="290" t="n"/>
      <c r="AA228" s="290" t="n"/>
      <c r="AB228" s="290" t="n"/>
      <c r="AC228" s="290" t="n"/>
      <c r="AD228" s="290" t="n"/>
      <c r="AE228" s="290" t="n"/>
      <c r="AF228" s="290" t="n"/>
      <c r="AG228" s="290" t="n"/>
      <c r="AH228" s="290" t="n"/>
      <c r="AI228" s="290" t="n"/>
      <c r="AJ228" s="290" t="n"/>
      <c r="AK228" s="290" t="n"/>
      <c r="AL228" s="290" t="n"/>
    </row>
    <row r="229">
      <c r="A229" s="279" t="n"/>
      <c r="B229" s="280" t="n"/>
      <c r="C229" s="280" t="n"/>
      <c r="D229" s="291" t="inlineStr">
        <is>
          <t>**财务未列部分需增列***</t>
        </is>
      </c>
      <c r="E229" s="292" t="n"/>
      <c r="F229" s="292" t="n"/>
      <c r="G229" s="292" t="n"/>
      <c r="H229" s="315" t="n"/>
      <c r="I229" s="282" t="n"/>
      <c r="J229" s="315" t="n"/>
      <c r="K229" s="283" t="n"/>
      <c r="L229" s="284" t="n"/>
      <c r="M229" s="315" t="n"/>
      <c r="N229" s="282" t="n"/>
      <c r="O229" s="282">
        <f>L229-M229</f>
        <v/>
      </c>
      <c r="P229" s="282">
        <f>K229-N229</f>
        <v/>
      </c>
      <c r="Q229" s="282">
        <f>M229+O229</f>
        <v/>
      </c>
      <c r="R229" s="282">
        <f>M229+N229+O229+P229</f>
        <v/>
      </c>
      <c r="S229" s="286">
        <f>SUM(T229:V229)</f>
        <v/>
      </c>
      <c r="T229" s="315" t="n"/>
      <c r="U229" s="315" t="n"/>
      <c r="V229" s="315" t="n"/>
      <c r="W229" s="315" t="n"/>
      <c r="X229" s="315" t="n"/>
      <c r="Y229" s="315" t="n"/>
      <c r="Z229" s="315" t="n"/>
      <c r="AA229" s="286" t="n"/>
      <c r="AB229" s="287" t="n"/>
      <c r="AC229" s="287" t="n"/>
      <c r="AD229" s="287" t="n"/>
      <c r="AE229" s="287" t="n"/>
      <c r="AF229" s="287" t="n"/>
      <c r="AG229" s="287" t="n"/>
      <c r="AH229" s="287" t="n"/>
      <c r="AI229" s="287" t="n"/>
      <c r="AJ229" s="287" t="n"/>
      <c r="AK229" s="287" t="n"/>
      <c r="AL229" s="294" t="n"/>
    </row>
    <row r="230">
      <c r="A230" s="316" t="n"/>
      <c r="B230" s="317" t="n"/>
      <c r="C230" s="317" t="n"/>
      <c r="D230" s="312" t="inlineStr">
        <is>
          <t>间接费小计：</t>
        </is>
      </c>
      <c r="E230" s="318" t="n"/>
      <c r="F230" s="318" t="n"/>
      <c r="G230" s="318" t="n"/>
      <c r="H230" s="298">
        <f>SUM(H186:H229)</f>
        <v/>
      </c>
      <c r="I230" s="298">
        <f>SUM(I186:I229)</f>
        <v/>
      </c>
      <c r="J230" s="298">
        <f>SUM(J186:J229)</f>
        <v/>
      </c>
      <c r="K230" s="298">
        <f>SUM(K186:K229)</f>
        <v/>
      </c>
      <c r="L230" s="314">
        <f>SUM(L186:L229)</f>
        <v/>
      </c>
      <c r="M230" s="314">
        <f>SUM(M186:M229)</f>
        <v/>
      </c>
      <c r="N230" s="314">
        <f>SUM(N186:N229)</f>
        <v/>
      </c>
      <c r="O230" s="314">
        <f>SUM(O186:O229)</f>
        <v/>
      </c>
      <c r="P230" s="314">
        <f>SUM(P186:P229)</f>
        <v/>
      </c>
      <c r="Q230" s="314">
        <f>SUM(Q186:Q229)</f>
        <v/>
      </c>
      <c r="R230" s="314">
        <f>SUM(R186:R229)</f>
        <v/>
      </c>
      <c r="S230" s="314">
        <f>SUM(S186:S229)</f>
        <v/>
      </c>
      <c r="T230" s="314" t="n"/>
      <c r="U230" s="314" t="n"/>
      <c r="V230" s="314" t="n"/>
      <c r="W230" s="314" t="n"/>
      <c r="X230" s="314" t="n"/>
      <c r="Y230" s="314" t="n"/>
      <c r="Z230" s="314">
        <f>SUM(Z186:Z229)</f>
        <v/>
      </c>
      <c r="AA230" s="314">
        <f>SUM(AA186:AA229)</f>
        <v/>
      </c>
      <c r="AB230" s="314">
        <f>SUM(AB186:AB229)</f>
        <v/>
      </c>
      <c r="AC230" s="314">
        <f>SUM(AC186:AC229)</f>
        <v/>
      </c>
      <c r="AD230" s="314">
        <f>SUM(AD186:AD229)</f>
        <v/>
      </c>
      <c r="AE230" s="314">
        <f>SUM(AE186:AE229)</f>
        <v/>
      </c>
      <c r="AF230" s="314">
        <f>SUM(AF186:AF229)</f>
        <v/>
      </c>
      <c r="AG230" s="314" t="n"/>
      <c r="AH230" s="314" t="n"/>
      <c r="AI230" s="314">
        <f>SUM(AI186:AI229)</f>
        <v/>
      </c>
      <c r="AJ230" s="314">
        <f>SUM(AJ186:AJ229)</f>
        <v/>
      </c>
      <c r="AK230" s="314">
        <f>SUM(AK186:AK229)</f>
        <v/>
      </c>
      <c r="AL230" s="294" t="n"/>
    </row>
    <row r="231">
      <c r="A231" s="279" t="n"/>
      <c r="B231" s="280" t="n"/>
      <c r="C231" s="280" t="n"/>
      <c r="D231" s="299" t="inlineStr">
        <is>
          <t>（七）安全费</t>
        </is>
      </c>
      <c r="E231" s="292" t="n"/>
      <c r="F231" s="292" t="n"/>
      <c r="G231" s="292" t="n"/>
      <c r="H231" s="282" t="n"/>
      <c r="I231" s="282" t="n"/>
      <c r="J231" s="285" t="n">
        <v>0</v>
      </c>
      <c r="K231" s="319" t="n"/>
      <c r="L231" s="284">
        <f>J231-N231-P231</f>
        <v/>
      </c>
      <c r="M231" s="282" t="n"/>
      <c r="N231" s="282" t="n"/>
      <c r="O231" s="282">
        <f>L231-M231</f>
        <v/>
      </c>
      <c r="P231" s="282">
        <f>K231-N231</f>
        <v/>
      </c>
      <c r="Q231" s="282">
        <f>M231+O231</f>
        <v/>
      </c>
      <c r="R231" s="282">
        <f>M231+N231+O231+P231</f>
        <v/>
      </c>
      <c r="S231" s="286">
        <f>SUM(T231:V231)</f>
        <v/>
      </c>
      <c r="T231" s="315" t="n"/>
      <c r="U231" s="315" t="n"/>
      <c r="V231" s="315" t="n"/>
      <c r="W231" s="315" t="n"/>
      <c r="X231" s="315" t="n"/>
      <c r="Y231" s="315" t="n"/>
      <c r="Z231" s="311" t="n"/>
      <c r="AA231" s="286" t="n"/>
      <c r="AB231" s="287" t="n"/>
      <c r="AC231" s="287" t="n"/>
      <c r="AD231" s="287" t="n"/>
      <c r="AE231" s="287" t="n"/>
      <c r="AF231" s="287" t="n"/>
      <c r="AG231" s="287" t="n"/>
      <c r="AH231" s="287" t="n"/>
      <c r="AI231" s="287" t="n"/>
      <c r="AJ231" s="287" t="n"/>
      <c r="AK231" s="287" t="n"/>
      <c r="AL231" s="294" t="n"/>
    </row>
    <row r="232">
      <c r="A232" s="206" t="n">
        <v>1</v>
      </c>
      <c r="B232" s="206" t="n"/>
      <c r="C232" s="207" t="n"/>
      <c r="D232" s="207" t="inlineStr">
        <is>
          <t>ZGD-安全生产-分包工程</t>
        </is>
      </c>
      <c r="E232" s="206" t="n"/>
      <c r="F232" s="206" t="n"/>
      <c r="G232" s="206" t="n"/>
      <c r="H232" s="206" t="n"/>
      <c r="I232" s="206" t="n"/>
      <c r="J232" s="206">
        <f>H232+I232</f>
        <v/>
      </c>
      <c r="K232" s="208" t="n"/>
      <c r="L232" s="206">
        <f>J232-K232</f>
        <v/>
      </c>
      <c r="M232" s="210" t="n">
        <v>7872000.25</v>
      </c>
      <c r="N232" s="206" t="n"/>
      <c r="O232" s="206">
        <f>L232-M232</f>
        <v/>
      </c>
      <c r="P232" s="206">
        <f>K232-N232</f>
        <v/>
      </c>
      <c r="Q232" s="206">
        <f>M232+O232</f>
        <v/>
      </c>
      <c r="R232" s="206">
        <f>M232+N232+O232+P232</f>
        <v/>
      </c>
      <c r="S232" s="206" t="n"/>
      <c r="T232" s="206" t="n"/>
      <c r="U232" s="206" t="n"/>
      <c r="V232" s="206" t="n"/>
      <c r="W232" s="290" t="n"/>
      <c r="X232" s="290" t="n"/>
      <c r="Y232" s="290" t="n"/>
      <c r="Z232" s="290" t="n"/>
      <c r="AA232" s="290" t="n"/>
      <c r="AB232" s="290" t="n"/>
      <c r="AC232" s="290" t="n"/>
      <c r="AD232" s="290" t="n"/>
      <c r="AE232" s="290" t="n"/>
      <c r="AF232" s="290" t="n"/>
      <c r="AG232" s="290" t="n"/>
      <c r="AH232" s="290" t="n"/>
      <c r="AI232" s="290" t="n"/>
      <c r="AJ232" s="290" t="n"/>
      <c r="AK232" s="290" t="n"/>
      <c r="AL232" s="290" t="n"/>
    </row>
    <row r="233">
      <c r="A233" s="206" t="n">
        <v>2</v>
      </c>
      <c r="B233" s="206" t="n"/>
      <c r="C233" s="207" t="n"/>
      <c r="D233" s="207" t="inlineStr">
        <is>
          <t>安全生产费-报销</t>
        </is>
      </c>
      <c r="E233" s="206" t="n"/>
      <c r="F233" s="206" t="n"/>
      <c r="G233" s="206" t="n"/>
      <c r="H233" s="206" t="n"/>
      <c r="I233" s="206" t="n"/>
      <c r="J233" s="206">
        <f>H233+I233</f>
        <v/>
      </c>
      <c r="K233" s="208" t="n"/>
      <c r="L233" s="206">
        <f>J233-K233</f>
        <v/>
      </c>
      <c r="M233" s="210" t="n">
        <v>2066826.1</v>
      </c>
      <c r="N233" s="206" t="n"/>
      <c r="O233" s="206">
        <f>L233-M233</f>
        <v/>
      </c>
      <c r="P233" s="206">
        <f>K233-N233</f>
        <v/>
      </c>
      <c r="Q233" s="206">
        <f>M233+O233</f>
        <v/>
      </c>
      <c r="R233" s="206">
        <f>M233+N233+O233+P233</f>
        <v/>
      </c>
      <c r="S233" s="206" t="n"/>
      <c r="T233" s="206" t="n"/>
      <c r="U233" s="206" t="n"/>
      <c r="V233" s="206" t="n"/>
      <c r="W233" s="290" t="n"/>
      <c r="X233" s="290" t="n"/>
      <c r="Y233" s="290" t="n"/>
      <c r="Z233" s="290" t="n"/>
      <c r="AA233" s="290" t="n"/>
      <c r="AB233" s="290" t="n"/>
      <c r="AC233" s="290" t="n"/>
      <c r="AD233" s="290" t="n"/>
      <c r="AE233" s="290" t="n"/>
      <c r="AF233" s="290" t="n"/>
      <c r="AG233" s="290" t="n"/>
      <c r="AH233" s="290" t="n"/>
      <c r="AI233" s="290" t="n"/>
      <c r="AJ233" s="290" t="n"/>
      <c r="AK233" s="290" t="n"/>
      <c r="AL233" s="290" t="n"/>
    </row>
    <row r="234">
      <c r="A234" s="316" t="n"/>
      <c r="B234" s="317" t="n"/>
      <c r="C234" s="317" t="n"/>
      <c r="D234" s="312" t="inlineStr">
        <is>
          <t>安全费小计：</t>
        </is>
      </c>
      <c r="E234" s="312" t="n"/>
      <c r="F234" s="312" t="n"/>
      <c r="G234" s="312" t="n"/>
      <c r="H234" s="298">
        <f>SUM(H231:H233)</f>
        <v/>
      </c>
      <c r="I234" s="298">
        <f>SUM(I231:I233)</f>
        <v/>
      </c>
      <c r="J234" s="298" t="n">
        <v>0</v>
      </c>
      <c r="K234" s="298" t="n">
        <v>0</v>
      </c>
      <c r="L234" s="320">
        <f>J234-K234</f>
        <v/>
      </c>
      <c r="M234" s="314">
        <f>SUM(M231:M233)</f>
        <v/>
      </c>
      <c r="N234" s="314">
        <f>SUM(N231:N233)</f>
        <v/>
      </c>
      <c r="O234" s="314">
        <f>SUM(O231:O233)</f>
        <v/>
      </c>
      <c r="P234" s="314">
        <f>SUM(P231:P233)</f>
        <v/>
      </c>
      <c r="Q234" s="314">
        <f>SUM(Q231:Q233)</f>
        <v/>
      </c>
      <c r="R234" s="314">
        <f>SUM(R231:R233)</f>
        <v/>
      </c>
      <c r="S234" s="314">
        <f>SUM(S231:S233)</f>
        <v/>
      </c>
      <c r="T234" s="321" t="n"/>
      <c r="U234" s="321" t="n"/>
      <c r="V234" s="321" t="n"/>
      <c r="W234" s="321" t="n"/>
      <c r="X234" s="321" t="n"/>
      <c r="Y234" s="321" t="n"/>
      <c r="Z234" s="321" t="n"/>
      <c r="AA234" s="321">
        <f>SUM(AA231:AA233)</f>
        <v/>
      </c>
      <c r="AB234" s="321">
        <f>SUM(AB231:AB233)</f>
        <v/>
      </c>
      <c r="AC234" s="321">
        <f>SUM(AC231:AC233)</f>
        <v/>
      </c>
      <c r="AD234" s="321">
        <f>SUM(AD231:AD233)</f>
        <v/>
      </c>
      <c r="AE234" s="321">
        <f>SUM(AE231:AE233)</f>
        <v/>
      </c>
      <c r="AF234" s="321">
        <f>SUM(AF231:AF233)</f>
        <v/>
      </c>
      <c r="AG234" s="321" t="n"/>
      <c r="AH234" s="321" t="n"/>
      <c r="AI234" s="321">
        <f>SUM(AI231:AI233)</f>
        <v/>
      </c>
      <c r="AJ234" s="321">
        <f>SUM(AJ231:AJ233)</f>
        <v/>
      </c>
      <c r="AK234" s="321">
        <f>SUM(AK231:AK233)</f>
        <v/>
      </c>
      <c r="AL234" s="322" t="n"/>
    </row>
    <row r="235">
      <c r="A235" s="316" t="n"/>
      <c r="B235" s="317" t="n"/>
      <c r="C235" s="317" t="n"/>
      <c r="D235" s="312" t="inlineStr">
        <is>
          <t>三、成本合计：</t>
        </is>
      </c>
      <c r="E235" s="318" t="n"/>
      <c r="F235" s="318" t="n"/>
      <c r="G235" s="318" t="n"/>
      <c r="H235" s="298">
        <f>H34+H65+H171+H177+H185+H230+H234</f>
        <v/>
      </c>
      <c r="I235" s="298">
        <f>I34+I65+I171+I177+I185+I230+I234</f>
        <v/>
      </c>
      <c r="J235" s="298">
        <f>J34+J65+J171+J177+J185+J230+J234</f>
        <v/>
      </c>
      <c r="K235" s="298">
        <f>K34+K65+K171+K177+K185+K230+K234</f>
        <v/>
      </c>
      <c r="L235" s="314">
        <f>L34+L65+L171+L177+L185+L230+L234</f>
        <v/>
      </c>
      <c r="M235" s="321">
        <f>M34+M65+M171+M177+M185+M230+M234</f>
        <v/>
      </c>
      <c r="N235" s="321">
        <f>N34+N65+N171+N177+N185+N230+N234</f>
        <v/>
      </c>
      <c r="O235" s="321">
        <f>O34+O65+O171+O177+O185+O230+O234</f>
        <v/>
      </c>
      <c r="P235" s="321">
        <f>P34+P65+P171+P177+P185+P230+P234</f>
        <v/>
      </c>
      <c r="Q235" s="321">
        <f>Q34+Q65+Q171+Q177+Q185+Q230+Q234</f>
        <v/>
      </c>
      <c r="R235" s="321">
        <f>R34+R65+R171+R177+R185+R230+R234</f>
        <v/>
      </c>
      <c r="S235" s="321">
        <f>S34+S65+S171+S177+S185+S230+S234</f>
        <v/>
      </c>
      <c r="T235" s="321" t="n"/>
      <c r="U235" s="321" t="n"/>
      <c r="V235" s="321" t="n"/>
      <c r="W235" s="321" t="n"/>
      <c r="X235" s="321" t="n"/>
      <c r="Y235" s="321" t="n"/>
      <c r="Z235" s="321">
        <f>Z34+Z65+Z171+Z177+Z185+Z230+Z234</f>
        <v/>
      </c>
      <c r="AA235" s="321">
        <f>AA34+AA65+AA171+AA177+AA185+AA230+AA234</f>
        <v/>
      </c>
      <c r="AB235" s="321">
        <f>AB34+AB65+AB171+AB177+AB185+AB230+AB234</f>
        <v/>
      </c>
      <c r="AC235" s="321">
        <f>AC34+AC65+AC171+AC177+AC185+AC230+AC234</f>
        <v/>
      </c>
      <c r="AD235" s="321">
        <f>AD34+AD65+AD171+AD177+AD185+AD230+AD234</f>
        <v/>
      </c>
      <c r="AE235" s="321">
        <f>AE34+AE65+AE171+AE177+AE185+AE230+AE234</f>
        <v/>
      </c>
      <c r="AF235" s="321">
        <f>AF34+AF65+AF171+AF177+AF185+AF230+AF234</f>
        <v/>
      </c>
      <c r="AG235" s="321" t="n"/>
      <c r="AH235" s="321" t="n"/>
      <c r="AI235" s="321">
        <f>AI34+AI65+AI171+AI177+AI185+AI230+AI234</f>
        <v/>
      </c>
      <c r="AJ235" s="321">
        <f>AJ34+AJ65+AJ171+AJ177+AJ185+AJ230+AJ234</f>
        <v/>
      </c>
      <c r="AK235" s="321">
        <f>AK34+AK65+AK171+AK177+AK185+AK230+AK234</f>
        <v/>
      </c>
      <c r="AL235" s="322" t="n"/>
    </row>
    <row r="236">
      <c r="A236" s="316" t="n"/>
      <c r="B236" s="317" t="n"/>
      <c r="C236" s="317" t="n"/>
      <c r="D236" s="312" t="inlineStr">
        <is>
          <t>四、计提保修金</t>
        </is>
      </c>
      <c r="E236" s="318" t="inlineStr">
        <is>
          <t>（在建：房建0.6%，其它0.4%；在保修期间的按0.3~0.5%自行确定;保修期结束为0）</t>
        </is>
      </c>
      <c r="F236" s="318" t="n"/>
      <c r="G236" s="318" t="n"/>
      <c r="H236" s="298" t="n"/>
      <c r="I236" s="298" t="n"/>
      <c r="J236" s="298">
        <f>H236+I236</f>
        <v/>
      </c>
      <c r="K236" s="298" t="n"/>
      <c r="L236" s="314">
        <f>J236-K236</f>
        <v/>
      </c>
      <c r="M236" s="321" t="n"/>
      <c r="N236" s="321" t="n"/>
      <c r="O236" s="321">
        <f>L236-M236</f>
        <v/>
      </c>
      <c r="P236" s="321">
        <f>K236-N236</f>
        <v/>
      </c>
      <c r="Q236" s="321">
        <f>M236+O236</f>
        <v/>
      </c>
      <c r="R236" s="321">
        <f>M236+N236+O236+P236</f>
        <v/>
      </c>
      <c r="S236" s="321">
        <f>SUM(T236:V236)</f>
        <v/>
      </c>
      <c r="T236" s="321" t="n"/>
      <c r="U236" s="321" t="n"/>
      <c r="V236" s="321" t="n"/>
      <c r="W236" s="321" t="n"/>
      <c r="X236" s="321" t="n"/>
      <c r="Y236" s="321" t="n"/>
      <c r="Z236" s="321" t="n"/>
      <c r="AA236" s="321">
        <f>Q69-S69</f>
        <v/>
      </c>
      <c r="AB236" s="321" t="n"/>
      <c r="AC236" s="321" t="n"/>
      <c r="AD236" s="321" t="n"/>
      <c r="AE236" s="321" t="n"/>
      <c r="AF236" s="321" t="n"/>
      <c r="AG236" s="321" t="n"/>
      <c r="AH236" s="321" t="n"/>
      <c r="AI236" s="321" t="n"/>
      <c r="AJ236" s="321" t="n"/>
      <c r="AK236" s="321" t="n"/>
      <c r="AL236" s="322" t="n"/>
    </row>
    <row r="237">
      <c r="A237" s="316" t="n"/>
      <c r="B237" s="317" t="n"/>
      <c r="C237" s="317" t="n"/>
      <c r="D237" s="312" t="inlineStr">
        <is>
          <t>五、过程节点奖金</t>
        </is>
      </c>
      <c r="E237" s="318" t="n"/>
      <c r="F237" s="318" t="n"/>
      <c r="G237" s="318" t="n"/>
      <c r="H237" s="298" t="n"/>
      <c r="I237" s="298" t="n"/>
      <c r="J237" s="298">
        <f>H237+I237</f>
        <v/>
      </c>
      <c r="K237" s="298" t="n"/>
      <c r="L237" s="314">
        <f>J237-K237</f>
        <v/>
      </c>
      <c r="M237" s="321" t="n"/>
      <c r="N237" s="321" t="n"/>
      <c r="O237" s="321">
        <f>L237-M237</f>
        <v/>
      </c>
      <c r="P237" s="321">
        <f>K237-N237</f>
        <v/>
      </c>
      <c r="Q237" s="321">
        <f>M237+O237</f>
        <v/>
      </c>
      <c r="R237" s="321">
        <f>M237+N237+O237+P237</f>
        <v/>
      </c>
      <c r="S237" s="321">
        <f>SUM(T237:V237)</f>
        <v/>
      </c>
      <c r="T237" s="321" t="n"/>
      <c r="U237" s="321" t="n"/>
      <c r="V237" s="321" t="n"/>
      <c r="W237" s="321" t="n"/>
      <c r="X237" s="321" t="n"/>
      <c r="Y237" s="321" t="n"/>
      <c r="Z237" s="321" t="n"/>
      <c r="AA237" s="321" t="n"/>
      <c r="AB237" s="321" t="n"/>
      <c r="AC237" s="321" t="n"/>
      <c r="AD237" s="321" t="n"/>
      <c r="AE237" s="321" t="n"/>
      <c r="AF237" s="321" t="n"/>
      <c r="AG237" s="321" t="n"/>
      <c r="AH237" s="321" t="n"/>
      <c r="AI237" s="321" t="n"/>
      <c r="AJ237" s="321" t="n"/>
      <c r="AK237" s="321" t="n"/>
      <c r="AL237" s="322" t="n"/>
    </row>
    <row r="238">
      <c r="A238" s="316" t="n"/>
      <c r="B238" s="317" t="n"/>
      <c r="C238" s="317" t="n"/>
      <c r="D238" s="312" t="inlineStr">
        <is>
          <t>六、资金占用费用</t>
        </is>
      </c>
      <c r="E238" s="318" t="n"/>
      <c r="F238" s="318" t="n"/>
      <c r="G238" s="318" t="n"/>
      <c r="H238" s="298" t="n"/>
      <c r="I238" s="298" t="n"/>
      <c r="J238" s="298">
        <f>H238+I238</f>
        <v/>
      </c>
      <c r="K238" s="298" t="n"/>
      <c r="L238" s="314">
        <f>J238-K238</f>
        <v/>
      </c>
      <c r="M238" s="323" t="n">
        <v>6780777.21</v>
      </c>
      <c r="N238" s="321" t="n"/>
      <c r="O238" s="321">
        <f>L238-M238</f>
        <v/>
      </c>
      <c r="P238" s="321">
        <f>K238-N238</f>
        <v/>
      </c>
      <c r="Q238" s="321">
        <f>M238+O238</f>
        <v/>
      </c>
      <c r="R238" s="321">
        <f>M238+N238+O238+P238</f>
        <v/>
      </c>
      <c r="S238" s="321">
        <f>SUM(T238:V238)</f>
        <v/>
      </c>
      <c r="T238" s="321" t="n"/>
      <c r="U238" s="321" t="n"/>
      <c r="V238" s="321" t="n"/>
      <c r="W238" s="321" t="n"/>
      <c r="X238" s="321" t="n"/>
      <c r="Y238" s="321" t="n"/>
      <c r="Z238" s="321" t="n"/>
      <c r="AA238" s="321" t="n"/>
      <c r="AB238" s="321" t="n"/>
      <c r="AC238" s="321" t="n"/>
      <c r="AD238" s="321" t="n"/>
      <c r="AE238" s="321" t="n"/>
      <c r="AF238" s="321" t="n"/>
      <c r="AG238" s="321" t="n"/>
      <c r="AH238" s="321" t="n"/>
      <c r="AI238" s="321" t="n"/>
      <c r="AJ238" s="321" t="n"/>
      <c r="AK238" s="321" t="n"/>
      <c r="AL238" s="322" t="n"/>
    </row>
    <row r="239">
      <c r="A239" s="316" t="n"/>
      <c r="B239" s="317" t="n"/>
      <c r="C239" s="317" t="n"/>
      <c r="D239" s="312" t="inlineStr">
        <is>
          <t>七、局投资收益（局投资项目选填）</t>
        </is>
      </c>
      <c r="E239" s="318" t="n"/>
      <c r="F239" s="318" t="n"/>
      <c r="G239" s="318" t="n"/>
      <c r="H239" s="298" t="n"/>
      <c r="I239" s="298" t="n"/>
      <c r="J239" s="298">
        <f>H239+I239</f>
        <v/>
      </c>
      <c r="K239" s="298" t="n"/>
      <c r="L239" s="314">
        <f>J239-K239</f>
        <v/>
      </c>
      <c r="M239" s="321" t="n"/>
      <c r="N239" s="321" t="n"/>
      <c r="O239" s="321">
        <f>L239-M239</f>
        <v/>
      </c>
      <c r="P239" s="321">
        <f>K239-N239</f>
        <v/>
      </c>
      <c r="Q239" s="321">
        <f>M239+O239</f>
        <v/>
      </c>
      <c r="R239" s="321">
        <f>M239+N239+O239+P239</f>
        <v/>
      </c>
      <c r="S239" s="321">
        <f>SUM(T239:V239)</f>
        <v/>
      </c>
      <c r="T239" s="321" t="n"/>
      <c r="U239" s="321" t="n"/>
      <c r="V239" s="321" t="n"/>
      <c r="W239" s="321" t="n"/>
      <c r="X239" s="321" t="n"/>
      <c r="Y239" s="321" t="n"/>
      <c r="Z239" s="321" t="n"/>
      <c r="AA239" s="321" t="n"/>
      <c r="AB239" s="321" t="n"/>
      <c r="AC239" s="321" t="n"/>
      <c r="AD239" s="321" t="n"/>
      <c r="AE239" s="321" t="n"/>
      <c r="AF239" s="321" t="n"/>
      <c r="AG239" s="321" t="n"/>
      <c r="AH239" s="321" t="n"/>
      <c r="AI239" s="321" t="n"/>
      <c r="AJ239" s="321" t="n"/>
      <c r="AK239" s="321" t="n"/>
      <c r="AL239" s="322" t="n"/>
    </row>
    <row r="240">
      <c r="A240" s="316" t="n"/>
      <c r="B240" s="317" t="n"/>
      <c r="C240" s="317" t="n"/>
      <c r="D240" s="312" t="inlineStr">
        <is>
          <t>八、研发费用</t>
        </is>
      </c>
      <c r="E240" s="318" t="n"/>
      <c r="F240" s="318" t="n"/>
      <c r="G240" s="318" t="n"/>
      <c r="H240" s="298" t="n"/>
      <c r="I240" s="298" t="n"/>
      <c r="J240" s="298">
        <f>H240+I240</f>
        <v/>
      </c>
      <c r="K240" s="298" t="n"/>
      <c r="L240" s="314">
        <f>J240-K240</f>
        <v/>
      </c>
      <c r="M240" s="321">
        <f>SUM(M241:M244)</f>
        <v/>
      </c>
      <c r="N240" s="321">
        <f>SUM(N241:N244)</f>
        <v/>
      </c>
      <c r="O240" s="321">
        <f>SUM(O241:O244)</f>
        <v/>
      </c>
      <c r="P240" s="321">
        <f>SUM(P241:P244)</f>
        <v/>
      </c>
      <c r="Q240" s="321">
        <f>SUM(Q241:Q244)</f>
        <v/>
      </c>
      <c r="R240" s="321">
        <f>SUM(R241:R244)</f>
        <v/>
      </c>
      <c r="S240" s="321">
        <f>SUM(S241:S244)</f>
        <v/>
      </c>
      <c r="T240" s="321">
        <f>SUM(T241:T244)</f>
        <v/>
      </c>
      <c r="U240" s="321">
        <f>SUM(U241:U244)</f>
        <v/>
      </c>
      <c r="V240" s="321">
        <f>SUM(V241:V244)</f>
        <v/>
      </c>
      <c r="W240" s="321">
        <f>SUM(W241:W244)</f>
        <v/>
      </c>
      <c r="X240" s="321">
        <f>SUM(X241:X244)</f>
        <v/>
      </c>
      <c r="Y240" s="321">
        <f>SUM(Y241:Y244)</f>
        <v/>
      </c>
      <c r="Z240" s="321">
        <f>SUM(Z241:Z244)</f>
        <v/>
      </c>
      <c r="AA240" s="321">
        <f>SUM(AA241:AA244)</f>
        <v/>
      </c>
      <c r="AB240" s="321">
        <f>SUM(AB241:AB244)</f>
        <v/>
      </c>
      <c r="AC240" s="321">
        <f>SUM(AC241:AC244)</f>
        <v/>
      </c>
      <c r="AD240" s="321">
        <f>SUM(AD241:AD244)</f>
        <v/>
      </c>
      <c r="AE240" s="321">
        <f>SUM(AE241:AE244)</f>
        <v/>
      </c>
      <c r="AF240" s="321">
        <f>SUM(AF241:AF244)</f>
        <v/>
      </c>
      <c r="AG240" s="321">
        <f>SUM(AG241:AG244)</f>
        <v/>
      </c>
      <c r="AH240" s="321">
        <f>SUM(AH241:AH244)</f>
        <v/>
      </c>
      <c r="AI240" s="321">
        <f>SUM(AI241:AI244)</f>
        <v/>
      </c>
      <c r="AJ240" s="321">
        <f>SUM(AJ241:AJ244)</f>
        <v/>
      </c>
      <c r="AK240" s="321">
        <f>SUM(AK241:AK244)</f>
        <v/>
      </c>
      <c r="AL240" s="322" t="n"/>
    </row>
    <row r="241">
      <c r="A241" s="206" t="n">
        <v>1</v>
      </c>
      <c r="B241" s="206" t="n"/>
      <c r="C241" s="207" t="n"/>
      <c r="D241" s="207" t="inlineStr">
        <is>
          <t>研发费用-人工成本</t>
        </is>
      </c>
      <c r="E241" s="206" t="n"/>
      <c r="F241" s="206" t="n"/>
      <c r="G241" s="206" t="n"/>
      <c r="H241" s="206" t="n"/>
      <c r="I241" s="206" t="n"/>
      <c r="J241" s="206" t="n"/>
      <c r="K241" s="206" t="n"/>
      <c r="L241" s="206" t="n"/>
      <c r="M241" s="210" t="n">
        <v>2069939.18</v>
      </c>
      <c r="N241" s="206" t="n"/>
      <c r="O241" s="206">
        <f>L241-M241</f>
        <v/>
      </c>
      <c r="P241" s="206">
        <f>K241-N241</f>
        <v/>
      </c>
      <c r="Q241" s="206">
        <f>M241+O241</f>
        <v/>
      </c>
      <c r="R241" s="206">
        <f>M241+N241+O241+P241</f>
        <v/>
      </c>
      <c r="S241" s="206" t="n"/>
      <c r="T241" s="206" t="n"/>
      <c r="U241" s="206" t="n"/>
      <c r="V241" s="206" t="n"/>
      <c r="W241" s="290" t="n"/>
      <c r="X241" s="290" t="n"/>
      <c r="Y241" s="290" t="n"/>
      <c r="Z241" s="290" t="n"/>
      <c r="AA241" s="290" t="n"/>
      <c r="AB241" s="290" t="n"/>
      <c r="AC241" s="290" t="n"/>
      <c r="AD241" s="290" t="n"/>
      <c r="AE241" s="290" t="n"/>
      <c r="AF241" s="290" t="n"/>
      <c r="AG241" s="290" t="n"/>
      <c r="AH241" s="290" t="n"/>
      <c r="AI241" s="290" t="n"/>
      <c r="AJ241" s="290" t="n"/>
      <c r="AK241" s="290" t="n"/>
      <c r="AL241" s="290" t="n"/>
    </row>
    <row r="242">
      <c r="A242" s="206" t="n">
        <v>2</v>
      </c>
      <c r="B242" s="206" t="n"/>
      <c r="C242" s="207" t="n"/>
      <c r="D242" s="207" t="inlineStr">
        <is>
          <t>研发费用-内部结转</t>
        </is>
      </c>
      <c r="E242" s="206" t="n"/>
      <c r="F242" s="206" t="n"/>
      <c r="G242" s="206" t="n"/>
      <c r="H242" s="206" t="n"/>
      <c r="I242" s="206" t="n"/>
      <c r="J242" s="206" t="n"/>
      <c r="K242" s="206" t="n"/>
      <c r="L242" s="206" t="n"/>
      <c r="M242" s="210" t="n">
        <v>2358.5</v>
      </c>
      <c r="N242" s="206" t="n"/>
      <c r="O242" s="206">
        <f>L242-M242</f>
        <v/>
      </c>
      <c r="P242" s="206">
        <f>K242-N242</f>
        <v/>
      </c>
      <c r="Q242" s="206">
        <f>M242+O242</f>
        <v/>
      </c>
      <c r="R242" s="206">
        <f>M242+N242+O242+P242</f>
        <v/>
      </c>
      <c r="S242" s="206" t="n"/>
      <c r="T242" s="206" t="n"/>
      <c r="U242" s="206" t="n"/>
      <c r="V242" s="206" t="n"/>
      <c r="W242" s="290" t="n"/>
      <c r="X242" s="290" t="n"/>
      <c r="Y242" s="290" t="n"/>
      <c r="Z242" s="290" t="n"/>
      <c r="AA242" s="290" t="n"/>
      <c r="AB242" s="290" t="n"/>
      <c r="AC242" s="290" t="n"/>
      <c r="AD242" s="290" t="n"/>
      <c r="AE242" s="290" t="n"/>
      <c r="AF242" s="290" t="n"/>
      <c r="AG242" s="290" t="n"/>
      <c r="AH242" s="290" t="n"/>
      <c r="AI242" s="290" t="n"/>
      <c r="AJ242" s="290" t="n"/>
      <c r="AK242" s="290" t="n"/>
      <c r="AL242" s="290" t="n"/>
    </row>
    <row r="243">
      <c r="A243" s="206" t="n">
        <v>3</v>
      </c>
      <c r="B243" s="206" t="n"/>
      <c r="C243" s="207" t="n"/>
      <c r="D243" s="207" t="inlineStr">
        <is>
          <t>研发费用-折旧</t>
        </is>
      </c>
      <c r="E243" s="206" t="n"/>
      <c r="F243" s="206" t="n"/>
      <c r="G243" s="206" t="n"/>
      <c r="H243" s="206" t="n"/>
      <c r="I243" s="206" t="n"/>
      <c r="J243" s="206" t="n"/>
      <c r="K243" s="206" t="n"/>
      <c r="L243" s="206" t="n"/>
      <c r="M243" s="210" t="n">
        <v>6857.02</v>
      </c>
      <c r="N243" s="206" t="n"/>
      <c r="O243" s="206">
        <f>L243-M243</f>
        <v/>
      </c>
      <c r="P243" s="206">
        <f>K243-N243</f>
        <v/>
      </c>
      <c r="Q243" s="206">
        <f>M243+O243</f>
        <v/>
      </c>
      <c r="R243" s="206">
        <f>M243+N243+O243+P243</f>
        <v/>
      </c>
      <c r="S243" s="206" t="n"/>
      <c r="T243" s="206" t="n"/>
      <c r="U243" s="206" t="n"/>
      <c r="V243" s="206" t="n"/>
      <c r="W243" s="290" t="n"/>
      <c r="X243" s="290" t="n"/>
      <c r="Y243" s="290" t="n"/>
      <c r="Z243" s="290" t="n"/>
      <c r="AA243" s="290" t="n"/>
      <c r="AB243" s="290" t="n"/>
      <c r="AC243" s="290" t="n"/>
      <c r="AD243" s="290" t="n"/>
      <c r="AE243" s="290" t="n"/>
      <c r="AF243" s="290" t="n"/>
      <c r="AG243" s="290" t="n"/>
      <c r="AH243" s="290" t="n"/>
      <c r="AI243" s="290" t="n"/>
      <c r="AJ243" s="290" t="n"/>
      <c r="AK243" s="290" t="n"/>
      <c r="AL243" s="290" t="n"/>
    </row>
    <row r="244">
      <c r="A244" s="206" t="n">
        <v>4</v>
      </c>
      <c r="B244" s="206" t="n"/>
      <c r="C244" s="207" t="n"/>
      <c r="D244" s="207" t="inlineStr">
        <is>
          <t>研发费用-材料费</t>
        </is>
      </c>
      <c r="E244" s="206" t="n"/>
      <c r="F244" s="206" t="n"/>
      <c r="G244" s="206" t="n"/>
      <c r="H244" s="206" t="n"/>
      <c r="I244" s="206" t="n"/>
      <c r="J244" s="206" t="n"/>
      <c r="K244" s="206" t="n"/>
      <c r="L244" s="206" t="n"/>
      <c r="M244" s="210" t="n">
        <v>25030932</v>
      </c>
      <c r="N244" s="206" t="n"/>
      <c r="O244" s="206">
        <f>L244-M244</f>
        <v/>
      </c>
      <c r="P244" s="206">
        <f>K244-N244</f>
        <v/>
      </c>
      <c r="Q244" s="206">
        <f>M244+O244</f>
        <v/>
      </c>
      <c r="R244" s="206">
        <f>M244+N244+O244+P244</f>
        <v/>
      </c>
      <c r="S244" s="206" t="n"/>
      <c r="T244" s="206" t="n"/>
      <c r="U244" s="206" t="n"/>
      <c r="V244" s="206" t="n"/>
      <c r="W244" s="290" t="n"/>
      <c r="X244" s="290" t="n"/>
      <c r="Y244" s="290" t="n"/>
      <c r="Z244" s="290" t="n"/>
      <c r="AA244" s="290" t="n"/>
      <c r="AB244" s="290" t="n"/>
      <c r="AC244" s="290" t="n"/>
      <c r="AD244" s="290" t="n"/>
      <c r="AE244" s="290" t="n"/>
      <c r="AF244" s="290" t="n"/>
      <c r="AG244" s="290" t="n"/>
      <c r="AH244" s="290" t="n"/>
      <c r="AI244" s="290" t="n"/>
      <c r="AJ244" s="290" t="n"/>
      <c r="AK244" s="290" t="n"/>
      <c r="AL244" s="290" t="n"/>
    </row>
    <row r="245">
      <c r="A245" s="295" t="n"/>
      <c r="B245" s="296" t="n"/>
      <c r="C245" s="296" t="n"/>
      <c r="D245" s="312" t="inlineStr">
        <is>
          <t>九、成本及费用合计（三+四+五+六+七）</t>
        </is>
      </c>
      <c r="E245" s="313" t="n"/>
      <c r="F245" s="313" t="n"/>
      <c r="G245" s="313" t="n"/>
      <c r="H245" s="298">
        <f>H235+H236+H237+H238+H239+H240</f>
        <v/>
      </c>
      <c r="I245" s="298">
        <f>I235+I236+I237+I238+I239+I240</f>
        <v/>
      </c>
      <c r="J245" s="324">
        <f>J235+J236+J237+J238+J239+J240</f>
        <v/>
      </c>
      <c r="K245" s="298">
        <f>K235+K236+K237+K238+K239+K240</f>
        <v/>
      </c>
      <c r="L245" s="325">
        <f>L235+L236+L237+L238+L239+L240</f>
        <v/>
      </c>
      <c r="M245" s="325">
        <f>M235+M236+M237+M238+M239+M240</f>
        <v/>
      </c>
      <c r="N245" s="325">
        <f>N235+N236+N237+N238+N239+N240</f>
        <v/>
      </c>
      <c r="O245" s="325">
        <f>O235+O236+O237+O238+O239+O240</f>
        <v/>
      </c>
      <c r="P245" s="325">
        <f>P235+P236+P237+P238+P239+P240</f>
        <v/>
      </c>
      <c r="Q245" s="325">
        <f>Q235+Q236+Q237+Q238+Q239+Q240</f>
        <v/>
      </c>
      <c r="R245" s="325">
        <f>R235+R236+R237+R238+R239+R240</f>
        <v/>
      </c>
      <c r="S245" s="321">
        <f>S235+S236+S237+S238+S239+S240</f>
        <v/>
      </c>
      <c r="T245" s="321" t="n"/>
      <c r="U245" s="321" t="n"/>
      <c r="V245" s="321" t="n"/>
      <c r="W245" s="321" t="n"/>
      <c r="X245" s="321" t="n"/>
      <c r="Y245" s="321" t="n"/>
      <c r="Z245" s="321">
        <f>Z235+Z236+Z237+Z238+Z239+Z240</f>
        <v/>
      </c>
      <c r="AA245" s="321">
        <f>AA235+AA236+AA237+AA238+AA239+AA240</f>
        <v/>
      </c>
      <c r="AB245" s="326" t="n"/>
      <c r="AC245" s="326" t="n"/>
      <c r="AD245" s="326" t="n"/>
      <c r="AE245" s="326" t="n"/>
      <c r="AF245" s="326" t="n"/>
      <c r="AG245" s="326" t="n"/>
      <c r="AH245" s="326" t="n"/>
      <c r="AI245" s="326" t="n"/>
      <c r="AJ245" s="326" t="n"/>
      <c r="AK245" s="327" t="n"/>
      <c r="AL245" s="328" t="n"/>
    </row>
    <row r="246">
      <c r="A246" s="295" t="n"/>
      <c r="B246" s="296" t="n"/>
      <c r="C246" s="296" t="n"/>
      <c r="D246" s="312" t="inlineStr">
        <is>
          <t>十、增值税实际税负（按财务数据）</t>
        </is>
      </c>
      <c r="E246" s="313" t="inlineStr">
        <is>
          <t>根据财务账面实际已缴纳增值税额+尚需缴纳的增值税额</t>
        </is>
      </c>
      <c r="F246" s="313" t="n"/>
      <c r="G246" s="313" t="n"/>
      <c r="H246" s="298" t="n"/>
      <c r="I246" s="298" t="n"/>
      <c r="J246" s="324">
        <f>H78+I78</f>
        <v/>
      </c>
      <c r="K246" s="298" t="inlineStr">
        <is>
          <t>/</t>
        </is>
      </c>
      <c r="L246" s="325" t="inlineStr">
        <is>
          <t>/</t>
        </is>
      </c>
      <c r="M246" s="325" t="n"/>
      <c r="N246" s="325">
        <f>N6-N77</f>
        <v/>
      </c>
      <c r="O246" s="325" t="n"/>
      <c r="P246" s="325" t="n"/>
      <c r="Q246" s="325" t="inlineStr">
        <is>
          <t>/</t>
        </is>
      </c>
      <c r="R246" s="325">
        <f>N78+P78</f>
        <v/>
      </c>
      <c r="S246" s="321" t="n"/>
      <c r="T246" s="321" t="n"/>
      <c r="U246" s="321" t="n"/>
      <c r="V246" s="321" t="n"/>
      <c r="W246" s="321" t="n"/>
      <c r="X246" s="321" t="n"/>
      <c r="Y246" s="321" t="n"/>
      <c r="Z246" s="321" t="n"/>
      <c r="AA246" s="321" t="n"/>
      <c r="AB246" s="326" t="n"/>
      <c r="AC246" s="326" t="n"/>
      <c r="AD246" s="326" t="n"/>
      <c r="AE246" s="326" t="n"/>
      <c r="AF246" s="326" t="n"/>
      <c r="AG246" s="326" t="n"/>
      <c r="AH246" s="326" t="n"/>
      <c r="AI246" s="326" t="n"/>
      <c r="AJ246" s="326" t="n"/>
      <c r="AK246" s="327" t="n"/>
      <c r="AL246" s="328" t="n"/>
    </row>
    <row r="247">
      <c r="A247" s="295" t="n"/>
      <c r="B247" s="296" t="n"/>
      <c r="C247" s="296" t="n"/>
      <c r="D247" s="312" t="inlineStr">
        <is>
          <t>十一、税金及附加（按财务数据）</t>
        </is>
      </c>
      <c r="E247" s="313" t="inlineStr">
        <is>
          <t>根据财务账面实际已缴纳税金及附加+尚需缴纳的税金及附加</t>
        </is>
      </c>
      <c r="F247" s="313" t="n"/>
      <c r="G247" s="313" t="n"/>
      <c r="H247" s="298" t="n"/>
      <c r="I247" s="298" t="n"/>
      <c r="J247" s="324">
        <f>H79+I79</f>
        <v/>
      </c>
      <c r="K247" s="298" t="n"/>
      <c r="L247" s="325">
        <f>J79</f>
        <v/>
      </c>
      <c r="M247" s="329" t="n">
        <v>349670.26</v>
      </c>
      <c r="N247" s="325" t="n"/>
      <c r="O247" s="325">
        <f>L79-M79</f>
        <v/>
      </c>
      <c r="P247" s="325" t="n"/>
      <c r="Q247" s="325">
        <f>M79+O79</f>
        <v/>
      </c>
      <c r="R247" s="325">
        <f>Q79</f>
        <v/>
      </c>
      <c r="S247" s="321" t="n"/>
      <c r="T247" s="321" t="n"/>
      <c r="U247" s="321" t="n"/>
      <c r="V247" s="321" t="n"/>
      <c r="W247" s="321" t="n"/>
      <c r="X247" s="321" t="n"/>
      <c r="Y247" s="321" t="n"/>
      <c r="Z247" s="321" t="n"/>
      <c r="AA247" s="321" t="n"/>
      <c r="AB247" s="326" t="n"/>
      <c r="AC247" s="326" t="n"/>
      <c r="AD247" s="326" t="n"/>
      <c r="AE247" s="326" t="n"/>
      <c r="AF247" s="326" t="n"/>
      <c r="AG247" s="326" t="n"/>
      <c r="AH247" s="326" t="n"/>
      <c r="AI247" s="326" t="n"/>
      <c r="AJ247" s="326" t="n"/>
      <c r="AK247" s="327" t="n"/>
      <c r="AL247" s="328" t="n"/>
    </row>
    <row r="248">
      <c r="A248" s="295" t="n"/>
      <c r="B248" s="296" t="n"/>
      <c r="C248" s="296" t="n"/>
      <c r="D248" s="312" t="inlineStr">
        <is>
          <t>十二、利润</t>
        </is>
      </c>
      <c r="E248" s="313" t="n"/>
      <c r="F248" s="313" t="n"/>
      <c r="G248" s="313" t="n"/>
      <c r="H248" s="298" t="n"/>
      <c r="I248" s="298" t="n"/>
      <c r="J248" s="324">
        <f>J6-J245-J246-J247</f>
        <v/>
      </c>
      <c r="K248" s="298" t="n"/>
      <c r="L248" s="325" t="n"/>
      <c r="M248" s="325" t="n"/>
      <c r="N248" s="325" t="n"/>
      <c r="O248" s="325" t="n"/>
      <c r="P248" s="325" t="n"/>
      <c r="Q248" s="325" t="n"/>
      <c r="R248" s="325" t="n"/>
      <c r="S248" s="321" t="n"/>
      <c r="T248" s="321" t="n"/>
      <c r="U248" s="321" t="n"/>
      <c r="V248" s="321" t="n"/>
      <c r="W248" s="321" t="n"/>
      <c r="X248" s="321" t="n"/>
      <c r="Y248" s="321" t="n"/>
      <c r="Z248" s="321" t="n"/>
      <c r="AA248" s="321" t="n"/>
      <c r="AB248" s="326" t="n"/>
      <c r="AC248" s="326" t="n"/>
      <c r="AD248" s="326" t="n"/>
      <c r="AE248" s="326" t="n"/>
      <c r="AF248" s="326" t="n"/>
      <c r="AG248" s="326" t="n"/>
      <c r="AH248" s="326" t="n"/>
      <c r="AI248" s="326" t="n"/>
      <c r="AJ248" s="326" t="n"/>
      <c r="AK248" s="327" t="n"/>
      <c r="AL248" s="328" t="n"/>
    </row>
    <row r="249">
      <c r="A249" s="330" t="n"/>
      <c r="B249" s="331" t="n"/>
      <c r="C249" s="331" t="n"/>
      <c r="D249" s="332" t="inlineStr">
        <is>
          <t>十三、利润率</t>
        </is>
      </c>
      <c r="E249" s="333" t="n"/>
      <c r="F249" s="333" t="n"/>
      <c r="G249" s="333" t="n"/>
      <c r="H249" s="334" t="n"/>
      <c r="I249" s="334" t="n"/>
      <c r="J249" s="334">
        <f>J248/J6</f>
        <v/>
      </c>
      <c r="K249" s="334" t="n"/>
      <c r="L249" s="335">
        <f>L248/L6</f>
        <v/>
      </c>
      <c r="M249" s="335">
        <f>M248/M6</f>
        <v/>
      </c>
      <c r="N249" s="335" t="n"/>
      <c r="O249" s="335" t="n"/>
      <c r="P249" s="335" t="n"/>
      <c r="Q249" s="335">
        <f>Q248/Q6</f>
        <v/>
      </c>
      <c r="R249" s="335">
        <f>R248/R6</f>
        <v/>
      </c>
      <c r="S249" s="336" t="n"/>
      <c r="T249" s="336" t="n"/>
      <c r="U249" s="336" t="n"/>
      <c r="V249" s="336" t="n"/>
      <c r="W249" s="336" t="n"/>
      <c r="X249" s="336" t="n"/>
      <c r="Y249" s="336" t="n"/>
      <c r="Z249" s="336" t="n"/>
      <c r="AA249" s="336" t="n"/>
      <c r="AB249" s="337" t="n"/>
      <c r="AC249" s="337" t="n"/>
      <c r="AD249" s="337" t="n"/>
      <c r="AE249" s="337" t="n"/>
      <c r="AF249" s="337" t="n"/>
      <c r="AG249" s="337" t="n"/>
      <c r="AH249" s="337" t="n"/>
      <c r="AI249" s="337" t="n"/>
      <c r="AJ249" s="337" t="n"/>
      <c r="AK249" s="338" t="n"/>
      <c r="AL249" s="339" t="n"/>
    </row>
    <row r="250">
      <c r="A250" s="111" t="n"/>
      <c r="B250" s="111" t="n"/>
      <c r="C250" s="111" t="n"/>
      <c r="D250" s="112" t="n"/>
      <c r="E250" s="113" t="n"/>
      <c r="F250" s="113" t="n"/>
      <c r="G250" s="113" t="n"/>
      <c r="H250" s="248" t="n"/>
      <c r="I250" s="248" t="n"/>
      <c r="J250" s="249" t="inlineStr">
        <is>
          <t>含税利润率</t>
        </is>
      </c>
      <c r="K250" s="250" t="n"/>
      <c r="L250" s="251" t="inlineStr">
        <is>
          <t>不含税利润率</t>
        </is>
      </c>
      <c r="M250" s="252" t="n"/>
      <c r="N250" s="252" t="n"/>
      <c r="O250" s="252" t="n"/>
      <c r="P250" s="252" t="n"/>
      <c r="Q250" s="252" t="n"/>
      <c r="R250" s="252" t="n"/>
      <c r="S250" s="252" t="n"/>
      <c r="T250" s="252" t="n"/>
      <c r="U250" s="252" t="n"/>
      <c r="V250" s="252" t="n"/>
      <c r="W250" s="252" t="n"/>
      <c r="X250" s="252" t="n"/>
      <c r="Y250" s="252" t="n"/>
      <c r="Z250" s="253" t="n"/>
      <c r="AA250" s="162" t="n"/>
      <c r="AB250" s="254" t="n"/>
      <c r="AC250" s="254" t="n"/>
      <c r="AD250" s="254" t="n"/>
      <c r="AE250" s="254" t="n"/>
      <c r="AF250" s="254" t="n"/>
      <c r="AG250" s="254" t="n"/>
      <c r="AH250" s="254" t="n"/>
      <c r="AI250" s="254" t="n"/>
      <c r="AJ250" s="254" t="n"/>
      <c r="AK250" s="254" t="n"/>
      <c r="AL250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2026-04-24T03:12:23Z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