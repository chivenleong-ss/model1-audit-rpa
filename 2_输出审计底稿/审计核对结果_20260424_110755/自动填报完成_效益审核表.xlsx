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77" authorId="1" shapeId="0">
      <text>
        <t xml:space="preserve">**同财务账面合同履约成本/工程施工成本/机械租赁费数据一致**
</t>
      </text>
    </comment>
    <comment ref="M185" authorId="0" shapeId="0">
      <text>
        <t>于:
**同财务账面合同履约成本/工程施工成本其他直接费数据一致**</t>
      </text>
    </comment>
    <comment ref="M230" authorId="1" shapeId="0">
      <text>
        <t>**同财务账面合同履约成本/工程施工成本/间接费数据一致**</t>
      </text>
    </comment>
    <comment ref="D236" authorId="2" shapeId="0">
      <text>
        <t>（在建：房建0.6%，其它0.4%；在保修期间的按0.3~0.5%自行确定;保修期结束为0）</t>
      </text>
    </comment>
    <comment ref="E249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50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8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3096878.51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850171.01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5397227.5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100217442</t>
        </is>
      </c>
      <c r="C75" s="207" t="inlineStr">
        <is>
          <t>中建四局0200202101805001</t>
        </is>
      </c>
      <c r="D75" s="207" t="inlineStr">
        <is>
          <t>任丘市嘉宇运输有限公司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43538.85</v>
      </c>
      <c r="N75" s="210" t="n">
        <v>3594.95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43538.85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中建四局0200202101806004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16236.97</v>
      </c>
      <c r="N76" s="210" t="n">
        <v>1867.97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16236.97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中建四局0200202101806005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147201.71</v>
      </c>
      <c r="N77" s="210" t="n">
        <v>16934.71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147201.71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中建四局0200202101806006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2881651.85</v>
      </c>
      <c r="N78" s="210" t="n">
        <v>331517.47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2881651.85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100237790</t>
        </is>
      </c>
      <c r="C79" s="207" t="inlineStr">
        <is>
          <t>中建四局0200202101806016</t>
        </is>
      </c>
      <c r="D79" s="207" t="inlineStr">
        <is>
          <t>佛山唐贵五金电器有限公司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2399863.31</v>
      </c>
      <c r="N79" s="210" t="n">
        <v>276090.52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2399863.31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100146779</t>
        </is>
      </c>
      <c r="C80" s="207" t="inlineStr">
        <is>
          <t>中建四局0200202101806026</t>
        </is>
      </c>
      <c r="D80" s="207" t="inlineStr">
        <is>
          <t>佛山市南海区洪顺水泥构件厂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1137107.35</v>
      </c>
      <c r="N80" s="210" t="n">
        <v>130817.7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1137107.35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100206907</t>
        </is>
      </c>
      <c r="C81" s="207" t="inlineStr">
        <is>
          <t>中建四局0200202101806014</t>
        </is>
      </c>
      <c r="D81" s="207" t="inlineStr">
        <is>
          <t>佛山市开力电气有限公司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71419.39</v>
      </c>
      <c r="N81" s="210" t="n">
        <v>8216.389999999999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71419.39</v>
      </c>
      <c r="U81" s="206" t="n"/>
      <c r="V81" s="206" t="n"/>
    </row>
    <row r="82" ht="14" customHeight="1" s="159">
      <c r="A82" s="206" t="n">
        <v>11</v>
      </c>
      <c r="B82" s="206" t="inlineStr">
        <is>
          <t>200162951</t>
        </is>
      </c>
      <c r="C82" s="207" t="inlineStr">
        <is>
          <t>中建四局0200202101806036</t>
        </is>
      </c>
      <c r="D82" s="207" t="inlineStr">
        <is>
          <t>佛山市翊德通新型环保科技建材有限公司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4938056.83</v>
      </c>
      <c r="N82" s="210" t="n">
        <v>568095.3199999999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4938056.52</v>
      </c>
      <c r="U82" s="206" t="n"/>
      <c r="V82" s="206" t="n"/>
    </row>
    <row r="83" ht="14" customHeight="1" s="159">
      <c r="A83" s="206" t="n">
        <v>12</v>
      </c>
      <c r="B83" s="206" t="inlineStr">
        <is>
          <t>100217528</t>
        </is>
      </c>
      <c r="C83" s="207" t="inlineStr">
        <is>
          <t>中建四局0200202101803017</t>
        </is>
      </c>
      <c r="D83" s="207" t="inlineStr">
        <is>
          <t>佛山市耀盈活动房屋有限公司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70592.64999999999</v>
      </c>
      <c r="N83" s="210" t="n">
        <v>61180.3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507773.85</v>
      </c>
      <c r="U83" s="206" t="n"/>
      <c r="V83" s="206" t="n"/>
    </row>
    <row r="84">
      <c r="A84" s="206" t="n">
        <v>13</v>
      </c>
      <c r="B84" s="206" t="inlineStr">
        <is>
          <t>100051486</t>
        </is>
      </c>
      <c r="C84" s="207" t="inlineStr">
        <is>
          <t>中建四局0200202101805009</t>
        </is>
      </c>
      <c r="D84" s="207" t="inlineStr">
        <is>
          <t>佛山市赢鑫建筑机械租赁有限公司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6420120.59</v>
      </c>
      <c r="N84" s="210" t="n">
        <v>738597.9399999999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6405720.63</v>
      </c>
      <c r="U84" s="206" t="n"/>
      <c r="V84" s="206" t="n"/>
    </row>
    <row r="85">
      <c r="A85" s="206" t="n">
        <v>14</v>
      </c>
      <c r="B85" s="206" t="inlineStr">
        <is>
          <t>200363935</t>
        </is>
      </c>
      <c r="C85" s="207" t="inlineStr">
        <is>
          <t>中建四局0200202101805006</t>
        </is>
      </c>
      <c r="D85" s="207" t="inlineStr">
        <is>
          <t>佛山市雄壮建筑工程有限公司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1258796.37</v>
      </c>
      <c r="N85" s="210" t="n">
        <v>36663.97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1258000</v>
      </c>
      <c r="U85" s="206" t="n"/>
      <c r="V85" s="206" t="n"/>
    </row>
    <row r="86">
      <c r="A86" s="206" t="n">
        <v>15</v>
      </c>
      <c r="B86" s="206" t="inlineStr">
        <is>
          <t>200477323</t>
        </is>
      </c>
      <c r="C86" s="207" t="inlineStr">
        <is>
          <t>中建四局0200202101805011</t>
        </is>
      </c>
      <c r="D86" s="207" t="inlineStr">
        <is>
          <t>佛山市霸伟建筑工程有限公司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1004065.5</v>
      </c>
      <c r="N86" s="210" t="n">
        <v>29244.62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999000</v>
      </c>
      <c r="U86" s="206" t="n"/>
      <c r="V86" s="206" t="n"/>
    </row>
    <row r="87">
      <c r="A87" s="206" t="n">
        <v>16</v>
      </c>
      <c r="B87" s="206" t="inlineStr">
        <is>
          <t>100232795</t>
        </is>
      </c>
      <c r="C87" s="207" t="inlineStr">
        <is>
          <t>中建四局0200202101806001</t>
        </is>
      </c>
      <c r="D87" s="207" t="inlineStr">
        <is>
          <t>佰丽特（厦门）电气科技有限公司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377112.64</v>
      </c>
      <c r="N87" s="210" t="n">
        <v>43384.64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301690.11</v>
      </c>
      <c r="U87" s="206" t="n"/>
      <c r="V87" s="206" t="n"/>
    </row>
    <row r="88">
      <c r="A88" s="206" t="n">
        <v>17</v>
      </c>
      <c r="B88" s="206" t="inlineStr">
        <is>
          <t>100093859</t>
        </is>
      </c>
      <c r="C88" s="207" t="inlineStr">
        <is>
          <t>中建四局0200202101805010</t>
        </is>
      </c>
      <c r="D88" s="207" t="inlineStr">
        <is>
          <t>嘉兴浩锐机械设备有限公司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1567589.22</v>
      </c>
      <c r="N88" s="210" t="n">
        <v>180342.12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1567589.22</v>
      </c>
      <c r="U88" s="206" t="n"/>
      <c r="V88" s="206" t="n"/>
    </row>
    <row r="89">
      <c r="A89" s="206" t="n">
        <v>18</v>
      </c>
      <c r="B89" s="206" t="inlineStr">
        <is>
          <t>200678254</t>
        </is>
      </c>
      <c r="C89" s="207" t="inlineStr">
        <is>
          <t>中建四局020020210018040001</t>
        </is>
      </c>
      <c r="D89" s="207" t="inlineStr">
        <is>
          <t>四川川泸远豪建筑劳务有限公司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807973.5699999999</v>
      </c>
      <c r="N89" s="210" t="n">
        <v>403986.79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13454100</v>
      </c>
      <c r="U89" s="206" t="n"/>
      <c r="V89" s="206" t="n"/>
    </row>
    <row r="90">
      <c r="A90" s="206" t="n">
        <v>19</v>
      </c>
      <c r="B90" s="206" t="inlineStr">
        <is>
          <t>200678254</t>
        </is>
      </c>
      <c r="C90" s="207" t="inlineStr">
        <is>
          <t>中建四局020020210018040002</t>
        </is>
      </c>
      <c r="D90" s="207" t="inlineStr">
        <is>
          <t>四川川泸远豪建筑劳务有限公司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43486.5</v>
      </c>
      <c r="N90" s="210" t="n">
        <v>21743.25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704906.36</v>
      </c>
      <c r="U90" s="206" t="n"/>
      <c r="V90" s="206" t="n"/>
    </row>
    <row r="91">
      <c r="A91" s="206" t="n">
        <v>20</v>
      </c>
      <c r="B91" s="206" t="inlineStr">
        <is>
          <t>200678254</t>
        </is>
      </c>
      <c r="C91" s="207" t="inlineStr">
        <is>
          <t>中建四局020020210018040004</t>
        </is>
      </c>
      <c r="D91" s="207" t="inlineStr">
        <is>
          <t>四川川泸远豪建筑劳务有限公司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26042.77</v>
      </c>
      <c r="N91" s="210" t="n">
        <v>26042.77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894135</v>
      </c>
      <c r="U91" s="206" t="n"/>
      <c r="V91" s="206" t="n"/>
    </row>
    <row r="92">
      <c r="A92" s="206" t="n">
        <v>21</v>
      </c>
      <c r="B92" s="206" t="inlineStr">
        <is>
          <t>200282611</t>
        </is>
      </c>
      <c r="C92" s="207" t="inlineStr">
        <is>
          <t>中建四局0200202101806009</t>
        </is>
      </c>
      <c r="D92" s="207" t="inlineStr">
        <is>
          <t>平安商贸有限公司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10027546.88</v>
      </c>
      <c r="N92" s="210" t="n">
        <v>1153611.59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10027546.88</v>
      </c>
      <c r="U92" s="206" t="n"/>
      <c r="V92" s="206" t="n"/>
    </row>
    <row r="93">
      <c r="A93" s="206" t="n">
        <v>22</v>
      </c>
      <c r="B93" s="206" t="inlineStr">
        <is>
          <t>200120407</t>
        </is>
      </c>
      <c r="C93" s="207" t="inlineStr">
        <is>
          <t>中建四局0200202101803011</t>
        </is>
      </c>
      <c r="D93" s="207" t="inlineStr">
        <is>
          <t>广东华海建设集团有限公司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2007394.57</v>
      </c>
      <c r="N93" s="210" t="n">
        <v>1620857.48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17382710</v>
      </c>
      <c r="U93" s="206" t="n"/>
      <c r="V93" s="206" t="n"/>
    </row>
    <row r="94">
      <c r="A94" s="206" t="n">
        <v>23</v>
      </c>
      <c r="B94" s="206" t="inlineStr">
        <is>
          <t>200393732</t>
        </is>
      </c>
      <c r="C94" s="207" t="inlineStr">
        <is>
          <t>中建四局020020210018030002</t>
        </is>
      </c>
      <c r="D94" s="207" t="inlineStr">
        <is>
          <t>广东城投建设集团有限公司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144026.64</v>
      </c>
      <c r="N94" s="210" t="n">
        <v>108019.98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1215005</v>
      </c>
      <c r="U94" s="206" t="n"/>
      <c r="V94" s="206" t="n"/>
    </row>
    <row r="95">
      <c r="A95" s="206" t="n">
        <v>24</v>
      </c>
      <c r="B95" s="206" t="inlineStr">
        <is>
          <t>200609375</t>
        </is>
      </c>
      <c r="C95" s="207" t="inlineStr">
        <is>
          <t>中建四局0200202101806040</t>
        </is>
      </c>
      <c r="D95" s="207" t="inlineStr">
        <is>
          <t>广东富景成环保建材有限公司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436086.94</v>
      </c>
      <c r="N95" s="210" t="n">
        <v>50169.29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436086.94</v>
      </c>
      <c r="U95" s="206" t="n"/>
      <c r="V95" s="206" t="n"/>
    </row>
    <row r="96">
      <c r="A96" s="206" t="n">
        <v>25</v>
      </c>
      <c r="B96" s="206" t="inlineStr">
        <is>
          <t>200589118</t>
        </is>
      </c>
      <c r="C96" s="207" t="inlineStr">
        <is>
          <t>中建四局020020210018060001</t>
        </is>
      </c>
      <c r="D96" s="207" t="inlineStr">
        <is>
          <t>广东广物中南建材集团有限公司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4858077.99</v>
      </c>
      <c r="N96" s="210" t="n">
        <v>558893.95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4858077.99</v>
      </c>
      <c r="U96" s="206" t="n"/>
      <c r="V96" s="206" t="n"/>
    </row>
    <row r="97">
      <c r="A97" s="206" t="n">
        <v>26</v>
      </c>
      <c r="B97" s="206" t="inlineStr">
        <is>
          <t>100218495</t>
        </is>
      </c>
      <c r="C97" s="207" t="inlineStr">
        <is>
          <t>中建四局0200202101806024</t>
        </is>
      </c>
      <c r="D97" s="207" t="inlineStr">
        <is>
          <t>广东广物物资有限公司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58918878.23</v>
      </c>
      <c r="N97" s="210" t="n">
        <v>6778278.02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57634200</v>
      </c>
      <c r="U97" s="206" t="n"/>
      <c r="V97" s="206" t="n"/>
    </row>
    <row r="98">
      <c r="A98" s="206" t="n">
        <v>27</v>
      </c>
      <c r="B98" s="206" t="inlineStr">
        <is>
          <t>200430199</t>
        </is>
      </c>
      <c r="C98" s="207" t="inlineStr">
        <is>
          <t>中建四局0200202101803023</t>
        </is>
      </c>
      <c r="D98" s="207" t="inlineStr">
        <is>
          <t>广东振华建筑有限公司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26131.2</v>
      </c>
      <c r="N98" s="210" t="n">
        <v>13065.6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260000</v>
      </c>
      <c r="U98" s="206" t="n"/>
      <c r="V98" s="206" t="n"/>
    </row>
    <row r="99">
      <c r="A99" s="206" t="n">
        <v>28</v>
      </c>
      <c r="B99" s="206" t="inlineStr">
        <is>
          <t>100217200</t>
        </is>
      </c>
      <c r="C99" s="207" t="inlineStr">
        <is>
          <t>中建四局0200202101806042</t>
        </is>
      </c>
      <c r="D99" s="207" t="inlineStr">
        <is>
          <t>广东新瑞龙生态建材有限公司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11236299.01</v>
      </c>
      <c r="N99" s="210" t="n">
        <v>1292671.55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10199210.04</v>
      </c>
      <c r="U99" s="206" t="n"/>
      <c r="V99" s="206" t="n"/>
    </row>
    <row r="100">
      <c r="A100" s="206" t="n">
        <v>29</v>
      </c>
      <c r="B100" s="206" t="inlineStr">
        <is>
          <t>200053581</t>
        </is>
      </c>
      <c r="C100" s="207" t="inlineStr">
        <is>
          <t>中建四局0200202101803003</t>
        </is>
      </c>
      <c r="D100" s="207" t="inlineStr">
        <is>
          <t>广东粤忠晟保安服务有限公司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186288.16</v>
      </c>
      <c r="N100" s="210" t="n">
        <v>122373.19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2284661</v>
      </c>
      <c r="U100" s="206" t="n"/>
      <c r="V100" s="206" t="n"/>
    </row>
    <row r="101">
      <c r="A101" s="206" t="n">
        <v>30</v>
      </c>
      <c r="B101" s="206" t="inlineStr">
        <is>
          <t>100095592</t>
        </is>
      </c>
      <c r="C101" s="207" t="inlineStr">
        <is>
          <t>中建四局0200202101803005</t>
        </is>
      </c>
      <c r="D101" s="207" t="inlineStr">
        <is>
          <t>广东金华城建设集团有限公司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1126308.44</v>
      </c>
      <c r="N101" s="210" t="n">
        <v>889462.14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9688900</v>
      </c>
      <c r="U101" s="206" t="n"/>
      <c r="V101" s="206" t="n"/>
    </row>
    <row r="102">
      <c r="A102" s="206" t="n">
        <v>31</v>
      </c>
      <c r="B102" s="206" t="inlineStr">
        <is>
          <t>200350492</t>
        </is>
      </c>
      <c r="C102" s="207" t="inlineStr">
        <is>
          <t>中建四局0200202101803010</t>
        </is>
      </c>
      <c r="D102" s="207" t="inlineStr">
        <is>
          <t>广东鑫弘盛建设工程有限公司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3689953.91</v>
      </c>
      <c r="N102" s="210" t="n">
        <v>2928739.94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34881345</v>
      </c>
      <c r="U102" s="206" t="n"/>
      <c r="V102" s="206" t="n"/>
    </row>
    <row r="103">
      <c r="A103" s="206" t="n">
        <v>32</v>
      </c>
      <c r="B103" s="206" t="inlineStr">
        <is>
          <t>100217564</t>
        </is>
      </c>
      <c r="C103" s="207" t="inlineStr">
        <is>
          <t>中建四局0200202101806015</t>
        </is>
      </c>
      <c r="D103" s="207" t="inlineStr">
        <is>
          <t>广东顺德雍强贸易有限公司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5734183.71</v>
      </c>
      <c r="N103" s="210" t="n">
        <v>659684.51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5722211.35</v>
      </c>
      <c r="U103" s="206" t="n"/>
      <c r="V103" s="206" t="n"/>
    </row>
    <row r="104">
      <c r="A104" s="206" t="n">
        <v>33</v>
      </c>
      <c r="B104" s="206" t="inlineStr">
        <is>
          <t>100117504</t>
        </is>
      </c>
      <c r="C104" s="207" t="inlineStr">
        <is>
          <t>中建四局0200202101805005</t>
        </is>
      </c>
      <c r="D104" s="207" t="inlineStr">
        <is>
          <t>广州大丰工程机械设备有限公司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1204275.07</v>
      </c>
      <c r="N104" s="210" t="n">
        <v>138544.93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1204275.07</v>
      </c>
      <c r="U104" s="206" t="n"/>
      <c r="V104" s="206" t="n"/>
    </row>
    <row r="105">
      <c r="A105" s="206" t="n">
        <v>34</v>
      </c>
      <c r="B105" s="206" t="inlineStr">
        <is>
          <t>200028988</t>
        </is>
      </c>
      <c r="C105" s="207" t="inlineStr">
        <is>
          <t>中建四局0200202101806020</t>
        </is>
      </c>
      <c r="D105" s="207" t="inlineStr">
        <is>
          <t>广州天源混凝土有限公司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85098547.58</v>
      </c>
      <c r="N105" s="210" t="n">
        <v>2479172.51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76114127.56</v>
      </c>
      <c r="U105" s="206" t="n"/>
      <c r="V105" s="206" t="n"/>
    </row>
    <row r="106">
      <c r="A106" s="206" t="n">
        <v>35</v>
      </c>
      <c r="B106" s="206" t="inlineStr">
        <is>
          <t>100118018</t>
        </is>
      </c>
      <c r="C106" s="207" t="inlineStr">
        <is>
          <t>中建四局0200202101806023</t>
        </is>
      </c>
      <c r="D106" s="207" t="inlineStr">
        <is>
          <t>广州天达混凝土有限公司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7240794.28</v>
      </c>
      <c r="N106" s="210" t="n">
        <v>210896.97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7240794.28</v>
      </c>
      <c r="U106" s="206" t="n"/>
      <c r="V106" s="206" t="n"/>
    </row>
    <row r="107">
      <c r="A107" s="206" t="n">
        <v>36</v>
      </c>
      <c r="B107" s="206" t="inlineStr">
        <is>
          <t>200353812</t>
        </is>
      </c>
      <c r="C107" s="207" t="inlineStr">
        <is>
          <t>中建四局0200202101805007</t>
        </is>
      </c>
      <c r="D107" s="207" t="inlineStr">
        <is>
          <t>广州小老虎建筑机械租赁有限公司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12388266.76</v>
      </c>
      <c r="N107" s="210" t="n">
        <v>1022884.43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12388266.76</v>
      </c>
      <c r="U107" s="206" t="n"/>
      <c r="V107" s="206" t="n"/>
    </row>
    <row r="108">
      <c r="A108" s="206" t="n">
        <v>37</v>
      </c>
      <c r="B108" s="206" t="inlineStr">
        <is>
          <t>200167577</t>
        </is>
      </c>
      <c r="C108" s="207" t="inlineStr">
        <is>
          <t>中建四局0200202101803018</t>
        </is>
      </c>
      <c r="D108" s="207" t="inlineStr">
        <is>
          <t>广州巧艺佳建筑装饰工程有限公司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80524.72</v>
      </c>
      <c r="N108" s="210" t="n">
        <v>62680.61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756733.7</v>
      </c>
      <c r="U108" s="206" t="n"/>
      <c r="V108" s="206" t="n"/>
    </row>
    <row r="109">
      <c r="A109" s="206" t="n">
        <v>38</v>
      </c>
      <c r="B109" s="206" t="inlineStr">
        <is>
          <t>200167577</t>
        </is>
      </c>
      <c r="C109" s="207" t="inlineStr">
        <is>
          <t>中建四局0200202101803019</t>
        </is>
      </c>
      <c r="D109" s="207" t="inlineStr">
        <is>
          <t>广州巧艺佳建筑装饰工程有限公司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188246.86</v>
      </c>
      <c r="N109" s="210" t="n">
        <v>142971.95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1731549.1</v>
      </c>
      <c r="U109" s="206" t="n"/>
      <c r="V109" s="206" t="n"/>
    </row>
    <row r="110">
      <c r="A110" s="206" t="n">
        <v>39</v>
      </c>
      <c r="B110" s="206" t="inlineStr">
        <is>
          <t>100060432</t>
        </is>
      </c>
      <c r="C110" s="207" t="inlineStr">
        <is>
          <t>中建四局0200202101803004</t>
        </is>
      </c>
      <c r="D110" s="207" t="inlineStr">
        <is>
          <t>广州市亲力劳务派遣有限公司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828786.13</v>
      </c>
      <c r="N110" s="210" t="n">
        <v>448169.28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14546400</v>
      </c>
      <c r="U110" s="206" t="n"/>
      <c r="V110" s="206" t="n"/>
    </row>
    <row r="111">
      <c r="A111" s="206" t="n">
        <v>40</v>
      </c>
      <c r="B111" s="206" t="inlineStr">
        <is>
          <t>100060432</t>
        </is>
      </c>
      <c r="C111" s="207" t="inlineStr">
        <is>
          <t>中建四局0200202101803014</t>
        </is>
      </c>
      <c r="D111" s="207" t="inlineStr">
        <is>
          <t>广州市亲力劳务派遣有限公司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2248677.96</v>
      </c>
      <c r="N111" s="210" t="n">
        <v>1242269.38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42593124.4</v>
      </c>
      <c r="U111" s="206" t="n"/>
      <c r="V111" s="206" t="n"/>
    </row>
    <row r="112">
      <c r="A112" s="206" t="n">
        <v>41</v>
      </c>
      <c r="B112" s="206" t="inlineStr">
        <is>
          <t>100060432</t>
        </is>
      </c>
      <c r="C112" s="207" t="inlineStr">
        <is>
          <t>中建四局0200202101804001</t>
        </is>
      </c>
      <c r="D112" s="207" t="inlineStr">
        <is>
          <t>广州市亲力劳务派遣有限公司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790183.1</v>
      </c>
      <c r="N112" s="210" t="n">
        <v>444003.04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15241016.3</v>
      </c>
      <c r="U112" s="206" t="n"/>
      <c r="V112" s="206" t="n"/>
    </row>
    <row r="113">
      <c r="A113" s="206" t="n">
        <v>42</v>
      </c>
      <c r="B113" s="206" t="inlineStr">
        <is>
          <t>100060432</t>
        </is>
      </c>
      <c r="C113" s="207" t="inlineStr">
        <is>
          <t>中建四局0200202101804002</t>
        </is>
      </c>
      <c r="D113" s="207" t="inlineStr">
        <is>
          <t>广州市亲力劳务派遣有限公司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141792.55</v>
      </c>
      <c r="N113" s="210" t="n">
        <v>77169.42999999999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2453800</v>
      </c>
      <c r="U113" s="206" t="n"/>
      <c r="V113" s="206" t="n"/>
    </row>
    <row r="114">
      <c r="A114" s="206" t="n">
        <v>43</v>
      </c>
      <c r="B114" s="206" t="inlineStr">
        <is>
          <t>100060432</t>
        </is>
      </c>
      <c r="C114" s="207" t="inlineStr">
        <is>
          <t>中建四局0200202101804003</t>
        </is>
      </c>
      <c r="D114" s="207" t="inlineStr">
        <is>
          <t>广州市亲力劳务派遣有限公司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53830.46</v>
      </c>
      <c r="N114" s="210" t="n">
        <v>30742.83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923900</v>
      </c>
      <c r="U114" s="206" t="n"/>
      <c r="V114" s="206" t="n"/>
    </row>
    <row r="115">
      <c r="A115" s="206" t="n">
        <v>44</v>
      </c>
      <c r="B115" s="206" t="inlineStr">
        <is>
          <t>100060432</t>
        </is>
      </c>
      <c r="C115" s="207" t="inlineStr">
        <is>
          <t>中建四局0200202101804004</t>
        </is>
      </c>
      <c r="D115" s="207" t="inlineStr">
        <is>
          <t>广州市亲力劳务派遣有限公司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288748.53</v>
      </c>
      <c r="N115" s="210" t="n">
        <v>153682.39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5226426.6</v>
      </c>
      <c r="U115" s="206" t="n"/>
      <c r="V115" s="206" t="n"/>
    </row>
    <row r="116">
      <c r="A116" s="206" t="n">
        <v>45</v>
      </c>
      <c r="B116" s="206" t="inlineStr">
        <is>
          <t>100060432</t>
        </is>
      </c>
      <c r="C116" s="207" t="inlineStr">
        <is>
          <t>中建四局0200202101804005</t>
        </is>
      </c>
      <c r="D116" s="207" t="inlineStr">
        <is>
          <t>广州市亲力劳务派遣有限公司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66007.42999999999</v>
      </c>
      <c r="N116" s="210" t="n">
        <v>34528.25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1014500</v>
      </c>
      <c r="U116" s="206" t="n"/>
      <c r="V116" s="206" t="n"/>
    </row>
    <row r="117">
      <c r="A117" s="206" t="n">
        <v>46</v>
      </c>
      <c r="B117" s="206" t="inlineStr">
        <is>
          <t>100060432</t>
        </is>
      </c>
      <c r="C117" s="207" t="inlineStr">
        <is>
          <t>中建四局0200202101804006</t>
        </is>
      </c>
      <c r="D117" s="207" t="inlineStr">
        <is>
          <t>广州市亲力劳务派遣有限公司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9" t="n"/>
      <c r="M117" s="210" t="n">
        <v>1561929.96</v>
      </c>
      <c r="N117" s="210" t="n">
        <v>859623.09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29431074</v>
      </c>
      <c r="U117" s="206" t="n"/>
      <c r="V117" s="206" t="n"/>
    </row>
    <row r="118">
      <c r="A118" s="206" t="n">
        <v>47</v>
      </c>
      <c r="B118" s="206" t="inlineStr">
        <is>
          <t>100060432</t>
        </is>
      </c>
      <c r="C118" s="207" t="inlineStr">
        <is>
          <t>中建四局0200202101804007</t>
        </is>
      </c>
      <c r="D118" s="207" t="inlineStr">
        <is>
          <t>广州市亲力劳务派遣有限公司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9" t="n"/>
      <c r="M118" s="210" t="n">
        <v>1477333.37</v>
      </c>
      <c r="N118" s="210" t="n">
        <v>810062.35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27075493.73</v>
      </c>
      <c r="U118" s="206" t="n"/>
      <c r="V118" s="206" t="n"/>
    </row>
    <row r="119">
      <c r="A119" s="206" t="n">
        <v>48</v>
      </c>
      <c r="B119" s="206" t="inlineStr">
        <is>
          <t>100060432</t>
        </is>
      </c>
      <c r="C119" s="207" t="inlineStr">
        <is>
          <t>中建四局0200202101804008</t>
        </is>
      </c>
      <c r="D119" s="207" t="inlineStr">
        <is>
          <t>广州市亲力劳务派遣有限公司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9" t="n"/>
      <c r="M119" s="210" t="n">
        <v>68039.21000000001</v>
      </c>
      <c r="N119" s="210" t="n">
        <v>36853.78</v>
      </c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10" t="n">
        <v>1137500</v>
      </c>
      <c r="U119" s="206" t="n"/>
      <c r="V119" s="206" t="n"/>
    </row>
    <row r="120">
      <c r="A120" s="206" t="n">
        <v>49</v>
      </c>
      <c r="B120" s="206" t="inlineStr">
        <is>
          <t>100060432</t>
        </is>
      </c>
      <c r="C120" s="207" t="inlineStr">
        <is>
          <t>中建四局0200202101804010</t>
        </is>
      </c>
      <c r="D120" s="207" t="inlineStr">
        <is>
          <t>广州市亲力劳务派遣有限公司</t>
        </is>
      </c>
      <c r="E120" s="206" t="n"/>
      <c r="F120" s="206" t="n"/>
      <c r="G120" s="206" t="n"/>
      <c r="H120" s="206" t="n"/>
      <c r="I120" s="206" t="n"/>
      <c r="J120" s="206" t="n"/>
      <c r="K120" s="208" t="n"/>
      <c r="L120" s="209" t="n"/>
      <c r="M120" s="210" t="n">
        <v>428544.36</v>
      </c>
      <c r="N120" s="210" t="n">
        <v>226612.33</v>
      </c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10" t="n">
        <v>7600600</v>
      </c>
      <c r="U120" s="206" t="n"/>
      <c r="V120" s="206" t="n"/>
    </row>
    <row r="121">
      <c r="A121" s="206" t="n">
        <v>50</v>
      </c>
      <c r="B121" s="206" t="inlineStr">
        <is>
          <t>200162948</t>
        </is>
      </c>
      <c r="C121" s="207" t="inlineStr">
        <is>
          <t>中建四局0200202101805004</t>
        </is>
      </c>
      <c r="D121" s="207" t="inlineStr">
        <is>
          <t>广州市仁发运输有限公司</t>
        </is>
      </c>
      <c r="E121" s="206" t="n"/>
      <c r="F121" s="206" t="n"/>
      <c r="G121" s="206" t="n"/>
      <c r="H121" s="206" t="n"/>
      <c r="I121" s="206" t="n"/>
      <c r="J121" s="206" t="n"/>
      <c r="K121" s="208" t="n"/>
      <c r="L121" s="209" t="n"/>
      <c r="M121" s="210" t="n">
        <v>188659.94</v>
      </c>
      <c r="N121" s="210" t="n">
        <v>5494.92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188659.94</v>
      </c>
      <c r="U121" s="206" t="n"/>
      <c r="V121" s="206" t="n"/>
    </row>
    <row r="122">
      <c r="A122" s="206" t="n">
        <v>51</v>
      </c>
      <c r="B122" s="206" t="inlineStr">
        <is>
          <t>200328198</t>
        </is>
      </c>
      <c r="C122" s="207" t="inlineStr">
        <is>
          <t>中建四局0200202101803022</t>
        </is>
      </c>
      <c r="D122" s="207" t="inlineStr">
        <is>
          <t>广州市华居宝建筑装饰工程实业有限公司</t>
        </is>
      </c>
      <c r="E122" s="206" t="n"/>
      <c r="F122" s="206" t="n"/>
      <c r="G122" s="206" t="n"/>
      <c r="H122" s="206" t="n"/>
      <c r="I122" s="206" t="n"/>
      <c r="J122" s="206" t="n"/>
      <c r="K122" s="208" t="n"/>
      <c r="L122" s="209" t="n"/>
      <c r="M122" s="210" t="n">
        <v>493268.5</v>
      </c>
      <c r="N122" s="210" t="n">
        <v>389361.13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4669100</v>
      </c>
      <c r="U122" s="206" t="n"/>
      <c r="V122" s="206" t="n"/>
    </row>
    <row r="123">
      <c r="A123" s="206" t="n">
        <v>52</v>
      </c>
      <c r="B123" s="206" t="inlineStr">
        <is>
          <t>100217350</t>
        </is>
      </c>
      <c r="C123" s="207" t="inlineStr">
        <is>
          <t>中建四局0200202101806003</t>
        </is>
      </c>
      <c r="D123" s="207" t="inlineStr">
        <is>
          <t>广州市嘉宇金属制品有限公司</t>
        </is>
      </c>
      <c r="E123" s="206" t="n"/>
      <c r="F123" s="206" t="n"/>
      <c r="G123" s="206" t="n"/>
      <c r="H123" s="206" t="n"/>
      <c r="I123" s="206" t="n"/>
      <c r="J123" s="206" t="n"/>
      <c r="K123" s="208" t="n"/>
      <c r="L123" s="209" t="n"/>
      <c r="M123" s="210" t="n">
        <v>470508.27</v>
      </c>
      <c r="N123" s="210" t="n">
        <v>54129.27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470508.27</v>
      </c>
      <c r="U123" s="206" t="n"/>
      <c r="V123" s="206" t="n"/>
    </row>
    <row r="124">
      <c r="A124" s="206" t="n">
        <v>53</v>
      </c>
      <c r="B124" s="206" t="inlineStr">
        <is>
          <t>100217450</t>
        </is>
      </c>
      <c r="C124" s="207" t="inlineStr">
        <is>
          <t>中建四局0200202101806041</t>
        </is>
      </c>
      <c r="D124" s="207" t="inlineStr">
        <is>
          <t>广州市常宏建材有限公司</t>
        </is>
      </c>
      <c r="E124" s="206" t="n"/>
      <c r="F124" s="206" t="n"/>
      <c r="G124" s="206" t="n"/>
      <c r="H124" s="206" t="n"/>
      <c r="I124" s="206" t="n"/>
      <c r="J124" s="206" t="n"/>
      <c r="K124" s="208" t="n"/>
      <c r="L124" s="209" t="n"/>
      <c r="M124" s="210" t="n">
        <v>36882.07</v>
      </c>
      <c r="N124" s="210" t="n">
        <v>4243.07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36882.07</v>
      </c>
      <c r="U124" s="206" t="n"/>
      <c r="V124" s="206" t="n"/>
    </row>
    <row r="125">
      <c r="A125" s="206" t="n">
        <v>54</v>
      </c>
      <c r="B125" s="206" t="inlineStr">
        <is>
          <t>100115149</t>
        </is>
      </c>
      <c r="C125" s="207" t="inlineStr">
        <is>
          <t>中建四局0200202101806035</t>
        </is>
      </c>
      <c r="D125" s="207" t="inlineStr">
        <is>
          <t>广州市建邦建材有限公司</t>
        </is>
      </c>
      <c r="E125" s="206" t="n"/>
      <c r="F125" s="206" t="n"/>
      <c r="G125" s="206" t="n"/>
      <c r="H125" s="206" t="n"/>
      <c r="I125" s="206" t="n"/>
      <c r="J125" s="206" t="n"/>
      <c r="K125" s="208" t="n"/>
      <c r="L125" s="209" t="n"/>
      <c r="M125" s="210" t="n">
        <v>8682273.960000001</v>
      </c>
      <c r="N125" s="210" t="n">
        <v>998845.46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8682273.960000001</v>
      </c>
      <c r="U125" s="206" t="n"/>
      <c r="V125" s="206" t="n"/>
    </row>
    <row r="126">
      <c r="A126" s="206" t="n">
        <v>55</v>
      </c>
      <c r="B126" s="206" t="inlineStr">
        <is>
          <t>100147894</t>
        </is>
      </c>
      <c r="C126" s="207" t="inlineStr">
        <is>
          <t>中建四局0200202101806007</t>
        </is>
      </c>
      <c r="D126" s="207" t="inlineStr">
        <is>
          <t>广州市息县旺建材有限公司</t>
        </is>
      </c>
      <c r="E126" s="206" t="n"/>
      <c r="F126" s="206" t="n"/>
      <c r="G126" s="206" t="n"/>
      <c r="H126" s="206" t="n"/>
      <c r="I126" s="206" t="n"/>
      <c r="J126" s="206" t="n"/>
      <c r="K126" s="208" t="n"/>
      <c r="L126" s="209" t="n"/>
      <c r="M126" s="210" t="n">
        <v>1073787.56</v>
      </c>
      <c r="N126" s="210" t="n">
        <v>123533.02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1067146.16</v>
      </c>
      <c r="U126" s="206" t="n"/>
      <c r="V126" s="206" t="n"/>
    </row>
    <row r="127">
      <c r="A127" s="206" t="n">
        <v>56</v>
      </c>
      <c r="B127" s="206" t="inlineStr">
        <is>
          <t>100006039</t>
        </is>
      </c>
      <c r="C127" s="207" t="inlineStr">
        <is>
          <t>中建四局0200202101803016</t>
        </is>
      </c>
      <c r="D127" s="207" t="inlineStr">
        <is>
          <t>广州市桃园建材有限公司</t>
        </is>
      </c>
      <c r="E127" s="206" t="n"/>
      <c r="F127" s="206" t="n"/>
      <c r="G127" s="206" t="n"/>
      <c r="H127" s="206" t="n"/>
      <c r="I127" s="206" t="n"/>
      <c r="J127" s="206" t="n"/>
      <c r="K127" s="208" t="n"/>
      <c r="L127" s="209" t="n"/>
      <c r="M127" s="210" t="n">
        <v>13265.06</v>
      </c>
      <c r="N127" s="210" t="n">
        <v>7082.56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243167.55</v>
      </c>
      <c r="U127" s="206" t="n"/>
      <c r="V127" s="206" t="n"/>
    </row>
    <row r="128">
      <c r="A128" s="206" t="n">
        <v>57</v>
      </c>
      <c r="B128" s="206" t="inlineStr">
        <is>
          <t>200163448</t>
        </is>
      </c>
      <c r="C128" s="207" t="inlineStr">
        <is>
          <t>中建四局020020210018030001</t>
        </is>
      </c>
      <c r="D128" s="207" t="inlineStr">
        <is>
          <t>广州市森平装饰材料有限公司</t>
        </is>
      </c>
      <c r="E128" s="206" t="n"/>
      <c r="F128" s="206" t="n"/>
      <c r="G128" s="206" t="n"/>
      <c r="H128" s="206" t="n"/>
      <c r="I128" s="206" t="n"/>
      <c r="J128" s="206" t="n"/>
      <c r="K128" s="208" t="n"/>
      <c r="L128" s="209" t="n"/>
      <c r="M128" s="210" t="n">
        <v>126813.72</v>
      </c>
      <c r="N128" s="210" t="n">
        <v>95110.28999999999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953000</v>
      </c>
      <c r="U128" s="206" t="n"/>
      <c r="V128" s="206" t="n"/>
    </row>
    <row r="129">
      <c r="A129" s="206" t="n">
        <v>58</v>
      </c>
      <c r="B129" s="206" t="inlineStr">
        <is>
          <t>200335317</t>
        </is>
      </c>
      <c r="C129" s="207" t="inlineStr">
        <is>
          <t>中建四局0200202101806029</t>
        </is>
      </c>
      <c r="D129" s="207" t="inlineStr">
        <is>
          <t>广州市汇亿鑫贸易有限公司</t>
        </is>
      </c>
      <c r="E129" s="206" t="n"/>
      <c r="F129" s="206" t="n"/>
      <c r="G129" s="206" t="n"/>
      <c r="H129" s="206" t="n"/>
      <c r="I129" s="206" t="n"/>
      <c r="J129" s="206" t="n"/>
      <c r="K129" s="208" t="n"/>
      <c r="L129" s="209" t="n"/>
      <c r="M129" s="210" t="n">
        <v>309636.95</v>
      </c>
      <c r="N129" s="210" t="n">
        <v>35621.95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309636.95</v>
      </c>
      <c r="U129" s="206" t="n"/>
      <c r="V129" s="206" t="n"/>
    </row>
    <row r="130">
      <c r="A130" s="206" t="n">
        <v>59</v>
      </c>
      <c r="B130" s="206" t="inlineStr">
        <is>
          <t>100006014</t>
        </is>
      </c>
      <c r="C130" s="207" t="inlineStr">
        <is>
          <t>中建四局0200202101806038</t>
        </is>
      </c>
      <c r="D130" s="207" t="inlineStr">
        <is>
          <t>广州市番禺区石楼镇沙南建材二厂</t>
        </is>
      </c>
      <c r="E130" s="206" t="n"/>
      <c r="F130" s="206" t="n"/>
      <c r="G130" s="206" t="n"/>
      <c r="H130" s="206" t="n"/>
      <c r="I130" s="206" t="n"/>
      <c r="J130" s="206" t="n"/>
      <c r="K130" s="208" t="n"/>
      <c r="L130" s="209" t="n"/>
      <c r="M130" s="210" t="n">
        <v>1764728.27</v>
      </c>
      <c r="N130" s="210" t="n">
        <v>203021.99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1764728.27</v>
      </c>
      <c r="U130" s="206" t="n"/>
      <c r="V130" s="206" t="n"/>
    </row>
    <row r="131">
      <c r="A131" s="206" t="n">
        <v>60</v>
      </c>
      <c r="B131" s="206" t="inlineStr">
        <is>
          <t>100118301</t>
        </is>
      </c>
      <c r="C131" s="207" t="inlineStr">
        <is>
          <t>中建四局0200202101806019</t>
        </is>
      </c>
      <c r="D131" s="207" t="inlineStr">
        <is>
          <t>广州市维意建材有限公司</t>
        </is>
      </c>
      <c r="E131" s="206" t="n"/>
      <c r="F131" s="206" t="n"/>
      <c r="G131" s="206" t="n"/>
      <c r="H131" s="206" t="n"/>
      <c r="I131" s="206" t="n"/>
      <c r="J131" s="206" t="n"/>
      <c r="K131" s="208" t="n"/>
      <c r="L131" s="209" t="n"/>
      <c r="M131" s="210" t="n">
        <v>27960598.15</v>
      </c>
      <c r="N131" s="210" t="n">
        <v>814386.39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27960598.15</v>
      </c>
      <c r="U131" s="206" t="n"/>
      <c r="V131" s="206" t="n"/>
    </row>
    <row r="132">
      <c r="A132" s="206" t="n">
        <v>61</v>
      </c>
      <c r="B132" s="206" t="inlineStr">
        <is>
          <t>100118101</t>
        </is>
      </c>
      <c r="C132" s="207" t="inlineStr">
        <is>
          <t>中建四局0200202101806032</t>
        </is>
      </c>
      <c r="D132" s="207" t="inlineStr">
        <is>
          <t>广州市长兴混凝土有限公司</t>
        </is>
      </c>
      <c r="E132" s="206" t="n"/>
      <c r="F132" s="206" t="n"/>
      <c r="G132" s="206" t="n"/>
      <c r="H132" s="206" t="n"/>
      <c r="I132" s="206" t="n"/>
      <c r="J132" s="206" t="n"/>
      <c r="K132" s="208" t="n"/>
      <c r="L132" s="209" t="n"/>
      <c r="M132" s="210" t="n">
        <v>7340064.34</v>
      </c>
      <c r="N132" s="210" t="n">
        <v>213788.29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7297640.86</v>
      </c>
      <c r="U132" s="206" t="n"/>
      <c r="V132" s="206" t="n"/>
    </row>
    <row r="133">
      <c r="A133" s="206" t="n">
        <v>62</v>
      </c>
      <c r="B133" s="206" t="inlineStr">
        <is>
          <t>100217478</t>
        </is>
      </c>
      <c r="C133" s="207" t="inlineStr">
        <is>
          <t>中建四局0200202101806017</t>
        </is>
      </c>
      <c r="D133" s="207" t="inlineStr">
        <is>
          <t>广州建侯建材有限公司</t>
        </is>
      </c>
      <c r="E133" s="206" t="n"/>
      <c r="F133" s="206" t="n"/>
      <c r="G133" s="206" t="n"/>
      <c r="H133" s="206" t="n"/>
      <c r="I133" s="206" t="n"/>
      <c r="J133" s="206" t="n"/>
      <c r="K133" s="208" t="n"/>
      <c r="L133" s="209" t="n"/>
      <c r="M133" s="210" t="n">
        <v>1739020.42</v>
      </c>
      <c r="N133" s="210" t="n">
        <v>200064.3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1739020.42</v>
      </c>
      <c r="U133" s="206" t="n"/>
      <c r="V133" s="206" t="n"/>
    </row>
    <row r="134">
      <c r="A134" s="206" t="n">
        <v>63</v>
      </c>
      <c r="B134" s="206" t="inlineStr">
        <is>
          <t>200524589</t>
        </is>
      </c>
      <c r="C134" s="207" t="inlineStr">
        <is>
          <t>中建四局0200202101803020</t>
        </is>
      </c>
      <c r="D134" s="207" t="inlineStr">
        <is>
          <t>广州新广建设工程有限公司</t>
        </is>
      </c>
      <c r="E134" s="206" t="n"/>
      <c r="F134" s="206" t="n"/>
      <c r="G134" s="206" t="n"/>
      <c r="H134" s="206" t="n"/>
      <c r="I134" s="206" t="n"/>
      <c r="J134" s="206" t="n"/>
      <c r="K134" s="208" t="n"/>
      <c r="L134" s="209" t="n"/>
      <c r="M134" s="210" t="n">
        <v>145056.2</v>
      </c>
      <c r="N134" s="210" t="n">
        <v>116872.2</v>
      </c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10" t="n">
        <v>1412300</v>
      </c>
      <c r="U134" s="206" t="n"/>
      <c r="V134" s="206" t="n"/>
    </row>
    <row r="135">
      <c r="A135" s="206" t="n">
        <v>64</v>
      </c>
      <c r="B135" s="206" t="inlineStr">
        <is>
          <t>100217539</t>
        </is>
      </c>
      <c r="C135" s="207" t="inlineStr">
        <is>
          <t>中建四局0200202101805003</t>
        </is>
      </c>
      <c r="D135" s="207" t="inlineStr">
        <is>
          <t>广州易达运输有限公司</t>
        </is>
      </c>
      <c r="E135" s="206" t="n"/>
      <c r="F135" s="206" t="n"/>
      <c r="G135" s="206" t="n"/>
      <c r="H135" s="206" t="n"/>
      <c r="I135" s="206" t="n"/>
      <c r="J135" s="206" t="n"/>
      <c r="K135" s="208" t="n"/>
      <c r="L135" s="209" t="n"/>
      <c r="M135" s="210" t="n">
        <v>218594.76</v>
      </c>
      <c r="N135" s="210" t="n">
        <v>4631.78</v>
      </c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10" t="n">
        <v>218594.76</v>
      </c>
      <c r="U135" s="206" t="n"/>
      <c r="V135" s="206" t="n"/>
    </row>
    <row r="136">
      <c r="A136" s="206" t="n">
        <v>65</v>
      </c>
      <c r="B136" s="206" t="inlineStr">
        <is>
          <t>100094223</t>
        </is>
      </c>
      <c r="C136" s="207" t="inlineStr">
        <is>
          <t>中建四局0200202101806034</t>
        </is>
      </c>
      <c r="D136" s="207" t="inlineStr">
        <is>
          <t>广州晴泰蓝环保工程有限公司</t>
        </is>
      </c>
      <c r="E136" s="206" t="n"/>
      <c r="F136" s="206" t="n"/>
      <c r="G136" s="206" t="n"/>
      <c r="H136" s="206" t="n"/>
      <c r="I136" s="206" t="n"/>
      <c r="J136" s="206" t="n"/>
      <c r="K136" s="208" t="n"/>
      <c r="L136" s="209" t="n"/>
      <c r="M136" s="210" t="n">
        <v>158200</v>
      </c>
      <c r="N136" s="210" t="n">
        <v>18200</v>
      </c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10" t="n">
        <v>158200</v>
      </c>
      <c r="U136" s="206" t="n"/>
      <c r="V136" s="206" t="n"/>
    </row>
    <row r="137">
      <c r="A137" s="206" t="n">
        <v>66</v>
      </c>
      <c r="B137" s="206" t="inlineStr">
        <is>
          <t>100217502</t>
        </is>
      </c>
      <c r="C137" s="207" t="inlineStr">
        <is>
          <t>中建四局0200202101805002</t>
        </is>
      </c>
      <c r="D137" s="207" t="inlineStr">
        <is>
          <t>广州湘亿货运代理有限公司</t>
        </is>
      </c>
      <c r="E137" s="206" t="n"/>
      <c r="F137" s="206" t="n"/>
      <c r="G137" s="206" t="n"/>
      <c r="H137" s="206" t="n"/>
      <c r="I137" s="206" t="n"/>
      <c r="J137" s="206" t="n"/>
      <c r="K137" s="208" t="n"/>
      <c r="L137" s="209" t="n"/>
      <c r="M137" s="210" t="n">
        <v>74576.83</v>
      </c>
      <c r="N137" s="210" t="n">
        <v>6157.73</v>
      </c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10" t="n">
        <v>74576.83</v>
      </c>
      <c r="U137" s="206" t="n"/>
      <c r="V137" s="206" t="n"/>
    </row>
    <row r="138">
      <c r="A138" s="206" t="n">
        <v>67</v>
      </c>
      <c r="B138" s="206" t="inlineStr">
        <is>
          <t>200310203</t>
        </is>
      </c>
      <c r="C138" s="207" t="inlineStr">
        <is>
          <t>中建四局02002021018030025</t>
        </is>
      </c>
      <c r="D138" s="207" t="inlineStr">
        <is>
          <t>广州爱创广告策划有限公司</t>
        </is>
      </c>
      <c r="E138" s="206" t="n"/>
      <c r="F138" s="206" t="n"/>
      <c r="G138" s="206" t="n"/>
      <c r="H138" s="206" t="n"/>
      <c r="I138" s="206" t="n"/>
      <c r="J138" s="206" t="n"/>
      <c r="K138" s="208" t="n"/>
      <c r="L138" s="209" t="n"/>
      <c r="M138" s="210" t="n">
        <v>40876.39</v>
      </c>
      <c r="N138" s="210" t="n">
        <v>27250.93</v>
      </c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10" t="n">
        <v>481000</v>
      </c>
      <c r="U138" s="206" t="n"/>
      <c r="V138" s="206" t="n"/>
    </row>
    <row r="139">
      <c r="A139" s="206" t="n">
        <v>68</v>
      </c>
      <c r="B139" s="206" t="inlineStr">
        <is>
          <t>200413088</t>
        </is>
      </c>
      <c r="C139" s="207" t="inlineStr">
        <is>
          <t>中建四局0200202101806021</t>
        </is>
      </c>
      <c r="D139" s="207" t="inlineStr">
        <is>
          <t>广州盒子住宅科技有限公司</t>
        </is>
      </c>
      <c r="E139" s="206" t="n"/>
      <c r="F139" s="206" t="n"/>
      <c r="G139" s="206" t="n"/>
      <c r="H139" s="206" t="n"/>
      <c r="I139" s="206" t="n"/>
      <c r="J139" s="206" t="n"/>
      <c r="K139" s="208" t="n"/>
      <c r="L139" s="209" t="n"/>
      <c r="M139" s="210" t="n">
        <v>15739667.3</v>
      </c>
      <c r="N139" s="210" t="n">
        <v>1793690.33</v>
      </c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10" t="n">
        <v>8652600</v>
      </c>
      <c r="U139" s="206" t="n"/>
      <c r="V139" s="206" t="n"/>
    </row>
    <row r="140">
      <c r="A140" s="206" t="n">
        <v>69</v>
      </c>
      <c r="B140" s="206" t="inlineStr">
        <is>
          <t>100082913</t>
        </is>
      </c>
      <c r="C140" s="207" t="inlineStr">
        <is>
          <t>中建四局0200202101803024</t>
        </is>
      </c>
      <c r="D140" s="207" t="inlineStr">
        <is>
          <t>广州盛绿建材有限公司</t>
        </is>
      </c>
      <c r="E140" s="206" t="n"/>
      <c r="F140" s="206" t="n"/>
      <c r="G140" s="206" t="n"/>
      <c r="H140" s="206" t="n"/>
      <c r="I140" s="206" t="n"/>
      <c r="J140" s="206" t="n"/>
      <c r="K140" s="208" t="n"/>
      <c r="L140" s="209" t="n"/>
      <c r="M140" s="210" t="n">
        <v>85585.59</v>
      </c>
      <c r="N140" s="210" t="n">
        <v>64189.19</v>
      </c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10" t="n">
        <v>685000</v>
      </c>
      <c r="U140" s="206" t="n"/>
      <c r="V140" s="206" t="n"/>
    </row>
    <row r="141">
      <c r="A141" s="206" t="n">
        <v>70</v>
      </c>
      <c r="B141" s="206" t="inlineStr">
        <is>
          <t>200234923</t>
        </is>
      </c>
      <c r="C141" s="207" t="inlineStr">
        <is>
          <t>中建四局0200202101806013</t>
        </is>
      </c>
      <c r="D141" s="207" t="inlineStr">
        <is>
          <t>广州睿越建材有限公司</t>
        </is>
      </c>
      <c r="E141" s="206" t="n"/>
      <c r="F141" s="206" t="n"/>
      <c r="G141" s="206" t="n"/>
      <c r="H141" s="206" t="n"/>
      <c r="I141" s="206" t="n"/>
      <c r="J141" s="206" t="n"/>
      <c r="K141" s="208" t="n"/>
      <c r="L141" s="209" t="n"/>
      <c r="M141" s="210" t="n">
        <v>49393.04</v>
      </c>
      <c r="N141" s="210" t="n">
        <v>5682.39</v>
      </c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10" t="n">
        <v>49393.04</v>
      </c>
      <c r="U141" s="206" t="n"/>
      <c r="V141" s="206" t="n"/>
    </row>
    <row r="142">
      <c r="A142" s="206" t="n">
        <v>71</v>
      </c>
      <c r="B142" s="206" t="inlineStr">
        <is>
          <t>100119801</t>
        </is>
      </c>
      <c r="C142" s="207" t="inlineStr">
        <is>
          <t>中建四局0200202101806037</t>
        </is>
      </c>
      <c r="D142" s="207" t="inlineStr">
        <is>
          <t>广州禄臻贸易有限公司</t>
        </is>
      </c>
      <c r="E142" s="206" t="n"/>
      <c r="F142" s="206" t="n"/>
      <c r="G142" s="206" t="n"/>
      <c r="H142" s="206" t="n"/>
      <c r="I142" s="206" t="n"/>
      <c r="J142" s="206" t="n"/>
      <c r="K142" s="208" t="n"/>
      <c r="L142" s="209" t="n"/>
      <c r="M142" s="210" t="n">
        <v>657842.09</v>
      </c>
      <c r="N142" s="210" t="n">
        <v>75681</v>
      </c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10" t="n">
        <v>657842.08</v>
      </c>
      <c r="U142" s="206" t="n"/>
      <c r="V142" s="206" t="n"/>
    </row>
    <row r="143">
      <c r="A143" s="206" t="n">
        <v>72</v>
      </c>
      <c r="B143" s="206" t="inlineStr">
        <is>
          <t>100217147</t>
        </is>
      </c>
      <c r="C143" s="207" t="inlineStr">
        <is>
          <t>中建四局020020210018040003</t>
        </is>
      </c>
      <c r="D143" s="207" t="inlineStr">
        <is>
          <t>广州精诚建筑劳务有限公司</t>
        </is>
      </c>
      <c r="E143" s="206" t="n"/>
      <c r="F143" s="206" t="n"/>
      <c r="G143" s="206" t="n"/>
      <c r="H143" s="206" t="n"/>
      <c r="I143" s="206" t="n"/>
      <c r="J143" s="206" t="n"/>
      <c r="K143" s="208" t="n"/>
      <c r="L143" s="209" t="n"/>
      <c r="M143" s="210" t="n">
        <v>287179.35</v>
      </c>
      <c r="N143" s="210" t="n">
        <v>185985.2</v>
      </c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10" t="n">
        <v>5184957.19</v>
      </c>
      <c r="U143" s="206" t="n"/>
      <c r="V143" s="206" t="n"/>
    </row>
    <row r="144">
      <c r="A144" s="206" t="n">
        <v>73</v>
      </c>
      <c r="B144" s="206" t="inlineStr">
        <is>
          <t>100217147</t>
        </is>
      </c>
      <c r="C144" s="207" t="inlineStr">
        <is>
          <t>中建四局0200202101803006</t>
        </is>
      </c>
      <c r="D144" s="207" t="inlineStr">
        <is>
          <t>广州精诚建筑劳务有限公司</t>
        </is>
      </c>
      <c r="E144" s="206" t="n"/>
      <c r="F144" s="206" t="n"/>
      <c r="G144" s="206" t="n"/>
      <c r="H144" s="206" t="n"/>
      <c r="I144" s="206" t="n"/>
      <c r="J144" s="206" t="n"/>
      <c r="K144" s="208" t="n"/>
      <c r="L144" s="209" t="n"/>
      <c r="M144" s="210" t="n">
        <v>624668.92</v>
      </c>
      <c r="N144" s="210" t="n">
        <v>491883.5</v>
      </c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10" t="n">
        <v>5957255.62</v>
      </c>
      <c r="U144" s="206" t="n"/>
      <c r="V144" s="206" t="n"/>
    </row>
    <row r="145">
      <c r="A145" s="206" t="n">
        <v>74</v>
      </c>
      <c r="B145" s="206" t="inlineStr">
        <is>
          <t>100217843</t>
        </is>
      </c>
      <c r="C145" s="207" t="inlineStr">
        <is>
          <t>中建四局0200202101806039</t>
        </is>
      </c>
      <c r="D145" s="207" t="inlineStr">
        <is>
          <t>广州绿色金融街投资管理有限公司</t>
        </is>
      </c>
      <c r="E145" s="206" t="n"/>
      <c r="F145" s="206" t="n"/>
      <c r="G145" s="206" t="n"/>
      <c r="H145" s="206" t="n"/>
      <c r="I145" s="206" t="n"/>
      <c r="J145" s="206" t="n"/>
      <c r="K145" s="208" t="n"/>
      <c r="L145" s="209" t="n"/>
      <c r="M145" s="210" t="n">
        <v>34229862.99</v>
      </c>
      <c r="N145" s="210" t="n">
        <v>3937948.82</v>
      </c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10" t="n">
        <v>34229862.99</v>
      </c>
      <c r="U145" s="206" t="n"/>
      <c r="V145" s="206" t="n"/>
    </row>
    <row r="146">
      <c r="A146" s="206" t="n">
        <v>75</v>
      </c>
      <c r="B146" s="206" t="inlineStr">
        <is>
          <t>200050849</t>
        </is>
      </c>
      <c r="C146" s="207" t="inlineStr">
        <is>
          <t>中建四局0200202101803009</t>
        </is>
      </c>
      <c r="D146" s="207" t="inlineStr">
        <is>
          <t>广州轲达土石方工程有限公司</t>
        </is>
      </c>
      <c r="E146" s="206" t="n"/>
      <c r="F146" s="206" t="n"/>
      <c r="G146" s="206" t="n"/>
      <c r="H146" s="206" t="n"/>
      <c r="I146" s="206" t="n"/>
      <c r="J146" s="206" t="n"/>
      <c r="K146" s="208" t="n"/>
      <c r="L146" s="209" t="n"/>
      <c r="M146" s="210" t="n">
        <v>562875.4</v>
      </c>
      <c r="N146" s="210" t="n">
        <v>425595.11</v>
      </c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10" t="n">
        <v>4881700</v>
      </c>
      <c r="U146" s="206" t="n"/>
      <c r="V146" s="206" t="n"/>
    </row>
    <row r="147">
      <c r="A147" s="206" t="n">
        <v>76</v>
      </c>
      <c r="B147" s="206" t="inlineStr">
        <is>
          <t>100217163</t>
        </is>
      </c>
      <c r="C147" s="207" t="inlineStr">
        <is>
          <t>中建四局0200202101806002</t>
        </is>
      </c>
      <c r="D147" s="207" t="inlineStr">
        <is>
          <t>广州辰辰建材租赁有限公司</t>
        </is>
      </c>
      <c r="E147" s="206" t="n"/>
      <c r="F147" s="206" t="n"/>
      <c r="G147" s="206" t="n"/>
      <c r="H147" s="206" t="n"/>
      <c r="I147" s="206" t="n"/>
      <c r="J147" s="206" t="n"/>
      <c r="K147" s="208" t="n"/>
      <c r="L147" s="209" t="n"/>
      <c r="M147" s="210" t="n">
        <v>4030449.58</v>
      </c>
      <c r="N147" s="210" t="n">
        <v>463680.09</v>
      </c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10" t="n">
        <v>4017620.13</v>
      </c>
      <c r="U147" s="206" t="n"/>
      <c r="V147" s="206" t="n"/>
    </row>
    <row r="148">
      <c r="A148" s="206" t="n">
        <v>77</v>
      </c>
      <c r="B148" s="206" t="inlineStr">
        <is>
          <t>200140248</t>
        </is>
      </c>
      <c r="C148" s="207" t="inlineStr">
        <is>
          <t>中建四局0200202101803001</t>
        </is>
      </c>
      <c r="D148" s="207" t="inlineStr">
        <is>
          <t>广州陇飞广告有限公司</t>
        </is>
      </c>
      <c r="E148" s="206" t="n"/>
      <c r="F148" s="206" t="n"/>
      <c r="G148" s="206" t="n"/>
      <c r="H148" s="206" t="n"/>
      <c r="I148" s="206" t="n"/>
      <c r="J148" s="206" t="n"/>
      <c r="K148" s="208" t="n"/>
      <c r="L148" s="209" t="n"/>
      <c r="M148" s="210" t="n">
        <v>67973.44</v>
      </c>
      <c r="N148" s="210" t="n">
        <v>35791.76</v>
      </c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10" t="n">
        <v>1378952.99</v>
      </c>
      <c r="U148" s="206" t="n"/>
      <c r="V148" s="206" t="n"/>
    </row>
    <row r="149">
      <c r="A149" s="206" t="n">
        <v>78</v>
      </c>
      <c r="B149" s="206" t="inlineStr">
        <is>
          <t>200098421</t>
        </is>
      </c>
      <c r="C149" s="207" t="inlineStr">
        <is>
          <t>中建四局0200202101803015</t>
        </is>
      </c>
      <c r="D149" s="207" t="inlineStr">
        <is>
          <t>广州鸿伟广告工程有限公司</t>
        </is>
      </c>
      <c r="E149" s="206" t="n"/>
      <c r="F149" s="206" t="n"/>
      <c r="G149" s="206" t="n"/>
      <c r="H149" s="206" t="n"/>
      <c r="I149" s="206" t="n"/>
      <c r="J149" s="206" t="n"/>
      <c r="K149" s="208" t="n"/>
      <c r="L149" s="209" t="n"/>
      <c r="M149" s="210" t="n">
        <v>14063.11</v>
      </c>
      <c r="N149" s="210" t="n">
        <v>8437.870000000001</v>
      </c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10" t="n">
        <v>282000</v>
      </c>
      <c r="U149" s="206" t="n"/>
      <c r="V149" s="206" t="n"/>
    </row>
    <row r="150">
      <c r="A150" s="206" t="n">
        <v>79</v>
      </c>
      <c r="B150" s="206" t="inlineStr">
        <is>
          <t>200009555</t>
        </is>
      </c>
      <c r="C150" s="207" t="inlineStr">
        <is>
          <t>中建四局0200202101806030</t>
        </is>
      </c>
      <c r="D150" s="207" t="inlineStr">
        <is>
          <t>广联达科技股份有限公司</t>
        </is>
      </c>
      <c r="E150" s="206" t="n"/>
      <c r="F150" s="206" t="n"/>
      <c r="G150" s="206" t="n"/>
      <c r="H150" s="206" t="n"/>
      <c r="I150" s="206" t="n"/>
      <c r="J150" s="206" t="n"/>
      <c r="K150" s="208" t="n"/>
      <c r="L150" s="209" t="n"/>
      <c r="M150" s="210" t="n">
        <v>50000</v>
      </c>
      <c r="N150" s="210" t="n">
        <v>5752.21</v>
      </c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10" t="n">
        <v>50000</v>
      </c>
      <c r="U150" s="206" t="n"/>
      <c r="V150" s="206" t="n"/>
    </row>
    <row r="151">
      <c r="A151" s="206" t="n">
        <v>80</v>
      </c>
      <c r="B151" s="206" t="inlineStr">
        <is>
          <t>100089001</t>
        </is>
      </c>
      <c r="C151" s="207" t="inlineStr">
        <is>
          <t>中建四局0200202101803002</t>
        </is>
      </c>
      <c r="D151" s="207" t="inlineStr">
        <is>
          <t>正工模块化建筑科技（深圳）有限公司</t>
        </is>
      </c>
      <c r="E151" s="206" t="n"/>
      <c r="F151" s="206" t="n"/>
      <c r="G151" s="206" t="n"/>
      <c r="H151" s="206" t="n"/>
      <c r="I151" s="206" t="n"/>
      <c r="J151" s="206" t="n"/>
      <c r="K151" s="208" t="n"/>
      <c r="L151" s="209" t="n"/>
      <c r="M151" s="210" t="n">
        <v>161128.75</v>
      </c>
      <c r="N151" s="210" t="n">
        <v>136848.07</v>
      </c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10" t="n">
        <v>1189525.58</v>
      </c>
      <c r="U151" s="206" t="n"/>
      <c r="V151" s="206" t="n"/>
    </row>
    <row r="152">
      <c r="A152" s="206" t="n">
        <v>81</v>
      </c>
      <c r="B152" s="206" t="inlineStr">
        <is>
          <t>100089001</t>
        </is>
      </c>
      <c r="C152" s="207" t="inlineStr">
        <is>
          <t>中建四局0200202101803008</t>
        </is>
      </c>
      <c r="D152" s="207" t="inlineStr">
        <is>
          <t>正工模块化建筑科技（深圳）有限公司</t>
        </is>
      </c>
      <c r="E152" s="206" t="n"/>
      <c r="F152" s="206" t="n"/>
      <c r="G152" s="206" t="n"/>
      <c r="H152" s="206" t="n"/>
      <c r="I152" s="206" t="n"/>
      <c r="J152" s="206" t="n"/>
      <c r="K152" s="208" t="n"/>
      <c r="L152" s="209" t="n"/>
      <c r="M152" s="210" t="n">
        <v>134793.15</v>
      </c>
      <c r="N152" s="210" t="n">
        <v>114830.34</v>
      </c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10" t="n">
        <v>998140.64</v>
      </c>
      <c r="U152" s="206" t="n"/>
      <c r="V152" s="206" t="n"/>
    </row>
    <row r="153">
      <c r="A153" s="206" t="n">
        <v>82</v>
      </c>
      <c r="B153" s="206" t="inlineStr">
        <is>
          <t>100089014</t>
        </is>
      </c>
      <c r="C153" s="207" t="inlineStr">
        <is>
          <t>中建四局0200202101803012</t>
        </is>
      </c>
      <c r="D153" s="207" t="inlineStr">
        <is>
          <t>江西志特新材料股份有限公司</t>
        </is>
      </c>
      <c r="E153" s="206" t="n"/>
      <c r="F153" s="206" t="n"/>
      <c r="G153" s="206" t="n"/>
      <c r="H153" s="206" t="n"/>
      <c r="I153" s="206" t="n"/>
      <c r="J153" s="206" t="n"/>
      <c r="K153" s="208" t="n"/>
      <c r="L153" s="209" t="n"/>
      <c r="M153" s="210" t="n">
        <v>1389019.98</v>
      </c>
      <c r="N153" s="210" t="n">
        <v>1184934.15</v>
      </c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10" t="n">
        <v>10299812.4</v>
      </c>
      <c r="U153" s="206" t="n"/>
      <c r="V153" s="206" t="n"/>
    </row>
    <row r="154">
      <c r="A154" s="206" t="n">
        <v>83</v>
      </c>
      <c r="B154" s="206" t="inlineStr">
        <is>
          <t>100170699</t>
        </is>
      </c>
      <c r="C154" s="207" t="inlineStr">
        <is>
          <t>中建四局0200202101806027</t>
        </is>
      </c>
      <c r="D154" s="207" t="inlineStr">
        <is>
          <t>浙商中拓集团（广东）有限公司</t>
        </is>
      </c>
      <c r="E154" s="206" t="n"/>
      <c r="F154" s="206" t="n"/>
      <c r="G154" s="206" t="n"/>
      <c r="H154" s="206" t="n"/>
      <c r="I154" s="206" t="n"/>
      <c r="J154" s="206" t="n"/>
      <c r="K154" s="208" t="n"/>
      <c r="L154" s="209" t="n"/>
      <c r="M154" s="210" t="n">
        <v>787757.3</v>
      </c>
      <c r="N154" s="210" t="n">
        <v>90626.95</v>
      </c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10" t="n">
        <v>787757.3</v>
      </c>
      <c r="U154" s="206" t="n"/>
      <c r="V154" s="206" t="n"/>
    </row>
    <row r="155">
      <c r="A155" s="206" t="n">
        <v>84</v>
      </c>
      <c r="B155" s="206" t="inlineStr">
        <is>
          <t>200447949</t>
        </is>
      </c>
      <c r="C155" s="207" t="inlineStr">
        <is>
          <t>中建四局0200202101803007</t>
        </is>
      </c>
      <c r="D155" s="207" t="inlineStr">
        <is>
          <t>深圳市他拍档科技有限公司</t>
        </is>
      </c>
      <c r="E155" s="206" t="n"/>
      <c r="F155" s="206" t="n"/>
      <c r="G155" s="206" t="n"/>
      <c r="H155" s="206" t="n"/>
      <c r="I155" s="206" t="n"/>
      <c r="J155" s="206" t="n"/>
      <c r="K155" s="208" t="n"/>
      <c r="L155" s="209" t="n"/>
      <c r="M155" s="210" t="n">
        <v>111928.36</v>
      </c>
      <c r="N155" s="210" t="n">
        <v>108396.07</v>
      </c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10" t="n">
        <v>1308300</v>
      </c>
      <c r="U155" s="206" t="n"/>
      <c r="V155" s="206" t="n"/>
    </row>
    <row r="156">
      <c r="A156" s="206" t="n">
        <v>85</v>
      </c>
      <c r="B156" s="206" t="inlineStr">
        <is>
          <t>200280905</t>
        </is>
      </c>
      <c r="C156" s="207" t="inlineStr">
        <is>
          <t>中建四局0200202101803013</t>
        </is>
      </c>
      <c r="D156" s="207" t="inlineStr">
        <is>
          <t>深圳市宏富丽晶建筑装饰工程有限公司</t>
        </is>
      </c>
      <c r="E156" s="206" t="n"/>
      <c r="F156" s="206" t="n"/>
      <c r="G156" s="206" t="n"/>
      <c r="H156" s="206" t="n"/>
      <c r="I156" s="206" t="n"/>
      <c r="J156" s="206" t="n"/>
      <c r="K156" s="208" t="n"/>
      <c r="L156" s="209" t="n"/>
      <c r="M156" s="210" t="n">
        <v>41101.56</v>
      </c>
      <c r="N156" s="210" t="n">
        <v>33118.76</v>
      </c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10" t="n">
        <v>401100</v>
      </c>
      <c r="U156" s="206" t="n"/>
      <c r="V156" s="206" t="n"/>
    </row>
    <row r="157">
      <c r="A157" s="206" t="n">
        <v>86</v>
      </c>
      <c r="B157" s="206" t="inlineStr">
        <is>
          <t>100198899</t>
        </is>
      </c>
      <c r="C157" s="207" t="inlineStr">
        <is>
          <t>中建四局0200202101806008</t>
        </is>
      </c>
      <c r="D157" s="207" t="inlineStr">
        <is>
          <t>深圳市金仪时代环保产业有限公司</t>
        </is>
      </c>
      <c r="E157" s="206" t="n"/>
      <c r="F157" s="206" t="n"/>
      <c r="G157" s="206" t="n"/>
      <c r="H157" s="206" t="n"/>
      <c r="I157" s="206" t="n"/>
      <c r="J157" s="206" t="n"/>
      <c r="K157" s="208" t="n"/>
      <c r="L157" s="209" t="n"/>
      <c r="M157" s="210" t="n">
        <v>52420.7</v>
      </c>
      <c r="N157" s="210" t="n">
        <v>6030.7</v>
      </c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10" t="n">
        <v>52420.7</v>
      </c>
      <c r="U157" s="206" t="n"/>
      <c r="V157" s="206" t="n"/>
    </row>
    <row r="158">
      <c r="A158" s="206" t="n">
        <v>87</v>
      </c>
      <c r="B158" s="206" t="inlineStr">
        <is>
          <t>100218623</t>
        </is>
      </c>
      <c r="C158" s="207" t="inlineStr">
        <is>
          <t>中建四局0200202101806043</t>
        </is>
      </c>
      <c r="D158" s="207" t="inlineStr">
        <is>
          <t>深圳市鑫源发陶瓷有限公司</t>
        </is>
      </c>
      <c r="E158" s="206" t="n"/>
      <c r="F158" s="206" t="n"/>
      <c r="G158" s="206" t="n"/>
      <c r="H158" s="206" t="n"/>
      <c r="I158" s="206" t="n"/>
      <c r="J158" s="206" t="n"/>
      <c r="K158" s="208" t="n"/>
      <c r="L158" s="209" t="n"/>
      <c r="M158" s="210" t="n">
        <v>249101.19</v>
      </c>
      <c r="N158" s="210" t="n">
        <v>28657.66</v>
      </c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10" t="n">
        <v>249101.19</v>
      </c>
      <c r="U158" s="206" t="n"/>
      <c r="V158" s="206" t="n"/>
    </row>
    <row r="159">
      <c r="A159" s="206" t="n">
        <v>88</v>
      </c>
      <c r="B159" s="206" t="inlineStr">
        <is>
          <t>200165033</t>
        </is>
      </c>
      <c r="C159" s="207" t="inlineStr">
        <is>
          <t>中建四局0200202101803021</t>
        </is>
      </c>
      <c r="D159" s="207" t="inlineStr">
        <is>
          <t>深圳市鹏兴机电工程有限公司</t>
        </is>
      </c>
      <c r="E159" s="206" t="n"/>
      <c r="F159" s="206" t="n"/>
      <c r="G159" s="206" t="n"/>
      <c r="H159" s="206" t="n"/>
      <c r="I159" s="206" t="n"/>
      <c r="J159" s="206" t="n"/>
      <c r="K159" s="208" t="n"/>
      <c r="L159" s="209" t="n"/>
      <c r="M159" s="210" t="n">
        <v>3853435.3</v>
      </c>
      <c r="N159" s="210" t="n">
        <v>2909197.29</v>
      </c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10" t="n">
        <v>33467842.59</v>
      </c>
      <c r="U159" s="206" t="n"/>
      <c r="V159" s="206" t="n"/>
    </row>
    <row r="160">
      <c r="A160" s="206" t="n">
        <v>89</v>
      </c>
      <c r="B160" s="206" t="inlineStr">
        <is>
          <t>100074117</t>
        </is>
      </c>
      <c r="C160" s="207" t="inlineStr">
        <is>
          <t>中建四局0200202101806011</t>
        </is>
      </c>
      <c r="D160" s="207" t="inlineStr">
        <is>
          <t>清远市榕兴新型环保建材有限责任公司</t>
        </is>
      </c>
      <c r="E160" s="206" t="n"/>
      <c r="F160" s="206" t="n"/>
      <c r="G160" s="206" t="n"/>
      <c r="H160" s="206" t="n"/>
      <c r="I160" s="206" t="n"/>
      <c r="J160" s="206" t="n"/>
      <c r="K160" s="208" t="n"/>
      <c r="L160" s="209" t="n"/>
      <c r="M160" s="210" t="n">
        <v>1437040.36</v>
      </c>
      <c r="N160" s="210" t="n">
        <v>165323.22</v>
      </c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10" t="n">
        <v>1437040.36</v>
      </c>
      <c r="U160" s="206" t="n"/>
      <c r="V160" s="206" t="n"/>
    </row>
    <row r="161">
      <c r="A161" s="206" t="n">
        <v>90</v>
      </c>
      <c r="B161" s="206" t="inlineStr">
        <is>
          <t>200421551</t>
        </is>
      </c>
      <c r="C161" s="207" t="inlineStr">
        <is>
          <t>中建四局0200202101804009</t>
        </is>
      </c>
      <c r="D161" s="207" t="inlineStr">
        <is>
          <t>湖南阳旭建筑劳务服务有限公司</t>
        </is>
      </c>
      <c r="E161" s="206" t="n"/>
      <c r="F161" s="206" t="n"/>
      <c r="G161" s="206" t="n"/>
      <c r="H161" s="206" t="n"/>
      <c r="I161" s="206" t="n"/>
      <c r="J161" s="206" t="n"/>
      <c r="K161" s="208" t="n"/>
      <c r="L161" s="209" t="n"/>
      <c r="M161" s="210" t="n">
        <v>270713.87</v>
      </c>
      <c r="N161" s="210" t="n">
        <v>148363.9</v>
      </c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10" t="n">
        <v>4971100</v>
      </c>
      <c r="U161" s="206" t="n"/>
      <c r="V161" s="206" t="n"/>
    </row>
    <row r="162">
      <c r="A162" s="206" t="n">
        <v>91</v>
      </c>
      <c r="B162" s="206" t="inlineStr">
        <is>
          <t>100114405</t>
        </is>
      </c>
      <c r="C162" s="207" t="inlineStr">
        <is>
          <t>中建四局0200202101806018</t>
        </is>
      </c>
      <c r="D162" s="207" t="inlineStr">
        <is>
          <t>祁东县明达轻质陶粒厂</t>
        </is>
      </c>
      <c r="E162" s="206" t="n"/>
      <c r="F162" s="206" t="n"/>
      <c r="G162" s="206" t="n"/>
      <c r="H162" s="206" t="n"/>
      <c r="I162" s="206" t="n"/>
      <c r="J162" s="206" t="n"/>
      <c r="K162" s="208" t="n"/>
      <c r="L162" s="209" t="n"/>
      <c r="M162" s="210" t="n">
        <v>551649.48</v>
      </c>
      <c r="N162" s="210" t="n">
        <v>16863.59</v>
      </c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10" t="n">
        <v>549855.73</v>
      </c>
      <c r="U162" s="206" t="n"/>
      <c r="V162" s="206" t="n"/>
    </row>
    <row r="163">
      <c r="A163" s="206" t="n">
        <v>92</v>
      </c>
      <c r="B163" s="206" t="inlineStr">
        <is>
          <t>100199057</t>
        </is>
      </c>
      <c r="C163" s="207" t="inlineStr">
        <is>
          <t>中建四局0200202101806010</t>
        </is>
      </c>
      <c r="D163" s="207" t="inlineStr">
        <is>
          <t>福建省莆田市龙兴劳保用品有限公司</t>
        </is>
      </c>
      <c r="E163" s="206" t="n"/>
      <c r="F163" s="206" t="n"/>
      <c r="G163" s="206" t="n"/>
      <c r="H163" s="206" t="n"/>
      <c r="I163" s="206" t="n"/>
      <c r="J163" s="206" t="n"/>
      <c r="K163" s="208" t="n"/>
      <c r="L163" s="209" t="n"/>
      <c r="M163" s="210" t="n">
        <v>575487.03</v>
      </c>
      <c r="N163" s="210" t="n">
        <v>66206.64999999999</v>
      </c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10" t="n">
        <v>575487.03</v>
      </c>
      <c r="U163" s="206" t="n"/>
      <c r="V163" s="206" t="n"/>
    </row>
    <row r="164">
      <c r="A164" s="206" t="n">
        <v>93</v>
      </c>
      <c r="B164" s="206" t="inlineStr">
        <is>
          <t>100199057</t>
        </is>
      </c>
      <c r="C164" s="207" t="inlineStr">
        <is>
          <t>中建四局0200202101806031</t>
        </is>
      </c>
      <c r="D164" s="207" t="inlineStr">
        <is>
          <t>福建省莆田市龙兴劳保用品有限公司</t>
        </is>
      </c>
      <c r="E164" s="206" t="n"/>
      <c r="F164" s="206" t="n"/>
      <c r="G164" s="206" t="n"/>
      <c r="H164" s="206" t="n"/>
      <c r="I164" s="206" t="n"/>
      <c r="J164" s="206" t="n"/>
      <c r="K164" s="208" t="n"/>
      <c r="L164" s="209" t="n"/>
      <c r="M164" s="210" t="n">
        <v>54788.28</v>
      </c>
      <c r="N164" s="210" t="n">
        <v>6303.07</v>
      </c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10" t="n">
        <v>54788.28</v>
      </c>
      <c r="U164" s="206" t="n"/>
      <c r="V164" s="206" t="n"/>
    </row>
    <row r="165">
      <c r="A165" s="206" t="n">
        <v>94</v>
      </c>
      <c r="B165" s="206" t="n"/>
      <c r="C165" s="207" t="n"/>
      <c r="D165" s="207" t="inlineStr">
        <is>
          <t>废旧物资消耗（SQD）</t>
        </is>
      </c>
      <c r="E165" s="206" t="n"/>
      <c r="F165" s="206" t="n"/>
      <c r="G165" s="206" t="n"/>
      <c r="H165" s="206" t="n"/>
      <c r="I165" s="206" t="n"/>
      <c r="J165" s="206" t="n"/>
      <c r="K165" s="208" t="n"/>
      <c r="L165" s="209" t="n"/>
      <c r="M165" s="210" t="n">
        <v>7911.36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>
        <v>95</v>
      </c>
      <c r="B166" s="206" t="n"/>
      <c r="C166" s="207" t="n"/>
      <c r="D166" s="207" t="inlineStr">
        <is>
          <t>减：研发领用材料</t>
        </is>
      </c>
      <c r="E166" s="206" t="n"/>
      <c r="F166" s="206" t="n"/>
      <c r="G166" s="206" t="n"/>
      <c r="H166" s="206" t="n"/>
      <c r="I166" s="206" t="n"/>
      <c r="J166" s="206" t="n"/>
      <c r="K166" s="208" t="n"/>
      <c r="L166" s="209" t="n"/>
      <c r="M166" s="210" t="n">
        <v>-25030932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33" t="n">
        <v>96</v>
      </c>
      <c r="B167" s="199" t="n"/>
      <c r="C167" s="199" t="n"/>
      <c r="D167" s="218" t="inlineStr">
        <is>
          <t>材料调入</t>
        </is>
      </c>
      <c r="E167" s="199" t="n"/>
      <c r="F167" s="199" t="n"/>
      <c r="G167" s="199" t="n"/>
      <c r="H167" s="189" t="n"/>
      <c r="I167" s="189" t="n"/>
      <c r="J167" s="189" t="n"/>
      <c r="K167" s="201" t="n"/>
      <c r="L167" s="202" t="n"/>
      <c r="M167" s="223" t="n">
        <v>17996069.15</v>
      </c>
      <c r="N167" s="189" t="n"/>
      <c r="O167" s="189">
        <f>L167-M167</f>
        <v/>
      </c>
      <c r="P167" s="189">
        <f>K167-N167</f>
        <v/>
      </c>
      <c r="Q167" s="189">
        <f>M167+O167</f>
        <v/>
      </c>
      <c r="R167" s="189">
        <f>M167+N167+O167+P167</f>
        <v/>
      </c>
      <c r="S167" s="203">
        <f>SUM(T167:V167)</f>
        <v/>
      </c>
      <c r="T167" s="203" t="n"/>
      <c r="U167" s="203" t="n"/>
      <c r="V167" s="203" t="n"/>
      <c r="W167" s="203" t="n"/>
      <c r="X167" s="203" t="n"/>
      <c r="Y167" s="203" t="n"/>
      <c r="Z167" s="189">
        <f>SUM(AA30:AJ30)</f>
        <v/>
      </c>
      <c r="AA167" s="203" t="n"/>
      <c r="AB167" s="220" t="n"/>
      <c r="AC167" s="220" t="n"/>
      <c r="AD167" s="220" t="n"/>
      <c r="AE167" s="220" t="n"/>
      <c r="AF167" s="220" t="n"/>
      <c r="AG167" s="220" t="n"/>
      <c r="AH167" s="220" t="n"/>
      <c r="AI167" s="220" t="n"/>
      <c r="AJ167" s="220" t="n"/>
      <c r="AK167" s="188">
        <f>AB30/1.17*0.17+AC30/1.16*0.16+AD30/1.11*0.11+AE30/1.1*0.1+AF30/1.09*0.09+AI30/1.03*0.03</f>
        <v/>
      </c>
      <c r="AL167" s="221" t="n"/>
    </row>
    <row r="168">
      <c r="A168" s="33" t="n">
        <v>97</v>
      </c>
      <c r="B168" s="199" t="n"/>
      <c r="C168" s="199" t="n"/>
      <c r="D168" s="218" t="inlineStr">
        <is>
          <t>材料调出（注：负数填报）</t>
        </is>
      </c>
      <c r="E168" s="224" t="n"/>
      <c r="F168" s="224" t="n"/>
      <c r="G168" s="224" t="n"/>
      <c r="H168" s="225" t="n"/>
      <c r="I168" s="225" t="n"/>
      <c r="J168" s="189" t="n"/>
      <c r="K168" s="201" t="n"/>
      <c r="L168" s="202" t="n"/>
      <c r="M168" s="226" t="n">
        <v>-8003517.42</v>
      </c>
      <c r="N168" s="225" t="n"/>
      <c r="O168" s="189">
        <f>L168-M168</f>
        <v/>
      </c>
      <c r="P168" s="189">
        <f>K168-N168</f>
        <v/>
      </c>
      <c r="Q168" s="189">
        <f>M168+O168</f>
        <v/>
      </c>
      <c r="R168" s="189">
        <f>M168+N168+O168+P168</f>
        <v/>
      </c>
      <c r="S168" s="203">
        <f>SUM(T168:V168)</f>
        <v/>
      </c>
      <c r="T168" s="225" t="n"/>
      <c r="U168" s="225" t="n"/>
      <c r="V168" s="225" t="n"/>
      <c r="W168" s="225" t="n"/>
      <c r="X168" s="225" t="n"/>
      <c r="Y168" s="225" t="n"/>
      <c r="Z168" s="189">
        <f>SUM(AA31:AJ31)</f>
        <v/>
      </c>
      <c r="AA168" s="225" t="n"/>
      <c r="AB168" s="227" t="n"/>
      <c r="AC168" s="227" t="n"/>
      <c r="AD168" s="227" t="n"/>
      <c r="AE168" s="227" t="n"/>
      <c r="AF168" s="227" t="n"/>
      <c r="AG168" s="227" t="n"/>
      <c r="AH168" s="227" t="n"/>
      <c r="AI168" s="227" t="n"/>
      <c r="AJ168" s="227" t="n"/>
      <c r="AK168" s="188">
        <f>AB31/1.17*0.17+AC31/1.16*0.16+AD31/1.11*0.11+AE31/1.1*0.1+AF31/1.09*0.09+AI31/1.03*0.03</f>
        <v/>
      </c>
      <c r="AL168" s="228" t="n"/>
    </row>
    <row r="169">
      <c r="A169" s="33" t="n"/>
      <c r="B169" s="199" t="n"/>
      <c r="C169" s="199" t="n"/>
      <c r="D169" s="218" t="inlineStr">
        <is>
          <t>材料库存（注：项目已结算未使用材料冲减项目成本，负数填报）</t>
        </is>
      </c>
      <c r="E169" s="224" t="n"/>
      <c r="F169" s="224" t="n"/>
      <c r="G169" s="224" t="n"/>
      <c r="H169" s="225" t="n"/>
      <c r="I169" s="225" t="n"/>
      <c r="J169" s="189" t="n"/>
      <c r="K169" s="201" t="n"/>
      <c r="L169" s="202" t="n"/>
      <c r="M169" s="225" t="n"/>
      <c r="N169" s="225" t="n"/>
      <c r="O169" s="189" t="n"/>
      <c r="P169" s="189" t="n"/>
      <c r="Q169" s="189" t="n"/>
      <c r="R169" s="189" t="n"/>
      <c r="S169" s="203" t="n"/>
      <c r="T169" s="225" t="n"/>
      <c r="U169" s="225" t="n"/>
      <c r="V169" s="225" t="n"/>
      <c r="W169" s="225" t="n"/>
      <c r="X169" s="225" t="n"/>
      <c r="Y169" s="225" t="n"/>
      <c r="Z169" s="189" t="n"/>
      <c r="AA169" s="225" t="n"/>
      <c r="AB169" s="227" t="n"/>
      <c r="AC169" s="227" t="n"/>
      <c r="AD169" s="227" t="n"/>
      <c r="AE169" s="227" t="n"/>
      <c r="AF169" s="227" t="n"/>
      <c r="AG169" s="227" t="n"/>
      <c r="AH169" s="227" t="n"/>
      <c r="AI169" s="227" t="n"/>
      <c r="AJ169" s="227" t="n"/>
      <c r="AK169" s="188" t="n"/>
      <c r="AL169" s="228" t="n"/>
    </row>
    <row r="170">
      <c r="A170" s="33" t="n"/>
      <c r="B170" s="199" t="n"/>
      <c r="C170" s="199" t="n"/>
      <c r="D170" s="211" t="inlineStr">
        <is>
          <t>**财务未列部分需增列***</t>
        </is>
      </c>
      <c r="E170" s="219" t="n"/>
      <c r="F170" s="219" t="n"/>
      <c r="G170" s="219" t="n"/>
      <c r="H170" s="189" t="n"/>
      <c r="I170" s="189" t="n"/>
      <c r="J170" s="189" t="n"/>
      <c r="K170" s="201" t="n"/>
      <c r="L170" s="202" t="n"/>
      <c r="M170" s="189" t="n"/>
      <c r="N170" s="189" t="n"/>
      <c r="O170" s="189">
        <f>L170-M170</f>
        <v/>
      </c>
      <c r="P170" s="189">
        <f>K170-N170</f>
        <v/>
      </c>
      <c r="Q170" s="189">
        <f>M170+O170</f>
        <v/>
      </c>
      <c r="R170" s="189">
        <f>M170+N170+O170+P170</f>
        <v/>
      </c>
      <c r="S170" s="203">
        <f>SUM(T170:V170)</f>
        <v/>
      </c>
      <c r="T170" s="203" t="n"/>
      <c r="U170" s="203" t="n"/>
      <c r="V170" s="203" t="n"/>
      <c r="W170" s="203" t="n"/>
      <c r="X170" s="203" t="n"/>
      <c r="Y170" s="203" t="n"/>
      <c r="Z170" s="203" t="n"/>
      <c r="AA170" s="203" t="n"/>
      <c r="AB170" s="220" t="n"/>
      <c r="AC170" s="220" t="n"/>
      <c r="AD170" s="220" t="n"/>
      <c r="AE170" s="220" t="n"/>
      <c r="AF170" s="220" t="n"/>
      <c r="AG170" s="220" t="n"/>
      <c r="AH170" s="220" t="n"/>
      <c r="AI170" s="220" t="n"/>
      <c r="AJ170" s="220" t="n"/>
      <c r="AK170" s="188">
        <f>AB33/1.17*0.17+AC33/1.16*0.16+AD33/1.11*0.11+AE33/1.1*0.1+AF33/1.09*0.09+AI33/1.03*0.03</f>
        <v/>
      </c>
      <c r="AL170" s="221" t="n"/>
    </row>
    <row r="171">
      <c r="A171" s="41" t="n"/>
      <c r="B171" s="215" t="n"/>
      <c r="C171" s="215" t="n"/>
      <c r="D171" s="216" t="inlineStr">
        <is>
          <t>材料费小计：</t>
        </is>
      </c>
      <c r="E171" s="217">
        <f>SUM(E66:E170)</f>
        <v/>
      </c>
      <c r="F171" s="217">
        <f>SUM(F66:F170)</f>
        <v/>
      </c>
      <c r="G171" s="217">
        <f>SUM(G66:G170)</f>
        <v/>
      </c>
      <c r="H171" s="217">
        <f>SUM(H66:H170)</f>
        <v/>
      </c>
      <c r="I171" s="217">
        <f>SUM(I66:I170)</f>
        <v/>
      </c>
      <c r="J171" s="217">
        <f>SUM(J66:J170)</f>
        <v/>
      </c>
      <c r="K171" s="217">
        <f>SUM(K66:K170)</f>
        <v/>
      </c>
      <c r="L171" s="217">
        <f>SUM(L66:L170)</f>
        <v/>
      </c>
      <c r="M171" s="217">
        <f>SUM(M66:M170)</f>
        <v/>
      </c>
      <c r="N171" s="217">
        <f>SUM(N66:N170)</f>
        <v/>
      </c>
      <c r="O171" s="217">
        <f>SUM(O66:O170)</f>
        <v/>
      </c>
      <c r="P171" s="217">
        <f>SUM(P66:P170)</f>
        <v/>
      </c>
      <c r="Q171" s="217">
        <f>SUM(Q66:Q170)</f>
        <v/>
      </c>
      <c r="R171" s="217">
        <f>SUM(R66:R170)</f>
        <v/>
      </c>
      <c r="S171" s="217">
        <f>SUM(S66:S170)</f>
        <v/>
      </c>
      <c r="T171" s="217">
        <f>SUM(T66:T170)</f>
        <v/>
      </c>
      <c r="U171" s="217">
        <f>SUM(U66:U170)</f>
        <v/>
      </c>
      <c r="V171" s="217">
        <f>SUM(V66:V170)</f>
        <v/>
      </c>
      <c r="W171" s="217">
        <f>SUM(W66:W170)</f>
        <v/>
      </c>
      <c r="X171" s="217">
        <f>SUM(X66:X170)</f>
        <v/>
      </c>
      <c r="Y171" s="217">
        <f>SUM(Y66:Y170)</f>
        <v/>
      </c>
      <c r="Z171" s="217">
        <f>SUM(Z66:Z170)</f>
        <v/>
      </c>
      <c r="AA171" s="217">
        <f>SUM(AA66:AA170)</f>
        <v/>
      </c>
      <c r="AB171" s="217">
        <f>SUM(AB66:AB170)</f>
        <v/>
      </c>
      <c r="AC171" s="217">
        <f>SUM(AC66:AC170)</f>
        <v/>
      </c>
      <c r="AD171" s="217">
        <f>SUM(AD66:AD170)</f>
        <v/>
      </c>
      <c r="AE171" s="217">
        <f>SUM(AE66:AE170)</f>
        <v/>
      </c>
      <c r="AF171" s="217">
        <f>SUM(AF66:AF170)</f>
        <v/>
      </c>
      <c r="AG171" s="217">
        <f>SUM(AG66:AG170)</f>
        <v/>
      </c>
      <c r="AH171" s="217">
        <f>SUM(AH66:AH170)</f>
        <v/>
      </c>
      <c r="AI171" s="217">
        <f>SUM(AI66:AI170)</f>
        <v/>
      </c>
      <c r="AJ171" s="217">
        <f>SUM(AJ66:AJ170)</f>
        <v/>
      </c>
      <c r="AK171" s="217">
        <f>SUM(AK66:AK170)</f>
        <v/>
      </c>
      <c r="AL171" s="204" t="n"/>
    </row>
    <row r="172">
      <c r="A172" s="33" t="n"/>
      <c r="B172" s="199" t="n"/>
      <c r="C172" s="199" t="n"/>
      <c r="D172" s="218" t="inlineStr">
        <is>
          <t>(四）机械租赁费</t>
        </is>
      </c>
      <c r="E172" s="212" t="n"/>
      <c r="F172" s="212" t="n"/>
      <c r="G172" s="212" t="n"/>
      <c r="H172" s="189" t="n"/>
      <c r="I172" s="189" t="n"/>
      <c r="J172" s="189" t="n"/>
      <c r="K172" s="201" t="n">
        <v>0</v>
      </c>
      <c r="L172" s="202">
        <f>J172-K172</f>
        <v/>
      </c>
      <c r="M172" s="184" t="n"/>
      <c r="N172" s="184" t="n"/>
      <c r="O172" s="189">
        <f>L172-M172</f>
        <v/>
      </c>
      <c r="P172" s="189">
        <f>K172-N172</f>
        <v/>
      </c>
      <c r="Q172" s="189">
        <f>M172+O172</f>
        <v/>
      </c>
      <c r="R172" s="189">
        <f>M172+N172+O172+P172</f>
        <v/>
      </c>
      <c r="S172" s="203">
        <f>SUM(T172:V172)</f>
        <v/>
      </c>
      <c r="T172" s="203" t="n"/>
      <c r="U172" s="203" t="n"/>
      <c r="V172" s="203" t="n"/>
      <c r="W172" s="203" t="n"/>
      <c r="X172" s="203" t="n"/>
      <c r="Y172" s="203" t="n"/>
      <c r="Z172" s="203" t="n"/>
      <c r="AA172" s="203" t="n"/>
      <c r="AB172" s="203" t="n"/>
      <c r="AC172" s="203" t="n"/>
      <c r="AD172" s="203" t="n"/>
      <c r="AE172" s="203" t="n"/>
      <c r="AF172" s="203" t="n"/>
      <c r="AG172" s="203" t="n"/>
      <c r="AH172" s="203" t="n"/>
      <c r="AI172" s="203" t="n"/>
      <c r="AJ172" s="203" t="n"/>
      <c r="AK172" s="188">
        <f>AB35/1.17*0.17+AC35/1.16*0.16+AD35/1.11*0.11+AE35/1.1*0.1+AF35/1.09*0.09+AI35/1.03*0.03</f>
        <v/>
      </c>
      <c r="AL172" s="204" t="n"/>
    </row>
    <row r="173">
      <c r="A173" s="206" t="n">
        <v>1</v>
      </c>
      <c r="B173" s="206" t="n"/>
      <c r="C173" s="207" t="n"/>
      <c r="D173" s="207" t="inlineStr">
        <is>
          <t>ZGD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-709.27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n"/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5438.34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>
        <v>2</v>
      </c>
      <c r="B175" s="206" t="n"/>
      <c r="C175" s="207" t="n"/>
      <c r="D175" s="207" t="inlineStr">
        <is>
          <t>JXZ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30661.52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33" t="n"/>
      <c r="B176" s="199" t="n"/>
      <c r="C176" s="199" t="n"/>
      <c r="D176" s="211" t="inlineStr">
        <is>
          <t>**财务未列部分需增列***</t>
        </is>
      </c>
      <c r="E176" s="229" t="n"/>
      <c r="F176" s="229" t="n"/>
      <c r="G176" s="229" t="n"/>
      <c r="H176" s="189" t="n"/>
      <c r="I176" s="189" t="n"/>
      <c r="J176" s="189" t="n"/>
      <c r="K176" s="201" t="n">
        <v>0</v>
      </c>
      <c r="L176" s="202">
        <f>J176-K176</f>
        <v/>
      </c>
      <c r="M176" s="230" t="n"/>
      <c r="N176" s="230" t="n"/>
      <c r="O176" s="189">
        <f>L176-M176</f>
        <v/>
      </c>
      <c r="P176" s="189">
        <f>K176-N176</f>
        <v/>
      </c>
      <c r="Q176" s="189">
        <f>M176+O176</f>
        <v/>
      </c>
      <c r="R176" s="189">
        <f>M176+N176+O176+P176</f>
        <v/>
      </c>
      <c r="S176" s="203">
        <f>SUM(T176:V176)</f>
        <v/>
      </c>
      <c r="T176" s="230" t="n"/>
      <c r="U176" s="230" t="n"/>
      <c r="V176" s="230" t="n"/>
      <c r="W176" s="230" t="n"/>
      <c r="X176" s="230" t="n"/>
      <c r="Y176" s="230" t="n"/>
      <c r="Z176" s="230" t="n"/>
      <c r="AA176" s="203" t="n"/>
      <c r="AB176" s="188" t="n"/>
      <c r="AC176" s="188" t="n"/>
      <c r="AD176" s="188" t="n"/>
      <c r="AE176" s="188" t="n"/>
      <c r="AF176" s="188" t="n"/>
      <c r="AG176" s="188" t="n"/>
      <c r="AH176" s="188" t="n"/>
      <c r="AI176" s="188" t="n"/>
      <c r="AJ176" s="188" t="n"/>
      <c r="AK176" s="188">
        <f>AB37/1.17*0.17+AC37/1.16*0.16+AD37/1.11*0.11+AE37/1.1*0.1+AF37/1.09*0.09+AI37/1.03*0.03</f>
        <v/>
      </c>
      <c r="AL176" s="214" t="n"/>
    </row>
    <row r="177">
      <c r="A177" s="41" t="n"/>
      <c r="B177" s="215" t="n"/>
      <c r="C177" s="215" t="n"/>
      <c r="D177" s="231" t="inlineStr">
        <is>
          <t>机械费小计：</t>
        </is>
      </c>
      <c r="E177" s="232" t="n"/>
      <c r="F177" s="232" t="n"/>
      <c r="G177" s="232" t="n"/>
      <c r="H177" s="217">
        <f>SUM(H172:H176)</f>
        <v/>
      </c>
      <c r="I177" s="217">
        <f>SUM(I172:I176)</f>
        <v/>
      </c>
      <c r="J177" s="217">
        <f>SUM(J172:J176)</f>
        <v/>
      </c>
      <c r="K177" s="217">
        <f>SUM(K172:K176)</f>
        <v/>
      </c>
      <c r="L177" s="233">
        <f>SUM(L172:L176)</f>
        <v/>
      </c>
      <c r="M177" s="217">
        <f>SUM(M172:M176)</f>
        <v/>
      </c>
      <c r="N177" s="217">
        <f>SUM(N172:N176)</f>
        <v/>
      </c>
      <c r="O177" s="217">
        <f>SUM(O172:O176)</f>
        <v/>
      </c>
      <c r="P177" s="217">
        <f>SUM(P172:P176)</f>
        <v/>
      </c>
      <c r="Q177" s="217">
        <f>SUM(Q172:Q176)</f>
        <v/>
      </c>
      <c r="R177" s="217">
        <f>SUM(R172:R176)</f>
        <v/>
      </c>
      <c r="S177" s="217">
        <f>SUM(S172:S176)</f>
        <v/>
      </c>
      <c r="T177" s="217" t="n"/>
      <c r="U177" s="217" t="n"/>
      <c r="V177" s="217" t="n"/>
      <c r="W177" s="217" t="n"/>
      <c r="X177" s="217" t="n"/>
      <c r="Y177" s="217" t="n"/>
      <c r="Z177" s="217">
        <f>SUM(Z172:Z176)</f>
        <v/>
      </c>
      <c r="AA177" s="217">
        <f>SUM(AA172:AA176)</f>
        <v/>
      </c>
      <c r="AB177" s="217" t="n"/>
      <c r="AC177" s="217" t="n"/>
      <c r="AD177" s="217" t="n"/>
      <c r="AE177" s="217" t="n"/>
      <c r="AF177" s="217" t="n"/>
      <c r="AG177" s="217" t="n"/>
      <c r="AH177" s="217" t="n"/>
      <c r="AI177" s="217" t="n"/>
      <c r="AJ177" s="217" t="n"/>
      <c r="AK177" s="217" t="n"/>
      <c r="AL177" s="204" t="n"/>
    </row>
    <row r="178">
      <c r="A178" s="33" t="n"/>
      <c r="B178" s="199" t="n"/>
      <c r="C178" s="199" t="n"/>
      <c r="D178" s="218" t="inlineStr">
        <is>
          <t>（五）其他直接费</t>
        </is>
      </c>
      <c r="E178" s="212" t="n"/>
      <c r="F178" s="212" t="n"/>
      <c r="G178" s="212" t="n"/>
      <c r="H178" s="189" t="n"/>
      <c r="I178" s="189" t="n"/>
      <c r="J178" s="184" t="n">
        <v>0</v>
      </c>
      <c r="K178" s="201" t="n">
        <v>0</v>
      </c>
      <c r="L178" s="202">
        <f>J178-N178-P178</f>
        <v/>
      </c>
      <c r="M178" s="184" t="n"/>
      <c r="N178" s="184" t="n"/>
      <c r="O178" s="189">
        <f>L178-M178</f>
        <v/>
      </c>
      <c r="P178" s="189">
        <f>K178-N178</f>
        <v/>
      </c>
      <c r="Q178" s="189">
        <f>M178+O178</f>
        <v/>
      </c>
      <c r="R178" s="189">
        <f>M178+N178+O178+P178</f>
        <v/>
      </c>
      <c r="S178" s="203">
        <f>SUM(T178:V178)</f>
        <v/>
      </c>
      <c r="T178" s="203" t="n"/>
      <c r="U178" s="203" t="n"/>
      <c r="V178" s="203" t="n"/>
      <c r="W178" s="203" t="n"/>
      <c r="X178" s="203" t="n"/>
      <c r="Y178" s="203" t="n"/>
      <c r="Z178" s="203" t="n"/>
      <c r="AA178" s="203" t="n"/>
      <c r="AB178" s="203" t="n"/>
      <c r="AC178" s="203" t="n"/>
      <c r="AD178" s="203" t="n"/>
      <c r="AE178" s="203" t="n"/>
      <c r="AF178" s="203" t="n"/>
      <c r="AG178" s="203" t="n"/>
      <c r="AH178" s="203" t="n"/>
      <c r="AI178" s="203" t="n"/>
      <c r="AJ178" s="203" t="n"/>
      <c r="AK178" s="188" t="n"/>
      <c r="AL178" s="204" t="n"/>
    </row>
    <row r="179">
      <c r="A179" s="206" t="n"/>
      <c r="B179" s="206" t="n"/>
      <c r="C179" s="207" t="n"/>
      <c r="D179" s="207" t="inlineStr">
        <is>
          <t>保险费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2060794.4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其他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4351039.99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咨询费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1165.05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检验试验费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2298882.29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水电费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8300988.65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33" t="n"/>
      <c r="B184" s="199" t="n"/>
      <c r="C184" s="199" t="n"/>
      <c r="D184" s="211" t="inlineStr">
        <is>
          <t>**财务未列部分需增列***</t>
        </is>
      </c>
      <c r="E184" s="212" t="n"/>
      <c r="F184" s="212" t="n"/>
      <c r="G184" s="212" t="n"/>
      <c r="H184" s="189" t="n"/>
      <c r="I184" s="189" t="n"/>
      <c r="J184" s="184" t="n"/>
      <c r="K184" s="201" t="n"/>
      <c r="L184" s="202">
        <f>J184-K184</f>
        <v/>
      </c>
      <c r="M184" s="234" t="n"/>
      <c r="N184" s="234" t="n"/>
      <c r="O184" s="189">
        <f>L184-M184</f>
        <v/>
      </c>
      <c r="P184" s="189">
        <f>K184-N184</f>
        <v/>
      </c>
      <c r="Q184" s="189">
        <f>M184+O184</f>
        <v/>
      </c>
      <c r="R184" s="189">
        <f>M184+N184+O184+P184</f>
        <v/>
      </c>
      <c r="S184" s="203">
        <f>SUM(T184:V184)</f>
        <v/>
      </c>
      <c r="T184" s="234" t="n"/>
      <c r="U184" s="234" t="n"/>
      <c r="V184" s="234" t="n"/>
      <c r="W184" s="234" t="n"/>
      <c r="X184" s="234" t="n"/>
      <c r="Y184" s="234" t="n"/>
      <c r="Z184" s="189">
        <f>SUM(AA45:AJ45)</f>
        <v/>
      </c>
      <c r="AA184" s="203" t="n"/>
      <c r="AB184" s="203" t="n"/>
      <c r="AC184" s="203" t="n"/>
      <c r="AD184" s="203" t="n"/>
      <c r="AE184" s="203" t="n"/>
      <c r="AF184" s="203" t="n"/>
      <c r="AG184" s="203" t="n"/>
      <c r="AH184" s="203" t="n"/>
      <c r="AI184" s="203" t="n"/>
      <c r="AJ184" s="203" t="n"/>
      <c r="AK184" s="188" t="n"/>
      <c r="AL184" s="204" t="n"/>
    </row>
    <row r="185">
      <c r="A185" s="55" t="n"/>
      <c r="B185" s="235" t="n"/>
      <c r="C185" s="235" t="n"/>
      <c r="D185" s="231" t="inlineStr">
        <is>
          <t>其他直接费小计：</t>
        </is>
      </c>
      <c r="E185" s="236" t="n"/>
      <c r="F185" s="236" t="n"/>
      <c r="G185" s="236" t="n"/>
      <c r="H185" s="217">
        <f>SUM(H178:H184)</f>
        <v/>
      </c>
      <c r="I185" s="217">
        <f>SUM(I178:I184)</f>
        <v/>
      </c>
      <c r="J185" s="217">
        <f>SUM(J178:J184)</f>
        <v/>
      </c>
      <c r="K185" s="217">
        <f>SUM(K178:K184)</f>
        <v/>
      </c>
      <c r="L185" s="233">
        <f>SUM(L178:L184)</f>
        <v/>
      </c>
      <c r="M185" s="217">
        <f>SUM(M178:M184)</f>
        <v/>
      </c>
      <c r="N185" s="217">
        <f>SUM(N178:N184)</f>
        <v/>
      </c>
      <c r="O185" s="217">
        <f>L185-M185</f>
        <v/>
      </c>
      <c r="P185" s="217">
        <f>SUM(P178:P184)</f>
        <v/>
      </c>
      <c r="Q185" s="217">
        <f>M185+O185</f>
        <v/>
      </c>
      <c r="R185" s="217">
        <f>SUM(R178:R184)</f>
        <v/>
      </c>
      <c r="S185" s="217">
        <f>SUM(S178:S184)</f>
        <v/>
      </c>
      <c r="T185" s="217" t="n"/>
      <c r="U185" s="217" t="n"/>
      <c r="V185" s="217" t="n"/>
      <c r="W185" s="217" t="n"/>
      <c r="X185" s="217" t="n"/>
      <c r="Y185" s="217" t="n"/>
      <c r="Z185" s="217">
        <f>SUM(Z178:Z184)</f>
        <v/>
      </c>
      <c r="AA185" s="217">
        <f>SUM(AA178:AA184)</f>
        <v/>
      </c>
      <c r="AB185" s="217">
        <f>SUM(AB178:AB184)</f>
        <v/>
      </c>
      <c r="AC185" s="217">
        <f>SUM(AC178:AC184)</f>
        <v/>
      </c>
      <c r="AD185" s="217">
        <f>SUM(AD178:AD184)</f>
        <v/>
      </c>
      <c r="AE185" s="217">
        <f>SUM(AE178:AE184)</f>
        <v/>
      </c>
      <c r="AF185" s="217">
        <f>SUM(AF178:AF184)</f>
        <v/>
      </c>
      <c r="AG185" s="217" t="n"/>
      <c r="AH185" s="217" t="n"/>
      <c r="AI185" s="217">
        <f>SUM(AI178:AI184)</f>
        <v/>
      </c>
      <c r="AJ185" s="217">
        <f>SUM(AJ178:AJ184)</f>
        <v/>
      </c>
      <c r="AK185" s="217">
        <f>SUM(AK178:AK184)</f>
        <v/>
      </c>
      <c r="AL185" s="204" t="n"/>
    </row>
    <row r="186">
      <c r="A186" s="33" t="n"/>
      <c r="B186" s="199" t="n"/>
      <c r="C186" s="199" t="n"/>
      <c r="D186" s="218" t="inlineStr">
        <is>
          <t>（六）间接费</t>
        </is>
      </c>
      <c r="E186" s="212" t="n"/>
      <c r="F186" s="212" t="n"/>
      <c r="G186" s="212" t="n"/>
      <c r="H186" s="184" t="n"/>
      <c r="I186" s="189" t="n"/>
      <c r="J186" s="189" t="n">
        <v>0</v>
      </c>
      <c r="K186" s="201" t="n">
        <v>0</v>
      </c>
      <c r="L186" s="202">
        <f>J186-N186-P186</f>
        <v/>
      </c>
      <c r="M186" s="184" t="n"/>
      <c r="N186" s="184" t="n"/>
      <c r="O186" s="189">
        <f>L186-M186</f>
        <v/>
      </c>
      <c r="P186" s="189">
        <f>K186-N186</f>
        <v/>
      </c>
      <c r="Q186" s="189">
        <f>M186+O186</f>
        <v/>
      </c>
      <c r="R186" s="189">
        <f>M186+N186+O186+P186</f>
        <v/>
      </c>
      <c r="S186" s="203">
        <f>SUM(T186:V186)</f>
        <v/>
      </c>
      <c r="T186" s="203" t="n"/>
      <c r="U186" s="203" t="n"/>
      <c r="V186" s="203" t="n"/>
      <c r="W186" s="203" t="n"/>
      <c r="X186" s="203" t="n"/>
      <c r="Y186" s="203" t="n"/>
      <c r="Z186" s="203" t="n"/>
      <c r="AA186" s="203" t="n"/>
      <c r="AB186" s="203" t="n"/>
      <c r="AC186" s="203" t="n"/>
      <c r="AD186" s="203" t="n"/>
      <c r="AE186" s="203" t="n"/>
      <c r="AF186" s="203" t="n"/>
      <c r="AG186" s="203" t="n"/>
      <c r="AH186" s="203" t="n"/>
      <c r="AI186" s="203" t="n"/>
      <c r="AJ186" s="203" t="n"/>
      <c r="AK186" s="188" t="n"/>
      <c r="AL186" s="204" t="n"/>
    </row>
    <row r="187">
      <c r="A187" s="206" t="n"/>
      <c r="B187" s="206" t="n"/>
      <c r="C187" s="207" t="n"/>
      <c r="D187" s="207" t="inlineStr">
        <is>
          <t>ZGD-境内差旅费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227.68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ZGD-工会经费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115907.8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206" t="n"/>
      <c r="B189" s="206" t="n"/>
      <c r="C189" s="207" t="n"/>
      <c r="D189" s="207" t="inlineStr">
        <is>
          <t>ZGD-工资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9">
        <f>J189-K189</f>
        <v/>
      </c>
      <c r="M189" s="210" t="n">
        <v>-42912.81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</row>
    <row r="190">
      <c r="A190" s="206" t="n"/>
      <c r="B190" s="206" t="n"/>
      <c r="C190" s="207" t="n"/>
      <c r="D190" s="207" t="inlineStr">
        <is>
          <t>ZGD-折旧费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709.35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书报资料费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220.88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企业年金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186548.56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会议费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5867.37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住房公积金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921583.74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206" t="n"/>
      <c r="B195" s="206" t="n"/>
      <c r="C195" s="207" t="n"/>
      <c r="D195" s="207" t="inlineStr">
        <is>
          <t>保险费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9">
        <f>J195-K195</f>
        <v/>
      </c>
      <c r="M195" s="210" t="n">
        <v>4245.28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</row>
    <row r="196">
      <c r="A196" s="206" t="n"/>
      <c r="B196" s="206" t="n"/>
      <c r="C196" s="207" t="n"/>
      <c r="D196" s="207" t="inlineStr">
        <is>
          <t>修理费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9">
        <f>J196-K196</f>
        <v/>
      </c>
      <c r="M196" s="210" t="n">
        <v>27769.38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</row>
    <row r="197">
      <c r="A197" s="206" t="n"/>
      <c r="B197" s="206" t="n"/>
      <c r="C197" s="207" t="n"/>
      <c r="D197" s="207" t="inlineStr">
        <is>
          <t>其他</t>
        </is>
      </c>
      <c r="E197" s="206" t="n"/>
      <c r="F197" s="206" t="n"/>
      <c r="G197" s="206" t="n"/>
      <c r="H197" s="206" t="n"/>
      <c r="I197" s="206" t="n"/>
      <c r="J197" s="206">
        <f>H197+I197</f>
        <v/>
      </c>
      <c r="K197" s="208" t="n"/>
      <c r="L197" s="209">
        <f>J197-K197</f>
        <v/>
      </c>
      <c r="M197" s="210" t="n">
        <v>445466.64</v>
      </c>
      <c r="N197" s="206" t="n"/>
      <c r="O197" s="206">
        <f>L197-M197</f>
        <v/>
      </c>
      <c r="P197" s="206">
        <f>K197-N197</f>
        <v/>
      </c>
      <c r="Q197" s="206">
        <f>M197+O197</f>
        <v/>
      </c>
      <c r="R197" s="206">
        <f>M197+N197+O197+P197</f>
        <v/>
      </c>
      <c r="S197" s="206" t="n"/>
      <c r="T197" s="206" t="n"/>
      <c r="U197" s="206" t="n"/>
      <c r="V197" s="206" t="n"/>
    </row>
    <row r="198">
      <c r="A198" s="206" t="n"/>
      <c r="B198" s="206" t="n"/>
      <c r="C198" s="207" t="n"/>
      <c r="D198" s="207" t="inlineStr">
        <is>
          <t>其他补充保险</t>
        </is>
      </c>
      <c r="E198" s="206" t="n"/>
      <c r="F198" s="206" t="n"/>
      <c r="G198" s="206" t="n"/>
      <c r="H198" s="206" t="n"/>
      <c r="I198" s="206" t="n"/>
      <c r="J198" s="206">
        <f>H198+I198</f>
        <v/>
      </c>
      <c r="K198" s="208" t="n"/>
      <c r="L198" s="209">
        <f>J198-K198</f>
        <v/>
      </c>
      <c r="M198" s="210" t="n">
        <v>87.84</v>
      </c>
      <c r="N198" s="206" t="n"/>
      <c r="O198" s="206">
        <f>L198-M198</f>
        <v/>
      </c>
      <c r="P198" s="206">
        <f>K198-N198</f>
        <v/>
      </c>
      <c r="Q198" s="206">
        <f>M198+O198</f>
        <v/>
      </c>
      <c r="R198" s="206">
        <f>M198+N198+O198+P198</f>
        <v/>
      </c>
      <c r="S198" s="206" t="n"/>
      <c r="T198" s="206" t="n"/>
      <c r="U198" s="206" t="n"/>
      <c r="V198" s="206" t="n"/>
    </row>
    <row r="199">
      <c r="A199" s="206" t="n"/>
      <c r="B199" s="206" t="n"/>
      <c r="C199" s="207" t="n"/>
      <c r="D199" s="207" t="inlineStr">
        <is>
          <t>冲晒印刷费</t>
        </is>
      </c>
      <c r="E199" s="206" t="n"/>
      <c r="F199" s="206" t="n"/>
      <c r="G199" s="206" t="n"/>
      <c r="H199" s="206" t="n"/>
      <c r="I199" s="206" t="n"/>
      <c r="J199" s="206">
        <f>H199+I199</f>
        <v/>
      </c>
      <c r="K199" s="208" t="n"/>
      <c r="L199" s="209">
        <f>J199-K199</f>
        <v/>
      </c>
      <c r="M199" s="210" t="n">
        <v>112428.15</v>
      </c>
      <c r="N199" s="206" t="n"/>
      <c r="O199" s="206">
        <f>L199-M199</f>
        <v/>
      </c>
      <c r="P199" s="206">
        <f>K199-N199</f>
        <v/>
      </c>
      <c r="Q199" s="206">
        <f>M199+O199</f>
        <v/>
      </c>
      <c r="R199" s="206">
        <f>M199+N199+O199+P199</f>
        <v/>
      </c>
      <c r="S199" s="206" t="n"/>
      <c r="T199" s="206" t="n"/>
      <c r="U199" s="206" t="n"/>
      <c r="V199" s="206" t="n"/>
    </row>
    <row r="200">
      <c r="A200" s="206" t="n"/>
      <c r="B200" s="206" t="n"/>
      <c r="C200" s="207" t="n"/>
      <c r="D200" s="207" t="inlineStr">
        <is>
          <t>办公用品费</t>
        </is>
      </c>
      <c r="E200" s="206" t="n"/>
      <c r="F200" s="206" t="n"/>
      <c r="G200" s="206" t="n"/>
      <c r="H200" s="206" t="n"/>
      <c r="I200" s="206" t="n"/>
      <c r="J200" s="206">
        <f>H200+I200</f>
        <v/>
      </c>
      <c r="K200" s="208" t="n"/>
      <c r="L200" s="209">
        <f>J200-K200</f>
        <v/>
      </c>
      <c r="M200" s="210" t="n">
        <v>607692.39</v>
      </c>
      <c r="N200" s="206" t="n"/>
      <c r="O200" s="206">
        <f>L200-M200</f>
        <v/>
      </c>
      <c r="P200" s="206">
        <f>K200-N200</f>
        <v/>
      </c>
      <c r="Q200" s="206">
        <f>M200+O200</f>
        <v/>
      </c>
      <c r="R200" s="206">
        <f>M200+N200+O200+P200</f>
        <v/>
      </c>
      <c r="S200" s="206" t="n"/>
      <c r="T200" s="206" t="n"/>
      <c r="U200" s="206" t="n"/>
      <c r="V200" s="206" t="n"/>
    </row>
    <row r="201">
      <c r="A201" s="206" t="n"/>
      <c r="B201" s="206" t="n"/>
      <c r="C201" s="207" t="n"/>
      <c r="D201" s="207" t="inlineStr">
        <is>
          <t>医疗保险</t>
        </is>
      </c>
      <c r="E201" s="206" t="n"/>
      <c r="F201" s="206" t="n"/>
      <c r="G201" s="206" t="n"/>
      <c r="H201" s="206" t="n"/>
      <c r="I201" s="206" t="n"/>
      <c r="J201" s="206">
        <f>H201+I201</f>
        <v/>
      </c>
      <c r="K201" s="208" t="n"/>
      <c r="L201" s="209">
        <f>J201-K201</f>
        <v/>
      </c>
      <c r="M201" s="210" t="n">
        <v>453554.98</v>
      </c>
      <c r="N201" s="206" t="n"/>
      <c r="O201" s="206">
        <f>L201-M201</f>
        <v/>
      </c>
      <c r="P201" s="206">
        <f>K201-N201</f>
        <v/>
      </c>
      <c r="Q201" s="206">
        <f>M201+O201</f>
        <v/>
      </c>
      <c r="R201" s="206">
        <f>M201+N201+O201+P201</f>
        <v/>
      </c>
      <c r="S201" s="206" t="n"/>
      <c r="T201" s="206" t="n"/>
      <c r="U201" s="206" t="n"/>
      <c r="V201" s="206" t="n"/>
    </row>
    <row r="202">
      <c r="A202" s="206" t="n"/>
      <c r="B202" s="206" t="n"/>
      <c r="C202" s="207" t="n"/>
      <c r="D202" s="207" t="inlineStr">
        <is>
          <t>基本养老保险</t>
        </is>
      </c>
      <c r="E202" s="206" t="n"/>
      <c r="F202" s="206" t="n"/>
      <c r="G202" s="206" t="n"/>
      <c r="H202" s="206" t="n"/>
      <c r="I202" s="206" t="n"/>
      <c r="J202" s="206">
        <f>H202+I202</f>
        <v/>
      </c>
      <c r="K202" s="208" t="n"/>
      <c r="L202" s="209">
        <f>J202-K202</f>
        <v/>
      </c>
      <c r="M202" s="210" t="n">
        <v>1111816.95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境内差旅费</t>
        </is>
      </c>
      <c r="E203" s="206" t="n"/>
      <c r="F203" s="206" t="n"/>
      <c r="G203" s="206" t="n"/>
      <c r="H203" s="206" t="n"/>
      <c r="I203" s="206" t="n"/>
      <c r="J203" s="206">
        <f>H203+I203</f>
        <v/>
      </c>
      <c r="K203" s="208" t="n"/>
      <c r="L203" s="209">
        <f>J203-K203</f>
        <v/>
      </c>
      <c r="M203" s="210" t="n">
        <v>28860.18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206" t="n"/>
      <c r="B204" s="206" t="n"/>
      <c r="C204" s="207" t="n"/>
      <c r="D204" s="207" t="inlineStr">
        <is>
          <t>失业保险</t>
        </is>
      </c>
      <c r="E204" s="206" t="n"/>
      <c r="F204" s="206" t="n"/>
      <c r="G204" s="206" t="n"/>
      <c r="H204" s="206" t="n"/>
      <c r="I204" s="206" t="n"/>
      <c r="J204" s="206">
        <f>H204+I204</f>
        <v/>
      </c>
      <c r="K204" s="208" t="n"/>
      <c r="L204" s="209">
        <f>J204-K204</f>
        <v/>
      </c>
      <c r="M204" s="210" t="n">
        <v>45975.32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工会经费</t>
        </is>
      </c>
      <c r="E205" s="206" t="n"/>
      <c r="F205" s="206" t="n"/>
      <c r="G205" s="206" t="n"/>
      <c r="H205" s="206" t="n"/>
      <c r="I205" s="206" t="n"/>
      <c r="J205" s="206">
        <f>H205+I205</f>
        <v/>
      </c>
      <c r="K205" s="208" t="n"/>
      <c r="L205" s="209">
        <f>J205-K205</f>
        <v/>
      </c>
      <c r="M205" s="210" t="n">
        <v>150995.69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工伤保险</t>
        </is>
      </c>
      <c r="E206" s="206" t="n"/>
      <c r="F206" s="206" t="n"/>
      <c r="G206" s="206" t="n"/>
      <c r="H206" s="206" t="n"/>
      <c r="I206" s="206" t="n"/>
      <c r="J206" s="206">
        <f>H206+I206</f>
        <v/>
      </c>
      <c r="K206" s="208" t="n"/>
      <c r="L206" s="209">
        <f>J206-K206</f>
        <v/>
      </c>
      <c r="M206" s="210" t="n">
        <v>43560.14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206" t="n"/>
      <c r="B207" s="206" t="n"/>
      <c r="C207" s="207" t="n"/>
      <c r="D207" s="207" t="inlineStr">
        <is>
          <t>工资</t>
        </is>
      </c>
      <c r="E207" s="206" t="n"/>
      <c r="F207" s="206" t="n"/>
      <c r="G207" s="206" t="n"/>
      <c r="H207" s="206" t="n"/>
      <c r="I207" s="206" t="n"/>
      <c r="J207" s="206">
        <f>H207+I207</f>
        <v/>
      </c>
      <c r="K207" s="208" t="n"/>
      <c r="L207" s="209">
        <f>J207-K207</f>
        <v/>
      </c>
      <c r="M207" s="210" t="n">
        <v>21079637.05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</row>
    <row r="208">
      <c r="A208" s="206" t="n"/>
      <c r="B208" s="206" t="n"/>
      <c r="C208" s="207" t="n"/>
      <c r="D208" s="207" t="inlineStr">
        <is>
          <t>市内交通费</t>
        </is>
      </c>
      <c r="E208" s="206" t="n"/>
      <c r="F208" s="206" t="n"/>
      <c r="G208" s="206" t="n"/>
      <c r="H208" s="206" t="n"/>
      <c r="I208" s="206" t="n"/>
      <c r="J208" s="206">
        <f>H208+I208</f>
        <v/>
      </c>
      <c r="K208" s="208" t="n"/>
      <c r="L208" s="209">
        <f>J208-K208</f>
        <v/>
      </c>
      <c r="M208" s="210" t="n">
        <v>5663.74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</row>
    <row r="209">
      <c r="A209" s="206" t="n"/>
      <c r="B209" s="206" t="n"/>
      <c r="C209" s="207" t="n"/>
      <c r="D209" s="207" t="inlineStr">
        <is>
          <t>律师费</t>
        </is>
      </c>
      <c r="E209" s="206" t="n"/>
      <c r="F209" s="206" t="n"/>
      <c r="G209" s="206" t="n"/>
      <c r="H209" s="206" t="n"/>
      <c r="I209" s="206" t="n"/>
      <c r="J209" s="206">
        <f>H209+I209</f>
        <v/>
      </c>
      <c r="K209" s="208" t="n"/>
      <c r="L209" s="209">
        <f>J209-K209</f>
        <v/>
      </c>
      <c r="M209" s="210" t="n">
        <v>14327.83</v>
      </c>
      <c r="N209" s="206" t="n"/>
      <c r="O209" s="206">
        <f>L209-M209</f>
        <v/>
      </c>
      <c r="P209" s="206">
        <f>K209-N209</f>
        <v/>
      </c>
      <c r="Q209" s="206">
        <f>M209+O209</f>
        <v/>
      </c>
      <c r="R209" s="206">
        <f>M209+N209+O209+P209</f>
        <v/>
      </c>
      <c r="S209" s="206" t="n"/>
      <c r="T209" s="206" t="n"/>
      <c r="U209" s="206" t="n"/>
      <c r="V209" s="206" t="n"/>
    </row>
    <row r="210">
      <c r="A210" s="206" t="n"/>
      <c r="B210" s="206" t="n"/>
      <c r="C210" s="207" t="n"/>
      <c r="D210" s="207" t="inlineStr">
        <is>
          <t>折旧费</t>
        </is>
      </c>
      <c r="E210" s="206" t="n"/>
      <c r="F210" s="206" t="n"/>
      <c r="G210" s="206" t="n"/>
      <c r="H210" s="206" t="n"/>
      <c r="I210" s="206" t="n"/>
      <c r="J210" s="206">
        <f>H210+I210</f>
        <v/>
      </c>
      <c r="K210" s="208" t="n"/>
      <c r="L210" s="209">
        <f>J210-K210</f>
        <v/>
      </c>
      <c r="M210" s="210" t="n">
        <v>65460.13</v>
      </c>
      <c r="N210" s="206" t="n"/>
      <c r="O210" s="206">
        <f>L210-M210</f>
        <v/>
      </c>
      <c r="P210" s="206">
        <f>K210-N210</f>
        <v/>
      </c>
      <c r="Q210" s="206">
        <f>M210+O210</f>
        <v/>
      </c>
      <c r="R210" s="206">
        <f>M210+N210+O210+P210</f>
        <v/>
      </c>
      <c r="S210" s="206" t="n"/>
      <c r="T210" s="206" t="n"/>
      <c r="U210" s="206" t="n"/>
      <c r="V210" s="206" t="n"/>
    </row>
    <row r="211">
      <c r="A211" s="206" t="n"/>
      <c r="B211" s="206" t="n"/>
      <c r="C211" s="207" t="n"/>
      <c r="D211" s="207" t="inlineStr">
        <is>
          <t>水电费</t>
        </is>
      </c>
      <c r="E211" s="206" t="n"/>
      <c r="F211" s="206" t="n"/>
      <c r="G211" s="206" t="n"/>
      <c r="H211" s="206" t="n"/>
      <c r="I211" s="206" t="n"/>
      <c r="J211" s="206">
        <f>H211+I211</f>
        <v/>
      </c>
      <c r="K211" s="208" t="n"/>
      <c r="L211" s="209">
        <f>J211-K211</f>
        <v/>
      </c>
      <c r="M211" s="210" t="n">
        <v>1915223.39</v>
      </c>
      <c r="N211" s="206" t="n"/>
      <c r="O211" s="206">
        <f>L211-M211</f>
        <v/>
      </c>
      <c r="P211" s="206">
        <f>K211-N211</f>
        <v/>
      </c>
      <c r="Q211" s="206">
        <f>M211+O211</f>
        <v/>
      </c>
      <c r="R211" s="206">
        <f>M211+N211+O211+P211</f>
        <v/>
      </c>
      <c r="S211" s="206" t="n"/>
      <c r="T211" s="206" t="n"/>
      <c r="U211" s="206" t="n"/>
      <c r="V211" s="206" t="n"/>
    </row>
    <row r="212">
      <c r="A212" s="206" t="n"/>
      <c r="B212" s="206" t="n"/>
      <c r="C212" s="207" t="n"/>
      <c r="D212" s="207" t="inlineStr">
        <is>
          <t>燃油费</t>
        </is>
      </c>
      <c r="E212" s="206" t="n"/>
      <c r="F212" s="206" t="n"/>
      <c r="G212" s="206" t="n"/>
      <c r="H212" s="206" t="n"/>
      <c r="I212" s="206" t="n"/>
      <c r="J212" s="206">
        <f>H212+I212</f>
        <v/>
      </c>
      <c r="K212" s="208" t="n"/>
      <c r="L212" s="209">
        <f>J212-K212</f>
        <v/>
      </c>
      <c r="M212" s="210" t="n">
        <v>210747.51</v>
      </c>
      <c r="N212" s="206" t="n"/>
      <c r="O212" s="206">
        <f>L212-M212</f>
        <v/>
      </c>
      <c r="P212" s="206">
        <f>K212-N212</f>
        <v/>
      </c>
      <c r="Q212" s="206">
        <f>M212+O212</f>
        <v/>
      </c>
      <c r="R212" s="206">
        <f>M212+N212+O212+P212</f>
        <v/>
      </c>
      <c r="S212" s="206" t="n"/>
      <c r="T212" s="206" t="n"/>
      <c r="U212" s="206" t="n"/>
      <c r="V212" s="206" t="n"/>
    </row>
    <row r="213">
      <c r="A213" s="206" t="n"/>
      <c r="B213" s="206" t="n"/>
      <c r="C213" s="207" t="n"/>
      <c r="D213" s="207" t="inlineStr">
        <is>
          <t>物业租赁费</t>
        </is>
      </c>
      <c r="E213" s="206" t="n"/>
      <c r="F213" s="206" t="n"/>
      <c r="G213" s="206" t="n"/>
      <c r="H213" s="206" t="n"/>
      <c r="I213" s="206" t="n"/>
      <c r="J213" s="206">
        <f>H213+I213</f>
        <v/>
      </c>
      <c r="K213" s="208" t="n"/>
      <c r="L213" s="209">
        <f>J213-K213</f>
        <v/>
      </c>
      <c r="M213" s="210" t="n">
        <v>223298.47</v>
      </c>
      <c r="N213" s="206" t="n"/>
      <c r="O213" s="206">
        <f>L213-M213</f>
        <v/>
      </c>
      <c r="P213" s="206">
        <f>K213-N213</f>
        <v/>
      </c>
      <c r="Q213" s="206">
        <f>M213+O213</f>
        <v/>
      </c>
      <c r="R213" s="206">
        <f>M213+N213+O213+P213</f>
        <v/>
      </c>
      <c r="S213" s="206" t="n"/>
      <c r="T213" s="206" t="n"/>
      <c r="U213" s="206" t="n"/>
      <c r="V213" s="206" t="n"/>
    </row>
    <row r="214">
      <c r="A214" s="206" t="n"/>
      <c r="B214" s="206" t="n"/>
      <c r="C214" s="207" t="n"/>
      <c r="D214" s="207" t="inlineStr">
        <is>
          <t>物业管理费</t>
        </is>
      </c>
      <c r="E214" s="206" t="n"/>
      <c r="F214" s="206" t="n"/>
      <c r="G214" s="206" t="n"/>
      <c r="H214" s="206" t="n"/>
      <c r="I214" s="206" t="n"/>
      <c r="J214" s="206">
        <f>H214+I214</f>
        <v/>
      </c>
      <c r="K214" s="208" t="n"/>
      <c r="L214" s="209">
        <f>J214-K214</f>
        <v/>
      </c>
      <c r="M214" s="210" t="n">
        <v>463287.94</v>
      </c>
      <c r="N214" s="206" t="n"/>
      <c r="O214" s="206">
        <f>L214-M214</f>
        <v/>
      </c>
      <c r="P214" s="206">
        <f>K214-N214</f>
        <v/>
      </c>
      <c r="Q214" s="206">
        <f>M214+O214</f>
        <v/>
      </c>
      <c r="R214" s="206">
        <f>M214+N214+O214+P214</f>
        <v/>
      </c>
      <c r="S214" s="206" t="n"/>
      <c r="T214" s="206" t="n"/>
      <c r="U214" s="206" t="n"/>
      <c r="V214" s="206" t="n"/>
    </row>
    <row r="215">
      <c r="A215" s="206" t="n"/>
      <c r="B215" s="206" t="n"/>
      <c r="C215" s="207" t="n"/>
      <c r="D215" s="207" t="inlineStr">
        <is>
          <t>物料消耗</t>
        </is>
      </c>
      <c r="E215" s="206" t="n"/>
      <c r="F215" s="206" t="n"/>
      <c r="G215" s="206" t="n"/>
      <c r="H215" s="206" t="n"/>
      <c r="I215" s="206" t="n"/>
      <c r="J215" s="206">
        <f>H215+I215</f>
        <v/>
      </c>
      <c r="K215" s="208" t="n"/>
      <c r="L215" s="209">
        <f>J215-K215</f>
        <v/>
      </c>
      <c r="M215" s="210" t="n">
        <v>4059.41</v>
      </c>
      <c r="N215" s="206" t="n"/>
      <c r="O215" s="206">
        <f>L215-M215</f>
        <v/>
      </c>
      <c r="P215" s="206">
        <f>K215-N215</f>
        <v/>
      </c>
      <c r="Q215" s="206">
        <f>M215+O215</f>
        <v/>
      </c>
      <c r="R215" s="206">
        <f>M215+N215+O215+P215</f>
        <v/>
      </c>
      <c r="S215" s="206" t="n"/>
      <c r="T215" s="206" t="n"/>
      <c r="U215" s="206" t="n"/>
      <c r="V215" s="206" t="n"/>
    </row>
    <row r="216">
      <c r="A216" s="206" t="n"/>
      <c r="B216" s="206" t="n"/>
      <c r="C216" s="207" t="n"/>
      <c r="D216" s="207" t="inlineStr">
        <is>
          <t>生育保险</t>
        </is>
      </c>
      <c r="E216" s="206" t="n"/>
      <c r="F216" s="206" t="n"/>
      <c r="G216" s="206" t="n"/>
      <c r="H216" s="206" t="n"/>
      <c r="I216" s="206" t="n"/>
      <c r="J216" s="206">
        <f>H216+I216</f>
        <v/>
      </c>
      <c r="K216" s="208" t="n"/>
      <c r="L216" s="209">
        <f>J216-K216</f>
        <v/>
      </c>
      <c r="M216" s="210" t="n">
        <v>4798.28</v>
      </c>
      <c r="N216" s="206" t="n"/>
      <c r="O216" s="206">
        <f>L216-M216</f>
        <v/>
      </c>
      <c r="P216" s="206">
        <f>K216-N216</f>
        <v/>
      </c>
      <c r="Q216" s="206">
        <f>M216+O216</f>
        <v/>
      </c>
      <c r="R216" s="206">
        <f>M216+N216+O216+P216</f>
        <v/>
      </c>
      <c r="S216" s="206" t="n"/>
      <c r="T216" s="206" t="n"/>
      <c r="U216" s="206" t="n"/>
      <c r="V216" s="206" t="n"/>
    </row>
    <row r="217">
      <c r="A217" s="206" t="n"/>
      <c r="B217" s="206" t="n"/>
      <c r="C217" s="207" t="n"/>
      <c r="D217" s="207" t="inlineStr">
        <is>
          <t>社保及公积金</t>
        </is>
      </c>
      <c r="E217" s="206" t="n"/>
      <c r="F217" s="206" t="n"/>
      <c r="G217" s="206" t="n"/>
      <c r="H217" s="206" t="n"/>
      <c r="I217" s="206" t="n"/>
      <c r="J217" s="206">
        <f>H217+I217</f>
        <v/>
      </c>
      <c r="K217" s="208" t="n"/>
      <c r="L217" s="209">
        <f>J217-K217</f>
        <v/>
      </c>
      <c r="M217" s="210" t="n">
        <v>1410339.33</v>
      </c>
      <c r="N217" s="206" t="n"/>
      <c r="O217" s="206">
        <f>L217-M217</f>
        <v/>
      </c>
      <c r="P217" s="206">
        <f>K217-N217</f>
        <v/>
      </c>
      <c r="Q217" s="206">
        <f>M217+O217</f>
        <v/>
      </c>
      <c r="R217" s="206">
        <f>M217+N217+O217+P217</f>
        <v/>
      </c>
      <c r="S217" s="206" t="n"/>
      <c r="T217" s="206" t="n"/>
      <c r="U217" s="206" t="n"/>
      <c r="V217" s="206" t="n"/>
    </row>
    <row r="218">
      <c r="A218" s="206" t="n"/>
      <c r="B218" s="206" t="n"/>
      <c r="C218" s="207" t="n"/>
      <c r="D218" s="207" t="inlineStr">
        <is>
          <t>租车费</t>
        </is>
      </c>
      <c r="E218" s="206" t="n"/>
      <c r="F218" s="206" t="n"/>
      <c r="G218" s="206" t="n"/>
      <c r="H218" s="206" t="n"/>
      <c r="I218" s="206" t="n"/>
      <c r="J218" s="206">
        <f>H218+I218</f>
        <v/>
      </c>
      <c r="K218" s="208" t="n"/>
      <c r="L218" s="209">
        <f>J218-K218</f>
        <v/>
      </c>
      <c r="M218" s="210" t="n">
        <v>429894.83</v>
      </c>
      <c r="N218" s="206" t="n"/>
      <c r="O218" s="206">
        <f>L218-M218</f>
        <v/>
      </c>
      <c r="P218" s="206">
        <f>K218-N218</f>
        <v/>
      </c>
      <c r="Q218" s="206">
        <f>M218+O218</f>
        <v/>
      </c>
      <c r="R218" s="206">
        <f>M218+N218+O218+P218</f>
        <v/>
      </c>
      <c r="S218" s="206" t="n"/>
      <c r="T218" s="206" t="n"/>
      <c r="U218" s="206" t="n"/>
      <c r="V218" s="206" t="n"/>
    </row>
    <row r="219">
      <c r="A219" s="206" t="n"/>
      <c r="B219" s="206" t="n"/>
      <c r="C219" s="207" t="n"/>
      <c r="D219" s="207" t="inlineStr">
        <is>
          <t>维修保养费</t>
        </is>
      </c>
      <c r="E219" s="206" t="n"/>
      <c r="F219" s="206" t="n"/>
      <c r="G219" s="206" t="n"/>
      <c r="H219" s="206" t="n"/>
      <c r="I219" s="206" t="n"/>
      <c r="J219" s="206">
        <f>H219+I219</f>
        <v/>
      </c>
      <c r="K219" s="208" t="n"/>
      <c r="L219" s="209">
        <f>J219-K219</f>
        <v/>
      </c>
      <c r="M219" s="210" t="n">
        <v>34521.89</v>
      </c>
      <c r="N219" s="206" t="n"/>
      <c r="O219" s="206">
        <f>L219-M219</f>
        <v/>
      </c>
      <c r="P219" s="206">
        <f>K219-N219</f>
        <v/>
      </c>
      <c r="Q219" s="206">
        <f>M219+O219</f>
        <v/>
      </c>
      <c r="R219" s="206">
        <f>M219+N219+O219+P219</f>
        <v/>
      </c>
      <c r="S219" s="206" t="n"/>
      <c r="T219" s="206" t="n"/>
      <c r="U219" s="206" t="n"/>
      <c r="V219" s="206" t="n"/>
    </row>
    <row r="220">
      <c r="A220" s="206" t="n"/>
      <c r="B220" s="206" t="n"/>
      <c r="C220" s="207" t="n"/>
      <c r="D220" s="207" t="inlineStr">
        <is>
          <t>网络使用费</t>
        </is>
      </c>
      <c r="E220" s="206" t="n"/>
      <c r="F220" s="206" t="n"/>
      <c r="G220" s="206" t="n"/>
      <c r="H220" s="206" t="n"/>
      <c r="I220" s="206" t="n"/>
      <c r="J220" s="206">
        <f>H220+I220</f>
        <v/>
      </c>
      <c r="K220" s="208" t="n"/>
      <c r="L220" s="209">
        <f>J220-K220</f>
        <v/>
      </c>
      <c r="M220" s="210" t="n">
        <v>114830.51</v>
      </c>
      <c r="N220" s="206" t="n"/>
      <c r="O220" s="206">
        <f>L220-M220</f>
        <v/>
      </c>
      <c r="P220" s="206">
        <f>K220-N220</f>
        <v/>
      </c>
      <c r="Q220" s="206">
        <f>M220+O220</f>
        <v/>
      </c>
      <c r="R220" s="206">
        <f>M220+N220+O220+P220</f>
        <v/>
      </c>
      <c r="S220" s="206" t="n"/>
      <c r="T220" s="206" t="n"/>
      <c r="U220" s="206" t="n"/>
      <c r="V220" s="206" t="n"/>
    </row>
    <row r="221">
      <c r="A221" s="206" t="n"/>
      <c r="B221" s="206" t="n"/>
      <c r="C221" s="207" t="n"/>
      <c r="D221" s="207" t="inlineStr">
        <is>
          <t>职工教育经费</t>
        </is>
      </c>
      <c r="E221" s="206" t="n"/>
      <c r="F221" s="206" t="n"/>
      <c r="G221" s="206" t="n"/>
      <c r="H221" s="206" t="n"/>
      <c r="I221" s="206" t="n"/>
      <c r="J221" s="206">
        <f>H221+I221</f>
        <v/>
      </c>
      <c r="K221" s="208" t="n"/>
      <c r="L221" s="209">
        <f>J221-K221</f>
        <v/>
      </c>
      <c r="M221" s="210" t="n">
        <v>135820.32</v>
      </c>
      <c r="N221" s="206" t="n"/>
      <c r="O221" s="206">
        <f>L221-M221</f>
        <v/>
      </c>
      <c r="P221" s="206">
        <f>K221-N221</f>
        <v/>
      </c>
      <c r="Q221" s="206">
        <f>M221+O221</f>
        <v/>
      </c>
      <c r="R221" s="206">
        <f>M221+N221+O221+P221</f>
        <v/>
      </c>
      <c r="S221" s="206" t="n"/>
      <c r="T221" s="206" t="n"/>
      <c r="U221" s="206" t="n"/>
      <c r="V221" s="206" t="n"/>
    </row>
    <row r="222">
      <c r="A222" s="206" t="n"/>
      <c r="B222" s="206" t="n"/>
      <c r="C222" s="207" t="n"/>
      <c r="D222" s="207" t="inlineStr">
        <is>
          <t>职工福利费</t>
        </is>
      </c>
      <c r="E222" s="206" t="n"/>
      <c r="F222" s="206" t="n"/>
      <c r="G222" s="206" t="n"/>
      <c r="H222" s="206" t="n"/>
      <c r="I222" s="206" t="n"/>
      <c r="J222" s="206">
        <f>H222+I222</f>
        <v/>
      </c>
      <c r="K222" s="208" t="n"/>
      <c r="L222" s="209">
        <f>J222-K222</f>
        <v/>
      </c>
      <c r="M222" s="210" t="n">
        <v>824342.88</v>
      </c>
      <c r="N222" s="206" t="n"/>
      <c r="O222" s="206">
        <f>L222-M222</f>
        <v/>
      </c>
      <c r="P222" s="206">
        <f>K222-N222</f>
        <v/>
      </c>
      <c r="Q222" s="206">
        <f>M222+O222</f>
        <v/>
      </c>
      <c r="R222" s="206">
        <f>M222+N222+O222+P222</f>
        <v/>
      </c>
      <c r="S222" s="206" t="n"/>
      <c r="T222" s="206" t="n"/>
      <c r="U222" s="206" t="n"/>
      <c r="V222" s="206" t="n"/>
    </row>
    <row r="223">
      <c r="A223" s="206" t="n"/>
      <c r="B223" s="206" t="n"/>
      <c r="C223" s="207" t="n"/>
      <c r="D223" s="207" t="inlineStr">
        <is>
          <t>补充医疗保险</t>
        </is>
      </c>
      <c r="E223" s="206" t="n"/>
      <c r="F223" s="206" t="n"/>
      <c r="G223" s="206" t="n"/>
      <c r="H223" s="206" t="n"/>
      <c r="I223" s="206" t="n"/>
      <c r="J223" s="206">
        <f>H223+I223</f>
        <v/>
      </c>
      <c r="K223" s="208" t="n"/>
      <c r="L223" s="209">
        <f>J223-K223</f>
        <v/>
      </c>
      <c r="M223" s="210" t="n">
        <v>7322.89</v>
      </c>
      <c r="N223" s="206" t="n"/>
      <c r="O223" s="206">
        <f>L223-M223</f>
        <v/>
      </c>
      <c r="P223" s="206">
        <f>K223-N223</f>
        <v/>
      </c>
      <c r="Q223" s="206">
        <f>M223+O223</f>
        <v/>
      </c>
      <c r="R223" s="206">
        <f>M223+N223+O223+P223</f>
        <v/>
      </c>
      <c r="S223" s="206" t="n"/>
      <c r="T223" s="206" t="n"/>
      <c r="U223" s="206" t="n"/>
      <c r="V223" s="206" t="n"/>
    </row>
    <row r="224">
      <c r="A224" s="206" t="n"/>
      <c r="B224" s="206" t="n"/>
      <c r="C224" s="207" t="n"/>
      <c r="D224" s="207" t="inlineStr">
        <is>
          <t>诉讼费</t>
        </is>
      </c>
      <c r="E224" s="206" t="n"/>
      <c r="F224" s="206" t="n"/>
      <c r="G224" s="206" t="n"/>
      <c r="H224" s="206" t="n"/>
      <c r="I224" s="206" t="n"/>
      <c r="J224" s="206">
        <f>H224+I224</f>
        <v/>
      </c>
      <c r="K224" s="208" t="n"/>
      <c r="L224" s="209">
        <f>J224-K224</f>
        <v/>
      </c>
      <c r="M224" s="210" t="n">
        <v>36638.87</v>
      </c>
      <c r="N224" s="206" t="n"/>
      <c r="O224" s="206">
        <f>L224-M224</f>
        <v/>
      </c>
      <c r="P224" s="206">
        <f>K224-N224</f>
        <v/>
      </c>
      <c r="Q224" s="206">
        <f>M224+O224</f>
        <v/>
      </c>
      <c r="R224" s="206">
        <f>M224+N224+O224+P224</f>
        <v/>
      </c>
      <c r="S224" s="206" t="n"/>
      <c r="T224" s="206" t="n"/>
      <c r="U224" s="206" t="n"/>
      <c r="V224" s="206" t="n"/>
    </row>
    <row r="225">
      <c r="A225" s="206" t="n"/>
      <c r="B225" s="206" t="n"/>
      <c r="C225" s="207" t="n"/>
      <c r="D225" s="207" t="inlineStr">
        <is>
          <t>路桥及停车费</t>
        </is>
      </c>
      <c r="E225" s="206" t="n"/>
      <c r="F225" s="206" t="n"/>
      <c r="G225" s="206" t="n"/>
      <c r="H225" s="206" t="n"/>
      <c r="I225" s="206" t="n"/>
      <c r="J225" s="206">
        <f>H225+I225</f>
        <v/>
      </c>
      <c r="K225" s="208" t="n"/>
      <c r="L225" s="209">
        <f>J225-K225</f>
        <v/>
      </c>
      <c r="M225" s="210" t="n">
        <v>78817.39999999999</v>
      </c>
      <c r="N225" s="206" t="n"/>
      <c r="O225" s="206">
        <f>L225-M225</f>
        <v/>
      </c>
      <c r="P225" s="206">
        <f>K225-N225</f>
        <v/>
      </c>
      <c r="Q225" s="206">
        <f>M225+O225</f>
        <v/>
      </c>
      <c r="R225" s="206">
        <f>M225+N225+O225+P225</f>
        <v/>
      </c>
      <c r="S225" s="206" t="n"/>
      <c r="T225" s="206" t="n"/>
      <c r="U225" s="206" t="n"/>
      <c r="V225" s="206" t="n"/>
    </row>
    <row r="226">
      <c r="A226" s="206" t="n"/>
      <c r="B226" s="206" t="n"/>
      <c r="C226" s="207" t="n"/>
      <c r="D226" s="207" t="inlineStr">
        <is>
          <t>软件费</t>
        </is>
      </c>
      <c r="E226" s="206" t="n"/>
      <c r="F226" s="206" t="n"/>
      <c r="G226" s="206" t="n"/>
      <c r="H226" s="206" t="n"/>
      <c r="I226" s="206" t="n"/>
      <c r="J226" s="206">
        <f>H226+I226</f>
        <v/>
      </c>
      <c r="K226" s="208" t="n"/>
      <c r="L226" s="209">
        <f>J226-K226</f>
        <v/>
      </c>
      <c r="M226" s="210" t="n">
        <v>209326.47</v>
      </c>
      <c r="N226" s="206" t="n"/>
      <c r="O226" s="206">
        <f>L226-M226</f>
        <v/>
      </c>
      <c r="P226" s="206">
        <f>K226-N226</f>
        <v/>
      </c>
      <c r="Q226" s="206">
        <f>M226+O226</f>
        <v/>
      </c>
      <c r="R226" s="206">
        <f>M226+N226+O226+P226</f>
        <v/>
      </c>
      <c r="S226" s="206" t="n"/>
      <c r="T226" s="206" t="n"/>
      <c r="U226" s="206" t="n"/>
      <c r="V226" s="206" t="n"/>
    </row>
    <row r="227">
      <c r="A227" s="206" t="n"/>
      <c r="B227" s="206" t="n"/>
      <c r="C227" s="207" t="n"/>
      <c r="D227" s="207" t="inlineStr">
        <is>
          <t>通信费</t>
        </is>
      </c>
      <c r="E227" s="206" t="n"/>
      <c r="F227" s="206" t="n"/>
      <c r="G227" s="206" t="n"/>
      <c r="H227" s="206" t="n"/>
      <c r="I227" s="206" t="n"/>
      <c r="J227" s="206">
        <f>H227+I227</f>
        <v/>
      </c>
      <c r="K227" s="208" t="n"/>
      <c r="L227" s="209">
        <f>J227-K227</f>
        <v/>
      </c>
      <c r="M227" s="210" t="n">
        <v>192969.09</v>
      </c>
      <c r="N227" s="206" t="n"/>
      <c r="O227" s="206">
        <f>L227-M227</f>
        <v/>
      </c>
      <c r="P227" s="206">
        <f>K227-N227</f>
        <v/>
      </c>
      <c r="Q227" s="206">
        <f>M227+O227</f>
        <v/>
      </c>
      <c r="R227" s="206">
        <f>M227+N227+O227+P227</f>
        <v/>
      </c>
      <c r="S227" s="206" t="n"/>
      <c r="T227" s="206" t="n"/>
      <c r="U227" s="206" t="n"/>
      <c r="V227" s="206" t="n"/>
    </row>
    <row r="228">
      <c r="A228" s="206" t="n"/>
      <c r="B228" s="206" t="n"/>
      <c r="C228" s="207" t="n"/>
      <c r="D228" s="207" t="inlineStr">
        <is>
          <t>邮寄费</t>
        </is>
      </c>
      <c r="E228" s="206" t="n"/>
      <c r="F228" s="206" t="n"/>
      <c r="G228" s="206" t="n"/>
      <c r="H228" s="206" t="n"/>
      <c r="I228" s="206" t="n"/>
      <c r="J228" s="206">
        <f>H228+I228</f>
        <v/>
      </c>
      <c r="K228" s="208" t="n"/>
      <c r="L228" s="209">
        <f>J228-K228</f>
        <v/>
      </c>
      <c r="M228" s="210" t="n">
        <v>1030.72</v>
      </c>
      <c r="N228" s="206" t="n"/>
      <c r="O228" s="206">
        <f>L228-M228</f>
        <v/>
      </c>
      <c r="P228" s="206">
        <f>K228-N228</f>
        <v/>
      </c>
      <c r="Q228" s="206">
        <f>M228+O228</f>
        <v/>
      </c>
      <c r="R228" s="206">
        <f>M228+N228+O228+P228</f>
        <v/>
      </c>
      <c r="S228" s="206" t="n"/>
      <c r="T228" s="206" t="n"/>
      <c r="U228" s="206" t="n"/>
      <c r="V228" s="206" t="n"/>
    </row>
    <row r="229">
      <c r="A229" s="33" t="n"/>
      <c r="B229" s="199" t="n"/>
      <c r="C229" s="199" t="n"/>
      <c r="D229" s="211" t="inlineStr">
        <is>
          <t>**财务未列部分需增列***</t>
        </is>
      </c>
      <c r="E229" s="212" t="n"/>
      <c r="F229" s="212" t="n"/>
      <c r="G229" s="212" t="n"/>
      <c r="H229" s="234" t="n"/>
      <c r="I229" s="189" t="n"/>
      <c r="J229" s="234" t="n"/>
      <c r="K229" s="201" t="n"/>
      <c r="L229" s="202" t="n"/>
      <c r="M229" s="234" t="n"/>
      <c r="N229" s="189" t="n"/>
      <c r="O229" s="189">
        <f>L229-M229</f>
        <v/>
      </c>
      <c r="P229" s="189">
        <f>K229-N229</f>
        <v/>
      </c>
      <c r="Q229" s="189">
        <f>M229+O229</f>
        <v/>
      </c>
      <c r="R229" s="189">
        <f>M229+N229+O229+P229</f>
        <v/>
      </c>
      <c r="S229" s="203">
        <f>SUM(T229:V229)</f>
        <v/>
      </c>
      <c r="T229" s="234" t="n"/>
      <c r="U229" s="234" t="n"/>
      <c r="V229" s="234" t="n"/>
      <c r="W229" s="234" t="n"/>
      <c r="X229" s="234" t="n"/>
      <c r="Y229" s="234" t="n"/>
      <c r="Z229" s="234" t="n"/>
      <c r="AA229" s="203" t="n"/>
      <c r="AB229" s="188" t="n"/>
      <c r="AC229" s="188" t="n"/>
      <c r="AD229" s="188" t="n"/>
      <c r="AE229" s="188" t="n"/>
      <c r="AF229" s="188" t="n"/>
      <c r="AG229" s="188" t="n"/>
      <c r="AH229" s="188" t="n"/>
      <c r="AI229" s="188" t="n"/>
      <c r="AJ229" s="188" t="n"/>
      <c r="AK229" s="188" t="n"/>
      <c r="AL229" s="214" t="n"/>
    </row>
    <row r="230">
      <c r="A230" s="55" t="n"/>
      <c r="B230" s="235" t="n"/>
      <c r="C230" s="235" t="n"/>
      <c r="D230" s="231" t="inlineStr">
        <is>
          <t>间接费小计：</t>
        </is>
      </c>
      <c r="E230" s="236" t="n"/>
      <c r="F230" s="236" t="n"/>
      <c r="G230" s="236" t="n"/>
      <c r="H230" s="217">
        <f>SUM(H186:H229)</f>
        <v/>
      </c>
      <c r="I230" s="217">
        <f>SUM(I186:I229)</f>
        <v/>
      </c>
      <c r="J230" s="217">
        <f>SUM(J186:J229)</f>
        <v/>
      </c>
      <c r="K230" s="217">
        <f>SUM(K186:K229)</f>
        <v/>
      </c>
      <c r="L230" s="233">
        <f>SUM(L186:L229)</f>
        <v/>
      </c>
      <c r="M230" s="233">
        <f>SUM(M186:M229)</f>
        <v/>
      </c>
      <c r="N230" s="233">
        <f>SUM(N186:N229)</f>
        <v/>
      </c>
      <c r="O230" s="233">
        <f>SUM(O186:O229)</f>
        <v/>
      </c>
      <c r="P230" s="233">
        <f>SUM(P186:P229)</f>
        <v/>
      </c>
      <c r="Q230" s="233">
        <f>SUM(Q186:Q229)</f>
        <v/>
      </c>
      <c r="R230" s="233">
        <f>SUM(R186:R229)</f>
        <v/>
      </c>
      <c r="S230" s="233">
        <f>SUM(S186:S229)</f>
        <v/>
      </c>
      <c r="T230" s="233" t="n"/>
      <c r="U230" s="233" t="n"/>
      <c r="V230" s="233" t="n"/>
      <c r="W230" s="233" t="n"/>
      <c r="X230" s="233" t="n"/>
      <c r="Y230" s="233" t="n"/>
      <c r="Z230" s="233">
        <f>SUM(Z186:Z229)</f>
        <v/>
      </c>
      <c r="AA230" s="233">
        <f>SUM(AA186:AA229)</f>
        <v/>
      </c>
      <c r="AB230" s="233">
        <f>SUM(AB186:AB229)</f>
        <v/>
      </c>
      <c r="AC230" s="233">
        <f>SUM(AC186:AC229)</f>
        <v/>
      </c>
      <c r="AD230" s="233">
        <f>SUM(AD186:AD229)</f>
        <v/>
      </c>
      <c r="AE230" s="233">
        <f>SUM(AE186:AE229)</f>
        <v/>
      </c>
      <c r="AF230" s="233">
        <f>SUM(AF186:AF229)</f>
        <v/>
      </c>
      <c r="AG230" s="233" t="n"/>
      <c r="AH230" s="233" t="n"/>
      <c r="AI230" s="233">
        <f>SUM(AI186:AI229)</f>
        <v/>
      </c>
      <c r="AJ230" s="233">
        <f>SUM(AJ186:AJ229)</f>
        <v/>
      </c>
      <c r="AK230" s="233">
        <f>SUM(AK186:AK229)</f>
        <v/>
      </c>
      <c r="AL230" s="214" t="n"/>
    </row>
    <row r="231">
      <c r="A231" s="33" t="n"/>
      <c r="B231" s="199" t="n"/>
      <c r="C231" s="199" t="n"/>
      <c r="D231" s="218" t="inlineStr">
        <is>
          <t>（七）安全费</t>
        </is>
      </c>
      <c r="E231" s="212" t="n"/>
      <c r="F231" s="212" t="n"/>
      <c r="G231" s="212" t="n"/>
      <c r="H231" s="189" t="n"/>
      <c r="I231" s="189" t="n"/>
      <c r="J231" s="184" t="n">
        <v>0</v>
      </c>
      <c r="K231" s="237" t="n"/>
      <c r="L231" s="202">
        <f>J231-N231-P231</f>
        <v/>
      </c>
      <c r="M231" s="189" t="n"/>
      <c r="N231" s="189" t="n"/>
      <c r="O231" s="189">
        <f>L231-M231</f>
        <v/>
      </c>
      <c r="P231" s="189">
        <f>K231-N231</f>
        <v/>
      </c>
      <c r="Q231" s="189">
        <f>M231+O231</f>
        <v/>
      </c>
      <c r="R231" s="189">
        <f>M231+N231+O231+P231</f>
        <v/>
      </c>
      <c r="S231" s="203">
        <f>SUM(T231:V231)</f>
        <v/>
      </c>
      <c r="T231" s="234" t="n"/>
      <c r="U231" s="234" t="n"/>
      <c r="V231" s="234" t="n"/>
      <c r="W231" s="234" t="n"/>
      <c r="X231" s="234" t="n"/>
      <c r="Y231" s="234" t="n"/>
      <c r="Z231" s="230" t="n"/>
      <c r="AA231" s="203" t="n"/>
      <c r="AB231" s="188" t="n"/>
      <c r="AC231" s="188" t="n"/>
      <c r="AD231" s="188" t="n"/>
      <c r="AE231" s="188" t="n"/>
      <c r="AF231" s="188" t="n"/>
      <c r="AG231" s="188" t="n"/>
      <c r="AH231" s="188" t="n"/>
      <c r="AI231" s="188" t="n"/>
      <c r="AJ231" s="188" t="n"/>
      <c r="AK231" s="188" t="n"/>
      <c r="AL231" s="214" t="n"/>
    </row>
    <row r="232">
      <c r="A232" s="206" t="n"/>
      <c r="B232" s="206" t="n"/>
      <c r="C232" s="207" t="n"/>
      <c r="D232" s="207" t="inlineStr">
        <is>
          <t>ZGD-安全生产-分包工程</t>
        </is>
      </c>
      <c r="E232" s="206" t="n"/>
      <c r="F232" s="206" t="n"/>
      <c r="G232" s="206" t="n"/>
      <c r="H232" s="206" t="n"/>
      <c r="I232" s="206" t="n"/>
      <c r="J232" s="206">
        <f>H232+I232</f>
        <v/>
      </c>
      <c r="K232" s="208" t="n"/>
      <c r="L232" s="209">
        <f>J232-K232</f>
        <v/>
      </c>
      <c r="M232" s="210" t="n">
        <v>7872000.25</v>
      </c>
      <c r="N232" s="206" t="n"/>
      <c r="O232" s="206">
        <f>L232-M232</f>
        <v/>
      </c>
      <c r="P232" s="206">
        <f>K232-N232</f>
        <v/>
      </c>
      <c r="Q232" s="206">
        <f>M232+O232</f>
        <v/>
      </c>
      <c r="R232" s="206">
        <f>M232+N232+O232+P232</f>
        <v/>
      </c>
      <c r="S232" s="206" t="n"/>
      <c r="T232" s="206" t="n"/>
      <c r="U232" s="206" t="n"/>
      <c r="V232" s="206" t="n"/>
    </row>
    <row r="233">
      <c r="A233" s="206" t="n"/>
      <c r="B233" s="206" t="n"/>
      <c r="C233" s="207" t="n"/>
      <c r="D233" s="207" t="inlineStr">
        <is>
          <t>安全生产费-报销</t>
        </is>
      </c>
      <c r="E233" s="206" t="n"/>
      <c r="F233" s="206" t="n"/>
      <c r="G233" s="206" t="n"/>
      <c r="H233" s="206" t="n"/>
      <c r="I233" s="206" t="n"/>
      <c r="J233" s="206">
        <f>H233+I233</f>
        <v/>
      </c>
      <c r="K233" s="208" t="n"/>
      <c r="L233" s="209">
        <f>J233-K233</f>
        <v/>
      </c>
      <c r="M233" s="210" t="n">
        <v>2066826.1</v>
      </c>
      <c r="N233" s="206" t="n"/>
      <c r="O233" s="206">
        <f>L233-M233</f>
        <v/>
      </c>
      <c r="P233" s="206">
        <f>K233-N233</f>
        <v/>
      </c>
      <c r="Q233" s="206">
        <f>M233+O233</f>
        <v/>
      </c>
      <c r="R233" s="206">
        <f>M233+N233+O233+P233</f>
        <v/>
      </c>
      <c r="S233" s="206" t="n"/>
      <c r="T233" s="206" t="n"/>
      <c r="U233" s="206" t="n"/>
      <c r="V233" s="206" t="n"/>
    </row>
    <row r="234">
      <c r="A234" s="55" t="n"/>
      <c r="B234" s="235" t="n"/>
      <c r="C234" s="235" t="n"/>
      <c r="D234" s="231" t="inlineStr">
        <is>
          <t>安全费小计：</t>
        </is>
      </c>
      <c r="E234" s="231" t="n"/>
      <c r="F234" s="231" t="n"/>
      <c r="G234" s="231" t="n"/>
      <c r="H234" s="217">
        <f>SUM(H231:H233)</f>
        <v/>
      </c>
      <c r="I234" s="217">
        <f>SUM(I231:I233)</f>
        <v/>
      </c>
      <c r="J234" s="217" t="n">
        <v>0</v>
      </c>
      <c r="K234" s="217" t="n">
        <v>0</v>
      </c>
      <c r="L234" s="202">
        <f>J234-K234</f>
        <v/>
      </c>
      <c r="M234" s="233">
        <f>SUM(M231:M233)</f>
        <v/>
      </c>
      <c r="N234" s="233">
        <f>SUM(N231:N233)</f>
        <v/>
      </c>
      <c r="O234" s="233">
        <f>SUM(O231:O233)</f>
        <v/>
      </c>
      <c r="P234" s="233">
        <f>SUM(P231:P233)</f>
        <v/>
      </c>
      <c r="Q234" s="233">
        <f>SUM(Q231:Q233)</f>
        <v/>
      </c>
      <c r="R234" s="233">
        <f>SUM(R231:R233)</f>
        <v/>
      </c>
      <c r="S234" s="233">
        <f>SUM(S231:S233)</f>
        <v/>
      </c>
      <c r="T234" s="238" t="n"/>
      <c r="U234" s="238" t="n"/>
      <c r="V234" s="238" t="n"/>
      <c r="W234" s="238" t="n"/>
      <c r="X234" s="238" t="n"/>
      <c r="Y234" s="238" t="n"/>
      <c r="Z234" s="238" t="n"/>
      <c r="AA234" s="238">
        <f>SUM(AA231:AA233)</f>
        <v/>
      </c>
      <c r="AB234" s="238">
        <f>SUM(AB231:AB233)</f>
        <v/>
      </c>
      <c r="AC234" s="238">
        <f>SUM(AC231:AC233)</f>
        <v/>
      </c>
      <c r="AD234" s="238">
        <f>SUM(AD231:AD233)</f>
        <v/>
      </c>
      <c r="AE234" s="238">
        <f>SUM(AE231:AE233)</f>
        <v/>
      </c>
      <c r="AF234" s="238">
        <f>SUM(AF231:AF233)</f>
        <v/>
      </c>
      <c r="AG234" s="238" t="n"/>
      <c r="AH234" s="238" t="n"/>
      <c r="AI234" s="238">
        <f>SUM(AI231:AI233)</f>
        <v/>
      </c>
      <c r="AJ234" s="238">
        <f>SUM(AJ231:AJ233)</f>
        <v/>
      </c>
      <c r="AK234" s="238">
        <f>SUM(AK231:AK233)</f>
        <v/>
      </c>
      <c r="AL234" s="239" t="n"/>
    </row>
    <row r="235">
      <c r="A235" s="55" t="n"/>
      <c r="B235" s="235" t="n"/>
      <c r="C235" s="235" t="n"/>
      <c r="D235" s="231" t="inlineStr">
        <is>
          <t>三、成本合计：</t>
        </is>
      </c>
      <c r="E235" s="236" t="n"/>
      <c r="F235" s="236" t="n"/>
      <c r="G235" s="236" t="n"/>
      <c r="H235" s="217">
        <f>H34+H65+H171+H177+H185+H230+H234</f>
        <v/>
      </c>
      <c r="I235" s="217">
        <f>I34+I65+I171+I177+I185+I230+I234</f>
        <v/>
      </c>
      <c r="J235" s="217">
        <f>J34+J65+J171+J177+J185+J230+J234</f>
        <v/>
      </c>
      <c r="K235" s="217">
        <f>K34+K65+K171+K177+K185+K230+K234</f>
        <v/>
      </c>
      <c r="L235" s="233">
        <f>L34+L65+L171+L177+L185+L230+L234</f>
        <v/>
      </c>
      <c r="M235" s="238">
        <f>M34+M65+M171+M177+M185+M230+M234</f>
        <v/>
      </c>
      <c r="N235" s="238">
        <f>N34+N65+N171+N177+N185+N230+N234</f>
        <v/>
      </c>
      <c r="O235" s="238">
        <f>O34+O65+O171+O177+O185+O230+O234</f>
        <v/>
      </c>
      <c r="P235" s="238">
        <f>P34+P65+P171+P177+P185+P230+P234</f>
        <v/>
      </c>
      <c r="Q235" s="238">
        <f>Q34+Q65+Q171+Q177+Q185+Q230+Q234</f>
        <v/>
      </c>
      <c r="R235" s="238">
        <f>R34+R65+R171+R177+R185+R230+R234</f>
        <v/>
      </c>
      <c r="S235" s="238">
        <f>S34+S65+S171+S177+S185+S230+S234</f>
        <v/>
      </c>
      <c r="T235" s="238" t="n"/>
      <c r="U235" s="238" t="n"/>
      <c r="V235" s="238" t="n"/>
      <c r="W235" s="238" t="n"/>
      <c r="X235" s="238" t="n"/>
      <c r="Y235" s="238" t="n"/>
      <c r="Z235" s="238">
        <f>Z34+Z65+Z171+Z177+Z185+Z230+Z234</f>
        <v/>
      </c>
      <c r="AA235" s="238">
        <f>AA34+AA65+AA171+AA177+AA185+AA230+AA234</f>
        <v/>
      </c>
      <c r="AB235" s="238">
        <f>AB34+AB65+AB171+AB177+AB185+AB230+AB234</f>
        <v/>
      </c>
      <c r="AC235" s="238">
        <f>AC34+AC65+AC171+AC177+AC185+AC230+AC234</f>
        <v/>
      </c>
      <c r="AD235" s="238">
        <f>AD34+AD65+AD171+AD177+AD185+AD230+AD234</f>
        <v/>
      </c>
      <c r="AE235" s="238">
        <f>AE34+AE65+AE171+AE177+AE185+AE230+AE234</f>
        <v/>
      </c>
      <c r="AF235" s="238">
        <f>AF34+AF65+AF171+AF177+AF185+AF230+AF234</f>
        <v/>
      </c>
      <c r="AG235" s="238" t="n"/>
      <c r="AH235" s="238" t="n"/>
      <c r="AI235" s="238">
        <f>AI34+AI65+AI171+AI177+AI185+AI230+AI234</f>
        <v/>
      </c>
      <c r="AJ235" s="238">
        <f>AJ34+AJ65+AJ171+AJ177+AJ185+AJ230+AJ234</f>
        <v/>
      </c>
      <c r="AK235" s="238">
        <f>AK34+AK65+AK171+AK177+AK185+AK230+AK234</f>
        <v/>
      </c>
      <c r="AL235" s="239" t="n"/>
    </row>
    <row r="236">
      <c r="A236" s="33" t="n"/>
      <c r="B236" s="199" t="n"/>
      <c r="C236" s="199" t="n"/>
      <c r="D236" s="218" t="inlineStr">
        <is>
          <t>四、计提保修金</t>
        </is>
      </c>
      <c r="E236" s="240" t="inlineStr">
        <is>
          <t>（在建：房建0.6%，其它0.4%；在保修期间的按0.3~0.5%自行确定;保修期结束为0）</t>
        </is>
      </c>
      <c r="F236" s="240" t="n"/>
      <c r="G236" s="240" t="n"/>
      <c r="H236" s="184" t="n"/>
      <c r="I236" s="184" t="n"/>
      <c r="J236" s="184">
        <f>H236+I236</f>
        <v/>
      </c>
      <c r="K236" s="184" t="n"/>
      <c r="L236" s="202">
        <f>J236-K236</f>
        <v/>
      </c>
      <c r="M236" s="189" t="n"/>
      <c r="N236" s="189" t="n"/>
      <c r="O236" s="189">
        <f>L236-M236</f>
        <v/>
      </c>
      <c r="P236" s="189">
        <f>K236-N236</f>
        <v/>
      </c>
      <c r="Q236" s="189">
        <f>M236+O236</f>
        <v/>
      </c>
      <c r="R236" s="189">
        <f>M236+N236+O236+P236</f>
        <v/>
      </c>
      <c r="S236" s="203">
        <f>SUM(T236:V236)</f>
        <v/>
      </c>
      <c r="T236" s="203" t="n"/>
      <c r="U236" s="203" t="n"/>
      <c r="V236" s="203" t="n"/>
      <c r="W236" s="203" t="n"/>
      <c r="X236" s="203" t="n"/>
      <c r="Y236" s="203" t="n"/>
      <c r="Z236" s="203" t="n"/>
      <c r="AA236" s="203">
        <f>Q69-S69</f>
        <v/>
      </c>
      <c r="AB236" s="241" t="n"/>
      <c r="AC236" s="241" t="n"/>
      <c r="AD236" s="241" t="n"/>
      <c r="AE236" s="241" t="n"/>
      <c r="AF236" s="241" t="n"/>
      <c r="AG236" s="241" t="n"/>
      <c r="AH236" s="241" t="n"/>
      <c r="AI236" s="241" t="n"/>
      <c r="AJ236" s="241" t="n"/>
      <c r="AK236" s="188" t="n"/>
      <c r="AL236" s="239" t="n"/>
    </row>
    <row r="237">
      <c r="A237" s="33" t="n"/>
      <c r="B237" s="199" t="n"/>
      <c r="C237" s="199" t="n"/>
      <c r="D237" s="218" t="inlineStr">
        <is>
          <t>五、过程节点奖金</t>
        </is>
      </c>
      <c r="E237" s="212" t="n"/>
      <c r="F237" s="212" t="n"/>
      <c r="G237" s="212" t="n"/>
      <c r="H237" s="184" t="n"/>
      <c r="I237" s="184" t="n"/>
      <c r="J237" s="184">
        <f>H237+I237</f>
        <v/>
      </c>
      <c r="K237" s="184" t="n"/>
      <c r="L237" s="202">
        <f>J237-K237</f>
        <v/>
      </c>
      <c r="M237" s="189" t="n"/>
      <c r="N237" s="189" t="n"/>
      <c r="O237" s="189">
        <f>L237-M237</f>
        <v/>
      </c>
      <c r="P237" s="189">
        <f>K237-N237</f>
        <v/>
      </c>
      <c r="Q237" s="189">
        <f>M237+O237</f>
        <v/>
      </c>
      <c r="R237" s="189">
        <f>M237+N237+O237+P237</f>
        <v/>
      </c>
      <c r="S237" s="203">
        <f>SUM(T237:V237)</f>
        <v/>
      </c>
      <c r="T237" s="203" t="n"/>
      <c r="U237" s="203" t="n"/>
      <c r="V237" s="203" t="n"/>
      <c r="W237" s="203" t="n"/>
      <c r="X237" s="203" t="n"/>
      <c r="Y237" s="203" t="n"/>
      <c r="Z237" s="203" t="n"/>
      <c r="AA237" s="203" t="n"/>
      <c r="AB237" s="188" t="n"/>
      <c r="AC237" s="188" t="n"/>
      <c r="AD237" s="188" t="n"/>
      <c r="AE237" s="188" t="n"/>
      <c r="AF237" s="188" t="n"/>
      <c r="AG237" s="188" t="n"/>
      <c r="AH237" s="188" t="n"/>
      <c r="AI237" s="188" t="n"/>
      <c r="AJ237" s="188" t="n"/>
      <c r="AK237" s="188" t="n"/>
      <c r="AL237" s="214" t="n"/>
    </row>
    <row r="238">
      <c r="A238" s="33" t="n"/>
      <c r="B238" s="199" t="n"/>
      <c r="C238" s="199" t="n"/>
      <c r="D238" s="218" t="inlineStr">
        <is>
          <t>六、资金占用费用</t>
        </is>
      </c>
      <c r="E238" s="212" t="n"/>
      <c r="F238" s="212" t="n"/>
      <c r="G238" s="212" t="n"/>
      <c r="H238" s="189" t="n"/>
      <c r="I238" s="189" t="n"/>
      <c r="J238" s="184">
        <f>H238+I238</f>
        <v/>
      </c>
      <c r="K238" s="189" t="n"/>
      <c r="L238" s="202">
        <f>J238-K238</f>
        <v/>
      </c>
      <c r="M238" s="223" t="n">
        <v>6780777.21</v>
      </c>
      <c r="N238" s="189" t="n"/>
      <c r="O238" s="189">
        <f>L238-M238</f>
        <v/>
      </c>
      <c r="P238" s="189">
        <f>K238-N238</f>
        <v/>
      </c>
      <c r="Q238" s="189">
        <f>M238+O238</f>
        <v/>
      </c>
      <c r="R238" s="189">
        <f>M238+N238+O238+P238</f>
        <v/>
      </c>
      <c r="S238" s="203">
        <f>SUM(T238:V238)</f>
        <v/>
      </c>
      <c r="T238" s="203" t="n"/>
      <c r="U238" s="203" t="n"/>
      <c r="V238" s="203" t="n"/>
      <c r="W238" s="203" t="n"/>
      <c r="X238" s="203" t="n"/>
      <c r="Y238" s="203" t="n"/>
      <c r="Z238" s="203" t="n"/>
      <c r="AA238" s="203" t="n"/>
      <c r="AB238" s="188" t="n"/>
      <c r="AC238" s="188" t="n"/>
      <c r="AD238" s="188" t="n"/>
      <c r="AE238" s="188" t="n"/>
      <c r="AF238" s="188" t="n"/>
      <c r="AG238" s="188" t="n"/>
      <c r="AH238" s="188" t="n"/>
      <c r="AI238" s="188" t="n"/>
      <c r="AJ238" s="188" t="n"/>
      <c r="AK238" s="188" t="n"/>
      <c r="AL238" s="214" t="n"/>
    </row>
    <row r="239">
      <c r="A239" s="33" t="n"/>
      <c r="B239" s="199" t="n"/>
      <c r="C239" s="199" t="n"/>
      <c r="D239" s="218" t="inlineStr">
        <is>
          <t>七、局投资收益（局投资项目选填）</t>
        </is>
      </c>
      <c r="E239" s="212" t="n"/>
      <c r="F239" s="212" t="n"/>
      <c r="G239" s="212" t="n"/>
      <c r="H239" s="189" t="n"/>
      <c r="I239" s="189" t="n"/>
      <c r="J239" s="184">
        <f>H239+I239</f>
        <v/>
      </c>
      <c r="K239" s="189" t="n"/>
      <c r="L239" s="202">
        <f>J239-K239</f>
        <v/>
      </c>
      <c r="M239" s="189" t="n"/>
      <c r="N239" s="189" t="n"/>
      <c r="O239" s="189">
        <f>L239-M239</f>
        <v/>
      </c>
      <c r="P239" s="189">
        <f>K239-N239</f>
        <v/>
      </c>
      <c r="Q239" s="189">
        <f>M239+O239</f>
        <v/>
      </c>
      <c r="R239" s="189">
        <f>M239+N239+O239+P239</f>
        <v/>
      </c>
      <c r="S239" s="203">
        <f>SUM(T239:V239)</f>
        <v/>
      </c>
      <c r="T239" s="203" t="n"/>
      <c r="U239" s="203" t="n"/>
      <c r="V239" s="203" t="n"/>
      <c r="W239" s="203" t="n"/>
      <c r="X239" s="203" t="n"/>
      <c r="Y239" s="203" t="n"/>
      <c r="Z239" s="203" t="n"/>
      <c r="AA239" s="203" t="n"/>
      <c r="AB239" s="188" t="n"/>
      <c r="AC239" s="188" t="n"/>
      <c r="AD239" s="188" t="n"/>
      <c r="AE239" s="188" t="n"/>
      <c r="AF239" s="188" t="n"/>
      <c r="AG239" s="188" t="n"/>
      <c r="AH239" s="188" t="n"/>
      <c r="AI239" s="188" t="n"/>
      <c r="AJ239" s="188" t="n"/>
      <c r="AK239" s="188" t="n"/>
      <c r="AL239" s="214" t="n"/>
    </row>
    <row r="240">
      <c r="A240" s="55" t="n"/>
      <c r="B240" s="235" t="n"/>
      <c r="C240" s="235" t="n"/>
      <c r="D240" s="231" t="inlineStr">
        <is>
          <t>八、研发费用</t>
        </is>
      </c>
      <c r="E240" s="236" t="n"/>
      <c r="F240" s="236" t="n"/>
      <c r="G240" s="236" t="n"/>
      <c r="H240" s="217" t="n"/>
      <c r="I240" s="217" t="n"/>
      <c r="J240" s="217">
        <f>H240+I240</f>
        <v/>
      </c>
      <c r="K240" s="217" t="n"/>
      <c r="L240" s="233">
        <f>J240-K240</f>
        <v/>
      </c>
      <c r="M240" s="238">
        <f>SUM(M74:M76)</f>
        <v/>
      </c>
      <c r="N240" s="238">
        <f>SUM(N74:N76)</f>
        <v/>
      </c>
      <c r="O240" s="238">
        <f>SUM(O74:O76)</f>
        <v/>
      </c>
      <c r="P240" s="238">
        <f>SUM(P74:P76)</f>
        <v/>
      </c>
      <c r="Q240" s="238">
        <f>SUM(Q74:Q76)</f>
        <v/>
      </c>
      <c r="R240" s="238">
        <f>SUM(R74:R76)</f>
        <v/>
      </c>
      <c r="S240" s="238">
        <f>SUM(S74:S76)</f>
        <v/>
      </c>
      <c r="T240" s="238">
        <f>SUM(T74:T76)</f>
        <v/>
      </c>
      <c r="U240" s="238">
        <f>SUM(U74:U76)</f>
        <v/>
      </c>
      <c r="V240" s="238">
        <f>SUM(V74:V76)</f>
        <v/>
      </c>
      <c r="W240" s="238">
        <f>SUM(W74:W76)</f>
        <v/>
      </c>
      <c r="X240" s="238">
        <f>SUM(X74:X76)</f>
        <v/>
      </c>
      <c r="Y240" s="238">
        <f>SUM(Y74:Y76)</f>
        <v/>
      </c>
      <c r="Z240" s="238">
        <f>SUM(Z74:Z76)</f>
        <v/>
      </c>
      <c r="AA240" s="238">
        <f>SUM(AA74:AA76)</f>
        <v/>
      </c>
      <c r="AB240" s="238">
        <f>SUM(AB74:AB76)</f>
        <v/>
      </c>
      <c r="AC240" s="238">
        <f>SUM(AC74:AC76)</f>
        <v/>
      </c>
      <c r="AD240" s="238">
        <f>SUM(AD74:AD76)</f>
        <v/>
      </c>
      <c r="AE240" s="238">
        <f>SUM(AE74:AE76)</f>
        <v/>
      </c>
      <c r="AF240" s="238">
        <f>SUM(AF74:AF76)</f>
        <v/>
      </c>
      <c r="AG240" s="238">
        <f>SUM(AG74:AG76)</f>
        <v/>
      </c>
      <c r="AH240" s="238">
        <f>SUM(AH74:AH76)</f>
        <v/>
      </c>
      <c r="AI240" s="238">
        <f>SUM(AI74:AI76)</f>
        <v/>
      </c>
      <c r="AJ240" s="238">
        <f>SUM(AJ74:AJ76)</f>
        <v/>
      </c>
      <c r="AK240" s="238">
        <f>SUM(AK74:AK76)</f>
        <v/>
      </c>
      <c r="AL240" s="239" t="n"/>
    </row>
    <row r="241">
      <c r="A241" s="206" t="n"/>
      <c r="B241" s="206" t="n"/>
      <c r="C241" s="207" t="n"/>
      <c r="D241" s="207" t="inlineStr">
        <is>
          <t>研发费用-人工成本</t>
        </is>
      </c>
      <c r="E241" s="206" t="n"/>
      <c r="F241" s="206" t="n"/>
      <c r="G241" s="206" t="n"/>
      <c r="H241" s="206" t="n"/>
      <c r="I241" s="206" t="n"/>
      <c r="J241" s="206" t="n"/>
      <c r="K241" s="206" t="n"/>
      <c r="L241" s="206" t="n"/>
      <c r="M241" s="210" t="n">
        <v>2069939.18</v>
      </c>
      <c r="N241" s="206" t="n"/>
      <c r="O241" s="206">
        <f>L241-M241</f>
        <v/>
      </c>
      <c r="P241" s="206">
        <f>K241-N241</f>
        <v/>
      </c>
      <c r="Q241" s="206">
        <f>M241+O241</f>
        <v/>
      </c>
      <c r="R241" s="206">
        <f>M241+N241+O241+P241</f>
        <v/>
      </c>
      <c r="S241" s="206" t="n"/>
      <c r="T241" s="206" t="n"/>
      <c r="U241" s="206" t="n"/>
      <c r="V241" s="206" t="n"/>
    </row>
    <row r="242">
      <c r="A242" s="206" t="n"/>
      <c r="B242" s="206" t="n"/>
      <c r="C242" s="207" t="n"/>
      <c r="D242" s="207" t="inlineStr">
        <is>
          <t>研发费用-内部结转</t>
        </is>
      </c>
      <c r="E242" s="206" t="n"/>
      <c r="F242" s="206" t="n"/>
      <c r="G242" s="206" t="n"/>
      <c r="H242" s="206" t="n"/>
      <c r="I242" s="206" t="n"/>
      <c r="J242" s="206" t="n"/>
      <c r="K242" s="206" t="n"/>
      <c r="L242" s="206" t="n"/>
      <c r="M242" s="210" t="n">
        <v>2358.5</v>
      </c>
      <c r="N242" s="206" t="n"/>
      <c r="O242" s="206">
        <f>L242-M242</f>
        <v/>
      </c>
      <c r="P242" s="206">
        <f>K242-N242</f>
        <v/>
      </c>
      <c r="Q242" s="206">
        <f>M242+O242</f>
        <v/>
      </c>
      <c r="R242" s="206">
        <f>M242+N242+O242+P242</f>
        <v/>
      </c>
      <c r="S242" s="206" t="n"/>
      <c r="T242" s="206" t="n"/>
      <c r="U242" s="206" t="n"/>
      <c r="V242" s="206" t="n"/>
    </row>
    <row r="243">
      <c r="A243" s="206" t="n"/>
      <c r="B243" s="206" t="n"/>
      <c r="C243" s="207" t="n"/>
      <c r="D243" s="207" t="inlineStr">
        <is>
          <t>研发费用-折旧</t>
        </is>
      </c>
      <c r="E243" s="206" t="n"/>
      <c r="F243" s="206" t="n"/>
      <c r="G243" s="206" t="n"/>
      <c r="H243" s="206" t="n"/>
      <c r="I243" s="206" t="n"/>
      <c r="J243" s="206" t="n"/>
      <c r="K243" s="206" t="n"/>
      <c r="L243" s="206" t="n"/>
      <c r="M243" s="210" t="n">
        <v>6857.02</v>
      </c>
      <c r="N243" s="206" t="n"/>
      <c r="O243" s="206">
        <f>L243-M243</f>
        <v/>
      </c>
      <c r="P243" s="206">
        <f>K243-N243</f>
        <v/>
      </c>
      <c r="Q243" s="206">
        <f>M243+O243</f>
        <v/>
      </c>
      <c r="R243" s="206">
        <f>M243+N243+O243+P243</f>
        <v/>
      </c>
      <c r="S243" s="206" t="n"/>
      <c r="T243" s="206" t="n"/>
      <c r="U243" s="206" t="n"/>
      <c r="V243" s="206" t="n"/>
    </row>
    <row r="244">
      <c r="A244" s="206" t="n"/>
      <c r="B244" s="206" t="n"/>
      <c r="C244" s="207" t="n"/>
      <c r="D244" s="207" t="inlineStr">
        <is>
          <t>研发费用-材料费</t>
        </is>
      </c>
      <c r="E244" s="206" t="n"/>
      <c r="F244" s="206" t="n"/>
      <c r="G244" s="206" t="n"/>
      <c r="H244" s="206" t="n"/>
      <c r="I244" s="206" t="n"/>
      <c r="J244" s="206" t="n"/>
      <c r="K244" s="206" t="n"/>
      <c r="L244" s="206" t="n"/>
      <c r="M244" s="210" t="n">
        <v>25030932</v>
      </c>
      <c r="N244" s="206" t="n"/>
      <c r="O244" s="206">
        <f>L244-M244</f>
        <v/>
      </c>
      <c r="P244" s="206">
        <f>K244-N244</f>
        <v/>
      </c>
      <c r="Q244" s="206">
        <f>M244+O244</f>
        <v/>
      </c>
      <c r="R244" s="206">
        <f>M244+N244+O244+P244</f>
        <v/>
      </c>
      <c r="S244" s="206" t="n"/>
      <c r="T244" s="206" t="n"/>
      <c r="U244" s="206" t="n"/>
      <c r="V244" s="206" t="n"/>
    </row>
    <row r="245">
      <c r="A245" s="33" t="n">
        <v>1</v>
      </c>
      <c r="B245" s="199" t="n"/>
      <c r="C245" s="199" t="n"/>
      <c r="D245" s="218" t="n"/>
      <c r="E245" s="212" t="n"/>
      <c r="F245" s="212" t="n"/>
      <c r="G245" s="212" t="n"/>
      <c r="H245" s="189" t="n"/>
      <c r="I245" s="189" t="n"/>
      <c r="J245" s="184">
        <f>H245+I245</f>
        <v/>
      </c>
      <c r="K245" s="189" t="n"/>
      <c r="L245" s="202">
        <f>J245-K245</f>
        <v/>
      </c>
      <c r="M245" s="189" t="n"/>
      <c r="N245" s="189" t="n"/>
      <c r="O245" s="189">
        <f>L245-M245</f>
        <v/>
      </c>
      <c r="P245" s="189">
        <f>K245-N245</f>
        <v/>
      </c>
      <c r="Q245" s="189">
        <f>M245+O245</f>
        <v/>
      </c>
      <c r="R245" s="189">
        <f>M245+N245+O245+P245</f>
        <v/>
      </c>
      <c r="S245" s="203">
        <f>SUM(T245:V245)</f>
        <v/>
      </c>
      <c r="T245" s="203" t="n"/>
      <c r="U245" s="203" t="n"/>
      <c r="V245" s="203" t="n"/>
      <c r="W245" s="203" t="n"/>
      <c r="X245" s="203" t="n"/>
      <c r="Y245" s="203" t="n"/>
      <c r="Z245" s="203" t="n"/>
      <c r="AA245" s="203" t="n"/>
      <c r="AB245" s="188" t="n"/>
      <c r="AC245" s="188" t="n"/>
      <c r="AD245" s="188" t="n"/>
      <c r="AE245" s="188" t="n"/>
      <c r="AF245" s="188" t="n"/>
      <c r="AG245" s="188" t="n"/>
      <c r="AH245" s="188" t="n"/>
      <c r="AI245" s="188" t="n"/>
      <c r="AJ245" s="188" t="n"/>
      <c r="AK245" s="188" t="n"/>
      <c r="AL245" s="214" t="n"/>
    </row>
    <row r="246">
      <c r="A246" s="33" t="n">
        <v>2</v>
      </c>
      <c r="B246" s="199" t="n"/>
      <c r="C246" s="199" t="n"/>
      <c r="D246" s="218" t="n"/>
      <c r="E246" s="212" t="n"/>
      <c r="F246" s="212" t="n"/>
      <c r="G246" s="212" t="n"/>
      <c r="H246" s="189" t="n"/>
      <c r="I246" s="189" t="n"/>
      <c r="J246" s="184" t="n"/>
      <c r="K246" s="189" t="n"/>
      <c r="L246" s="202" t="n"/>
      <c r="M246" s="189" t="n"/>
      <c r="N246" s="189" t="n"/>
      <c r="O246" s="189">
        <f>L246-M246</f>
        <v/>
      </c>
      <c r="P246" s="189">
        <f>K246-N246</f>
        <v/>
      </c>
      <c r="Q246" s="189">
        <f>M246+O246</f>
        <v/>
      </c>
      <c r="R246" s="189">
        <f>M246+N246+O246+P246</f>
        <v/>
      </c>
      <c r="S246" s="203">
        <f>SUM(T246:V246)</f>
        <v/>
      </c>
      <c r="T246" s="203" t="n"/>
      <c r="U246" s="203" t="n"/>
      <c r="V246" s="203" t="n"/>
      <c r="W246" s="203" t="n"/>
      <c r="X246" s="203" t="n"/>
      <c r="Y246" s="203" t="n"/>
      <c r="Z246" s="203" t="n"/>
      <c r="AA246" s="203" t="n"/>
      <c r="AB246" s="188" t="n"/>
      <c r="AC246" s="188" t="n"/>
      <c r="AD246" s="188" t="n"/>
      <c r="AE246" s="188" t="n"/>
      <c r="AF246" s="188" t="n"/>
      <c r="AG246" s="188" t="n"/>
      <c r="AH246" s="188" t="n"/>
      <c r="AI246" s="188" t="n"/>
      <c r="AJ246" s="188" t="n"/>
      <c r="AK246" s="188" t="n"/>
      <c r="AL246" s="214" t="n"/>
    </row>
    <row r="247">
      <c r="A247" s="33" t="n">
        <v>3</v>
      </c>
      <c r="B247" s="199" t="n"/>
      <c r="C247" s="199" t="n"/>
      <c r="D247" s="218" t="n"/>
      <c r="E247" s="212" t="n"/>
      <c r="F247" s="212" t="n"/>
      <c r="G247" s="212" t="n"/>
      <c r="H247" s="189" t="n"/>
      <c r="I247" s="189" t="n"/>
      <c r="J247" s="184" t="n"/>
      <c r="K247" s="189" t="n"/>
      <c r="L247" s="202" t="n"/>
      <c r="M247" s="189" t="n"/>
      <c r="N247" s="189" t="n"/>
      <c r="O247" s="189">
        <f>L247-M247</f>
        <v/>
      </c>
      <c r="P247" s="189">
        <f>K247-N247</f>
        <v/>
      </c>
      <c r="Q247" s="189">
        <f>M247+O247</f>
        <v/>
      </c>
      <c r="R247" s="189">
        <f>M247+N247+O247+P247</f>
        <v/>
      </c>
      <c r="S247" s="203">
        <f>SUM(T247:V247)</f>
        <v/>
      </c>
      <c r="T247" s="203" t="n"/>
      <c r="U247" s="203" t="n"/>
      <c r="V247" s="203" t="n"/>
      <c r="W247" s="203" t="n"/>
      <c r="X247" s="203" t="n"/>
      <c r="Y247" s="203" t="n"/>
      <c r="Z247" s="203" t="n"/>
      <c r="AA247" s="203" t="n"/>
      <c r="AB247" s="188" t="n"/>
      <c r="AC247" s="188" t="n"/>
      <c r="AD247" s="188" t="n"/>
      <c r="AE247" s="188" t="n"/>
      <c r="AF247" s="188" t="n"/>
      <c r="AG247" s="188" t="n"/>
      <c r="AH247" s="188" t="n"/>
      <c r="AI247" s="188" t="n"/>
      <c r="AJ247" s="188" t="n"/>
      <c r="AK247" s="188" t="n"/>
      <c r="AL247" s="214" t="n"/>
    </row>
    <row r="248">
      <c r="A248" s="41" t="n"/>
      <c r="B248" s="215" t="n"/>
      <c r="C248" s="215" t="n"/>
      <c r="D248" s="231" t="inlineStr">
        <is>
          <t>九、成本及费用合计（三+四+五+六+七）</t>
        </is>
      </c>
      <c r="E248" s="232" t="n"/>
      <c r="F248" s="232" t="n"/>
      <c r="G248" s="232" t="n"/>
      <c r="H248" s="217">
        <f>H68+H69+H70+H71+#REF!</f>
        <v/>
      </c>
      <c r="I248" s="217">
        <f>I68+I69+I70+I71+#REF!</f>
        <v/>
      </c>
      <c r="J248" s="242">
        <f>J68+J69+J70+J71+#REF!</f>
        <v/>
      </c>
      <c r="K248" s="217">
        <f>K68+K69+K70+K71+#REF!</f>
        <v/>
      </c>
      <c r="L248" s="243">
        <f>L68+L69+L70+L71+#REF!</f>
        <v/>
      </c>
      <c r="M248" s="243">
        <f>M68+M69+M70+M71</f>
        <v/>
      </c>
      <c r="N248" s="243">
        <f>N68+N69+N70+N71</f>
        <v/>
      </c>
      <c r="O248" s="243">
        <f>O68+O69+O70+O71</f>
        <v/>
      </c>
      <c r="P248" s="243">
        <f>P68+P69+P70+P71</f>
        <v/>
      </c>
      <c r="Q248" s="243">
        <f>Q68+Q69+Q70+Q71</f>
        <v/>
      </c>
      <c r="R248" s="243">
        <f>R68+R69+R70+R71</f>
        <v/>
      </c>
      <c r="S248" s="238">
        <f>S68+S69+S70+S71</f>
        <v/>
      </c>
      <c r="T248" s="238" t="n"/>
      <c r="U248" s="238" t="n"/>
      <c r="V248" s="238" t="n"/>
      <c r="W248" s="238" t="n"/>
      <c r="X248" s="238" t="n"/>
      <c r="Y248" s="238" t="n"/>
      <c r="Z248" s="238">
        <f>Z68+Z69+Z70+Z71</f>
        <v/>
      </c>
      <c r="AA248" s="238">
        <f>AA68+AA69+AA70+AA71</f>
        <v/>
      </c>
      <c r="AB248" s="244" t="n"/>
      <c r="AC248" s="244" t="n"/>
      <c r="AD248" s="244" t="n"/>
      <c r="AE248" s="244" t="n"/>
      <c r="AF248" s="244" t="n"/>
      <c r="AG248" s="244" t="n"/>
      <c r="AH248" s="244" t="n"/>
      <c r="AI248" s="244" t="n"/>
      <c r="AJ248" s="244" t="n"/>
      <c r="AK248" s="245" t="n"/>
      <c r="AL248" s="246" t="n"/>
    </row>
    <row r="249">
      <c r="A249" s="41" t="n"/>
      <c r="B249" s="215" t="n"/>
      <c r="C249" s="215" t="n"/>
      <c r="D249" s="231" t="inlineStr">
        <is>
          <t>十、增值税实际税负（按财务数据）</t>
        </is>
      </c>
      <c r="E249" s="232" t="inlineStr">
        <is>
          <t>根据财务账面实际已缴纳增值税额+尚需缴纳的增值税额</t>
        </is>
      </c>
      <c r="F249" s="232" t="n"/>
      <c r="G249" s="232" t="n"/>
      <c r="H249" s="217" t="n"/>
      <c r="I249" s="217" t="n"/>
      <c r="J249" s="242">
        <f>H78+I78</f>
        <v/>
      </c>
      <c r="K249" s="217" t="inlineStr">
        <is>
          <t>/</t>
        </is>
      </c>
      <c r="L249" s="243" t="inlineStr">
        <is>
          <t>/</t>
        </is>
      </c>
      <c r="M249" s="243" t="n"/>
      <c r="N249" s="243">
        <f>N6-N77</f>
        <v/>
      </c>
      <c r="O249" s="243" t="n"/>
      <c r="P249" s="243" t="n"/>
      <c r="Q249" s="243" t="inlineStr">
        <is>
          <t>/</t>
        </is>
      </c>
      <c r="R249" s="243">
        <f>N78+P78</f>
        <v/>
      </c>
      <c r="S249" s="238" t="n"/>
      <c r="T249" s="238" t="n"/>
      <c r="U249" s="238" t="n"/>
      <c r="V249" s="238" t="n"/>
      <c r="W249" s="238" t="n"/>
      <c r="X249" s="238" t="n"/>
      <c r="Y249" s="238" t="n"/>
      <c r="Z249" s="238" t="n"/>
      <c r="AA249" s="238" t="n"/>
      <c r="AB249" s="244" t="n"/>
      <c r="AC249" s="244" t="n"/>
      <c r="AD249" s="244" t="n"/>
      <c r="AE249" s="244" t="n"/>
      <c r="AF249" s="244" t="n"/>
      <c r="AG249" s="244" t="n"/>
      <c r="AH249" s="244" t="n"/>
      <c r="AI249" s="244" t="n"/>
      <c r="AJ249" s="244" t="n"/>
      <c r="AK249" s="245" t="n"/>
      <c r="AL249" s="246" t="n"/>
    </row>
    <row r="250">
      <c r="A250" s="41" t="n"/>
      <c r="B250" s="215" t="n"/>
      <c r="C250" s="215" t="n"/>
      <c r="D250" s="231" t="inlineStr">
        <is>
          <t>十一、税金及附加（按财务数据）</t>
        </is>
      </c>
      <c r="E250" s="232" t="inlineStr">
        <is>
          <t>根据财务账面实际已缴纳税金及附加+尚需缴纳的税金及附加</t>
        </is>
      </c>
      <c r="F250" s="232" t="n"/>
      <c r="G250" s="232" t="n"/>
      <c r="H250" s="217" t="n"/>
      <c r="I250" s="217" t="n"/>
      <c r="J250" s="242">
        <f>H79+I79</f>
        <v/>
      </c>
      <c r="K250" s="217" t="n"/>
      <c r="L250" s="243">
        <f>J79</f>
        <v/>
      </c>
      <c r="M250" s="247" t="n">
        <v>349670.26</v>
      </c>
      <c r="N250" s="243" t="n"/>
      <c r="O250" s="243">
        <f>L79-M79</f>
        <v/>
      </c>
      <c r="P250" s="243" t="n"/>
      <c r="Q250" s="243">
        <f>M79+O79</f>
        <v/>
      </c>
      <c r="R250" s="243">
        <f>Q79</f>
        <v/>
      </c>
      <c r="S250" s="238" t="n"/>
      <c r="T250" s="238" t="n"/>
      <c r="U250" s="238" t="n"/>
      <c r="V250" s="238" t="n"/>
      <c r="W250" s="238" t="n"/>
      <c r="X250" s="238" t="n"/>
      <c r="Y250" s="238" t="n"/>
      <c r="Z250" s="238" t="n"/>
      <c r="AA250" s="238" t="n"/>
      <c r="AB250" s="244" t="n"/>
      <c r="AC250" s="244" t="n"/>
      <c r="AD250" s="244" t="n"/>
      <c r="AE250" s="244" t="n"/>
      <c r="AF250" s="244" t="n"/>
      <c r="AG250" s="244" t="n"/>
      <c r="AH250" s="244" t="n"/>
      <c r="AI250" s="244" t="n"/>
      <c r="AJ250" s="244" t="n"/>
      <c r="AK250" s="245" t="n"/>
      <c r="AL250" s="246" t="n"/>
    </row>
    <row r="251">
      <c r="A251" s="41" t="n"/>
      <c r="B251" s="215" t="n"/>
      <c r="C251" s="215" t="n"/>
      <c r="D251" s="231" t="inlineStr">
        <is>
          <t>十二、利润</t>
        </is>
      </c>
      <c r="E251" s="232" t="n"/>
      <c r="F251" s="232" t="n"/>
      <c r="G251" s="232" t="n"/>
      <c r="H251" s="217" t="n"/>
      <c r="I251" s="217" t="n"/>
      <c r="J251" s="242">
        <f>J6-J77-J78-J79</f>
        <v/>
      </c>
      <c r="K251" s="217" t="n"/>
      <c r="L251" s="243" t="n"/>
      <c r="M251" s="243" t="n"/>
      <c r="N251" s="243" t="n"/>
      <c r="O251" s="243" t="n"/>
      <c r="P251" s="243" t="n"/>
      <c r="Q251" s="243" t="n"/>
      <c r="R251" s="243" t="n"/>
      <c r="S251" s="238" t="n"/>
      <c r="T251" s="238" t="n"/>
      <c r="U251" s="238" t="n"/>
      <c r="V251" s="238" t="n"/>
      <c r="W251" s="238" t="n"/>
      <c r="X251" s="238" t="n"/>
      <c r="Y251" s="238" t="n"/>
      <c r="Z251" s="238" t="n"/>
      <c r="AA251" s="238" t="n"/>
      <c r="AB251" s="244" t="n"/>
      <c r="AC251" s="244" t="n"/>
      <c r="AD251" s="244" t="n"/>
      <c r="AE251" s="244" t="n"/>
      <c r="AF251" s="244" t="n"/>
      <c r="AG251" s="244" t="n"/>
      <c r="AH251" s="244" t="n"/>
      <c r="AI251" s="244" t="n"/>
      <c r="AJ251" s="244" t="n"/>
      <c r="AK251" s="245" t="n"/>
      <c r="AL251" s="246" t="n"/>
    </row>
    <row r="252">
      <c r="A252" s="105" t="n"/>
      <c r="B252" s="106" t="n"/>
      <c r="C252" s="106" t="n"/>
      <c r="D252" s="107" t="inlineStr">
        <is>
          <t>十三、利润率</t>
        </is>
      </c>
      <c r="E252" s="108" t="n"/>
      <c r="F252" s="108" t="n"/>
      <c r="G252" s="108" t="n"/>
      <c r="H252" s="109" t="n"/>
      <c r="I252" s="109" t="n"/>
      <c r="J252" s="109">
        <f>J80/J6</f>
        <v/>
      </c>
      <c r="K252" s="109" t="n"/>
      <c r="L252" s="127">
        <f>L80/L6</f>
        <v/>
      </c>
      <c r="M252" s="127">
        <f>M80/M6</f>
        <v/>
      </c>
      <c r="N252" s="127" t="n"/>
      <c r="O252" s="127" t="n"/>
      <c r="P252" s="127" t="n"/>
      <c r="Q252" s="127">
        <f>Q80/Q6</f>
        <v/>
      </c>
      <c r="R252" s="127">
        <f>R80/R6</f>
        <v/>
      </c>
      <c r="S252" s="142" t="n"/>
      <c r="T252" s="142" t="n"/>
      <c r="U252" s="142" t="n"/>
      <c r="V252" s="142" t="n"/>
      <c r="W252" s="142" t="n"/>
      <c r="X252" s="142" t="n"/>
      <c r="Y252" s="142" t="n"/>
      <c r="Z252" s="142" t="n"/>
      <c r="AA252" s="142" t="n"/>
      <c r="AB252" s="146" t="n"/>
      <c r="AC252" s="146" t="n"/>
      <c r="AD252" s="146" t="n"/>
      <c r="AE252" s="146" t="n"/>
      <c r="AF252" s="146" t="n"/>
      <c r="AG252" s="146" t="n"/>
      <c r="AH252" s="146" t="n"/>
      <c r="AI252" s="146" t="n"/>
      <c r="AJ252" s="146" t="n"/>
      <c r="AK252" s="154" t="n"/>
      <c r="AL252" s="155" t="n"/>
    </row>
    <row r="253">
      <c r="A253" s="111" t="n"/>
      <c r="B253" s="111" t="n"/>
      <c r="C253" s="111" t="n"/>
      <c r="D253" s="112" t="n"/>
      <c r="E253" s="113" t="n"/>
      <c r="F253" s="113" t="n"/>
      <c r="G253" s="113" t="n"/>
      <c r="H253" s="248" t="n"/>
      <c r="I253" s="248" t="n"/>
      <c r="J253" s="249" t="inlineStr">
        <is>
          <t>含税利润率</t>
        </is>
      </c>
      <c r="K253" s="250" t="n"/>
      <c r="L253" s="251" t="inlineStr">
        <is>
          <t>不含税利润率</t>
        </is>
      </c>
      <c r="M253" s="252" t="n"/>
      <c r="N253" s="252" t="n"/>
      <c r="O253" s="252" t="n"/>
      <c r="P253" s="252" t="n"/>
      <c r="Q253" s="252" t="n"/>
      <c r="R253" s="252" t="n"/>
      <c r="S253" s="252" t="n"/>
      <c r="T253" s="252" t="n"/>
      <c r="U253" s="252" t="n"/>
      <c r="V253" s="252" t="n"/>
      <c r="W253" s="252" t="n"/>
      <c r="X253" s="252" t="n"/>
      <c r="Y253" s="252" t="n"/>
      <c r="Z253" s="253" t="n"/>
      <c r="AA253" s="162" t="n"/>
      <c r="AB253" s="254" t="n"/>
      <c r="AC253" s="254" t="n"/>
      <c r="AD253" s="254" t="n"/>
      <c r="AE253" s="254" t="n"/>
      <c r="AF253" s="254" t="n"/>
      <c r="AG253" s="254" t="n"/>
      <c r="AH253" s="254" t="n"/>
      <c r="AI253" s="254" t="n"/>
      <c r="AJ253" s="254" t="n"/>
      <c r="AK253" s="254" t="n"/>
      <c r="AL253" s="156" t="n"/>
    </row>
    <row r="254">
      <c r="A254" s="111" t="n"/>
      <c r="B254" s="111" t="n"/>
      <c r="C254" s="111" t="n"/>
      <c r="D254" s="112" t="n"/>
      <c r="E254" s="113" t="n"/>
      <c r="F254" s="113" t="n"/>
      <c r="G254" s="113" t="n"/>
      <c r="H254" s="248" t="n"/>
      <c r="I254" s="248" t="n"/>
      <c r="J254" s="255" t="n"/>
      <c r="K254" s="248" t="n"/>
      <c r="L254" s="256" t="n"/>
      <c r="M254" s="252" t="n"/>
      <c r="N254" s="252" t="n"/>
      <c r="O254" s="252" t="n"/>
      <c r="P254" s="252" t="n"/>
      <c r="Q254" s="252" t="n"/>
      <c r="R254" s="252" t="n"/>
      <c r="S254" s="252" t="n"/>
      <c r="T254" s="252" t="n"/>
      <c r="U254" s="252" t="n"/>
      <c r="V254" s="252" t="n"/>
      <c r="W254" s="252" t="n"/>
      <c r="X254" s="252" t="n"/>
      <c r="Y254" s="252" t="n"/>
      <c r="Z254" s="253" t="n"/>
      <c r="AA254" s="162" t="n"/>
      <c r="AB254" s="254" t="n"/>
      <c r="AC254" s="254" t="n"/>
      <c r="AD254" s="254" t="n"/>
      <c r="AE254" s="254" t="n"/>
      <c r="AF254" s="254" t="n"/>
      <c r="AG254" s="254" t="n"/>
      <c r="AH254" s="254" t="n"/>
      <c r="AI254" s="254" t="n"/>
      <c r="AJ254" s="254" t="n"/>
      <c r="AK254" s="254" t="n"/>
      <c r="AL254" s="156" t="n"/>
    </row>
    <row r="255">
      <c r="A255" s="116" t="n"/>
      <c r="B255" s="116" t="n"/>
      <c r="C255" s="116" t="n"/>
      <c r="D255" s="117" t="n"/>
      <c r="E255" s="118" t="n"/>
      <c r="F255" s="118" t="n"/>
      <c r="G255" s="118" t="n"/>
      <c r="H255" s="119" t="n"/>
      <c r="I255" s="119" t="n"/>
      <c r="J255" s="134" t="n"/>
      <c r="K255" s="257" t="n"/>
      <c r="L255" s="257" t="n"/>
      <c r="M255" s="258" t="n"/>
      <c r="N255" s="257" t="n"/>
      <c r="O255" s="257" t="n"/>
      <c r="P255" s="259" t="n"/>
      <c r="Q255" s="259" t="n"/>
      <c r="R255" s="257" t="n"/>
      <c r="S255" s="260" t="n"/>
      <c r="T255" s="260" t="n"/>
      <c r="U255" s="260" t="n"/>
      <c r="V255" s="260" t="n"/>
      <c r="W255" s="260" t="n"/>
      <c r="X255" s="260" t="n"/>
      <c r="Y255" s="260" t="n"/>
      <c r="Z255" s="261" t="n"/>
      <c r="AA255" s="262" t="n"/>
      <c r="AD255" s="263" t="n"/>
      <c r="AE255" s="263" t="n"/>
      <c r="AF255" s="263" t="n"/>
      <c r="AG255" s="263" t="n"/>
      <c r="AH255" s="263" t="n"/>
      <c r="AI255" s="263" t="n"/>
      <c r="AJ255" s="263" t="n"/>
      <c r="AK255" s="263" t="n"/>
      <c r="AL255" s="121" t="n"/>
    </row>
    <row r="256">
      <c r="A256" s="121" t="n"/>
      <c r="B256" s="121" t="n"/>
      <c r="C256" s="121" t="n"/>
      <c r="D256" s="121" t="n"/>
      <c r="E256" s="122" t="n"/>
      <c r="F256" s="122" t="n"/>
      <c r="G256" s="122" t="n"/>
      <c r="H256" s="122" t="n"/>
      <c r="I256" s="122" t="n"/>
      <c r="J256" s="122" t="n"/>
      <c r="K256" s="264" t="n"/>
      <c r="L256" s="122" t="n"/>
      <c r="M256" s="265" t="n"/>
      <c r="N256" s="265" t="n"/>
      <c r="O256" s="265" t="n"/>
      <c r="P256" s="265" t="n"/>
      <c r="Q256" s="265" t="n"/>
      <c r="R256" s="265" t="n"/>
      <c r="S256" s="260" t="n"/>
      <c r="T256" s="260" t="n"/>
      <c r="U256" s="260" t="n"/>
      <c r="V256" s="260" t="n"/>
      <c r="W256" s="260" t="n"/>
      <c r="X256" s="260" t="n"/>
      <c r="Y256" s="260" t="n"/>
      <c r="Z256" s="265" t="n"/>
      <c r="AA256" s="263" t="n"/>
      <c r="AB256" s="263" t="n"/>
      <c r="AC256" s="263" t="n"/>
      <c r="AD256" s="263" t="n"/>
      <c r="AE256" s="263" t="n"/>
      <c r="AF256" s="263" t="n"/>
      <c r="AG256" s="263" t="n"/>
      <c r="AH256" s="263" t="n"/>
      <c r="AI256" s="263" t="n"/>
      <c r="AJ256" s="263" t="n"/>
      <c r="AK256" s="263" t="n"/>
      <c r="AL256" s="121" t="n"/>
    </row>
    <row r="257">
      <c r="A257" s="121" t="n"/>
      <c r="B257" s="121" t="n"/>
      <c r="C257" s="121" t="n"/>
      <c r="D257" s="121" t="n"/>
      <c r="E257" s="122" t="n"/>
      <c r="F257" s="122" t="n"/>
      <c r="G257" s="122" t="n"/>
      <c r="H257" s="122" t="n"/>
      <c r="I257" s="122" t="n"/>
      <c r="J257" s="122" t="n"/>
      <c r="K257" s="264" t="n"/>
      <c r="L257" s="122" t="n"/>
      <c r="M257" s="265" t="n"/>
      <c r="N257" s="265" t="n"/>
      <c r="O257" s="265" t="n"/>
      <c r="P257" s="265" t="n"/>
      <c r="Q257" s="265" t="n"/>
      <c r="R257" s="265" t="n"/>
      <c r="S257" s="260" t="n"/>
      <c r="T257" s="260" t="n"/>
      <c r="U257" s="260" t="n"/>
      <c r="V257" s="260" t="n"/>
      <c r="W257" s="260" t="n"/>
      <c r="X257" s="260" t="n"/>
      <c r="Y257" s="260" t="n"/>
      <c r="Z257" s="265" t="n"/>
      <c r="AA257" s="263" t="n"/>
      <c r="AB257" s="263" t="n"/>
      <c r="AC257" s="263" t="n"/>
      <c r="AD257" s="263" t="n"/>
      <c r="AE257" s="263" t="n"/>
      <c r="AF257" s="263" t="n"/>
      <c r="AG257" s="263" t="n"/>
      <c r="AH257" s="263" t="n"/>
      <c r="AI257" s="263" t="n"/>
      <c r="AJ257" s="263" t="n"/>
      <c r="AK257" s="263" t="n"/>
      <c r="AL257" s="121" t="n"/>
    </row>
    <row r="258">
      <c r="A258" s="121" t="n"/>
      <c r="B258" s="121" t="n"/>
      <c r="C258" s="121" t="n"/>
      <c r="D258" s="121" t="n"/>
      <c r="E258" s="123" t="n"/>
      <c r="F258" s="123" t="n"/>
      <c r="G258" s="123" t="n"/>
      <c r="H258" s="122" t="n"/>
      <c r="I258" s="122" t="n"/>
      <c r="J258" s="122" t="n"/>
      <c r="K258" s="123" t="n"/>
      <c r="L258" s="122" t="n"/>
      <c r="M258" s="265" t="n"/>
      <c r="N258" s="261" t="n"/>
      <c r="O258" s="265" t="n"/>
      <c r="P258" s="265" t="n"/>
      <c r="Q258" s="265" t="n"/>
      <c r="R258" s="257" t="n"/>
      <c r="S258" s="260" t="n"/>
      <c r="T258" s="260" t="n"/>
      <c r="U258" s="260" t="n"/>
      <c r="V258" s="260" t="n"/>
      <c r="W258" s="260" t="n"/>
      <c r="X258" s="260" t="n"/>
      <c r="Y258" s="260" t="n"/>
      <c r="Z258" s="265" t="n"/>
      <c r="AA258" s="263" t="n"/>
      <c r="AB258" s="263" t="n"/>
      <c r="AC258" s="263" t="n"/>
      <c r="AD258" s="263" t="n"/>
      <c r="AE258" s="263" t="n"/>
      <c r="AF258" s="263" t="n"/>
      <c r="AG258" s="263" t="n"/>
      <c r="AH258" s="263" t="n"/>
      <c r="AI258" s="263" t="n"/>
      <c r="AJ258" s="263" t="n"/>
      <c r="AK258" s="263" t="n"/>
      <c r="AL258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2026-04-24T03:12:21Z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