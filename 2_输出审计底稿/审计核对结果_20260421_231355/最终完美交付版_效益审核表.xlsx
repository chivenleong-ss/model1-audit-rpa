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3" t="n"/>
      <c r="X33" s="293" t="n"/>
      <c r="Y33" s="293" t="n"/>
      <c r="Z33" s="293" t="n"/>
      <c r="AA33" s="293" t="n"/>
      <c r="AB33" s="293" t="n"/>
      <c r="AC33" s="293" t="n"/>
      <c r="AD33" s="293" t="n"/>
      <c r="AE33" s="293" t="n"/>
      <c r="AF33" s="293" t="n"/>
      <c r="AG33" s="293" t="n"/>
      <c r="AH33" s="293" t="n"/>
      <c r="AI33" s="293" t="n"/>
      <c r="AJ33" s="293" t="n"/>
      <c r="AK33" s="293" t="n"/>
      <c r="AL33" s="293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3" t="n"/>
      <c r="X34" s="293" t="n"/>
      <c r="Y34" s="293" t="n"/>
      <c r="Z34" s="293" t="n"/>
      <c r="AA34" s="293" t="n"/>
      <c r="AB34" s="293" t="n"/>
      <c r="AC34" s="293" t="n"/>
      <c r="AD34" s="293" t="n"/>
      <c r="AE34" s="293" t="n"/>
      <c r="AF34" s="293" t="n"/>
      <c r="AG34" s="293" t="n"/>
      <c r="AH34" s="293" t="n"/>
      <c r="AI34" s="293" t="n"/>
      <c r="AJ34" s="293" t="n"/>
      <c r="AK34" s="293" t="n"/>
      <c r="AL34" s="293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3" t="n"/>
      <c r="X35" s="293" t="n"/>
      <c r="Y35" s="293" t="n"/>
      <c r="Z35" s="293" t="n"/>
      <c r="AA35" s="293" t="n"/>
      <c r="AB35" s="293" t="n"/>
      <c r="AC35" s="293" t="n"/>
      <c r="AD35" s="293" t="n"/>
      <c r="AE35" s="293" t="n"/>
      <c r="AF35" s="293" t="n"/>
      <c r="AG35" s="293" t="n"/>
      <c r="AH35" s="293" t="n"/>
      <c r="AI35" s="293" t="n"/>
      <c r="AJ35" s="293" t="n"/>
      <c r="AK35" s="293" t="n"/>
      <c r="AL35" s="293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82" t="n"/>
      <c r="B62" s="283" t="n"/>
      <c r="C62" s="283" t="n"/>
      <c r="D62" s="294" t="inlineStr">
        <is>
          <t>**财务未列部分需增列***</t>
        </is>
      </c>
      <c r="E62" s="295" t="n"/>
      <c r="F62" s="295" t="n"/>
      <c r="G62" s="295" t="n"/>
      <c r="H62" s="285" t="n"/>
      <c r="I62" s="285" t="n"/>
      <c r="J62" s="285" t="n"/>
      <c r="K62" s="286" t="n"/>
      <c r="L62" s="287" t="n"/>
      <c r="M62" s="285" t="n"/>
      <c r="N62" s="285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5" t="n"/>
      <c r="U62" s="285" t="n"/>
      <c r="V62" s="285" t="n"/>
      <c r="W62" s="285" t="n"/>
      <c r="X62" s="285" t="n"/>
      <c r="Y62" s="285" t="n"/>
      <c r="Z62" s="285">
        <f>SUM(AA16:AJ16)</f>
        <v/>
      </c>
      <c r="AA62" s="296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>
        <f>AB16/1.17*0.17+AC16/1.16*0.16+AD16/1.11*0.11+AE16/1.1*0.1+AF16/1.09*0.09+AI16/1.03*0.03</f>
        <v/>
      </c>
      <c r="AL62" s="297" t="n"/>
    </row>
    <row r="63" ht="14" customFormat="1" customHeight="1" s="180">
      <c r="A63" s="298" t="n"/>
      <c r="B63" s="299" t="n"/>
      <c r="C63" s="299" t="n"/>
      <c r="D63" s="300" t="inlineStr">
        <is>
          <t>人工费小计：</t>
        </is>
      </c>
      <c r="E63" s="301">
        <f>SUM(E12:E62)</f>
        <v/>
      </c>
      <c r="F63" s="301">
        <f>SUM(F12:F62)</f>
        <v/>
      </c>
      <c r="G63" s="301">
        <f>SUM(G12:G62)</f>
        <v/>
      </c>
      <c r="H63" s="301">
        <f>SUM(H12:H62)</f>
        <v/>
      </c>
      <c r="I63" s="301">
        <f>SUM(I12:I62)</f>
        <v/>
      </c>
      <c r="J63" s="301">
        <f>SUM(J12:J62)</f>
        <v/>
      </c>
      <c r="K63" s="301">
        <f>SUM(K12:K62)</f>
        <v/>
      </c>
      <c r="L63" s="301">
        <f>SUM(L12:L62)</f>
        <v/>
      </c>
      <c r="M63" s="301">
        <f>SUM(M12:M62)</f>
        <v/>
      </c>
      <c r="N63" s="301">
        <f>SUM(N12:N62)</f>
        <v/>
      </c>
      <c r="O63" s="301">
        <f>SUM(O12:O62)</f>
        <v/>
      </c>
      <c r="P63" s="301">
        <f>SUM(P12:P62)</f>
        <v/>
      </c>
      <c r="Q63" s="301">
        <f>SUM(Q12:Q62)</f>
        <v/>
      </c>
      <c r="R63" s="301">
        <f>SUM(R12:R62)</f>
        <v/>
      </c>
      <c r="S63" s="301">
        <f>SUM(S12:S62)</f>
        <v/>
      </c>
      <c r="T63" s="301">
        <f>SUM(T12:T62)</f>
        <v/>
      </c>
      <c r="U63" s="301">
        <f>SUM(U12:U62)</f>
        <v/>
      </c>
      <c r="V63" s="301">
        <f>SUM(V12:V62)</f>
        <v/>
      </c>
      <c r="W63" s="301">
        <f>SUM(W12:W62)</f>
        <v/>
      </c>
      <c r="X63" s="301">
        <f>SUM(X12:X62)</f>
        <v/>
      </c>
      <c r="Y63" s="301">
        <f>SUM(Y12:Y62)</f>
        <v/>
      </c>
      <c r="Z63" s="301">
        <f>SUM(Z12:Z62)</f>
        <v/>
      </c>
      <c r="AA63" s="301">
        <f>SUM(AA12:AA62)</f>
        <v/>
      </c>
      <c r="AB63" s="301">
        <f>SUM(AB12:AB62)</f>
        <v/>
      </c>
      <c r="AC63" s="301">
        <f>SUM(AC12:AC62)</f>
        <v/>
      </c>
      <c r="AD63" s="301">
        <f>SUM(AD12:AD62)</f>
        <v/>
      </c>
      <c r="AE63" s="301">
        <f>SUM(AE12:AE62)</f>
        <v/>
      </c>
      <c r="AF63" s="301">
        <f>SUM(AF12:AF62)</f>
        <v/>
      </c>
      <c r="AG63" s="301">
        <f>SUM(AG12:AG62)</f>
        <v/>
      </c>
      <c r="AH63" s="301">
        <f>SUM(AH12:AH62)</f>
        <v/>
      </c>
      <c r="AI63" s="301">
        <f>SUM(AI12:AI62)</f>
        <v/>
      </c>
      <c r="AJ63" s="301">
        <f>SUM(AJ12:AJ62)</f>
        <v/>
      </c>
      <c r="AK63" s="301">
        <f>SUM(AK12:AK62)</f>
        <v/>
      </c>
      <c r="AL63" s="291" t="n"/>
    </row>
    <row r="64" ht="14" customFormat="1" customHeight="1" s="180">
      <c r="A64" s="282" t="n"/>
      <c r="B64" s="283" t="n"/>
      <c r="C64" s="283" t="n"/>
      <c r="D64" s="302" t="inlineStr">
        <is>
          <t>（二）分包工程</t>
        </is>
      </c>
      <c r="E64" s="283" t="n"/>
      <c r="F64" s="283" t="n"/>
      <c r="G64" s="283" t="n"/>
      <c r="H64" s="285" t="n"/>
      <c r="I64" s="285" t="n"/>
      <c r="J64" s="285" t="n"/>
      <c r="K64" s="286" t="n"/>
      <c r="L64" s="287" t="n"/>
      <c r="M64" s="285" t="n"/>
      <c r="N64" s="285" t="n"/>
      <c r="O64" s="285">
        <f>L64-M64</f>
        <v/>
      </c>
      <c r="P64" s="285">
        <f>K64-N64</f>
        <v/>
      </c>
      <c r="Q64" s="285">
        <f>M64+O64</f>
        <v/>
      </c>
      <c r="R64" s="285">
        <f>M64+N64+O64+P64</f>
        <v/>
      </c>
      <c r="S64" s="289">
        <f>SUM(T64:V64)</f>
        <v/>
      </c>
      <c r="T64" s="289" t="n"/>
      <c r="U64" s="289" t="n"/>
      <c r="V64" s="289" t="n"/>
      <c r="W64" s="289" t="n"/>
      <c r="X64" s="289" t="n"/>
      <c r="Y64" s="289" t="n"/>
      <c r="Z64" s="289" t="n"/>
      <c r="AA64" s="289" t="n"/>
      <c r="AB64" s="289" t="n"/>
      <c r="AC64" s="289" t="n"/>
      <c r="AD64" s="289" t="n"/>
      <c r="AE64" s="289" t="n"/>
      <c r="AF64" s="289" t="n"/>
      <c r="AG64" s="289" t="n"/>
      <c r="AH64" s="289" t="n"/>
      <c r="AI64" s="289" t="n"/>
      <c r="AJ64" s="289" t="n"/>
      <c r="AK64" s="290">
        <f>AB18/1.17*0.17+AC18/1.16*0.16+AD18/1.11*0.11+AE18/1.1*0.1+AF18/1.09*0.09+AI18/1.03*0.03</f>
        <v/>
      </c>
      <c r="AL64" s="291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6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I68" s="293" t="n"/>
      <c r="AJ68" s="293" t="n"/>
      <c r="AK68" s="293" t="n"/>
      <c r="AL68" s="293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I69" s="293" t="n"/>
      <c r="AJ69" s="293" t="n"/>
      <c r="AK69" s="293" t="n"/>
      <c r="AL69" s="293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I70" s="293" t="n"/>
      <c r="AJ70" s="293" t="n"/>
      <c r="AK70" s="293" t="n"/>
      <c r="AL70" s="293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82" t="n"/>
      <c r="B75" s="283" t="n"/>
      <c r="C75" s="283" t="n"/>
      <c r="D75" s="294" t="inlineStr">
        <is>
          <t>**财务未列部分需增列***</t>
        </is>
      </c>
      <c r="E75" s="303" t="n"/>
      <c r="F75" s="303" t="n"/>
      <c r="G75" s="303" t="n"/>
      <c r="H75" s="285" t="n"/>
      <c r="I75" s="285" t="n"/>
      <c r="J75" s="285" t="n"/>
      <c r="K75" s="286" t="n"/>
      <c r="L75" s="287" t="n"/>
      <c r="M75" s="285" t="n"/>
      <c r="N75" s="285" t="n"/>
      <c r="O75" s="285">
        <f>L75-M75</f>
        <v/>
      </c>
      <c r="P75" s="285">
        <f>K75-N75</f>
        <v/>
      </c>
      <c r="Q75" s="285">
        <f>M75+O75</f>
        <v/>
      </c>
      <c r="R75" s="285">
        <f>M75+N75+O75+P75</f>
        <v/>
      </c>
      <c r="S75" s="289">
        <f>SUM(T75:V75)</f>
        <v/>
      </c>
      <c r="T75" s="285" t="n"/>
      <c r="U75" s="285" t="n"/>
      <c r="V75" s="285" t="n"/>
      <c r="W75" s="285" t="n"/>
      <c r="X75" s="285" t="n"/>
      <c r="Y75" s="285" t="n"/>
      <c r="Z75" s="289" t="n"/>
      <c r="AA75" s="289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>
        <f>AB22/1.17*0.17+AC22/1.16*0.16+AD22/1.11*0.11+AE22/1.1*0.1+AF22/1.09*0.09+AI22/1.03*0.03</f>
        <v/>
      </c>
      <c r="AL75" s="297" t="n"/>
    </row>
    <row r="76" ht="14" customFormat="1" customHeight="1" s="180">
      <c r="A76" s="298" t="n"/>
      <c r="B76" s="299" t="n"/>
      <c r="C76" s="299" t="n"/>
      <c r="D76" s="300" t="inlineStr">
        <is>
          <t>分包工程小计：</t>
        </is>
      </c>
      <c r="E76" s="301">
        <f>SUM(E64:E75)</f>
        <v/>
      </c>
      <c r="F76" s="301">
        <f>SUM(F64:F75)</f>
        <v/>
      </c>
      <c r="G76" s="301">
        <f>SUM(G64:G75)</f>
        <v/>
      </c>
      <c r="H76" s="301">
        <f>SUM(H64:H75)</f>
        <v/>
      </c>
      <c r="I76" s="301">
        <f>SUM(I64:I75)</f>
        <v/>
      </c>
      <c r="J76" s="301">
        <f>SUM(J64:J75)</f>
        <v/>
      </c>
      <c r="K76" s="301">
        <f>SUM(K64:K75)</f>
        <v/>
      </c>
      <c r="L76" s="301">
        <f>SUM(L64:L75)</f>
        <v/>
      </c>
      <c r="M76" s="301">
        <f>SUM(M64:M75)</f>
        <v/>
      </c>
      <c r="N76" s="301">
        <f>SUM(N64:N75)</f>
        <v/>
      </c>
      <c r="O76" s="301">
        <f>SUM(O64:O75)</f>
        <v/>
      </c>
      <c r="P76" s="301">
        <f>SUM(P64:P75)</f>
        <v/>
      </c>
      <c r="Q76" s="301">
        <f>SUM(Q64:Q75)</f>
        <v/>
      </c>
      <c r="R76" s="301">
        <f>SUM(R64:R75)</f>
        <v/>
      </c>
      <c r="S76" s="301">
        <f>SUM(S64:S75)</f>
        <v/>
      </c>
      <c r="T76" s="301">
        <f>SUM(T64:T75)</f>
        <v/>
      </c>
      <c r="U76" s="301">
        <f>SUM(U64:U75)</f>
        <v/>
      </c>
      <c r="V76" s="301">
        <f>SUM(V64:V75)</f>
        <v/>
      </c>
      <c r="W76" s="301">
        <f>SUM(W64:W75)</f>
        <v/>
      </c>
      <c r="X76" s="301">
        <f>SUM(X64:X75)</f>
        <v/>
      </c>
      <c r="Y76" s="301">
        <f>SUM(Y64:Y75)</f>
        <v/>
      </c>
      <c r="Z76" s="301">
        <f>SUM(Z64:Z75)</f>
        <v/>
      </c>
      <c r="AA76" s="301">
        <f>SUM(AA64:AA75)</f>
        <v/>
      </c>
      <c r="AB76" s="301">
        <f>SUM(AB64:AB75)</f>
        <v/>
      </c>
      <c r="AC76" s="301">
        <f>SUM(AC64:AC75)</f>
        <v/>
      </c>
      <c r="AD76" s="301">
        <f>SUM(AD64:AD75)</f>
        <v/>
      </c>
      <c r="AE76" s="301">
        <f>SUM(AE64:AE75)</f>
        <v/>
      </c>
      <c r="AF76" s="301">
        <f>SUM(AF64:AF75)</f>
        <v/>
      </c>
      <c r="AG76" s="301">
        <f>SUM(AG64:AG75)</f>
        <v/>
      </c>
      <c r="AH76" s="301">
        <f>SUM(AH64:AH75)</f>
        <v/>
      </c>
      <c r="AI76" s="301">
        <f>SUM(AI64:AI75)</f>
        <v/>
      </c>
      <c r="AJ76" s="301">
        <f>SUM(AJ64:AJ75)</f>
        <v/>
      </c>
      <c r="AK76" s="301">
        <f>SUM(AK64:AK75)</f>
        <v/>
      </c>
      <c r="AL76" s="291" t="n"/>
    </row>
    <row r="77" ht="14" customFormat="1" customHeight="1" s="180">
      <c r="A77" s="282" t="n"/>
      <c r="B77" s="283" t="n"/>
      <c r="C77" s="283" t="n"/>
      <c r="D77" s="302" t="inlineStr">
        <is>
          <t>(三)材料费</t>
        </is>
      </c>
      <c r="E77" s="283" t="n"/>
      <c r="F77" s="283" t="n"/>
      <c r="G77" s="283" t="n"/>
      <c r="H77" s="285" t="n"/>
      <c r="I77" s="285" t="n"/>
      <c r="J77" s="285" t="n"/>
      <c r="K77" s="286" t="n"/>
      <c r="L77" s="287" t="n"/>
      <c r="M77" s="285" t="n"/>
      <c r="N77" s="285" t="n"/>
      <c r="O77" s="285">
        <f>L77-M77</f>
        <v/>
      </c>
      <c r="P77" s="285">
        <f>K77-N77</f>
        <v/>
      </c>
      <c r="Q77" s="285">
        <f>M77+O77</f>
        <v/>
      </c>
      <c r="R77" s="285">
        <f>M77+N77+O77+P77</f>
        <v/>
      </c>
      <c r="S77" s="289">
        <f>SUM(T77:V77)</f>
        <v/>
      </c>
      <c r="T77" s="289" t="n"/>
      <c r="U77" s="289" t="n"/>
      <c r="V77" s="289" t="n"/>
      <c r="W77" s="289" t="n"/>
      <c r="X77" s="289" t="n"/>
      <c r="Y77" s="289" t="n"/>
      <c r="Z77" s="289" t="n"/>
      <c r="AA77" s="289" t="n"/>
      <c r="AB77" s="304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290">
        <f>AB24/1.17*0.17+AC24/1.16*0.16+AD24/1.11*0.11+AE24/1.1*0.1+AF24/1.09*0.09+AI24/1.03*0.03</f>
        <v/>
      </c>
      <c r="AL77" s="305" t="n"/>
    </row>
    <row r="78" ht="26" customFormat="1" customHeight="1" s="180">
      <c r="A78" s="282" t="n"/>
      <c r="B78" s="283" t="n"/>
      <c r="C78" s="283" t="n"/>
      <c r="D78" s="285" t="inlineStr">
        <is>
          <t>（1）集中采购</t>
        </is>
      </c>
      <c r="E78" s="283" t="n"/>
      <c r="F78" s="283" t="n"/>
      <c r="G78" s="283" t="n"/>
      <c r="H78" s="285" t="n"/>
      <c r="I78" s="285" t="n"/>
      <c r="J78" s="285" t="n"/>
      <c r="K78" s="286" t="n"/>
      <c r="L78" s="287" t="n"/>
      <c r="M78" s="285" t="n"/>
      <c r="N78" s="285" t="n"/>
      <c r="O78" s="285">
        <f>L78-M78</f>
        <v/>
      </c>
      <c r="P78" s="285">
        <f>K78-N78</f>
        <v/>
      </c>
      <c r="Q78" s="285">
        <f>M78+O78</f>
        <v/>
      </c>
      <c r="R78" s="285">
        <f>M78+N78+O78+P78</f>
        <v/>
      </c>
      <c r="S78" s="289">
        <f>SUM(T78:V78)</f>
        <v/>
      </c>
      <c r="T78" s="289" t="n"/>
      <c r="U78" s="289" t="n"/>
      <c r="V78" s="289" t="n"/>
      <c r="W78" s="289" t="n"/>
      <c r="X78" s="289" t="n"/>
      <c r="Y78" s="289" t="n"/>
      <c r="Z78" s="289" t="n"/>
      <c r="AA78" s="289" t="n"/>
      <c r="AB78" s="304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290">
        <f>AB25/1.17*0.17+AC25/1.16*0.16+AD25/1.11*0.11+AE25/1.1*0.1+AF25/1.09*0.09+AI25/1.03*0.03</f>
        <v/>
      </c>
      <c r="AL78" s="305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306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306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306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282" t="n"/>
      <c r="B82" s="283" t="n"/>
      <c r="C82" s="283" t="n"/>
      <c r="D82" s="285" t="inlineStr">
        <is>
          <t>（2）自行采购</t>
        </is>
      </c>
      <c r="E82" s="303" t="n"/>
      <c r="F82" s="303" t="n"/>
      <c r="G82" s="303" t="n"/>
      <c r="H82" s="285" t="n"/>
      <c r="I82" s="285" t="n"/>
      <c r="J82" s="285" t="n"/>
      <c r="K82" s="286" t="n"/>
      <c r="L82" s="287" t="n"/>
      <c r="M82" s="285" t="n"/>
      <c r="N82" s="285" t="n"/>
      <c r="O82" s="285">
        <f>L82-M82</f>
        <v/>
      </c>
      <c r="P82" s="285">
        <f>K82-N82</f>
        <v/>
      </c>
      <c r="Q82" s="285">
        <f>M82+O82</f>
        <v/>
      </c>
      <c r="R82" s="285">
        <f>M82+N82+O82+P82</f>
        <v/>
      </c>
      <c r="S82" s="289">
        <f>SUM(T82:V82)</f>
        <v/>
      </c>
      <c r="T82" s="289" t="n"/>
      <c r="U82" s="289" t="n"/>
      <c r="V82" s="289" t="n"/>
      <c r="W82" s="289" t="n"/>
      <c r="X82" s="289" t="n"/>
      <c r="Y82" s="289" t="n"/>
      <c r="Z82" s="285">
        <f>SUM(AA29:AJ29)</f>
        <v/>
      </c>
      <c r="AA82" s="289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290">
        <f>AB29/1.17*0.17+AC29/1.16*0.16+AD29/1.11*0.11+AE29/1.1*0.1+AF29/1.09*0.09+AI29/1.03*0.03</f>
        <v/>
      </c>
      <c r="AL82" s="305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82" t="n">
        <v>26</v>
      </c>
      <c r="B108" s="283" t="n"/>
      <c r="C108" s="283" t="n"/>
      <c r="D108" s="302" t="inlineStr">
        <is>
          <t>材料调入</t>
        </is>
      </c>
      <c r="E108" s="283" t="n"/>
      <c r="F108" s="283" t="n"/>
      <c r="G108" s="283" t="n"/>
      <c r="H108" s="285" t="n"/>
      <c r="I108" s="285" t="n"/>
      <c r="J108" s="285" t="n"/>
      <c r="K108" s="286" t="n"/>
      <c r="L108" s="287" t="n"/>
      <c r="M108" s="307" t="n">
        <v>7208164.12</v>
      </c>
      <c r="N108" s="285" t="n"/>
      <c r="O108" s="285">
        <f>L108-M108</f>
        <v/>
      </c>
      <c r="P108" s="285">
        <f>K108-N108</f>
        <v/>
      </c>
      <c r="Q108" s="285">
        <f>M108+O108</f>
        <v/>
      </c>
      <c r="R108" s="285">
        <f>M108+N108+O108+P108</f>
        <v/>
      </c>
      <c r="S108" s="289">
        <f>SUM(T108:V108)</f>
        <v/>
      </c>
      <c r="T108" s="289" t="n"/>
      <c r="U108" s="289" t="n"/>
      <c r="V108" s="289" t="n"/>
      <c r="W108" s="289" t="n"/>
      <c r="X108" s="289" t="n"/>
      <c r="Y108" s="289" t="n"/>
      <c r="Z108" s="285">
        <f>SUM(AA30:AJ30)</f>
        <v/>
      </c>
      <c r="AA108" s="289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290">
        <f>AB30/1.17*0.17+AC30/1.16*0.16+AD30/1.11*0.11+AE30/1.1*0.1+AF30/1.09*0.09+AI30/1.03*0.03</f>
        <v/>
      </c>
      <c r="AL108" s="305" t="n"/>
    </row>
    <row r="109">
      <c r="A109" s="282" t="n">
        <v>27</v>
      </c>
      <c r="B109" s="283" t="n"/>
      <c r="C109" s="283" t="n"/>
      <c r="D109" s="302" t="inlineStr">
        <is>
          <t>材料调出（注：负数填报）</t>
        </is>
      </c>
      <c r="E109" s="308" t="n"/>
      <c r="F109" s="308" t="n"/>
      <c r="G109" s="308" t="n"/>
      <c r="H109" s="309" t="n"/>
      <c r="I109" s="309" t="n"/>
      <c r="J109" s="285" t="n"/>
      <c r="K109" s="286" t="n"/>
      <c r="L109" s="287" t="n"/>
      <c r="M109" s="310" t="n">
        <v>-2516875.22</v>
      </c>
      <c r="N109" s="309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309" t="n"/>
      <c r="U109" s="309" t="n"/>
      <c r="V109" s="309" t="n"/>
      <c r="W109" s="309" t="n"/>
      <c r="X109" s="309" t="n"/>
      <c r="Y109" s="309" t="n"/>
      <c r="Z109" s="285">
        <f>SUM(AA31:AJ31)</f>
        <v/>
      </c>
      <c r="AA109" s="309" t="n"/>
      <c r="AB109" s="311" t="n"/>
      <c r="AC109" s="311" t="n"/>
      <c r="AD109" s="311" t="n"/>
      <c r="AE109" s="311" t="n"/>
      <c r="AF109" s="311" t="n"/>
      <c r="AG109" s="311" t="n"/>
      <c r="AH109" s="311" t="n"/>
      <c r="AI109" s="311" t="n"/>
      <c r="AJ109" s="311" t="n"/>
      <c r="AK109" s="290">
        <f>AB31/1.17*0.17+AC31/1.16*0.16+AD31/1.11*0.11+AE31/1.1*0.1+AF31/1.09*0.09+AI31/1.03*0.03</f>
        <v/>
      </c>
      <c r="AL109" s="312" t="n"/>
    </row>
    <row r="110">
      <c r="A110" s="282" t="n"/>
      <c r="B110" s="283" t="n"/>
      <c r="C110" s="283" t="n"/>
      <c r="D110" s="302" t="inlineStr">
        <is>
          <t>材料库存（注：项目已结算未使用材料冲减项目成本，负数填报）</t>
        </is>
      </c>
      <c r="E110" s="308" t="n"/>
      <c r="F110" s="308" t="n"/>
      <c r="G110" s="308" t="n"/>
      <c r="H110" s="309" t="n"/>
      <c r="I110" s="309" t="n"/>
      <c r="J110" s="285" t="n"/>
      <c r="K110" s="286" t="n"/>
      <c r="L110" s="287" t="n"/>
      <c r="M110" s="309" t="n"/>
      <c r="N110" s="309" t="n"/>
      <c r="O110" s="285" t="n"/>
      <c r="P110" s="285" t="n"/>
      <c r="Q110" s="285" t="n"/>
      <c r="R110" s="285" t="n"/>
      <c r="S110" s="289" t="n"/>
      <c r="T110" s="309" t="n"/>
      <c r="U110" s="309" t="n"/>
      <c r="V110" s="309" t="n"/>
      <c r="W110" s="309" t="n"/>
      <c r="X110" s="309" t="n"/>
      <c r="Y110" s="309" t="n"/>
      <c r="Z110" s="285" t="n"/>
      <c r="AA110" s="309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290" t="n"/>
      <c r="AL110" s="312" t="n"/>
    </row>
    <row r="111">
      <c r="A111" s="282" t="n"/>
      <c r="B111" s="283" t="n"/>
      <c r="C111" s="283" t="n"/>
      <c r="D111" s="294" t="inlineStr">
        <is>
          <t>**财务未列部分需增列***</t>
        </is>
      </c>
      <c r="E111" s="303" t="n"/>
      <c r="F111" s="303" t="n"/>
      <c r="G111" s="303" t="n"/>
      <c r="H111" s="285" t="n"/>
      <c r="I111" s="285" t="n"/>
      <c r="J111" s="285" t="n"/>
      <c r="K111" s="286" t="n"/>
      <c r="L111" s="287" t="n"/>
      <c r="M111" s="285" t="n"/>
      <c r="N111" s="285" t="n"/>
      <c r="O111" s="285">
        <f>L111-M111</f>
        <v/>
      </c>
      <c r="P111" s="285">
        <f>K111-N111</f>
        <v/>
      </c>
      <c r="Q111" s="285">
        <f>M111+O111</f>
        <v/>
      </c>
      <c r="R111" s="285">
        <f>M111+N111+O111+P111</f>
        <v/>
      </c>
      <c r="S111" s="289">
        <f>SUM(T111:V111)</f>
        <v/>
      </c>
      <c r="T111" s="289" t="n"/>
      <c r="U111" s="289" t="n"/>
      <c r="V111" s="289" t="n"/>
      <c r="W111" s="289" t="n"/>
      <c r="X111" s="289" t="n"/>
      <c r="Y111" s="289" t="n"/>
      <c r="Z111" s="289" t="n"/>
      <c r="AA111" s="289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290">
        <f>AB33/1.17*0.17+AC33/1.16*0.16+AD33/1.11*0.11+AE33/1.1*0.1+AF33/1.09*0.09+AI33/1.03*0.03</f>
        <v/>
      </c>
      <c r="AL111" s="305" t="n"/>
    </row>
    <row r="112">
      <c r="A112" s="298" t="n"/>
      <c r="B112" s="299" t="n"/>
      <c r="C112" s="299" t="n"/>
      <c r="D112" s="300" t="inlineStr">
        <is>
          <t>材料费小计：</t>
        </is>
      </c>
      <c r="E112" s="301">
        <f>SUM(E77:E111)</f>
        <v/>
      </c>
      <c r="F112" s="301">
        <f>SUM(F77:F111)</f>
        <v/>
      </c>
      <c r="G112" s="301">
        <f>SUM(G77:G111)</f>
        <v/>
      </c>
      <c r="H112" s="301">
        <f>SUM(H77:H111)</f>
        <v/>
      </c>
      <c r="I112" s="301">
        <f>SUM(I77:I111)</f>
        <v/>
      </c>
      <c r="J112" s="301">
        <f>SUM(J77:J111)</f>
        <v/>
      </c>
      <c r="K112" s="301">
        <f>SUM(K77:K111)</f>
        <v/>
      </c>
      <c r="L112" s="301">
        <f>SUM(L77:L111)</f>
        <v/>
      </c>
      <c r="M112" s="301">
        <f>SUM(M77:M111)</f>
        <v/>
      </c>
      <c r="N112" s="301">
        <f>SUM(N77:N111)</f>
        <v/>
      </c>
      <c r="O112" s="301">
        <f>SUM(O77:O111)</f>
        <v/>
      </c>
      <c r="P112" s="301">
        <f>SUM(P77:P111)</f>
        <v/>
      </c>
      <c r="Q112" s="301">
        <f>SUM(Q77:Q111)</f>
        <v/>
      </c>
      <c r="R112" s="301">
        <f>SUM(R77:R111)</f>
        <v/>
      </c>
      <c r="S112" s="301">
        <f>SUM(S77:S111)</f>
        <v/>
      </c>
      <c r="T112" s="301">
        <f>SUM(T77:T111)</f>
        <v/>
      </c>
      <c r="U112" s="301">
        <f>SUM(U77:U111)</f>
        <v/>
      </c>
      <c r="V112" s="301">
        <f>SUM(V77:V111)</f>
        <v/>
      </c>
      <c r="W112" s="301">
        <f>SUM(W77:W111)</f>
        <v/>
      </c>
      <c r="X112" s="301">
        <f>SUM(X77:X111)</f>
        <v/>
      </c>
      <c r="Y112" s="301">
        <f>SUM(Y77:Y111)</f>
        <v/>
      </c>
      <c r="Z112" s="301">
        <f>SUM(Z77:Z111)</f>
        <v/>
      </c>
      <c r="AA112" s="301">
        <f>SUM(AA77:AA111)</f>
        <v/>
      </c>
      <c r="AB112" s="301">
        <f>SUM(AB77:AB111)</f>
        <v/>
      </c>
      <c r="AC112" s="301">
        <f>SUM(AC77:AC111)</f>
        <v/>
      </c>
      <c r="AD112" s="301">
        <f>SUM(AD77:AD111)</f>
        <v/>
      </c>
      <c r="AE112" s="301">
        <f>SUM(AE77:AE111)</f>
        <v/>
      </c>
      <c r="AF112" s="301">
        <f>SUM(AF77:AF111)</f>
        <v/>
      </c>
      <c r="AG112" s="301">
        <f>SUM(AG77:AG111)</f>
        <v/>
      </c>
      <c r="AH112" s="301">
        <f>SUM(AH77:AH111)</f>
        <v/>
      </c>
      <c r="AI112" s="301">
        <f>SUM(AI77:AI111)</f>
        <v/>
      </c>
      <c r="AJ112" s="301">
        <f>SUM(AJ77:AJ111)</f>
        <v/>
      </c>
      <c r="AK112" s="301">
        <f>SUM(AK77:AK111)</f>
        <v/>
      </c>
      <c r="AL112" s="291" t="n"/>
    </row>
    <row r="113">
      <c r="A113" s="282" t="n"/>
      <c r="B113" s="283" t="n"/>
      <c r="C113" s="283" t="n"/>
      <c r="D113" s="302" t="inlineStr">
        <is>
          <t>(四）机械租赁费</t>
        </is>
      </c>
      <c r="E113" s="295" t="n"/>
      <c r="F113" s="295" t="n"/>
      <c r="G113" s="295" t="n"/>
      <c r="H113" s="285" t="n"/>
      <c r="I113" s="285" t="n"/>
      <c r="J113" s="285" t="n"/>
      <c r="K113" s="286" t="n">
        <v>0</v>
      </c>
      <c r="L113" s="287">
        <f>J113-K113</f>
        <v/>
      </c>
      <c r="M113" s="288" t="n"/>
      <c r="N113" s="288" t="n"/>
      <c r="O113" s="285">
        <f>L113-M113</f>
        <v/>
      </c>
      <c r="P113" s="285">
        <f>K113-N113</f>
        <v/>
      </c>
      <c r="Q113" s="285">
        <f>M113+O113</f>
        <v/>
      </c>
      <c r="R113" s="285">
        <f>M113+N113+O113+P113</f>
        <v/>
      </c>
      <c r="S113" s="289">
        <f>SUM(T113:V113)</f>
        <v/>
      </c>
      <c r="T113" s="289" t="n"/>
      <c r="U113" s="289" t="n"/>
      <c r="V113" s="289" t="n"/>
      <c r="W113" s="289" t="n"/>
      <c r="X113" s="289" t="n"/>
      <c r="Y113" s="289" t="n"/>
      <c r="Z113" s="289" t="n"/>
      <c r="AA113" s="289" t="n"/>
      <c r="AB113" s="289" t="n"/>
      <c r="AC113" s="289" t="n"/>
      <c r="AD113" s="289" t="n"/>
      <c r="AE113" s="289" t="n"/>
      <c r="AF113" s="289" t="n"/>
      <c r="AG113" s="289" t="n"/>
      <c r="AH113" s="289" t="n"/>
      <c r="AI113" s="289" t="n"/>
      <c r="AJ113" s="289" t="n"/>
      <c r="AK113" s="290">
        <f>AB35/1.17*0.17+AC35/1.16*0.16+AD35/1.11*0.11+AE35/1.1*0.1+AF35/1.09*0.09+AI35/1.03*0.03</f>
        <v/>
      </c>
      <c r="AL113" s="291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  <c r="AI117" s="293" t="n"/>
      <c r="AJ117" s="293" t="n"/>
      <c r="AK117" s="293" t="n"/>
      <c r="AL117" s="293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82" t="n"/>
      <c r="B119" s="283" t="n"/>
      <c r="C119" s="283" t="n"/>
      <c r="D119" s="294" t="inlineStr">
        <is>
          <t>**财务未列部分需增列***</t>
        </is>
      </c>
      <c r="E119" s="313" t="n"/>
      <c r="F119" s="313" t="n"/>
      <c r="G119" s="313" t="n"/>
      <c r="H119" s="285" t="n"/>
      <c r="I119" s="285" t="n"/>
      <c r="J119" s="285" t="n"/>
      <c r="K119" s="286" t="n">
        <v>0</v>
      </c>
      <c r="L119" s="287">
        <f>J119-K119</f>
        <v/>
      </c>
      <c r="M119" s="314" t="n"/>
      <c r="N119" s="314" t="n"/>
      <c r="O119" s="285">
        <f>L119-M119</f>
        <v/>
      </c>
      <c r="P119" s="285">
        <f>K119-N119</f>
        <v/>
      </c>
      <c r="Q119" s="285">
        <f>M119+O119</f>
        <v/>
      </c>
      <c r="R119" s="285">
        <f>M119+N119+O119+P119</f>
        <v/>
      </c>
      <c r="S119" s="289">
        <f>SUM(T119:V119)</f>
        <v/>
      </c>
      <c r="T119" s="314" t="n"/>
      <c r="U119" s="314" t="n"/>
      <c r="V119" s="314" t="n"/>
      <c r="W119" s="314" t="n"/>
      <c r="X119" s="314" t="n"/>
      <c r="Y119" s="314" t="n"/>
      <c r="Z119" s="314" t="n"/>
      <c r="AA119" s="289" t="n"/>
      <c r="AB119" s="290" t="n"/>
      <c r="AC119" s="290" t="n"/>
      <c r="AD119" s="290" t="n"/>
      <c r="AE119" s="290" t="n"/>
      <c r="AF119" s="290" t="n"/>
      <c r="AG119" s="290" t="n"/>
      <c r="AH119" s="290" t="n"/>
      <c r="AI119" s="290" t="n"/>
      <c r="AJ119" s="290" t="n"/>
      <c r="AK119" s="290">
        <f>AB37/1.17*0.17+AC37/1.16*0.16+AD37/1.11*0.11+AE37/1.1*0.1+AF37/1.09*0.09+AI37/1.03*0.03</f>
        <v/>
      </c>
      <c r="AL119" s="297" t="n"/>
    </row>
    <row r="120">
      <c r="A120" s="298" t="n"/>
      <c r="B120" s="299" t="n"/>
      <c r="C120" s="299" t="n"/>
      <c r="D120" s="315" t="inlineStr">
        <is>
          <t>机械费小计：</t>
        </is>
      </c>
      <c r="E120" s="316" t="n"/>
      <c r="F120" s="316" t="n"/>
      <c r="G120" s="316" t="n"/>
      <c r="H120" s="301">
        <f>SUM(H113:H119)</f>
        <v/>
      </c>
      <c r="I120" s="301">
        <f>SUM(I113:I119)</f>
        <v/>
      </c>
      <c r="J120" s="301">
        <f>SUM(J113:J119)</f>
        <v/>
      </c>
      <c r="K120" s="301">
        <f>SUM(K113:K119)</f>
        <v/>
      </c>
      <c r="L120" s="317">
        <f>SUM(L113:L119)</f>
        <v/>
      </c>
      <c r="M120" s="301">
        <f>SUM(M113:M119)</f>
        <v/>
      </c>
      <c r="N120" s="301">
        <f>SUM(N113:N119)</f>
        <v/>
      </c>
      <c r="O120" s="301">
        <f>SUM(O113:O119)</f>
        <v/>
      </c>
      <c r="P120" s="301">
        <f>SUM(P113:P119)</f>
        <v/>
      </c>
      <c r="Q120" s="301">
        <f>SUM(Q113:Q119)</f>
        <v/>
      </c>
      <c r="R120" s="301">
        <f>SUM(R113:R119)</f>
        <v/>
      </c>
      <c r="S120" s="301">
        <f>SUM(S113:S119)</f>
        <v/>
      </c>
      <c r="T120" s="301" t="n"/>
      <c r="U120" s="301" t="n"/>
      <c r="V120" s="301" t="n"/>
      <c r="W120" s="301" t="n"/>
      <c r="X120" s="301" t="n"/>
      <c r="Y120" s="301" t="n"/>
      <c r="Z120" s="301">
        <f>SUM(Z113:Z119)</f>
        <v/>
      </c>
      <c r="AA120" s="301">
        <f>SUM(AA113:AA119)</f>
        <v/>
      </c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301" t="n"/>
      <c r="AL120" s="291" t="n"/>
    </row>
    <row r="121">
      <c r="A121" s="282" t="n"/>
      <c r="B121" s="283" t="n"/>
      <c r="C121" s="283" t="n"/>
      <c r="D121" s="302" t="inlineStr">
        <is>
          <t>（五）其他直接费</t>
        </is>
      </c>
      <c r="E121" s="295" t="n"/>
      <c r="F121" s="295" t="n"/>
      <c r="G121" s="295" t="n"/>
      <c r="H121" s="285" t="n"/>
      <c r="I121" s="285" t="n"/>
      <c r="J121" s="288" t="n">
        <v>0</v>
      </c>
      <c r="K121" s="286" t="n">
        <v>0</v>
      </c>
      <c r="L121" s="287">
        <f>J121-N121-P121</f>
        <v/>
      </c>
      <c r="M121" s="288" t="n"/>
      <c r="N121" s="288" t="n"/>
      <c r="O121" s="285">
        <f>L121-M121</f>
        <v/>
      </c>
      <c r="P121" s="285">
        <f>K121-N121</f>
        <v/>
      </c>
      <c r="Q121" s="285">
        <f>M121+O121</f>
        <v/>
      </c>
      <c r="R121" s="285">
        <f>M121+N121+O121+P121</f>
        <v/>
      </c>
      <c r="S121" s="289">
        <f>SUM(T121:V121)</f>
        <v/>
      </c>
      <c r="T121" s="289" t="n"/>
      <c r="U121" s="289" t="n"/>
      <c r="V121" s="289" t="n"/>
      <c r="W121" s="289" t="n"/>
      <c r="X121" s="289" t="n"/>
      <c r="Y121" s="289" t="n"/>
      <c r="Z121" s="289" t="n"/>
      <c r="AA121" s="289" t="n"/>
      <c r="AB121" s="289" t="n"/>
      <c r="AC121" s="289" t="n"/>
      <c r="AD121" s="289" t="n"/>
      <c r="AE121" s="289" t="n"/>
      <c r="AF121" s="289" t="n"/>
      <c r="AG121" s="289" t="n"/>
      <c r="AH121" s="289" t="n"/>
      <c r="AI121" s="289" t="n"/>
      <c r="AJ121" s="289" t="n"/>
      <c r="AK121" s="290" t="n"/>
      <c r="AL121" s="291" t="n"/>
    </row>
    <row r="122">
      <c r="A122" s="206" t="n">
        <v>1</v>
      </c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  <c r="AI122" s="293" t="n"/>
      <c r="AJ122" s="293" t="n"/>
      <c r="AK122" s="293" t="n"/>
      <c r="AL122" s="293" t="n"/>
    </row>
    <row r="123">
      <c r="A123" s="206" t="n">
        <v>2</v>
      </c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3" t="n"/>
      <c r="X123" s="293" t="n"/>
      <c r="Y123" s="293" t="n"/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  <c r="AI123" s="293" t="n"/>
      <c r="AJ123" s="293" t="n"/>
      <c r="AK123" s="293" t="n"/>
      <c r="AL123" s="293" t="n"/>
    </row>
    <row r="124">
      <c r="A124" s="206" t="n">
        <v>3</v>
      </c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  <c r="AI124" s="293" t="n"/>
      <c r="AJ124" s="293" t="n"/>
      <c r="AK124" s="293" t="n"/>
      <c r="AL124" s="293" t="n"/>
    </row>
    <row r="125">
      <c r="A125" s="206" t="n">
        <v>4</v>
      </c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  <c r="AI125" s="293" t="n"/>
      <c r="AJ125" s="293" t="n"/>
      <c r="AK125" s="293" t="n"/>
      <c r="AL125" s="293" t="n"/>
    </row>
    <row r="126">
      <c r="A126" s="206" t="n">
        <v>5</v>
      </c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6</v>
      </c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82" t="n"/>
      <c r="B128" s="283" t="n"/>
      <c r="C128" s="283" t="n"/>
      <c r="D128" s="294" t="inlineStr">
        <is>
          <t>**财务未列部分需增列***</t>
        </is>
      </c>
      <c r="E128" s="295" t="n"/>
      <c r="F128" s="295" t="n"/>
      <c r="G128" s="295" t="n"/>
      <c r="H128" s="285" t="n"/>
      <c r="I128" s="285" t="n"/>
      <c r="J128" s="288" t="n"/>
      <c r="K128" s="286" t="n"/>
      <c r="L128" s="287">
        <f>J128-K128</f>
        <v/>
      </c>
      <c r="M128" s="318" t="n"/>
      <c r="N128" s="318" t="n"/>
      <c r="O128" s="285">
        <f>L128-M128</f>
        <v/>
      </c>
      <c r="P128" s="285">
        <f>K128-N128</f>
        <v/>
      </c>
      <c r="Q128" s="285">
        <f>M128+O128</f>
        <v/>
      </c>
      <c r="R128" s="285">
        <f>M128+N128+O128+P128</f>
        <v/>
      </c>
      <c r="S128" s="289">
        <f>SUM(T128:V128)</f>
        <v/>
      </c>
      <c r="T128" s="318" t="n"/>
      <c r="U128" s="318" t="n"/>
      <c r="V128" s="318" t="n"/>
      <c r="W128" s="318" t="n"/>
      <c r="X128" s="318" t="n"/>
      <c r="Y128" s="318" t="n"/>
      <c r="Z128" s="285">
        <f>SUM(AA45:AJ45)</f>
        <v/>
      </c>
      <c r="AA128" s="289" t="n"/>
      <c r="AB128" s="289" t="n"/>
      <c r="AC128" s="289" t="n"/>
      <c r="AD128" s="289" t="n"/>
      <c r="AE128" s="289" t="n"/>
      <c r="AF128" s="289" t="n"/>
      <c r="AG128" s="289" t="n"/>
      <c r="AH128" s="289" t="n"/>
      <c r="AI128" s="289" t="n"/>
      <c r="AJ128" s="289" t="n"/>
      <c r="AK128" s="290" t="n"/>
      <c r="AL128" s="291" t="n"/>
    </row>
    <row r="129">
      <c r="A129" s="319" t="n"/>
      <c r="B129" s="320" t="n"/>
      <c r="C129" s="320" t="n"/>
      <c r="D129" s="315" t="inlineStr">
        <is>
          <t>其他直接费小计：</t>
        </is>
      </c>
      <c r="E129" s="321" t="n"/>
      <c r="F129" s="321" t="n"/>
      <c r="G129" s="321" t="n"/>
      <c r="H129" s="301">
        <f>SUM(H121:H128)</f>
        <v/>
      </c>
      <c r="I129" s="301">
        <f>SUM(I121:I128)</f>
        <v/>
      </c>
      <c r="J129" s="301">
        <f>SUM(J121:J128)</f>
        <v/>
      </c>
      <c r="K129" s="301">
        <f>SUM(K121:K128)</f>
        <v/>
      </c>
      <c r="L129" s="317">
        <f>SUM(L121:L128)</f>
        <v/>
      </c>
      <c r="M129" s="301">
        <f>SUM(M121:M128)</f>
        <v/>
      </c>
      <c r="N129" s="301">
        <f>SUM(N121:N128)</f>
        <v/>
      </c>
      <c r="O129" s="301">
        <f>L129-M129</f>
        <v/>
      </c>
      <c r="P129" s="301">
        <f>SUM(P121:P128)</f>
        <v/>
      </c>
      <c r="Q129" s="301">
        <f>M129+O129</f>
        <v/>
      </c>
      <c r="R129" s="301">
        <f>SUM(R121:R128)</f>
        <v/>
      </c>
      <c r="S129" s="301">
        <f>SUM(S121:S128)</f>
        <v/>
      </c>
      <c r="T129" s="301" t="n"/>
      <c r="U129" s="301" t="n"/>
      <c r="V129" s="301" t="n"/>
      <c r="W129" s="301" t="n"/>
      <c r="X129" s="301" t="n"/>
      <c r="Y129" s="301" t="n"/>
      <c r="Z129" s="301">
        <f>SUM(Z121:Z128)</f>
        <v/>
      </c>
      <c r="AA129" s="301">
        <f>SUM(AA121:AA128)</f>
        <v/>
      </c>
      <c r="AB129" s="301">
        <f>SUM(AB121:AB128)</f>
        <v/>
      </c>
      <c r="AC129" s="301">
        <f>SUM(AC121:AC128)</f>
        <v/>
      </c>
      <c r="AD129" s="301">
        <f>SUM(AD121:AD128)</f>
        <v/>
      </c>
      <c r="AE129" s="301">
        <f>SUM(AE121:AE128)</f>
        <v/>
      </c>
      <c r="AF129" s="301">
        <f>SUM(AF121:AF128)</f>
        <v/>
      </c>
      <c r="AG129" s="301" t="n"/>
      <c r="AH129" s="301" t="n"/>
      <c r="AI129" s="301">
        <f>SUM(AI121:AI128)</f>
        <v/>
      </c>
      <c r="AJ129" s="301">
        <f>SUM(AJ121:AJ128)</f>
        <v/>
      </c>
      <c r="AK129" s="301">
        <f>SUM(AK121:AK128)</f>
        <v/>
      </c>
      <c r="AL129" s="291" t="n"/>
    </row>
    <row r="130">
      <c r="A130" s="282" t="n"/>
      <c r="B130" s="283" t="n"/>
      <c r="C130" s="283" t="n"/>
      <c r="D130" s="302" t="inlineStr">
        <is>
          <t>（六）间接费</t>
        </is>
      </c>
      <c r="E130" s="295" t="n"/>
      <c r="F130" s="295" t="n"/>
      <c r="G130" s="295" t="n"/>
      <c r="H130" s="288" t="n"/>
      <c r="I130" s="285" t="n"/>
      <c r="J130" s="285" t="n">
        <v>0</v>
      </c>
      <c r="K130" s="286" t="n">
        <v>0</v>
      </c>
      <c r="L130" s="287">
        <f>J130-N130-P130</f>
        <v/>
      </c>
      <c r="M130" s="288" t="n"/>
      <c r="N130" s="288" t="n"/>
      <c r="O130" s="285">
        <f>L130-M130</f>
        <v/>
      </c>
      <c r="P130" s="285">
        <f>K130-N130</f>
        <v/>
      </c>
      <c r="Q130" s="285">
        <f>M130+O130</f>
        <v/>
      </c>
      <c r="R130" s="285">
        <f>M130+N130+O130+P130</f>
        <v/>
      </c>
      <c r="S130" s="289">
        <f>SUM(T130:V130)</f>
        <v/>
      </c>
      <c r="T130" s="289" t="n"/>
      <c r="U130" s="289" t="n"/>
      <c r="V130" s="289" t="n"/>
      <c r="W130" s="289" t="n"/>
      <c r="X130" s="289" t="n"/>
      <c r="Y130" s="289" t="n"/>
      <c r="Z130" s="289" t="n"/>
      <c r="AA130" s="289" t="n"/>
      <c r="AB130" s="289" t="n"/>
      <c r="AC130" s="289" t="n"/>
      <c r="AD130" s="289" t="n"/>
      <c r="AE130" s="289" t="n"/>
      <c r="AF130" s="289" t="n"/>
      <c r="AG130" s="289" t="n"/>
      <c r="AH130" s="289" t="n"/>
      <c r="AI130" s="289" t="n"/>
      <c r="AJ130" s="289" t="n"/>
      <c r="AK130" s="290" t="n"/>
      <c r="AL130" s="291" t="n"/>
    </row>
    <row r="131">
      <c r="A131" s="206" t="n">
        <v>1</v>
      </c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06" t="n">
        <v>2</v>
      </c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3</v>
      </c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>
        <v>4</v>
      </c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>
        <v>5</v>
      </c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6</v>
      </c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7</v>
      </c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8</v>
      </c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06" t="n">
        <v>9</v>
      </c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06" t="n">
        <v>10</v>
      </c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11</v>
      </c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12</v>
      </c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13</v>
      </c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14</v>
      </c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15</v>
      </c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16</v>
      </c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06" t="n">
        <v>17</v>
      </c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06" t="n">
        <v>18</v>
      </c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19</v>
      </c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20</v>
      </c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21</v>
      </c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22</v>
      </c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23</v>
      </c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24</v>
      </c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25</v>
      </c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26</v>
      </c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27</v>
      </c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28</v>
      </c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29</v>
      </c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30</v>
      </c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31</v>
      </c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82" t="n"/>
      <c r="B162" s="283" t="n"/>
      <c r="C162" s="283" t="n"/>
      <c r="D162" s="294" t="inlineStr">
        <is>
          <t>**财务未列部分需增列***</t>
        </is>
      </c>
      <c r="E162" s="295" t="n"/>
      <c r="F162" s="295" t="n"/>
      <c r="G162" s="295" t="n"/>
      <c r="H162" s="318" t="n"/>
      <c r="I162" s="285" t="n"/>
      <c r="J162" s="318" t="n"/>
      <c r="K162" s="286" t="n"/>
      <c r="L162" s="287" t="n"/>
      <c r="M162" s="318" t="n"/>
      <c r="N162" s="285" t="n"/>
      <c r="O162" s="285">
        <f>L162-M162</f>
        <v/>
      </c>
      <c r="P162" s="285">
        <f>K162-N162</f>
        <v/>
      </c>
      <c r="Q162" s="285">
        <f>M162+O162</f>
        <v/>
      </c>
      <c r="R162" s="285">
        <f>M162+N162+O162+P162</f>
        <v/>
      </c>
      <c r="S162" s="289">
        <f>SUM(T162:V162)</f>
        <v/>
      </c>
      <c r="T162" s="318" t="n"/>
      <c r="U162" s="318" t="n"/>
      <c r="V162" s="318" t="n"/>
      <c r="W162" s="318" t="n"/>
      <c r="X162" s="318" t="n"/>
      <c r="Y162" s="318" t="n"/>
      <c r="Z162" s="318" t="n"/>
      <c r="AA162" s="289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7" t="n"/>
    </row>
    <row r="163">
      <c r="A163" s="319" t="n"/>
      <c r="B163" s="320" t="n"/>
      <c r="C163" s="320" t="n"/>
      <c r="D163" s="315" t="inlineStr">
        <is>
          <t>间接费小计：</t>
        </is>
      </c>
      <c r="E163" s="321" t="n"/>
      <c r="F163" s="321" t="n"/>
      <c r="G163" s="321" t="n"/>
      <c r="H163" s="301">
        <f>SUM(H130:H162)</f>
        <v/>
      </c>
      <c r="I163" s="301">
        <f>SUM(I130:I162)</f>
        <v/>
      </c>
      <c r="J163" s="301">
        <f>SUM(J130:J162)</f>
        <v/>
      </c>
      <c r="K163" s="301">
        <f>SUM(K130:K162)</f>
        <v/>
      </c>
      <c r="L163" s="317">
        <f>SUM(L130:L162)</f>
        <v/>
      </c>
      <c r="M163" s="317">
        <f>SUM(M130:M162)</f>
        <v/>
      </c>
      <c r="N163" s="317">
        <f>SUM(N130:N162)</f>
        <v/>
      </c>
      <c r="O163" s="317">
        <f>SUM(O130:O162)</f>
        <v/>
      </c>
      <c r="P163" s="317">
        <f>SUM(P130:P162)</f>
        <v/>
      </c>
      <c r="Q163" s="317">
        <f>SUM(Q130:Q162)</f>
        <v/>
      </c>
      <c r="R163" s="317">
        <f>SUM(R130:R162)</f>
        <v/>
      </c>
      <c r="S163" s="317">
        <f>SUM(S130:S162)</f>
        <v/>
      </c>
      <c r="T163" s="317" t="n"/>
      <c r="U163" s="317" t="n"/>
      <c r="V163" s="317" t="n"/>
      <c r="W163" s="317" t="n"/>
      <c r="X163" s="317" t="n"/>
      <c r="Y163" s="317" t="n"/>
      <c r="Z163" s="317">
        <f>SUM(Z130:Z162)</f>
        <v/>
      </c>
      <c r="AA163" s="317">
        <f>SUM(AA130:AA162)</f>
        <v/>
      </c>
      <c r="AB163" s="317">
        <f>SUM(AB130:AB162)</f>
        <v/>
      </c>
      <c r="AC163" s="317">
        <f>SUM(AC130:AC162)</f>
        <v/>
      </c>
      <c r="AD163" s="317">
        <f>SUM(AD130:AD162)</f>
        <v/>
      </c>
      <c r="AE163" s="317">
        <f>SUM(AE130:AE162)</f>
        <v/>
      </c>
      <c r="AF163" s="317">
        <f>SUM(AF130:AF162)</f>
        <v/>
      </c>
      <c r="AG163" s="317" t="n"/>
      <c r="AH163" s="317" t="n"/>
      <c r="AI163" s="317">
        <f>SUM(AI130:AI162)</f>
        <v/>
      </c>
      <c r="AJ163" s="317">
        <f>SUM(AJ130:AJ162)</f>
        <v/>
      </c>
      <c r="AK163" s="317">
        <f>SUM(AK130:AK162)</f>
        <v/>
      </c>
      <c r="AL163" s="297" t="n"/>
    </row>
    <row r="164">
      <c r="A164" s="282" t="n"/>
      <c r="B164" s="283" t="n"/>
      <c r="C164" s="283" t="n"/>
      <c r="D164" s="302" t="inlineStr">
        <is>
          <t>（七）安全费</t>
        </is>
      </c>
      <c r="E164" s="295" t="n"/>
      <c r="F164" s="295" t="n"/>
      <c r="G164" s="295" t="n"/>
      <c r="H164" s="285" t="n"/>
      <c r="I164" s="285" t="n"/>
      <c r="J164" s="288" t="n">
        <v>0</v>
      </c>
      <c r="K164" s="322" t="n"/>
      <c r="L164" s="287">
        <f>J164-N164-P164</f>
        <v/>
      </c>
      <c r="M164" s="285" t="n"/>
      <c r="N164" s="285" t="n"/>
      <c r="O164" s="285">
        <f>L164-M164</f>
        <v/>
      </c>
      <c r="P164" s="285">
        <f>K164-N164</f>
        <v/>
      </c>
      <c r="Q164" s="285">
        <f>M164+O164</f>
        <v/>
      </c>
      <c r="R164" s="285">
        <f>M164+N164+O164+P164</f>
        <v/>
      </c>
      <c r="S164" s="289">
        <f>SUM(T164:V164)</f>
        <v/>
      </c>
      <c r="T164" s="318" t="n"/>
      <c r="U164" s="318" t="n"/>
      <c r="V164" s="318" t="n"/>
      <c r="W164" s="318" t="n"/>
      <c r="X164" s="318" t="n"/>
      <c r="Y164" s="318" t="n"/>
      <c r="Z164" s="314" t="n"/>
      <c r="AA164" s="289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7" t="n"/>
    </row>
    <row r="165">
      <c r="A165" s="206" t="n">
        <v>1</v>
      </c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06" t="n">
        <v>2</v>
      </c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3</v>
      </c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4</v>
      </c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319" t="n"/>
      <c r="B169" s="320" t="n"/>
      <c r="C169" s="320" t="n"/>
      <c r="D169" s="315" t="inlineStr">
        <is>
          <t>安全费小计：</t>
        </is>
      </c>
      <c r="E169" s="315" t="n"/>
      <c r="F169" s="315" t="n"/>
      <c r="G169" s="315" t="n"/>
      <c r="H169" s="301">
        <f>SUM(H164:H168)</f>
        <v/>
      </c>
      <c r="I169" s="301">
        <f>SUM(I164:I168)</f>
        <v/>
      </c>
      <c r="J169" s="301" t="n">
        <v>0</v>
      </c>
      <c r="K169" s="301" t="n">
        <v>0</v>
      </c>
      <c r="L169" s="323">
        <f>J169-K169</f>
        <v/>
      </c>
      <c r="M169" s="317">
        <f>SUM(M164:M168)</f>
        <v/>
      </c>
      <c r="N169" s="317">
        <f>SUM(N164:N168)</f>
        <v/>
      </c>
      <c r="O169" s="317">
        <f>SUM(O164:O168)</f>
        <v/>
      </c>
      <c r="P169" s="317">
        <f>SUM(P164:P168)</f>
        <v/>
      </c>
      <c r="Q169" s="317">
        <f>SUM(Q164:Q168)</f>
        <v/>
      </c>
      <c r="R169" s="317">
        <f>SUM(R164:R168)</f>
        <v/>
      </c>
      <c r="S169" s="317">
        <f>SUM(S164:S168)</f>
        <v/>
      </c>
      <c r="T169" s="324" t="n"/>
      <c r="U169" s="324" t="n"/>
      <c r="V169" s="324" t="n"/>
      <c r="W169" s="324" t="n"/>
      <c r="X169" s="324" t="n"/>
      <c r="Y169" s="324" t="n"/>
      <c r="Z169" s="324" t="n"/>
      <c r="AA169" s="324">
        <f>SUM(AA164:AA168)</f>
        <v/>
      </c>
      <c r="AB169" s="324">
        <f>SUM(AB164:AB168)</f>
        <v/>
      </c>
      <c r="AC169" s="324">
        <f>SUM(AC164:AC168)</f>
        <v/>
      </c>
      <c r="AD169" s="324">
        <f>SUM(AD164:AD168)</f>
        <v/>
      </c>
      <c r="AE169" s="324">
        <f>SUM(AE164:AE168)</f>
        <v/>
      </c>
      <c r="AF169" s="324">
        <f>SUM(AF164:AF168)</f>
        <v/>
      </c>
      <c r="AG169" s="324" t="n"/>
      <c r="AH169" s="324" t="n"/>
      <c r="AI169" s="324">
        <f>SUM(AI164:AI168)</f>
        <v/>
      </c>
      <c r="AJ169" s="324">
        <f>SUM(AJ164:AJ168)</f>
        <v/>
      </c>
      <c r="AK169" s="324">
        <f>SUM(AK164:AK168)</f>
        <v/>
      </c>
      <c r="AL169" s="325" t="n"/>
    </row>
    <row r="170">
      <c r="A170" s="319" t="n"/>
      <c r="B170" s="320" t="n"/>
      <c r="C170" s="320" t="n"/>
      <c r="D170" s="315" t="inlineStr">
        <is>
          <t>三、成本合计：</t>
        </is>
      </c>
      <c r="E170" s="321" t="n"/>
      <c r="F170" s="321" t="n"/>
      <c r="G170" s="321" t="n"/>
      <c r="H170" s="301">
        <f>H63+H76+H112+H120+H129+H163+H169</f>
        <v/>
      </c>
      <c r="I170" s="301">
        <f>I63+I76+I112+I120+I129+I163+I169</f>
        <v/>
      </c>
      <c r="J170" s="301">
        <f>J63+J76+J112+J120+J129+J163+J169</f>
        <v/>
      </c>
      <c r="K170" s="301">
        <f>K63+K76+K112+K120+K129+K163+K169</f>
        <v/>
      </c>
      <c r="L170" s="317">
        <f>L63+L76+L112+L120+L129+L163+L169</f>
        <v/>
      </c>
      <c r="M170" s="324">
        <f>M63+M76+M112+M120+M129+M163+M169</f>
        <v/>
      </c>
      <c r="N170" s="324">
        <f>N63+N76+N112+N120+N129+N163+N169</f>
        <v/>
      </c>
      <c r="O170" s="324">
        <f>O63+O76+O112+O120+O129+O163+O169</f>
        <v/>
      </c>
      <c r="P170" s="324">
        <f>P63+P76+P112+P120+P129+P163+P169</f>
        <v/>
      </c>
      <c r="Q170" s="324">
        <f>Q63+Q76+Q112+Q120+Q129+Q163+Q169</f>
        <v/>
      </c>
      <c r="R170" s="324">
        <f>R63+R76+R112+R120+R129+R163+R169</f>
        <v/>
      </c>
      <c r="S170" s="324">
        <f>S63+S76+S112+S120+S129+S163+S169</f>
        <v/>
      </c>
      <c r="T170" s="324" t="n"/>
      <c r="U170" s="324" t="n"/>
      <c r="V170" s="324" t="n"/>
      <c r="W170" s="324" t="n"/>
      <c r="X170" s="324" t="n"/>
      <c r="Y170" s="324" t="n"/>
      <c r="Z170" s="324">
        <f>Z63+Z76+Z112+Z120+Z129+Z163+Z169</f>
        <v/>
      </c>
      <c r="AA170" s="324">
        <f>AA63+AA76+AA112+AA120+AA129+AA163+AA169</f>
        <v/>
      </c>
      <c r="AB170" s="324">
        <f>AB63+AB76+AB112+AB120+AB129+AB163+AB169</f>
        <v/>
      </c>
      <c r="AC170" s="324">
        <f>AC63+AC76+AC112+AC120+AC129+AC163+AC169</f>
        <v/>
      </c>
      <c r="AD170" s="324">
        <f>AD63+AD76+AD112+AD120+AD129+AD163+AD169</f>
        <v/>
      </c>
      <c r="AE170" s="324">
        <f>AE63+AE76+AE112+AE120+AE129+AE163+AE169</f>
        <v/>
      </c>
      <c r="AF170" s="324">
        <f>AF63+AF76+AF112+AF120+AF129+AF163+AF169</f>
        <v/>
      </c>
      <c r="AG170" s="324" t="n"/>
      <c r="AH170" s="324" t="n"/>
      <c r="AI170" s="324">
        <f>AI63+AI76+AI112+AI120+AI129+AI163+AI169</f>
        <v/>
      </c>
      <c r="AJ170" s="324">
        <f>AJ63+AJ76+AJ112+AJ120+AJ129+AJ163+AJ169</f>
        <v/>
      </c>
      <c r="AK170" s="324">
        <f>AK63+AK76+AK112+AK120+AK129+AK163+AK169</f>
        <v/>
      </c>
      <c r="AL170" s="325" t="n"/>
    </row>
    <row r="171">
      <c r="A171" s="319" t="n"/>
      <c r="B171" s="320" t="n"/>
      <c r="C171" s="320" t="n"/>
      <c r="D171" s="315" t="inlineStr">
        <is>
          <t>四、计提保修金</t>
        </is>
      </c>
      <c r="E171" s="321" t="inlineStr">
        <is>
          <t>（在建：房建0.6%，其它0.4%；在保修期间的按0.3~0.5%自行确定;保修期结束为0）</t>
        </is>
      </c>
      <c r="F171" s="321" t="n"/>
      <c r="G171" s="321" t="n"/>
      <c r="H171" s="301" t="n"/>
      <c r="I171" s="301" t="n"/>
      <c r="J171" s="301">
        <f>H171+I171</f>
        <v/>
      </c>
      <c r="K171" s="301" t="n"/>
      <c r="L171" s="317">
        <f>J171-K171</f>
        <v/>
      </c>
      <c r="M171" s="324" t="n"/>
      <c r="N171" s="324" t="n"/>
      <c r="O171" s="324">
        <f>L171-M171</f>
        <v/>
      </c>
      <c r="P171" s="324">
        <f>K171-N171</f>
        <v/>
      </c>
      <c r="Q171" s="324">
        <f>M171+O171</f>
        <v/>
      </c>
      <c r="R171" s="324">
        <f>M171+N171+O171+P171</f>
        <v/>
      </c>
      <c r="S171" s="324">
        <f>SUM(T171:V171)</f>
        <v/>
      </c>
      <c r="T171" s="324" t="n"/>
      <c r="U171" s="324" t="n"/>
      <c r="V171" s="324" t="n"/>
      <c r="W171" s="324" t="n"/>
      <c r="X171" s="324" t="n"/>
      <c r="Y171" s="324" t="n"/>
      <c r="Z171" s="324" t="n"/>
      <c r="AA171" s="324">
        <f>Q69-S69</f>
        <v/>
      </c>
      <c r="AB171" s="324" t="n"/>
      <c r="AC171" s="324" t="n"/>
      <c r="AD171" s="324" t="n"/>
      <c r="AE171" s="324" t="n"/>
      <c r="AF171" s="324" t="n"/>
      <c r="AG171" s="324" t="n"/>
      <c r="AH171" s="324" t="n"/>
      <c r="AI171" s="324" t="n"/>
      <c r="AJ171" s="324" t="n"/>
      <c r="AK171" s="324" t="n"/>
      <c r="AL171" s="325" t="n"/>
    </row>
    <row r="172">
      <c r="A172" s="319" t="n"/>
      <c r="B172" s="320" t="n"/>
      <c r="C172" s="320" t="n"/>
      <c r="D172" s="315" t="inlineStr">
        <is>
          <t>五、过程节点奖金</t>
        </is>
      </c>
      <c r="E172" s="321" t="n"/>
      <c r="F172" s="321" t="n"/>
      <c r="G172" s="321" t="n"/>
      <c r="H172" s="301" t="n"/>
      <c r="I172" s="301" t="n"/>
      <c r="J172" s="301">
        <f>H172+I172</f>
        <v/>
      </c>
      <c r="K172" s="301" t="n"/>
      <c r="L172" s="317">
        <f>J172-K172</f>
        <v/>
      </c>
      <c r="M172" s="324" t="n"/>
      <c r="N172" s="324" t="n"/>
      <c r="O172" s="324">
        <f>L172-M172</f>
        <v/>
      </c>
      <c r="P172" s="324">
        <f>K172-N172</f>
        <v/>
      </c>
      <c r="Q172" s="324">
        <f>M172+O172</f>
        <v/>
      </c>
      <c r="R172" s="324">
        <f>M172+N172+O172+P172</f>
        <v/>
      </c>
      <c r="S172" s="324">
        <f>SUM(T172:V172)</f>
        <v/>
      </c>
      <c r="T172" s="324" t="n"/>
      <c r="U172" s="324" t="n"/>
      <c r="V172" s="324" t="n"/>
      <c r="W172" s="324" t="n"/>
      <c r="X172" s="324" t="n"/>
      <c r="Y172" s="324" t="n"/>
      <c r="Z172" s="324" t="n"/>
      <c r="AA172" s="324" t="n"/>
      <c r="AB172" s="324" t="n"/>
      <c r="AC172" s="324" t="n"/>
      <c r="AD172" s="324" t="n"/>
      <c r="AE172" s="324" t="n"/>
      <c r="AF172" s="324" t="n"/>
      <c r="AG172" s="324" t="n"/>
      <c r="AH172" s="324" t="n"/>
      <c r="AI172" s="324" t="n"/>
      <c r="AJ172" s="324" t="n"/>
      <c r="AK172" s="324" t="n"/>
      <c r="AL172" s="325" t="n"/>
    </row>
    <row r="173">
      <c r="A173" s="319" t="n"/>
      <c r="B173" s="320" t="n"/>
      <c r="C173" s="320" t="n"/>
      <c r="D173" s="315" t="inlineStr">
        <is>
          <t>六、资金占用费用</t>
        </is>
      </c>
      <c r="E173" s="321" t="n"/>
      <c r="F173" s="321" t="n"/>
      <c r="G173" s="321" t="n"/>
      <c r="H173" s="301" t="n"/>
      <c r="I173" s="301" t="n"/>
      <c r="J173" s="301">
        <f>H173+I173</f>
        <v/>
      </c>
      <c r="K173" s="301" t="n"/>
      <c r="L173" s="317">
        <f>J173-K173</f>
        <v/>
      </c>
      <c r="M173" s="326" t="n">
        <v>1942071.27</v>
      </c>
      <c r="N173" s="324" t="n"/>
      <c r="O173" s="324">
        <f>L173-M173</f>
        <v/>
      </c>
      <c r="P173" s="324">
        <f>K173-N173</f>
        <v/>
      </c>
      <c r="Q173" s="324">
        <f>M173+O173</f>
        <v/>
      </c>
      <c r="R173" s="324">
        <f>M173+N173+O173+P173</f>
        <v/>
      </c>
      <c r="S173" s="324">
        <f>SUM(T173:V173)</f>
        <v/>
      </c>
      <c r="T173" s="324" t="n"/>
      <c r="U173" s="324" t="n"/>
      <c r="V173" s="324" t="n"/>
      <c r="W173" s="324" t="n"/>
      <c r="X173" s="324" t="n"/>
      <c r="Y173" s="324" t="n"/>
      <c r="Z173" s="324" t="n"/>
      <c r="AA173" s="324" t="n"/>
      <c r="AB173" s="324" t="n"/>
      <c r="AC173" s="324" t="n"/>
      <c r="AD173" s="324" t="n"/>
      <c r="AE173" s="324" t="n"/>
      <c r="AF173" s="324" t="n"/>
      <c r="AG173" s="324" t="n"/>
      <c r="AH173" s="324" t="n"/>
      <c r="AI173" s="324" t="n"/>
      <c r="AJ173" s="324" t="n"/>
      <c r="AK173" s="324" t="n"/>
      <c r="AL173" s="325" t="n"/>
    </row>
    <row r="174">
      <c r="A174" s="319" t="n"/>
      <c r="B174" s="320" t="n"/>
      <c r="C174" s="320" t="n"/>
      <c r="D174" s="315" t="inlineStr">
        <is>
          <t>七、局投资收益（局投资项目选填）</t>
        </is>
      </c>
      <c r="E174" s="321" t="n"/>
      <c r="F174" s="321" t="n"/>
      <c r="G174" s="321" t="n"/>
      <c r="H174" s="301" t="n"/>
      <c r="I174" s="301" t="n"/>
      <c r="J174" s="301">
        <f>H174+I174</f>
        <v/>
      </c>
      <c r="K174" s="301" t="n"/>
      <c r="L174" s="317">
        <f>J174-K174</f>
        <v/>
      </c>
      <c r="M174" s="324" t="n"/>
      <c r="N174" s="324" t="n"/>
      <c r="O174" s="324">
        <f>L174-M174</f>
        <v/>
      </c>
      <c r="P174" s="324">
        <f>K174-N174</f>
        <v/>
      </c>
      <c r="Q174" s="324">
        <f>M174+O174</f>
        <v/>
      </c>
      <c r="R174" s="324">
        <f>M174+N174+O174+P174</f>
        <v/>
      </c>
      <c r="S174" s="324">
        <f>SUM(T174:V174)</f>
        <v/>
      </c>
      <c r="T174" s="324" t="n"/>
      <c r="U174" s="324" t="n"/>
      <c r="V174" s="324" t="n"/>
      <c r="W174" s="324" t="n"/>
      <c r="X174" s="324" t="n"/>
      <c r="Y174" s="324" t="n"/>
      <c r="Z174" s="324" t="n"/>
      <c r="AA174" s="324" t="n"/>
      <c r="AB174" s="324" t="n"/>
      <c r="AC174" s="324" t="n"/>
      <c r="AD174" s="324" t="n"/>
      <c r="AE174" s="324" t="n"/>
      <c r="AF174" s="324" t="n"/>
      <c r="AG174" s="324" t="n"/>
      <c r="AH174" s="324" t="n"/>
      <c r="AI174" s="324" t="n"/>
      <c r="AJ174" s="324" t="n"/>
      <c r="AK174" s="324" t="n"/>
      <c r="AL174" s="325" t="n"/>
    </row>
    <row r="175">
      <c r="A175" s="319" t="n"/>
      <c r="B175" s="320" t="n"/>
      <c r="C175" s="320" t="n"/>
      <c r="D175" s="315" t="inlineStr">
        <is>
          <t>八、研发费用</t>
        </is>
      </c>
      <c r="E175" s="321" t="n"/>
      <c r="F175" s="321" t="n"/>
      <c r="G175" s="321" t="n"/>
      <c r="H175" s="301" t="n"/>
      <c r="I175" s="301" t="n"/>
      <c r="J175" s="301">
        <f>H175+I175</f>
        <v/>
      </c>
      <c r="K175" s="301" t="n"/>
      <c r="L175" s="317">
        <f>J175-K175</f>
        <v/>
      </c>
      <c r="M175" s="324">
        <f>SUM(M176:M178)</f>
        <v/>
      </c>
      <c r="N175" s="324">
        <f>SUM(N176:N178)</f>
        <v/>
      </c>
      <c r="O175" s="324">
        <f>SUM(O176:O178)</f>
        <v/>
      </c>
      <c r="P175" s="324">
        <f>SUM(P176:P178)</f>
        <v/>
      </c>
      <c r="Q175" s="324">
        <f>SUM(Q176:Q178)</f>
        <v/>
      </c>
      <c r="R175" s="324">
        <f>SUM(R176:R178)</f>
        <v/>
      </c>
      <c r="S175" s="324">
        <f>SUM(S176:S178)</f>
        <v/>
      </c>
      <c r="T175" s="324">
        <f>SUM(T176:T178)</f>
        <v/>
      </c>
      <c r="U175" s="324">
        <f>SUM(U176:U178)</f>
        <v/>
      </c>
      <c r="V175" s="324">
        <f>SUM(V176:V178)</f>
        <v/>
      </c>
      <c r="W175" s="324">
        <f>SUM(W176:W178)</f>
        <v/>
      </c>
      <c r="X175" s="324">
        <f>SUM(X176:X178)</f>
        <v/>
      </c>
      <c r="Y175" s="324">
        <f>SUM(Y176:Y178)</f>
        <v/>
      </c>
      <c r="Z175" s="324">
        <f>SUM(Z176:Z178)</f>
        <v/>
      </c>
      <c r="AA175" s="324">
        <f>SUM(AA176:AA178)</f>
        <v/>
      </c>
      <c r="AB175" s="324">
        <f>SUM(AB176:AB178)</f>
        <v/>
      </c>
      <c r="AC175" s="324">
        <f>SUM(AC176:AC178)</f>
        <v/>
      </c>
      <c r="AD175" s="324">
        <f>SUM(AD176:AD178)</f>
        <v/>
      </c>
      <c r="AE175" s="324">
        <f>SUM(AE176:AE178)</f>
        <v/>
      </c>
      <c r="AF175" s="324">
        <f>SUM(AF176:AF178)</f>
        <v/>
      </c>
      <c r="AG175" s="324">
        <f>SUM(AG176:AG178)</f>
        <v/>
      </c>
      <c r="AH175" s="324">
        <f>SUM(AH176:AH178)</f>
        <v/>
      </c>
      <c r="AI175" s="324">
        <f>SUM(AI176:AI178)</f>
        <v/>
      </c>
      <c r="AJ175" s="324">
        <f>SUM(AJ176:AJ178)</f>
        <v/>
      </c>
      <c r="AK175" s="324">
        <f>SUM(AK176:AK178)</f>
        <v/>
      </c>
      <c r="AL175" s="325" t="n"/>
    </row>
    <row r="176">
      <c r="A176" s="209" t="n">
        <v>1</v>
      </c>
      <c r="B176" s="209" t="n"/>
      <c r="C176" s="207" t="n"/>
      <c r="D176" s="207" t="inlineStr">
        <is>
          <t>人工成本</t>
        </is>
      </c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43" t="n">
        <v>557532.54</v>
      </c>
      <c r="N176" s="244" t="n"/>
      <c r="O176" s="244">
        <f>L176-M176</f>
        <v/>
      </c>
      <c r="P176" s="244">
        <f>K176-N176</f>
        <v/>
      </c>
      <c r="Q176" s="244">
        <f>M176+O176</f>
        <v/>
      </c>
      <c r="R176" s="244">
        <f>M176+N176+O176+P176</f>
        <v/>
      </c>
      <c r="S176" s="244" t="n"/>
      <c r="T176" s="244" t="n"/>
      <c r="U176" s="244" t="n"/>
      <c r="V176" s="244" t="n"/>
      <c r="W176" s="293" t="n"/>
      <c r="X176" s="293" t="n"/>
      <c r="Y176" s="293" t="n"/>
      <c r="Z176" s="293" t="n"/>
      <c r="AA176" s="293" t="n"/>
      <c r="AB176" s="293" t="n"/>
      <c r="AC176" s="293" t="n"/>
      <c r="AD176" s="293" t="n"/>
      <c r="AE176" s="293" t="n"/>
      <c r="AF176" s="293" t="n"/>
      <c r="AG176" s="293" t="n"/>
      <c r="AH176" s="293" t="n"/>
      <c r="AI176" s="293" t="n"/>
      <c r="AJ176" s="293" t="n"/>
      <c r="AK176" s="293" t="n"/>
      <c r="AL176" s="293" t="n"/>
    </row>
    <row r="177">
      <c r="A177" s="209" t="n">
        <v>2</v>
      </c>
      <c r="B177" s="209" t="n"/>
      <c r="C177" s="207" t="n"/>
      <c r="D177" s="207" t="inlineStr">
        <is>
          <t>机械租赁</t>
        </is>
      </c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43" t="n">
        <v>284623.4</v>
      </c>
      <c r="N177" s="244" t="n"/>
      <c r="O177" s="244">
        <f>L177-M177</f>
        <v/>
      </c>
      <c r="P177" s="244">
        <f>K177-N177</f>
        <v/>
      </c>
      <c r="Q177" s="244">
        <f>M177+O177</f>
        <v/>
      </c>
      <c r="R177" s="244">
        <f>M177+N177+O177+P177</f>
        <v/>
      </c>
      <c r="S177" s="244" t="n"/>
      <c r="T177" s="244" t="n"/>
      <c r="U177" s="244" t="n"/>
      <c r="V177" s="244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9" t="n">
        <v>3</v>
      </c>
      <c r="B178" s="209" t="n"/>
      <c r="C178" s="207" t="n"/>
      <c r="D178" s="207" t="inlineStr">
        <is>
          <t>材料费</t>
        </is>
      </c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43" t="n">
        <v>8056947.95</v>
      </c>
      <c r="N178" s="244" t="n"/>
      <c r="O178" s="244">
        <f>L178-M178</f>
        <v/>
      </c>
      <c r="P178" s="244">
        <f>K178-N178</f>
        <v/>
      </c>
      <c r="Q178" s="244">
        <f>M178+O178</f>
        <v/>
      </c>
      <c r="R178" s="244">
        <f>M178+N178+O178+P178</f>
        <v/>
      </c>
      <c r="S178" s="244" t="n"/>
      <c r="T178" s="244" t="n"/>
      <c r="U178" s="244" t="n"/>
      <c r="V178" s="244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98" t="n"/>
      <c r="B179" s="299" t="n"/>
      <c r="C179" s="299" t="n"/>
      <c r="D179" s="315" t="inlineStr">
        <is>
          <t>九、成本及费用合计（三+四+五+六+七）</t>
        </is>
      </c>
      <c r="E179" s="316" t="n"/>
      <c r="F179" s="316" t="n"/>
      <c r="G179" s="316" t="n"/>
      <c r="H179" s="301">
        <f>H170+H171+H172+H173+H174+H175</f>
        <v/>
      </c>
      <c r="I179" s="301">
        <f>I170+I171+I172+I173+I174+I175</f>
        <v/>
      </c>
      <c r="J179" s="327">
        <f>J170+J171+J172+J173+J174+J175</f>
        <v/>
      </c>
      <c r="K179" s="301">
        <f>K170+K171+K172+K173+K174+K175</f>
        <v/>
      </c>
      <c r="L179" s="328">
        <f>L170+L171+L172+L173+L174+L175</f>
        <v/>
      </c>
      <c r="M179" s="328">
        <f>M170+M171+M172+M173+M174+M175</f>
        <v/>
      </c>
      <c r="N179" s="328">
        <f>N170+N171+N172+N173+N174+N175</f>
        <v/>
      </c>
      <c r="O179" s="328">
        <f>O170+O171+O172+O173+O174+O175</f>
        <v/>
      </c>
      <c r="P179" s="328">
        <f>P170+P171+P172+P173+P174+P175</f>
        <v/>
      </c>
      <c r="Q179" s="328">
        <f>Q170+Q171+Q172+Q173+Q174+Q175</f>
        <v/>
      </c>
      <c r="R179" s="328">
        <f>R170+R171+R172+R173+R174+R175</f>
        <v/>
      </c>
      <c r="S179" s="324">
        <f>S170+S171+S172+S173+S174+S175</f>
        <v/>
      </c>
      <c r="T179" s="324" t="n"/>
      <c r="U179" s="324" t="n"/>
      <c r="V179" s="324" t="n"/>
      <c r="W179" s="324" t="n"/>
      <c r="X179" s="324" t="n"/>
      <c r="Y179" s="324" t="n"/>
      <c r="Z179" s="324">
        <f>Z170+Z171+Z172+Z173+Z174+Z175</f>
        <v/>
      </c>
      <c r="AA179" s="324">
        <f>AA170+AA171+AA172+AA173+AA174+AA175</f>
        <v/>
      </c>
      <c r="AB179" s="329" t="n"/>
      <c r="AC179" s="329" t="n"/>
      <c r="AD179" s="329" t="n"/>
      <c r="AE179" s="329" t="n"/>
      <c r="AF179" s="329" t="n"/>
      <c r="AG179" s="329" t="n"/>
      <c r="AH179" s="329" t="n"/>
      <c r="AI179" s="329" t="n"/>
      <c r="AJ179" s="329" t="n"/>
      <c r="AK179" s="330" t="n"/>
      <c r="AL179" s="331" t="n"/>
    </row>
    <row r="180">
      <c r="A180" s="298" t="n"/>
      <c r="B180" s="299" t="n"/>
      <c r="C180" s="299" t="n"/>
      <c r="D180" s="315" t="inlineStr">
        <is>
          <t>十、增值税实际税负（按财务数据）</t>
        </is>
      </c>
      <c r="E180" s="316" t="inlineStr">
        <is>
          <t>根据财务账面实际已缴纳增值税额+尚需缴纳的增值税额</t>
        </is>
      </c>
      <c r="F180" s="316" t="n"/>
      <c r="G180" s="316" t="n"/>
      <c r="H180" s="301" t="n"/>
      <c r="I180" s="301" t="n"/>
      <c r="J180" s="327">
        <f>H78+I78</f>
        <v/>
      </c>
      <c r="K180" s="301" t="inlineStr">
        <is>
          <t>/</t>
        </is>
      </c>
      <c r="L180" s="328" t="inlineStr">
        <is>
          <t>/</t>
        </is>
      </c>
      <c r="M180" s="328" t="n"/>
      <c r="N180" s="328">
        <f>N6-N77</f>
        <v/>
      </c>
      <c r="O180" s="328" t="n"/>
      <c r="P180" s="328" t="n"/>
      <c r="Q180" s="328" t="inlineStr">
        <is>
          <t>/</t>
        </is>
      </c>
      <c r="R180" s="328">
        <f>N78+P78</f>
        <v/>
      </c>
      <c r="S180" s="324" t="n"/>
      <c r="T180" s="324" t="n"/>
      <c r="U180" s="324" t="n"/>
      <c r="V180" s="324" t="n"/>
      <c r="W180" s="324" t="n"/>
      <c r="X180" s="324" t="n"/>
      <c r="Y180" s="324" t="n"/>
      <c r="Z180" s="324" t="n"/>
      <c r="AA180" s="324" t="n"/>
      <c r="AB180" s="329" t="n"/>
      <c r="AC180" s="329" t="n"/>
      <c r="AD180" s="329" t="n"/>
      <c r="AE180" s="329" t="n"/>
      <c r="AF180" s="329" t="n"/>
      <c r="AG180" s="329" t="n"/>
      <c r="AH180" s="329" t="n"/>
      <c r="AI180" s="329" t="n"/>
      <c r="AJ180" s="329" t="n"/>
      <c r="AK180" s="330" t="n"/>
      <c r="AL180" s="331" t="n"/>
    </row>
    <row r="181">
      <c r="A181" s="298" t="n"/>
      <c r="B181" s="299" t="n"/>
      <c r="C181" s="299" t="n"/>
      <c r="D181" s="315" t="inlineStr">
        <is>
          <t>十一、税金及附加（按财务数据）</t>
        </is>
      </c>
      <c r="E181" s="316" t="inlineStr">
        <is>
          <t>根据财务账面实际已缴纳税金及附加+尚需缴纳的税金及附加</t>
        </is>
      </c>
      <c r="F181" s="316" t="n"/>
      <c r="G181" s="316" t="n"/>
      <c r="H181" s="301" t="n"/>
      <c r="I181" s="301" t="n"/>
      <c r="J181" s="327">
        <f>H79+I79</f>
        <v/>
      </c>
      <c r="K181" s="301" t="n"/>
      <c r="L181" s="328">
        <f>J79</f>
        <v/>
      </c>
      <c r="M181" s="332" t="n">
        <v>385874.26</v>
      </c>
      <c r="N181" s="328" t="n"/>
      <c r="O181" s="328">
        <f>L79-M79</f>
        <v/>
      </c>
      <c r="P181" s="328" t="n"/>
      <c r="Q181" s="328">
        <f>M79+O79</f>
        <v/>
      </c>
      <c r="R181" s="328">
        <f>Q79</f>
        <v/>
      </c>
      <c r="S181" s="324" t="n"/>
      <c r="T181" s="324" t="n"/>
      <c r="U181" s="324" t="n"/>
      <c r="V181" s="324" t="n"/>
      <c r="W181" s="324" t="n"/>
      <c r="X181" s="324" t="n"/>
      <c r="Y181" s="324" t="n"/>
      <c r="Z181" s="324" t="n"/>
      <c r="AA181" s="324" t="n"/>
      <c r="AB181" s="329" t="n"/>
      <c r="AC181" s="329" t="n"/>
      <c r="AD181" s="329" t="n"/>
      <c r="AE181" s="329" t="n"/>
      <c r="AF181" s="329" t="n"/>
      <c r="AG181" s="329" t="n"/>
      <c r="AH181" s="329" t="n"/>
      <c r="AI181" s="329" t="n"/>
      <c r="AJ181" s="329" t="n"/>
      <c r="AK181" s="330" t="n"/>
      <c r="AL181" s="331" t="n"/>
    </row>
    <row r="182">
      <c r="A182" s="298" t="n"/>
      <c r="B182" s="299" t="n"/>
      <c r="C182" s="299" t="n"/>
      <c r="D182" s="315" t="inlineStr">
        <is>
          <t>十二、利润</t>
        </is>
      </c>
      <c r="E182" s="316" t="n"/>
      <c r="F182" s="316" t="n"/>
      <c r="G182" s="316" t="n"/>
      <c r="H182" s="301" t="n"/>
      <c r="I182" s="301" t="n"/>
      <c r="J182" s="327">
        <f>J6-J179-J180-J181</f>
        <v/>
      </c>
      <c r="K182" s="301" t="n"/>
      <c r="L182" s="328" t="n"/>
      <c r="M182" s="328" t="n"/>
      <c r="N182" s="328" t="n"/>
      <c r="O182" s="328" t="n"/>
      <c r="P182" s="328" t="n"/>
      <c r="Q182" s="328" t="n"/>
      <c r="R182" s="328" t="n"/>
      <c r="S182" s="324" t="n"/>
      <c r="T182" s="324" t="n"/>
      <c r="U182" s="324" t="n"/>
      <c r="V182" s="324" t="n"/>
      <c r="W182" s="324" t="n"/>
      <c r="X182" s="324" t="n"/>
      <c r="Y182" s="324" t="n"/>
      <c r="Z182" s="324" t="n"/>
      <c r="AA182" s="324" t="n"/>
      <c r="AB182" s="329" t="n"/>
      <c r="AC182" s="329" t="n"/>
      <c r="AD182" s="329" t="n"/>
      <c r="AE182" s="329" t="n"/>
      <c r="AF182" s="329" t="n"/>
      <c r="AG182" s="329" t="n"/>
      <c r="AH182" s="329" t="n"/>
      <c r="AI182" s="329" t="n"/>
      <c r="AJ182" s="329" t="n"/>
      <c r="AK182" s="330" t="n"/>
      <c r="AL182" s="331" t="n"/>
    </row>
    <row r="183">
      <c r="A183" s="333" t="n"/>
      <c r="B183" s="334" t="n"/>
      <c r="C183" s="334" t="n"/>
      <c r="D183" s="335" t="inlineStr">
        <is>
          <t>十三、利润率</t>
        </is>
      </c>
      <c r="E183" s="336" t="n"/>
      <c r="F183" s="336" t="n"/>
      <c r="G183" s="336" t="n"/>
      <c r="H183" s="337" t="n"/>
      <c r="I183" s="337" t="n"/>
      <c r="J183" s="337">
        <f>J182/J6</f>
        <v/>
      </c>
      <c r="K183" s="337" t="n"/>
      <c r="L183" s="338">
        <f>L182/L6</f>
        <v/>
      </c>
      <c r="M183" s="338">
        <f>M182/M6</f>
        <v/>
      </c>
      <c r="N183" s="338" t="n"/>
      <c r="O183" s="338" t="n"/>
      <c r="P183" s="338" t="n"/>
      <c r="Q183" s="338">
        <f>Q182/Q6</f>
        <v/>
      </c>
      <c r="R183" s="338">
        <f>R182/R6</f>
        <v/>
      </c>
      <c r="S183" s="339" t="n"/>
      <c r="T183" s="339" t="n"/>
      <c r="U183" s="339" t="n"/>
      <c r="V183" s="339" t="n"/>
      <c r="W183" s="339" t="n"/>
      <c r="X183" s="339" t="n"/>
      <c r="Y183" s="339" t="n"/>
      <c r="Z183" s="339" t="n"/>
      <c r="AA183" s="339" t="n"/>
      <c r="AB183" s="340" t="n"/>
      <c r="AC183" s="340" t="n"/>
      <c r="AD183" s="340" t="n"/>
      <c r="AE183" s="340" t="n"/>
      <c r="AF183" s="340" t="n"/>
      <c r="AG183" s="340" t="n"/>
      <c r="AH183" s="340" t="n"/>
      <c r="AI183" s="340" t="n"/>
      <c r="AJ183" s="340" t="n"/>
      <c r="AK183" s="341" t="n"/>
      <c r="AL183" s="342" t="n"/>
    </row>
    <row r="184">
      <c r="A184" s="111" t="n"/>
      <c r="B184" s="111" t="n"/>
      <c r="C184" s="111" t="n"/>
      <c r="D184" s="112" t="n"/>
      <c r="E184" s="113" t="n"/>
      <c r="F184" s="113" t="n"/>
      <c r="G184" s="113" t="n"/>
      <c r="H184" s="251" t="n"/>
      <c r="I184" s="251" t="n"/>
      <c r="J184" s="252" t="inlineStr">
        <is>
          <t>含税利润率</t>
        </is>
      </c>
      <c r="K184" s="253" t="n"/>
      <c r="L184" s="254" t="inlineStr">
        <is>
          <t>不含税利润率</t>
        </is>
      </c>
      <c r="M184" s="255" t="n"/>
      <c r="N184" s="255" t="n"/>
      <c r="O184" s="255" t="n"/>
      <c r="P184" s="255" t="n"/>
      <c r="Q184" s="255" t="n"/>
      <c r="R184" s="255" t="n"/>
      <c r="S184" s="255" t="n"/>
      <c r="T184" s="255" t="n"/>
      <c r="U184" s="255" t="n"/>
      <c r="V184" s="255" t="n"/>
      <c r="W184" s="255" t="n"/>
      <c r="X184" s="255" t="n"/>
      <c r="Y184" s="255" t="n"/>
      <c r="Z184" s="256" t="n"/>
      <c r="AA184" s="162" t="n"/>
      <c r="AB184" s="257" t="n"/>
      <c r="AC184" s="257" t="n"/>
      <c r="AD184" s="257" t="n"/>
      <c r="AE184" s="257" t="n"/>
      <c r="AF184" s="257" t="n"/>
      <c r="AG184" s="257" t="n"/>
      <c r="AH184" s="257" t="n"/>
      <c r="AI184" s="257" t="n"/>
      <c r="AJ184" s="257" t="n"/>
      <c r="AK184" s="257" t="n"/>
      <c r="AL18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2026-04-21T15:14:42Z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