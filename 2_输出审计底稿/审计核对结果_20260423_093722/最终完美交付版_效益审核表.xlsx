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0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79" t="n"/>
      <c r="B33" s="280" t="n"/>
      <c r="C33" s="280" t="n"/>
      <c r="D33" s="291" t="inlineStr">
        <is>
          <t>**财务未列部分需增列***</t>
        </is>
      </c>
      <c r="E33" s="292" t="n"/>
      <c r="F33" s="292" t="n"/>
      <c r="G33" s="292" t="n"/>
      <c r="H33" s="282" t="n"/>
      <c r="I33" s="282" t="n"/>
      <c r="J33" s="282" t="n"/>
      <c r="K33" s="283" t="n"/>
      <c r="L33" s="284" t="n"/>
      <c r="M33" s="282" t="n"/>
      <c r="N33" s="282" t="n"/>
      <c r="O33" s="282">
        <f>L33-M33</f>
        <v/>
      </c>
      <c r="P33" s="282">
        <f>K33-N33</f>
        <v/>
      </c>
      <c r="Q33" s="282">
        <f>M33+O33</f>
        <v/>
      </c>
      <c r="R33" s="282">
        <f>M33+N33+O33+P33</f>
        <v/>
      </c>
      <c r="S33" s="286">
        <f>SUM(T33:V33)</f>
        <v/>
      </c>
      <c r="T33" s="282" t="n"/>
      <c r="U33" s="282" t="n"/>
      <c r="V33" s="282" t="n"/>
      <c r="W33" s="282" t="n"/>
      <c r="X33" s="282" t="n"/>
      <c r="Y33" s="282" t="n"/>
      <c r="Z33" s="282">
        <f>SUM(AA16:AJ16)</f>
        <v/>
      </c>
      <c r="AA33" s="293" t="n"/>
      <c r="AB33" s="287" t="n"/>
      <c r="AC33" s="287" t="n"/>
      <c r="AD33" s="287" t="n"/>
      <c r="AE33" s="287" t="n"/>
      <c r="AF33" s="287" t="n"/>
      <c r="AG33" s="287" t="n"/>
      <c r="AH33" s="287" t="n"/>
      <c r="AI33" s="287" t="n"/>
      <c r="AJ33" s="287" t="n"/>
      <c r="AK33" s="287">
        <f>AB16/1.17*0.17+AC16/1.16*0.16+AD16/1.11*0.11+AE16/1.1*0.1+AF16/1.09*0.09+AI16/1.03*0.03</f>
        <v/>
      </c>
      <c r="AL33" s="294" t="n"/>
    </row>
    <row r="34" ht="14" customFormat="1" customHeight="1" s="180">
      <c r="A34" s="295" t="n"/>
      <c r="B34" s="296" t="n"/>
      <c r="C34" s="296" t="n"/>
      <c r="D34" s="297" t="inlineStr">
        <is>
          <t>人工费小计：</t>
        </is>
      </c>
      <c r="E34" s="298">
        <f>SUM(E12:E33)</f>
        <v/>
      </c>
      <c r="F34" s="298">
        <f>SUM(F12:F33)</f>
        <v/>
      </c>
      <c r="G34" s="298">
        <f>SUM(G12:G33)</f>
        <v/>
      </c>
      <c r="H34" s="298">
        <f>SUM(H12:H33)</f>
        <v/>
      </c>
      <c r="I34" s="298">
        <f>SUM(I12:I33)</f>
        <v/>
      </c>
      <c r="J34" s="298">
        <f>SUM(J12:J33)</f>
        <v/>
      </c>
      <c r="K34" s="298">
        <f>SUM(K12:K33)</f>
        <v/>
      </c>
      <c r="L34" s="298">
        <f>SUM(L12:L33)</f>
        <v/>
      </c>
      <c r="M34" s="298">
        <f>SUM(M12:M33)</f>
        <v/>
      </c>
      <c r="N34" s="298">
        <f>SUM(N12:N33)</f>
        <v/>
      </c>
      <c r="O34" s="298">
        <f>SUM(O12:O33)</f>
        <v/>
      </c>
      <c r="P34" s="298">
        <f>SUM(P12:P33)</f>
        <v/>
      </c>
      <c r="Q34" s="298">
        <f>SUM(Q12:Q33)</f>
        <v/>
      </c>
      <c r="R34" s="298">
        <f>SUM(R12:R33)</f>
        <v/>
      </c>
      <c r="S34" s="298">
        <f>SUM(S12:S33)</f>
        <v/>
      </c>
      <c r="T34" s="298">
        <f>SUM(T12:T33)</f>
        <v/>
      </c>
      <c r="U34" s="298">
        <f>SUM(U12:U33)</f>
        <v/>
      </c>
      <c r="V34" s="298">
        <f>SUM(V12:V33)</f>
        <v/>
      </c>
      <c r="W34" s="298">
        <f>SUM(W12:W33)</f>
        <v/>
      </c>
      <c r="X34" s="298">
        <f>SUM(X12:X33)</f>
        <v/>
      </c>
      <c r="Y34" s="298">
        <f>SUM(Y12:Y33)</f>
        <v/>
      </c>
      <c r="Z34" s="298">
        <f>SUM(Z12:Z33)</f>
        <v/>
      </c>
      <c r="AA34" s="298">
        <f>SUM(AA12:AA33)</f>
        <v/>
      </c>
      <c r="AB34" s="298">
        <f>SUM(AB12:AB33)</f>
        <v/>
      </c>
      <c r="AC34" s="298">
        <f>SUM(AC12:AC33)</f>
        <v/>
      </c>
      <c r="AD34" s="298">
        <f>SUM(AD12:AD33)</f>
        <v/>
      </c>
      <c r="AE34" s="298">
        <f>SUM(AE12:AE33)</f>
        <v/>
      </c>
      <c r="AF34" s="298">
        <f>SUM(AF12:AF33)</f>
        <v/>
      </c>
      <c r="AG34" s="298">
        <f>SUM(AG12:AG33)</f>
        <v/>
      </c>
      <c r="AH34" s="298">
        <f>SUM(AH12:AH33)</f>
        <v/>
      </c>
      <c r="AI34" s="298">
        <f>SUM(AI12:AI33)</f>
        <v/>
      </c>
      <c r="AJ34" s="298">
        <f>SUM(AJ12:AJ33)</f>
        <v/>
      </c>
      <c r="AK34" s="298">
        <f>SUM(AK12:AK33)</f>
        <v/>
      </c>
      <c r="AL34" s="288" t="n"/>
    </row>
    <row r="35" ht="14" customFormat="1" customHeight="1" s="180">
      <c r="A35" s="279" t="n"/>
      <c r="B35" s="280" t="n"/>
      <c r="C35" s="280" t="n"/>
      <c r="D35" s="299" t="inlineStr">
        <is>
          <t>（二）分包工程</t>
        </is>
      </c>
      <c r="E35" s="280" t="n"/>
      <c r="F35" s="280" t="n"/>
      <c r="G35" s="280" t="n"/>
      <c r="H35" s="282" t="n"/>
      <c r="I35" s="282" t="n"/>
      <c r="J35" s="282" t="n"/>
      <c r="K35" s="283" t="n"/>
      <c r="L35" s="284" t="n"/>
      <c r="M35" s="282" t="n"/>
      <c r="N35" s="282" t="n"/>
      <c r="O35" s="282">
        <f>L35-M35</f>
        <v/>
      </c>
      <c r="P35" s="282">
        <f>K35-N35</f>
        <v/>
      </c>
      <c r="Q35" s="282">
        <f>M35+O35</f>
        <v/>
      </c>
      <c r="R35" s="282">
        <f>M35+N35+O35+P35</f>
        <v/>
      </c>
      <c r="S35" s="286">
        <f>SUM(T35:V35)</f>
        <v/>
      </c>
      <c r="T35" s="286" t="n"/>
      <c r="U35" s="286" t="n"/>
      <c r="V35" s="286" t="n"/>
      <c r="W35" s="286" t="n"/>
      <c r="X35" s="286" t="n"/>
      <c r="Y35" s="286" t="n"/>
      <c r="Z35" s="286" t="n"/>
      <c r="AA35" s="286" t="n"/>
      <c r="AB35" s="286" t="n"/>
      <c r="AC35" s="286" t="n"/>
      <c r="AD35" s="286" t="n"/>
      <c r="AE35" s="286" t="n"/>
      <c r="AF35" s="286" t="n"/>
      <c r="AG35" s="286" t="n"/>
      <c r="AH35" s="286" t="n"/>
      <c r="AI35" s="286" t="n"/>
      <c r="AJ35" s="286" t="n"/>
      <c r="AK35" s="287">
        <f>AB18/1.17*0.17+AC18/1.16*0.16+AD18/1.11*0.11+AE18/1.1*0.1+AF18/1.09*0.09+AI18/1.03*0.03</f>
        <v/>
      </c>
      <c r="AL35" s="288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</row>
    <row r="64" ht="14" customFormat="1" customHeight="1" s="180">
      <c r="A64" s="279" t="n"/>
      <c r="B64" s="280" t="n"/>
      <c r="C64" s="280" t="n"/>
      <c r="D64" s="291" t="inlineStr">
        <is>
          <t>**财务未列部分需增列***</t>
        </is>
      </c>
      <c r="E64" s="300" t="n"/>
      <c r="F64" s="300" t="n"/>
      <c r="G64" s="30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2" t="n"/>
      <c r="U64" s="282" t="n"/>
      <c r="V64" s="282" t="n"/>
      <c r="W64" s="282" t="n"/>
      <c r="X64" s="282" t="n"/>
      <c r="Y64" s="282" t="n"/>
      <c r="Z64" s="286" t="n"/>
      <c r="AA64" s="286" t="n"/>
      <c r="AB64" s="287" t="n"/>
      <c r="AC64" s="287" t="n"/>
      <c r="AD64" s="287" t="n"/>
      <c r="AE64" s="287" t="n"/>
      <c r="AF64" s="287" t="n"/>
      <c r="AG64" s="287" t="n"/>
      <c r="AH64" s="287" t="n"/>
      <c r="AI64" s="287" t="n"/>
      <c r="AJ64" s="287" t="n"/>
      <c r="AK64" s="287">
        <f>AB22/1.17*0.17+AC22/1.16*0.16+AD22/1.11*0.11+AE22/1.1*0.1+AF22/1.09*0.09+AI22/1.03*0.03</f>
        <v/>
      </c>
      <c r="AL64" s="294" t="n"/>
    </row>
    <row r="65" ht="14" customFormat="1" customHeight="1" s="180">
      <c r="A65" s="295" t="n"/>
      <c r="B65" s="296" t="n"/>
      <c r="C65" s="296" t="n"/>
      <c r="D65" s="297" t="inlineStr">
        <is>
          <t>分包工程小计：</t>
        </is>
      </c>
      <c r="E65" s="298">
        <f>SUM(E35:E64)</f>
        <v/>
      </c>
      <c r="F65" s="298">
        <f>SUM(F35:F64)</f>
        <v/>
      </c>
      <c r="G65" s="298">
        <f>SUM(G35:G64)</f>
        <v/>
      </c>
      <c r="H65" s="298">
        <f>SUM(H35:H64)</f>
        <v/>
      </c>
      <c r="I65" s="298">
        <f>SUM(I35:I64)</f>
        <v/>
      </c>
      <c r="J65" s="298">
        <f>SUM(J35:J64)</f>
        <v/>
      </c>
      <c r="K65" s="298">
        <f>SUM(K35:K64)</f>
        <v/>
      </c>
      <c r="L65" s="298">
        <f>SUM(L35:L64)</f>
        <v/>
      </c>
      <c r="M65" s="298">
        <f>SUM(M35:M64)</f>
        <v/>
      </c>
      <c r="N65" s="298">
        <f>SUM(N35:N64)</f>
        <v/>
      </c>
      <c r="O65" s="298">
        <f>SUM(O35:O64)</f>
        <v/>
      </c>
      <c r="P65" s="298">
        <f>SUM(P35:P64)</f>
        <v/>
      </c>
      <c r="Q65" s="298">
        <f>SUM(Q35:Q64)</f>
        <v/>
      </c>
      <c r="R65" s="298">
        <f>SUM(R35:R64)</f>
        <v/>
      </c>
      <c r="S65" s="298">
        <f>SUM(S35:S64)</f>
        <v/>
      </c>
      <c r="T65" s="298">
        <f>SUM(T35:T64)</f>
        <v/>
      </c>
      <c r="U65" s="298">
        <f>SUM(U35:U64)</f>
        <v/>
      </c>
      <c r="V65" s="298">
        <f>SUM(V35:V64)</f>
        <v/>
      </c>
      <c r="W65" s="298">
        <f>SUM(W35:W64)</f>
        <v/>
      </c>
      <c r="X65" s="298">
        <f>SUM(X35:X64)</f>
        <v/>
      </c>
      <c r="Y65" s="298">
        <f>SUM(Y35:Y64)</f>
        <v/>
      </c>
      <c r="Z65" s="298">
        <f>SUM(Z35:Z64)</f>
        <v/>
      </c>
      <c r="AA65" s="298">
        <f>SUM(AA35:AA64)</f>
        <v/>
      </c>
      <c r="AB65" s="298">
        <f>SUM(AB35:AB64)</f>
        <v/>
      </c>
      <c r="AC65" s="298">
        <f>SUM(AC35:AC64)</f>
        <v/>
      </c>
      <c r="AD65" s="298">
        <f>SUM(AD35:AD64)</f>
        <v/>
      </c>
      <c r="AE65" s="298">
        <f>SUM(AE35:AE64)</f>
        <v/>
      </c>
      <c r="AF65" s="298">
        <f>SUM(AF35:AF64)</f>
        <v/>
      </c>
      <c r="AG65" s="298">
        <f>SUM(AG35:AG64)</f>
        <v/>
      </c>
      <c r="AH65" s="298">
        <f>SUM(AH35:AH64)</f>
        <v/>
      </c>
      <c r="AI65" s="298">
        <f>SUM(AI35:AI64)</f>
        <v/>
      </c>
      <c r="AJ65" s="298">
        <f>SUM(AJ35:AJ64)</f>
        <v/>
      </c>
      <c r="AK65" s="298">
        <f>SUM(AK35:AK64)</f>
        <v/>
      </c>
      <c r="AL65" s="288" t="n"/>
    </row>
    <row r="66" ht="14" customFormat="1" customHeight="1" s="180">
      <c r="A66" s="279" t="n"/>
      <c r="B66" s="280" t="n"/>
      <c r="C66" s="280" t="n"/>
      <c r="D66" s="299" t="inlineStr">
        <is>
          <t>(三)材料费</t>
        </is>
      </c>
      <c r="E66" s="280" t="n"/>
      <c r="F66" s="280" t="n"/>
      <c r="G66" s="280" t="n"/>
      <c r="H66" s="282" t="n"/>
      <c r="I66" s="282" t="n"/>
      <c r="J66" s="282" t="n"/>
      <c r="K66" s="283" t="n"/>
      <c r="L66" s="284" t="n"/>
      <c r="M66" s="282" t="n"/>
      <c r="N66" s="282" t="n"/>
      <c r="O66" s="282">
        <f>L66-M66</f>
        <v/>
      </c>
      <c r="P66" s="282">
        <f>K66-N66</f>
        <v/>
      </c>
      <c r="Q66" s="282">
        <f>M66+O66</f>
        <v/>
      </c>
      <c r="R66" s="282">
        <f>M66+N66+O66+P66</f>
        <v/>
      </c>
      <c r="S66" s="286">
        <f>SUM(T66:V66)</f>
        <v/>
      </c>
      <c r="T66" s="286" t="n"/>
      <c r="U66" s="286" t="n"/>
      <c r="V66" s="286" t="n"/>
      <c r="W66" s="286" t="n"/>
      <c r="X66" s="286" t="n"/>
      <c r="Y66" s="286" t="n"/>
      <c r="Z66" s="286" t="n"/>
      <c r="AA66" s="286" t="n"/>
      <c r="AB66" s="301" t="n"/>
      <c r="AC66" s="301" t="n"/>
      <c r="AD66" s="301" t="n"/>
      <c r="AE66" s="301" t="n"/>
      <c r="AF66" s="301" t="n"/>
      <c r="AG66" s="301" t="n"/>
      <c r="AH66" s="301" t="n"/>
      <c r="AI66" s="301" t="n"/>
      <c r="AJ66" s="301" t="n"/>
      <c r="AK66" s="287">
        <f>AB24/1.17*0.17+AC24/1.16*0.16+AD24/1.11*0.11+AE24/1.1*0.1+AF24/1.09*0.09+AI24/1.03*0.03</f>
        <v/>
      </c>
      <c r="AL66" s="302" t="n"/>
    </row>
    <row r="67" ht="14" customFormat="1" customHeight="1" s="180">
      <c r="A67" s="279" t="n"/>
      <c r="B67" s="280" t="n"/>
      <c r="C67" s="280" t="n"/>
      <c r="D67" s="282" t="inlineStr">
        <is>
          <t>（1）集中采购</t>
        </is>
      </c>
      <c r="E67" s="280" t="n"/>
      <c r="F67" s="280" t="n"/>
      <c r="G67" s="280" t="n"/>
      <c r="H67" s="282" t="n"/>
      <c r="I67" s="282" t="n"/>
      <c r="J67" s="282" t="n"/>
      <c r="K67" s="283" t="n"/>
      <c r="L67" s="284" t="n"/>
      <c r="M67" s="282" t="n"/>
      <c r="N67" s="282" t="n"/>
      <c r="O67" s="282">
        <f>L67-M67</f>
        <v/>
      </c>
      <c r="P67" s="282">
        <f>K67-N67</f>
        <v/>
      </c>
      <c r="Q67" s="282">
        <f>M67+O67</f>
        <v/>
      </c>
      <c r="R67" s="282">
        <f>M67+N67+O67+P67</f>
        <v/>
      </c>
      <c r="S67" s="286">
        <f>SUM(T67:V67)</f>
        <v/>
      </c>
      <c r="T67" s="286" t="n"/>
      <c r="U67" s="286" t="n"/>
      <c r="V67" s="286" t="n"/>
      <c r="W67" s="286" t="n"/>
      <c r="X67" s="286" t="n"/>
      <c r="Y67" s="286" t="n"/>
      <c r="Z67" s="286" t="n"/>
      <c r="AA67" s="286" t="n"/>
      <c r="AB67" s="301" t="n"/>
      <c r="AC67" s="301" t="n"/>
      <c r="AD67" s="301" t="n"/>
      <c r="AE67" s="301" t="n"/>
      <c r="AF67" s="301" t="n"/>
      <c r="AG67" s="301" t="n"/>
      <c r="AH67" s="301" t="n"/>
      <c r="AI67" s="301" t="n"/>
      <c r="AJ67" s="301" t="n"/>
      <c r="AK67" s="287">
        <f>AB25/1.17*0.17+AC25/1.16*0.16+AD25/1.11*0.11+AE25/1.1*0.1+AF25/1.09*0.09+AI25/1.03*0.03</f>
        <v/>
      </c>
      <c r="AL67" s="302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3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3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3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79" t="n"/>
      <c r="B71" s="280" t="n"/>
      <c r="C71" s="280" t="n"/>
      <c r="D71" s="282" t="inlineStr">
        <is>
          <t>（2）自行采购</t>
        </is>
      </c>
      <c r="E71" s="300" t="n"/>
      <c r="F71" s="300" t="n"/>
      <c r="G71" s="300" t="n"/>
      <c r="H71" s="282" t="n"/>
      <c r="I71" s="282" t="n"/>
      <c r="J71" s="282" t="n"/>
      <c r="K71" s="283" t="n"/>
      <c r="L71" s="284" t="n"/>
      <c r="M71" s="282" t="n"/>
      <c r="N71" s="282" t="n"/>
      <c r="O71" s="282">
        <f>L71-M71</f>
        <v/>
      </c>
      <c r="P71" s="282">
        <f>K71-N71</f>
        <v/>
      </c>
      <c r="Q71" s="282">
        <f>M71+O71</f>
        <v/>
      </c>
      <c r="R71" s="282">
        <f>M71+N71+O71+P71</f>
        <v/>
      </c>
      <c r="S71" s="286">
        <f>SUM(T71:V71)</f>
        <v/>
      </c>
      <c r="T71" s="286" t="n"/>
      <c r="U71" s="286" t="n"/>
      <c r="V71" s="286" t="n"/>
      <c r="W71" s="286" t="n"/>
      <c r="X71" s="286" t="n"/>
      <c r="Y71" s="286" t="n"/>
      <c r="Z71" s="282">
        <f>SUM(AA29:AJ29)</f>
        <v/>
      </c>
      <c r="AA71" s="286" t="n"/>
      <c r="AB71" s="301" t="n"/>
      <c r="AC71" s="301" t="n"/>
      <c r="AD71" s="301" t="n"/>
      <c r="AE71" s="301" t="n"/>
      <c r="AF71" s="301" t="n"/>
      <c r="AG71" s="301" t="n"/>
      <c r="AH71" s="301" t="n"/>
      <c r="AI71" s="301" t="n"/>
      <c r="AJ71" s="301" t="n"/>
      <c r="AK71" s="287">
        <f>AB29/1.17*0.17+AC29/1.16*0.16+AD29/1.11*0.11+AE29/1.1*0.1+AF29/1.09*0.09+AI29/1.03*0.03</f>
        <v/>
      </c>
      <c r="AL71" s="302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90" t="n"/>
      <c r="X76" s="290" t="n"/>
      <c r="Y76" s="290" t="n"/>
      <c r="Z76" s="290" t="n"/>
      <c r="AA76" s="290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 t="n"/>
      <c r="AL76" s="290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90" t="n"/>
      <c r="X77" s="290" t="n"/>
      <c r="Y77" s="290" t="n"/>
      <c r="Z77" s="290" t="n"/>
      <c r="AA77" s="290" t="n"/>
      <c r="AB77" s="290" t="n"/>
      <c r="AC77" s="290" t="n"/>
      <c r="AD77" s="290" t="n"/>
      <c r="AE77" s="290" t="n"/>
      <c r="AF77" s="290" t="n"/>
      <c r="AG77" s="290" t="n"/>
      <c r="AH77" s="290" t="n"/>
      <c r="AI77" s="290" t="n"/>
      <c r="AJ77" s="290" t="n"/>
      <c r="AK77" s="290" t="n"/>
      <c r="AL77" s="290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44</v>
      </c>
      <c r="B115" s="206" t="n"/>
      <c r="C115" s="207" t="n"/>
      <c r="D115" s="207" t="inlineStr">
        <is>
          <t>材料调入-CFK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79" t="n"/>
      <c r="B117" s="280" t="n"/>
      <c r="C117" s="280" t="n"/>
      <c r="D117" s="299" t="inlineStr">
        <is>
          <t>材料调入</t>
        </is>
      </c>
      <c r="E117" s="280" t="n"/>
      <c r="F117" s="280" t="n"/>
      <c r="G117" s="280" t="n"/>
      <c r="H117" s="282" t="n"/>
      <c r="I117" s="282" t="n"/>
      <c r="J117" s="282" t="n"/>
      <c r="K117" s="283" t="n"/>
      <c r="L117" s="284" t="n"/>
      <c r="M117" s="282" t="n"/>
      <c r="N117" s="282" t="n"/>
      <c r="O117" s="282">
        <f>L117-M117</f>
        <v/>
      </c>
      <c r="P117" s="282">
        <f>K117-N117</f>
        <v/>
      </c>
      <c r="Q117" s="282">
        <f>M117+O117</f>
        <v/>
      </c>
      <c r="R117" s="282">
        <f>M117+N117+O117+P117</f>
        <v/>
      </c>
      <c r="S117" s="286">
        <f>SUM(T117:V117)</f>
        <v/>
      </c>
      <c r="T117" s="286" t="n"/>
      <c r="U117" s="286" t="n"/>
      <c r="V117" s="286" t="n"/>
      <c r="W117" s="286" t="n"/>
      <c r="X117" s="286" t="n"/>
      <c r="Y117" s="286" t="n"/>
      <c r="Z117" s="282">
        <f>SUM(AA30:AJ30)</f>
        <v/>
      </c>
      <c r="AA117" s="286" t="n"/>
      <c r="AB117" s="301" t="n"/>
      <c r="AC117" s="301" t="n"/>
      <c r="AD117" s="301" t="n"/>
      <c r="AE117" s="301" t="n"/>
      <c r="AF117" s="301" t="n"/>
      <c r="AG117" s="301" t="n"/>
      <c r="AH117" s="301" t="n"/>
      <c r="AI117" s="301" t="n"/>
      <c r="AJ117" s="301" t="n"/>
      <c r="AK117" s="287">
        <f>AB30/1.17*0.17+AC30/1.16*0.16+AD30/1.11*0.11+AE30/1.1*0.1+AF30/1.09*0.09+AI30/1.03*0.03</f>
        <v/>
      </c>
      <c r="AL117" s="302" t="n"/>
    </row>
    <row r="118">
      <c r="A118" s="279" t="n">
        <v>46</v>
      </c>
      <c r="B118" s="280" t="n"/>
      <c r="C118" s="280" t="n"/>
      <c r="D118" s="299" t="inlineStr">
        <is>
          <t>材料调出（注：负数填报）</t>
        </is>
      </c>
      <c r="E118" s="304" t="n"/>
      <c r="F118" s="304" t="n"/>
      <c r="G118" s="304" t="n"/>
      <c r="H118" s="305" t="n"/>
      <c r="I118" s="305" t="n"/>
      <c r="J118" s="282" t="n"/>
      <c r="K118" s="283" t="n"/>
      <c r="L118" s="284" t="n"/>
      <c r="M118" s="306" t="n">
        <v>-8003517.42</v>
      </c>
      <c r="N118" s="305" t="n"/>
      <c r="O118" s="282">
        <f>L118-M118</f>
        <v/>
      </c>
      <c r="P118" s="282">
        <f>K118-N118</f>
        <v/>
      </c>
      <c r="Q118" s="282">
        <f>M118+O118</f>
        <v/>
      </c>
      <c r="R118" s="282">
        <f>M118+N118+O118+P118</f>
        <v/>
      </c>
      <c r="S118" s="286">
        <f>SUM(T118:V118)</f>
        <v/>
      </c>
      <c r="T118" s="305" t="n"/>
      <c r="U118" s="305" t="n"/>
      <c r="V118" s="305" t="n"/>
      <c r="W118" s="305" t="n"/>
      <c r="X118" s="305" t="n"/>
      <c r="Y118" s="305" t="n"/>
      <c r="Z118" s="282">
        <f>SUM(AA31:AJ31)</f>
        <v/>
      </c>
      <c r="AA118" s="305" t="n"/>
      <c r="AB118" s="307" t="n"/>
      <c r="AC118" s="307" t="n"/>
      <c r="AD118" s="307" t="n"/>
      <c r="AE118" s="307" t="n"/>
      <c r="AF118" s="307" t="n"/>
      <c r="AG118" s="307" t="n"/>
      <c r="AH118" s="307" t="n"/>
      <c r="AI118" s="307" t="n"/>
      <c r="AJ118" s="307" t="n"/>
      <c r="AK118" s="287">
        <f>AB31/1.17*0.17+AC31/1.16*0.16+AD31/1.11*0.11+AE31/1.1*0.1+AF31/1.09*0.09+AI31/1.03*0.03</f>
        <v/>
      </c>
      <c r="AL118" s="308" t="n"/>
    </row>
    <row r="119">
      <c r="A119" s="279" t="n"/>
      <c r="B119" s="280" t="n"/>
      <c r="C119" s="280" t="n"/>
      <c r="D119" s="299" t="inlineStr">
        <is>
          <t>材料库存（注：项目已结算未使用材料冲减项目成本，负数填报）</t>
        </is>
      </c>
      <c r="E119" s="304" t="n"/>
      <c r="F119" s="304" t="n"/>
      <c r="G119" s="304" t="n"/>
      <c r="H119" s="305" t="n"/>
      <c r="I119" s="305" t="n"/>
      <c r="J119" s="282" t="n"/>
      <c r="K119" s="283" t="n"/>
      <c r="L119" s="284" t="n"/>
      <c r="M119" s="305" t="n"/>
      <c r="N119" s="305" t="n"/>
      <c r="O119" s="282" t="n"/>
      <c r="P119" s="282" t="n"/>
      <c r="Q119" s="282" t="n"/>
      <c r="R119" s="282" t="n"/>
      <c r="S119" s="286" t="n"/>
      <c r="T119" s="305" t="n"/>
      <c r="U119" s="305" t="n"/>
      <c r="V119" s="305" t="n"/>
      <c r="W119" s="305" t="n"/>
      <c r="X119" s="305" t="n"/>
      <c r="Y119" s="305" t="n"/>
      <c r="Z119" s="282" t="n"/>
      <c r="AA119" s="305" t="n"/>
      <c r="AB119" s="307" t="n"/>
      <c r="AC119" s="307" t="n"/>
      <c r="AD119" s="307" t="n"/>
      <c r="AE119" s="307" t="n"/>
      <c r="AF119" s="307" t="n"/>
      <c r="AG119" s="307" t="n"/>
      <c r="AH119" s="307" t="n"/>
      <c r="AI119" s="307" t="n"/>
      <c r="AJ119" s="307" t="n"/>
      <c r="AK119" s="287" t="n"/>
      <c r="AL119" s="308" t="n"/>
    </row>
    <row r="120">
      <c r="A120" s="279" t="n"/>
      <c r="B120" s="280" t="n"/>
      <c r="C120" s="280" t="n"/>
      <c r="D120" s="291" t="inlineStr">
        <is>
          <t>**财务未列部分需增列***</t>
        </is>
      </c>
      <c r="E120" s="300" t="n"/>
      <c r="F120" s="300" t="n"/>
      <c r="G120" s="300" t="n"/>
      <c r="H120" s="282" t="n"/>
      <c r="I120" s="282" t="n"/>
      <c r="J120" s="282" t="n"/>
      <c r="K120" s="283" t="n"/>
      <c r="L120" s="284" t="n"/>
      <c r="M120" s="282" t="n"/>
      <c r="N120" s="282" t="n"/>
      <c r="O120" s="282">
        <f>L120-M120</f>
        <v/>
      </c>
      <c r="P120" s="282">
        <f>K120-N120</f>
        <v/>
      </c>
      <c r="Q120" s="282">
        <f>M120+O120</f>
        <v/>
      </c>
      <c r="R120" s="282">
        <f>M120+N120+O120+P120</f>
        <v/>
      </c>
      <c r="S120" s="286">
        <f>SUM(T120:V120)</f>
        <v/>
      </c>
      <c r="T120" s="286" t="n"/>
      <c r="U120" s="286" t="n"/>
      <c r="V120" s="286" t="n"/>
      <c r="W120" s="286" t="n"/>
      <c r="X120" s="286" t="n"/>
      <c r="Y120" s="286" t="n"/>
      <c r="Z120" s="286" t="n"/>
      <c r="AA120" s="286" t="n"/>
      <c r="AB120" s="301" t="n"/>
      <c r="AC120" s="301" t="n"/>
      <c r="AD120" s="301" t="n"/>
      <c r="AE120" s="301" t="n"/>
      <c r="AF120" s="301" t="n"/>
      <c r="AG120" s="301" t="n"/>
      <c r="AH120" s="301" t="n"/>
      <c r="AI120" s="301" t="n"/>
      <c r="AJ120" s="301" t="n"/>
      <c r="AK120" s="287">
        <f>AB33/1.17*0.17+AC33/1.16*0.16+AD33/1.11*0.11+AE33/1.1*0.1+AF33/1.09*0.09+AI33/1.03*0.03</f>
        <v/>
      </c>
      <c r="AL120" s="302" t="n"/>
    </row>
    <row r="121">
      <c r="A121" s="295" t="n"/>
      <c r="B121" s="296" t="n"/>
      <c r="C121" s="296" t="n"/>
      <c r="D121" s="297" t="inlineStr">
        <is>
          <t>材料费小计：</t>
        </is>
      </c>
      <c r="E121" s="298">
        <f>SUM(E66:E120)</f>
        <v/>
      </c>
      <c r="F121" s="298">
        <f>SUM(F66:F120)</f>
        <v/>
      </c>
      <c r="G121" s="298">
        <f>SUM(G66:G120)</f>
        <v/>
      </c>
      <c r="H121" s="298">
        <f>SUM(H66:H120)</f>
        <v/>
      </c>
      <c r="I121" s="298">
        <f>SUM(I66:I120)</f>
        <v/>
      </c>
      <c r="J121" s="298">
        <f>SUM(J66:J120)</f>
        <v/>
      </c>
      <c r="K121" s="298">
        <f>SUM(K66:K120)</f>
        <v/>
      </c>
      <c r="L121" s="298">
        <f>SUM(L66:L120)</f>
        <v/>
      </c>
      <c r="M121" s="298">
        <f>SUM(M66:M120)</f>
        <v/>
      </c>
      <c r="N121" s="298">
        <f>SUM(N66:N120)</f>
        <v/>
      </c>
      <c r="O121" s="298">
        <f>SUM(O66:O120)</f>
        <v/>
      </c>
      <c r="P121" s="298">
        <f>SUM(P66:P120)</f>
        <v/>
      </c>
      <c r="Q121" s="298">
        <f>SUM(Q66:Q120)</f>
        <v/>
      </c>
      <c r="R121" s="298">
        <f>SUM(R66:R120)</f>
        <v/>
      </c>
      <c r="S121" s="298">
        <f>SUM(S66:S120)</f>
        <v/>
      </c>
      <c r="T121" s="298">
        <f>SUM(T66:T120)</f>
        <v/>
      </c>
      <c r="U121" s="298">
        <f>SUM(U66:U120)</f>
        <v/>
      </c>
      <c r="V121" s="298">
        <f>SUM(V66:V120)</f>
        <v/>
      </c>
      <c r="W121" s="298">
        <f>SUM(W66:W120)</f>
        <v/>
      </c>
      <c r="X121" s="298">
        <f>SUM(X66:X120)</f>
        <v/>
      </c>
      <c r="Y121" s="298">
        <f>SUM(Y66:Y120)</f>
        <v/>
      </c>
      <c r="Z121" s="298">
        <f>SUM(Z66:Z120)</f>
        <v/>
      </c>
      <c r="AA121" s="298">
        <f>SUM(AA66:AA120)</f>
        <v/>
      </c>
      <c r="AB121" s="298">
        <f>SUM(AB66:AB120)</f>
        <v/>
      </c>
      <c r="AC121" s="298">
        <f>SUM(AC66:AC120)</f>
        <v/>
      </c>
      <c r="AD121" s="298">
        <f>SUM(AD66:AD120)</f>
        <v/>
      </c>
      <c r="AE121" s="298">
        <f>SUM(AE66:AE120)</f>
        <v/>
      </c>
      <c r="AF121" s="298">
        <f>SUM(AF66:AF120)</f>
        <v/>
      </c>
      <c r="AG121" s="298">
        <f>SUM(AG66:AG120)</f>
        <v/>
      </c>
      <c r="AH121" s="298">
        <f>SUM(AH66:AH120)</f>
        <v/>
      </c>
      <c r="AI121" s="298">
        <f>SUM(AI66:AI120)</f>
        <v/>
      </c>
      <c r="AJ121" s="298">
        <f>SUM(AJ66:AJ120)</f>
        <v/>
      </c>
      <c r="AK121" s="298">
        <f>SUM(AK66:AK120)</f>
        <v/>
      </c>
      <c r="AL121" s="288" t="n"/>
    </row>
    <row r="122">
      <c r="A122" s="279" t="n"/>
      <c r="B122" s="280" t="n"/>
      <c r="C122" s="280" t="n"/>
      <c r="D122" s="299" t="inlineStr">
        <is>
          <t>(四）机械租赁费</t>
        </is>
      </c>
      <c r="E122" s="292" t="n"/>
      <c r="F122" s="292" t="n"/>
      <c r="G122" s="292" t="n"/>
      <c r="H122" s="282" t="n"/>
      <c r="I122" s="282" t="n"/>
      <c r="J122" s="282" t="n"/>
      <c r="K122" s="283" t="n">
        <v>0</v>
      </c>
      <c r="L122" s="284">
        <f>J122-K122</f>
        <v/>
      </c>
      <c r="M122" s="285" t="n"/>
      <c r="N122" s="285" t="n"/>
      <c r="O122" s="282">
        <f>L122-M122</f>
        <v/>
      </c>
      <c r="P122" s="282">
        <f>K122-N122</f>
        <v/>
      </c>
      <c r="Q122" s="282">
        <f>M122+O122</f>
        <v/>
      </c>
      <c r="R122" s="282">
        <f>M122+N122+O122+P122</f>
        <v/>
      </c>
      <c r="S122" s="286">
        <f>SUM(T122:V122)</f>
        <v/>
      </c>
      <c r="T122" s="286" t="n"/>
      <c r="U122" s="286" t="n"/>
      <c r="V122" s="286" t="n"/>
      <c r="W122" s="286" t="n"/>
      <c r="X122" s="286" t="n"/>
      <c r="Y122" s="286" t="n"/>
      <c r="Z122" s="286" t="n"/>
      <c r="AA122" s="286" t="n"/>
      <c r="AB122" s="286" t="n"/>
      <c r="AC122" s="286" t="n"/>
      <c r="AD122" s="286" t="n"/>
      <c r="AE122" s="286" t="n"/>
      <c r="AF122" s="286" t="n"/>
      <c r="AG122" s="286" t="n"/>
      <c r="AH122" s="286" t="n"/>
      <c r="AI122" s="286" t="n"/>
      <c r="AJ122" s="286" t="n"/>
      <c r="AK122" s="287">
        <f>AB35/1.17*0.17+AC35/1.16*0.16+AD35/1.11*0.11+AE35/1.1*0.1+AF35/1.09*0.09+AI35/1.03*0.03</f>
        <v/>
      </c>
      <c r="AL122" s="288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  <c r="W128" s="290" t="n"/>
      <c r="X128" s="290" t="n"/>
      <c r="Y128" s="290" t="n"/>
      <c r="Z128" s="290" t="n"/>
      <c r="AA128" s="290" t="n"/>
      <c r="AB128" s="290" t="n"/>
      <c r="AC128" s="290" t="n"/>
      <c r="AD128" s="290" t="n"/>
      <c r="AE128" s="290" t="n"/>
      <c r="AF128" s="290" t="n"/>
      <c r="AG128" s="290" t="n"/>
      <c r="AH128" s="290" t="n"/>
      <c r="AI128" s="290" t="n"/>
      <c r="AJ128" s="290" t="n"/>
      <c r="AK128" s="290" t="n"/>
      <c r="AL128" s="290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  <c r="W129" s="290" t="n"/>
      <c r="X129" s="290" t="n"/>
      <c r="Y129" s="290" t="n"/>
      <c r="Z129" s="290" t="n"/>
      <c r="AA129" s="290" t="n"/>
      <c r="AB129" s="290" t="n"/>
      <c r="AC129" s="290" t="n"/>
      <c r="AD129" s="290" t="n"/>
      <c r="AE129" s="290" t="n"/>
      <c r="AF129" s="290" t="n"/>
      <c r="AG129" s="290" t="n"/>
      <c r="AH129" s="290" t="n"/>
      <c r="AI129" s="290" t="n"/>
      <c r="AJ129" s="290" t="n"/>
      <c r="AK129" s="290" t="n"/>
      <c r="AL129" s="290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  <c r="W130" s="290" t="n"/>
      <c r="X130" s="290" t="n"/>
      <c r="Y130" s="290" t="n"/>
      <c r="Z130" s="290" t="n"/>
      <c r="AA130" s="290" t="n"/>
      <c r="AB130" s="290" t="n"/>
      <c r="AC130" s="290" t="n"/>
      <c r="AD130" s="290" t="n"/>
      <c r="AE130" s="290" t="n"/>
      <c r="AF130" s="290" t="n"/>
      <c r="AG130" s="290" t="n"/>
      <c r="AH130" s="290" t="n"/>
      <c r="AI130" s="290" t="n"/>
      <c r="AJ130" s="290" t="n"/>
      <c r="AK130" s="290" t="n"/>
      <c r="AL130" s="290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>
        <v>12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-709.27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06" t="n">
        <v>13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0" t="n"/>
      <c r="X136" s="290" t="n"/>
      <c r="Y136" s="290" t="n"/>
      <c r="Z136" s="290" t="n"/>
      <c r="AA136" s="290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 t="n"/>
      <c r="AL136" s="290" t="n"/>
    </row>
    <row r="137">
      <c r="A137" s="279" t="n"/>
      <c r="B137" s="280" t="n"/>
      <c r="C137" s="280" t="n"/>
      <c r="D137" s="291" t="inlineStr">
        <is>
          <t>**财务未列部分需增列***</t>
        </is>
      </c>
      <c r="E137" s="309" t="n"/>
      <c r="F137" s="309" t="n"/>
      <c r="G137" s="309" t="n"/>
      <c r="H137" s="282" t="n"/>
      <c r="I137" s="282" t="n"/>
      <c r="J137" s="282" t="n"/>
      <c r="K137" s="283" t="n">
        <v>0</v>
      </c>
      <c r="L137" s="284">
        <f>J137-K137</f>
        <v/>
      </c>
      <c r="M137" s="310" t="n"/>
      <c r="N137" s="310" t="n"/>
      <c r="O137" s="282">
        <f>L137-M137</f>
        <v/>
      </c>
      <c r="P137" s="282">
        <f>K137-N137</f>
        <v/>
      </c>
      <c r="Q137" s="282">
        <f>M137+O137</f>
        <v/>
      </c>
      <c r="R137" s="282">
        <f>M137+N137+O137+P137</f>
        <v/>
      </c>
      <c r="S137" s="286">
        <f>SUM(T137:V137)</f>
        <v/>
      </c>
      <c r="T137" s="310" t="n"/>
      <c r="U137" s="310" t="n"/>
      <c r="V137" s="310" t="n"/>
      <c r="W137" s="310" t="n"/>
      <c r="X137" s="310" t="n"/>
      <c r="Y137" s="310" t="n"/>
      <c r="Z137" s="310" t="n"/>
      <c r="AA137" s="286" t="n"/>
      <c r="AB137" s="287" t="n"/>
      <c r="AC137" s="287" t="n"/>
      <c r="AD137" s="287" t="n"/>
      <c r="AE137" s="287" t="n"/>
      <c r="AF137" s="287" t="n"/>
      <c r="AG137" s="287" t="n"/>
      <c r="AH137" s="287" t="n"/>
      <c r="AI137" s="287" t="n"/>
      <c r="AJ137" s="287" t="n"/>
      <c r="AK137" s="287">
        <f>AB37/1.17*0.17+AC37/1.16*0.16+AD37/1.11*0.11+AE37/1.1*0.1+AF37/1.09*0.09+AI37/1.03*0.03</f>
        <v/>
      </c>
      <c r="AL137" s="294" t="n"/>
    </row>
    <row r="138">
      <c r="A138" s="295" t="n"/>
      <c r="B138" s="296" t="n"/>
      <c r="C138" s="296" t="n"/>
      <c r="D138" s="311" t="inlineStr">
        <is>
          <t>机械费小计：</t>
        </is>
      </c>
      <c r="E138" s="312" t="n"/>
      <c r="F138" s="312" t="n"/>
      <c r="G138" s="312" t="n"/>
      <c r="H138" s="298">
        <f>SUM(H122:H137)</f>
        <v/>
      </c>
      <c r="I138" s="298">
        <f>SUM(I122:I137)</f>
        <v/>
      </c>
      <c r="J138" s="298">
        <f>SUM(J122:J137)</f>
        <v/>
      </c>
      <c r="K138" s="298">
        <f>SUM(K122:K137)</f>
        <v/>
      </c>
      <c r="L138" s="313">
        <f>SUM(L122:L137)</f>
        <v/>
      </c>
      <c r="M138" s="298">
        <f>SUM(M122:M137)</f>
        <v/>
      </c>
      <c r="N138" s="298">
        <f>SUM(N122:N137)</f>
        <v/>
      </c>
      <c r="O138" s="298">
        <f>SUM(O122:O137)</f>
        <v/>
      </c>
      <c r="P138" s="298">
        <f>SUM(P122:P137)</f>
        <v/>
      </c>
      <c r="Q138" s="298">
        <f>SUM(Q122:Q137)</f>
        <v/>
      </c>
      <c r="R138" s="298">
        <f>SUM(R122:R137)</f>
        <v/>
      </c>
      <c r="S138" s="298">
        <f>SUM(S122:S137)</f>
        <v/>
      </c>
      <c r="T138" s="298" t="n"/>
      <c r="U138" s="298" t="n"/>
      <c r="V138" s="298" t="n"/>
      <c r="W138" s="298" t="n"/>
      <c r="X138" s="298" t="n"/>
      <c r="Y138" s="298" t="n"/>
      <c r="Z138" s="298">
        <f>SUM(Z122:Z137)</f>
        <v/>
      </c>
      <c r="AA138" s="298">
        <f>SUM(AA122:AA137)</f>
        <v/>
      </c>
      <c r="AB138" s="298" t="n"/>
      <c r="AC138" s="298" t="n"/>
      <c r="AD138" s="298" t="n"/>
      <c r="AE138" s="298" t="n"/>
      <c r="AF138" s="298" t="n"/>
      <c r="AG138" s="298" t="n"/>
      <c r="AH138" s="298" t="n"/>
      <c r="AI138" s="298" t="n"/>
      <c r="AJ138" s="298" t="n"/>
      <c r="AK138" s="298" t="n"/>
      <c r="AL138" s="288" t="n"/>
    </row>
    <row r="139">
      <c r="A139" s="279" t="n"/>
      <c r="B139" s="280" t="n"/>
      <c r="C139" s="280" t="n"/>
      <c r="D139" s="299" t="inlineStr">
        <is>
          <t>（五）其他直接费</t>
        </is>
      </c>
      <c r="E139" s="292" t="n"/>
      <c r="F139" s="292" t="n"/>
      <c r="G139" s="292" t="n"/>
      <c r="H139" s="282" t="n"/>
      <c r="I139" s="282" t="n"/>
      <c r="J139" s="285" t="n">
        <v>0</v>
      </c>
      <c r="K139" s="283" t="n">
        <v>0</v>
      </c>
      <c r="L139" s="284">
        <f>J139-N139-P139</f>
        <v/>
      </c>
      <c r="M139" s="285" t="n"/>
      <c r="N139" s="285" t="n"/>
      <c r="O139" s="282">
        <f>L139-M139</f>
        <v/>
      </c>
      <c r="P139" s="282">
        <f>K139-N139</f>
        <v/>
      </c>
      <c r="Q139" s="282">
        <f>M139+O139</f>
        <v/>
      </c>
      <c r="R139" s="282">
        <f>M139+N139+O139+P139</f>
        <v/>
      </c>
      <c r="S139" s="286">
        <f>SUM(T139:V139)</f>
        <v/>
      </c>
      <c r="T139" s="286" t="n"/>
      <c r="U139" s="286" t="n"/>
      <c r="V139" s="286" t="n"/>
      <c r="W139" s="286" t="n"/>
      <c r="X139" s="286" t="n"/>
      <c r="Y139" s="286" t="n"/>
      <c r="Z139" s="286" t="n"/>
      <c r="AA139" s="286" t="n"/>
      <c r="AB139" s="286" t="n"/>
      <c r="AC139" s="286" t="n"/>
      <c r="AD139" s="286" t="n"/>
      <c r="AE139" s="286" t="n"/>
      <c r="AF139" s="286" t="n"/>
      <c r="AG139" s="286" t="n"/>
      <c r="AH139" s="286" t="n"/>
      <c r="AI139" s="286" t="n"/>
      <c r="AJ139" s="286" t="n"/>
      <c r="AK139" s="287" t="n"/>
      <c r="AL139" s="288" t="n"/>
    </row>
    <row r="140">
      <c r="A140" s="206" t="n">
        <v>1</v>
      </c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2</v>
      </c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06" t="n">
        <v>3</v>
      </c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0" t="n"/>
      <c r="X142" s="290" t="n"/>
      <c r="Y142" s="290" t="n"/>
      <c r="Z142" s="290" t="n"/>
      <c r="AA142" s="290" t="n"/>
      <c r="AB142" s="290" t="n"/>
      <c r="AC142" s="290" t="n"/>
      <c r="AD142" s="290" t="n"/>
      <c r="AE142" s="290" t="n"/>
      <c r="AF142" s="290" t="n"/>
      <c r="AG142" s="290" t="n"/>
      <c r="AH142" s="290" t="n"/>
      <c r="AI142" s="290" t="n"/>
      <c r="AJ142" s="290" t="n"/>
      <c r="AK142" s="290" t="n"/>
      <c r="AL142" s="290" t="n"/>
    </row>
    <row r="143">
      <c r="A143" s="206" t="n">
        <v>4</v>
      </c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0" t="n"/>
      <c r="X143" s="290" t="n"/>
      <c r="Y143" s="290" t="n"/>
      <c r="Z143" s="290" t="n"/>
      <c r="AA143" s="290" t="n"/>
      <c r="AB143" s="290" t="n"/>
      <c r="AC143" s="290" t="n"/>
      <c r="AD143" s="290" t="n"/>
      <c r="AE143" s="290" t="n"/>
      <c r="AF143" s="290" t="n"/>
      <c r="AG143" s="290" t="n"/>
      <c r="AH143" s="290" t="n"/>
      <c r="AI143" s="290" t="n"/>
      <c r="AJ143" s="290" t="n"/>
      <c r="AK143" s="290" t="n"/>
      <c r="AL143" s="290" t="n"/>
    </row>
    <row r="144">
      <c r="A144" s="206" t="n">
        <v>5</v>
      </c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0" t="n"/>
      <c r="X144" s="290" t="n"/>
      <c r="Y144" s="290" t="n"/>
      <c r="Z144" s="290" t="n"/>
      <c r="AA144" s="290" t="n"/>
      <c r="AB144" s="290" t="n"/>
      <c r="AC144" s="290" t="n"/>
      <c r="AD144" s="290" t="n"/>
      <c r="AE144" s="290" t="n"/>
      <c r="AF144" s="290" t="n"/>
      <c r="AG144" s="290" t="n"/>
      <c r="AH144" s="290" t="n"/>
      <c r="AI144" s="290" t="n"/>
      <c r="AJ144" s="290" t="n"/>
      <c r="AK144" s="290" t="n"/>
      <c r="AL144" s="290" t="n"/>
    </row>
    <row r="145">
      <c r="A145" s="279" t="n"/>
      <c r="B145" s="280" t="n"/>
      <c r="C145" s="280" t="n"/>
      <c r="D145" s="291" t="inlineStr">
        <is>
          <t>**财务未列部分需增列***</t>
        </is>
      </c>
      <c r="E145" s="292" t="n"/>
      <c r="F145" s="292" t="n"/>
      <c r="G145" s="292" t="n"/>
      <c r="H145" s="282" t="n"/>
      <c r="I145" s="282" t="n"/>
      <c r="J145" s="285" t="n"/>
      <c r="K145" s="283" t="n"/>
      <c r="L145" s="284">
        <f>J145-K145</f>
        <v/>
      </c>
      <c r="M145" s="314" t="n"/>
      <c r="N145" s="314" t="n"/>
      <c r="O145" s="282">
        <f>L145-M145</f>
        <v/>
      </c>
      <c r="P145" s="282">
        <f>K145-N145</f>
        <v/>
      </c>
      <c r="Q145" s="282">
        <f>M145+O145</f>
        <v/>
      </c>
      <c r="R145" s="282">
        <f>M145+N145+O145+P145</f>
        <v/>
      </c>
      <c r="S145" s="286">
        <f>SUM(T145:V145)</f>
        <v/>
      </c>
      <c r="T145" s="314" t="n"/>
      <c r="U145" s="314" t="n"/>
      <c r="V145" s="314" t="n"/>
      <c r="W145" s="314" t="n"/>
      <c r="X145" s="314" t="n"/>
      <c r="Y145" s="314" t="n"/>
      <c r="Z145" s="282">
        <f>SUM(AA45:AJ45)</f>
        <v/>
      </c>
      <c r="AA145" s="286" t="n"/>
      <c r="AB145" s="286" t="n"/>
      <c r="AC145" s="286" t="n"/>
      <c r="AD145" s="286" t="n"/>
      <c r="AE145" s="286" t="n"/>
      <c r="AF145" s="286" t="n"/>
      <c r="AG145" s="286" t="n"/>
      <c r="AH145" s="286" t="n"/>
      <c r="AI145" s="286" t="n"/>
      <c r="AJ145" s="286" t="n"/>
      <c r="AK145" s="287" t="n"/>
      <c r="AL145" s="288" t="n"/>
    </row>
    <row r="146">
      <c r="A146" s="315" t="n"/>
      <c r="B146" s="316" t="n"/>
      <c r="C146" s="316" t="n"/>
      <c r="D146" s="311" t="inlineStr">
        <is>
          <t>其他直接费小计：</t>
        </is>
      </c>
      <c r="E146" s="317" t="n"/>
      <c r="F146" s="317" t="n"/>
      <c r="G146" s="317" t="n"/>
      <c r="H146" s="298">
        <f>SUM(H139:H145)</f>
        <v/>
      </c>
      <c r="I146" s="298">
        <f>SUM(I139:I145)</f>
        <v/>
      </c>
      <c r="J146" s="298">
        <f>SUM(J139:J145)</f>
        <v/>
      </c>
      <c r="K146" s="298">
        <f>SUM(K139:K145)</f>
        <v/>
      </c>
      <c r="L146" s="313">
        <f>SUM(L139:L145)</f>
        <v/>
      </c>
      <c r="M146" s="298">
        <f>SUM(M139:M145)</f>
        <v/>
      </c>
      <c r="N146" s="298">
        <f>SUM(N139:N145)</f>
        <v/>
      </c>
      <c r="O146" s="298">
        <f>L146-M146</f>
        <v/>
      </c>
      <c r="P146" s="298">
        <f>SUM(P139:P145)</f>
        <v/>
      </c>
      <c r="Q146" s="298">
        <f>M146+O146</f>
        <v/>
      </c>
      <c r="R146" s="298">
        <f>SUM(R139:R145)</f>
        <v/>
      </c>
      <c r="S146" s="298">
        <f>SUM(S139:S145)</f>
        <v/>
      </c>
      <c r="T146" s="298" t="n"/>
      <c r="U146" s="298" t="n"/>
      <c r="V146" s="298" t="n"/>
      <c r="W146" s="298" t="n"/>
      <c r="X146" s="298" t="n"/>
      <c r="Y146" s="298" t="n"/>
      <c r="Z146" s="298">
        <f>SUM(Z139:Z145)</f>
        <v/>
      </c>
      <c r="AA146" s="298">
        <f>SUM(AA139:AA145)</f>
        <v/>
      </c>
      <c r="AB146" s="298">
        <f>SUM(AB139:AB145)</f>
        <v/>
      </c>
      <c r="AC146" s="298">
        <f>SUM(AC139:AC145)</f>
        <v/>
      </c>
      <c r="AD146" s="298">
        <f>SUM(AD139:AD145)</f>
        <v/>
      </c>
      <c r="AE146" s="298">
        <f>SUM(AE139:AE145)</f>
        <v/>
      </c>
      <c r="AF146" s="298">
        <f>SUM(AF139:AF145)</f>
        <v/>
      </c>
      <c r="AG146" s="298" t="n"/>
      <c r="AH146" s="298" t="n"/>
      <c r="AI146" s="298">
        <f>SUM(AI139:AI145)</f>
        <v/>
      </c>
      <c r="AJ146" s="298">
        <f>SUM(AJ139:AJ145)</f>
        <v/>
      </c>
      <c r="AK146" s="298">
        <f>SUM(AK139:AK145)</f>
        <v/>
      </c>
      <c r="AL146" s="288" t="n"/>
    </row>
    <row r="147">
      <c r="A147" s="279" t="n"/>
      <c r="B147" s="280" t="n"/>
      <c r="C147" s="280" t="n"/>
      <c r="D147" s="299" t="inlineStr">
        <is>
          <t>（六）间接费</t>
        </is>
      </c>
      <c r="E147" s="292" t="n"/>
      <c r="F147" s="292" t="n"/>
      <c r="G147" s="292" t="n"/>
      <c r="H147" s="285" t="n"/>
      <c r="I147" s="282" t="n"/>
      <c r="J147" s="282" t="n">
        <v>0</v>
      </c>
      <c r="K147" s="283" t="n">
        <v>0</v>
      </c>
      <c r="L147" s="284">
        <f>J147-N147-P147</f>
        <v/>
      </c>
      <c r="M147" s="285" t="n"/>
      <c r="N147" s="285" t="n"/>
      <c r="O147" s="282">
        <f>L147-M147</f>
        <v/>
      </c>
      <c r="P147" s="282">
        <f>K147-N147</f>
        <v/>
      </c>
      <c r="Q147" s="282">
        <f>M147+O147</f>
        <v/>
      </c>
      <c r="R147" s="282">
        <f>M147+N147+O147+P147</f>
        <v/>
      </c>
      <c r="S147" s="286">
        <f>SUM(T147:V147)</f>
        <v/>
      </c>
      <c r="T147" s="286" t="n"/>
      <c r="U147" s="286" t="n"/>
      <c r="V147" s="286" t="n"/>
      <c r="W147" s="286" t="n"/>
      <c r="X147" s="286" t="n"/>
      <c r="Y147" s="286" t="n"/>
      <c r="Z147" s="286" t="n"/>
      <c r="AA147" s="286" t="n"/>
      <c r="AB147" s="286" t="n"/>
      <c r="AC147" s="286" t="n"/>
      <c r="AD147" s="286" t="n"/>
      <c r="AE147" s="286" t="n"/>
      <c r="AF147" s="286" t="n"/>
      <c r="AG147" s="286" t="n"/>
      <c r="AH147" s="286" t="n"/>
      <c r="AI147" s="286" t="n"/>
      <c r="AJ147" s="286" t="n"/>
      <c r="AK147" s="287" t="n"/>
      <c r="AL147" s="288" t="n"/>
    </row>
    <row r="148">
      <c r="A148" s="206" t="n">
        <v>1</v>
      </c>
      <c r="B148" s="206" t="n"/>
      <c r="C148" s="207" t="n"/>
      <c r="D148" s="207" t="inlineStr">
        <is>
          <t>ZGD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73932.02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2</v>
      </c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3</v>
      </c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4</v>
      </c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5</v>
      </c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6</v>
      </c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7</v>
      </c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8</v>
      </c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9</v>
      </c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10</v>
      </c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11</v>
      </c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12</v>
      </c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13</v>
      </c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14</v>
      </c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06" t="n">
        <v>15</v>
      </c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0" t="n"/>
      <c r="X162" s="290" t="n"/>
      <c r="Y162" s="290" t="n"/>
      <c r="Z162" s="290" t="n"/>
      <c r="AA162" s="290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0" t="n"/>
    </row>
    <row r="163">
      <c r="A163" s="206" t="n">
        <v>16</v>
      </c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0" t="n"/>
      <c r="X163" s="290" t="n"/>
      <c r="Y163" s="290" t="n"/>
      <c r="Z163" s="290" t="n"/>
      <c r="AA163" s="290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0" t="n"/>
    </row>
    <row r="164">
      <c r="A164" s="206" t="n">
        <v>17</v>
      </c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0" t="n"/>
      <c r="X164" s="290" t="n"/>
      <c r="Y164" s="290" t="n"/>
      <c r="Z164" s="290" t="n"/>
      <c r="AA164" s="290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0" t="n"/>
    </row>
    <row r="165">
      <c r="A165" s="206" t="n">
        <v>18</v>
      </c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19</v>
      </c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20</v>
      </c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21</v>
      </c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206" t="n">
        <v>22</v>
      </c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0" t="n"/>
      <c r="X169" s="290" t="n"/>
      <c r="Y169" s="290" t="n"/>
      <c r="Z169" s="290" t="n"/>
      <c r="AA169" s="290" t="n"/>
      <c r="AB169" s="290" t="n"/>
      <c r="AC169" s="290" t="n"/>
      <c r="AD169" s="290" t="n"/>
      <c r="AE169" s="290" t="n"/>
      <c r="AF169" s="290" t="n"/>
      <c r="AG169" s="290" t="n"/>
      <c r="AH169" s="290" t="n"/>
      <c r="AI169" s="290" t="n"/>
      <c r="AJ169" s="290" t="n"/>
      <c r="AK169" s="290" t="n"/>
      <c r="AL169" s="290" t="n"/>
    </row>
    <row r="170">
      <c r="A170" s="206" t="n">
        <v>23</v>
      </c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0" t="n"/>
      <c r="X170" s="290" t="n"/>
      <c r="Y170" s="290" t="n"/>
      <c r="Z170" s="290" t="n"/>
      <c r="AA170" s="290" t="n"/>
      <c r="AB170" s="290" t="n"/>
      <c r="AC170" s="290" t="n"/>
      <c r="AD170" s="290" t="n"/>
      <c r="AE170" s="290" t="n"/>
      <c r="AF170" s="290" t="n"/>
      <c r="AG170" s="290" t="n"/>
      <c r="AH170" s="290" t="n"/>
      <c r="AI170" s="290" t="n"/>
      <c r="AJ170" s="290" t="n"/>
      <c r="AK170" s="290" t="n"/>
      <c r="AL170" s="290" t="n"/>
    </row>
    <row r="171">
      <c r="A171" s="206" t="n">
        <v>24</v>
      </c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0" t="n"/>
      <c r="X171" s="290" t="n"/>
      <c r="Y171" s="290" t="n"/>
      <c r="Z171" s="290" t="n"/>
      <c r="AA171" s="290" t="n"/>
      <c r="AB171" s="290" t="n"/>
      <c r="AC171" s="290" t="n"/>
      <c r="AD171" s="290" t="n"/>
      <c r="AE171" s="290" t="n"/>
      <c r="AF171" s="290" t="n"/>
      <c r="AG171" s="290" t="n"/>
      <c r="AH171" s="290" t="n"/>
      <c r="AI171" s="290" t="n"/>
      <c r="AJ171" s="290" t="n"/>
      <c r="AK171" s="290" t="n"/>
      <c r="AL171" s="290" t="n"/>
    </row>
    <row r="172">
      <c r="A172" s="206" t="n">
        <v>25</v>
      </c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0" t="n"/>
      <c r="X172" s="290" t="n"/>
      <c r="Y172" s="290" t="n"/>
      <c r="Z172" s="290" t="n"/>
      <c r="AA172" s="290" t="n"/>
      <c r="AB172" s="290" t="n"/>
      <c r="AC172" s="290" t="n"/>
      <c r="AD172" s="290" t="n"/>
      <c r="AE172" s="290" t="n"/>
      <c r="AF172" s="290" t="n"/>
      <c r="AG172" s="290" t="n"/>
      <c r="AH172" s="290" t="n"/>
      <c r="AI172" s="290" t="n"/>
      <c r="AJ172" s="290" t="n"/>
      <c r="AK172" s="290" t="n"/>
      <c r="AL172" s="290" t="n"/>
    </row>
    <row r="173">
      <c r="A173" s="206" t="n">
        <v>26</v>
      </c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0" t="n"/>
      <c r="X173" s="290" t="n"/>
      <c r="Y173" s="290" t="n"/>
      <c r="Z173" s="290" t="n"/>
      <c r="AA173" s="290" t="n"/>
      <c r="AB173" s="290" t="n"/>
      <c r="AC173" s="290" t="n"/>
      <c r="AD173" s="290" t="n"/>
      <c r="AE173" s="290" t="n"/>
      <c r="AF173" s="290" t="n"/>
      <c r="AG173" s="290" t="n"/>
      <c r="AH173" s="290" t="n"/>
      <c r="AI173" s="290" t="n"/>
      <c r="AJ173" s="290" t="n"/>
      <c r="AK173" s="290" t="n"/>
      <c r="AL173" s="290" t="n"/>
    </row>
    <row r="174">
      <c r="A174" s="206" t="n">
        <v>27</v>
      </c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0" t="n"/>
      <c r="X174" s="290" t="n"/>
      <c r="Y174" s="290" t="n"/>
      <c r="Z174" s="290" t="n"/>
      <c r="AA174" s="290" t="n"/>
      <c r="AB174" s="290" t="n"/>
      <c r="AC174" s="290" t="n"/>
      <c r="AD174" s="290" t="n"/>
      <c r="AE174" s="290" t="n"/>
      <c r="AF174" s="290" t="n"/>
      <c r="AG174" s="290" t="n"/>
      <c r="AH174" s="290" t="n"/>
      <c r="AI174" s="290" t="n"/>
      <c r="AJ174" s="290" t="n"/>
      <c r="AK174" s="290" t="n"/>
      <c r="AL174" s="290" t="n"/>
    </row>
    <row r="175">
      <c r="A175" s="206" t="n">
        <v>28</v>
      </c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0" t="n"/>
      <c r="X175" s="290" t="n"/>
      <c r="Y175" s="290" t="n"/>
      <c r="Z175" s="290" t="n"/>
      <c r="AA175" s="290" t="n"/>
      <c r="AB175" s="290" t="n"/>
      <c r="AC175" s="290" t="n"/>
      <c r="AD175" s="290" t="n"/>
      <c r="AE175" s="290" t="n"/>
      <c r="AF175" s="290" t="n"/>
      <c r="AG175" s="290" t="n"/>
      <c r="AH175" s="290" t="n"/>
      <c r="AI175" s="290" t="n"/>
      <c r="AJ175" s="290" t="n"/>
      <c r="AK175" s="290" t="n"/>
      <c r="AL175" s="290" t="n"/>
    </row>
    <row r="176">
      <c r="A176" s="206" t="n">
        <v>29</v>
      </c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30</v>
      </c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31</v>
      </c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06" t="n">
        <v>32</v>
      </c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0" t="n"/>
      <c r="X179" s="290" t="n"/>
      <c r="Y179" s="290" t="n"/>
      <c r="Z179" s="290" t="n"/>
      <c r="AA179" s="290" t="n"/>
      <c r="AB179" s="290" t="n"/>
      <c r="AC179" s="290" t="n"/>
      <c r="AD179" s="290" t="n"/>
      <c r="AE179" s="290" t="n"/>
      <c r="AF179" s="290" t="n"/>
      <c r="AG179" s="290" t="n"/>
      <c r="AH179" s="290" t="n"/>
      <c r="AI179" s="290" t="n"/>
      <c r="AJ179" s="290" t="n"/>
      <c r="AK179" s="290" t="n"/>
      <c r="AL179" s="290" t="n"/>
    </row>
    <row r="180">
      <c r="A180" s="206" t="n">
        <v>33</v>
      </c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0" t="n"/>
      <c r="X180" s="290" t="n"/>
      <c r="Y180" s="290" t="n"/>
      <c r="Z180" s="290" t="n"/>
      <c r="AA180" s="290" t="n"/>
      <c r="AB180" s="290" t="n"/>
      <c r="AC180" s="290" t="n"/>
      <c r="AD180" s="290" t="n"/>
      <c r="AE180" s="290" t="n"/>
      <c r="AF180" s="290" t="n"/>
      <c r="AG180" s="290" t="n"/>
      <c r="AH180" s="290" t="n"/>
      <c r="AI180" s="290" t="n"/>
      <c r="AJ180" s="290" t="n"/>
      <c r="AK180" s="290" t="n"/>
      <c r="AL180" s="290" t="n"/>
    </row>
    <row r="181">
      <c r="A181" s="206" t="n">
        <v>34</v>
      </c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0" t="n"/>
      <c r="X181" s="290" t="n"/>
      <c r="Y181" s="290" t="n"/>
      <c r="Z181" s="290" t="n"/>
      <c r="AA181" s="290" t="n"/>
      <c r="AB181" s="290" t="n"/>
      <c r="AC181" s="290" t="n"/>
      <c r="AD181" s="290" t="n"/>
      <c r="AE181" s="290" t="n"/>
      <c r="AF181" s="290" t="n"/>
      <c r="AG181" s="290" t="n"/>
      <c r="AH181" s="290" t="n"/>
      <c r="AI181" s="290" t="n"/>
      <c r="AJ181" s="290" t="n"/>
      <c r="AK181" s="290" t="n"/>
      <c r="AL181" s="290" t="n"/>
    </row>
    <row r="182">
      <c r="A182" s="206" t="n">
        <v>35</v>
      </c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0" t="n"/>
      <c r="X182" s="290" t="n"/>
      <c r="Y182" s="290" t="n"/>
      <c r="Z182" s="290" t="n"/>
      <c r="AA182" s="290" t="n"/>
      <c r="AB182" s="290" t="n"/>
      <c r="AC182" s="290" t="n"/>
      <c r="AD182" s="290" t="n"/>
      <c r="AE182" s="290" t="n"/>
      <c r="AF182" s="290" t="n"/>
      <c r="AG182" s="290" t="n"/>
      <c r="AH182" s="290" t="n"/>
      <c r="AI182" s="290" t="n"/>
      <c r="AJ182" s="290" t="n"/>
      <c r="AK182" s="290" t="n"/>
      <c r="AL182" s="290" t="n"/>
    </row>
    <row r="183">
      <c r="A183" s="206" t="n">
        <v>36</v>
      </c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0" t="n"/>
      <c r="X183" s="290" t="n"/>
      <c r="Y183" s="290" t="n"/>
      <c r="Z183" s="290" t="n"/>
      <c r="AA183" s="290" t="n"/>
      <c r="AB183" s="290" t="n"/>
      <c r="AC183" s="290" t="n"/>
      <c r="AD183" s="290" t="n"/>
      <c r="AE183" s="290" t="n"/>
      <c r="AF183" s="290" t="n"/>
      <c r="AG183" s="290" t="n"/>
      <c r="AH183" s="290" t="n"/>
      <c r="AI183" s="290" t="n"/>
      <c r="AJ183" s="290" t="n"/>
      <c r="AK183" s="290" t="n"/>
      <c r="AL183" s="290" t="n"/>
    </row>
    <row r="184">
      <c r="A184" s="206" t="n">
        <v>37</v>
      </c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0" t="n"/>
      <c r="X184" s="290" t="n"/>
      <c r="Y184" s="290" t="n"/>
      <c r="Z184" s="290" t="n"/>
      <c r="AA184" s="290" t="n"/>
      <c r="AB184" s="290" t="n"/>
      <c r="AC184" s="290" t="n"/>
      <c r="AD184" s="290" t="n"/>
      <c r="AE184" s="290" t="n"/>
      <c r="AF184" s="290" t="n"/>
      <c r="AG184" s="290" t="n"/>
      <c r="AH184" s="290" t="n"/>
      <c r="AI184" s="290" t="n"/>
      <c r="AJ184" s="290" t="n"/>
      <c r="AK184" s="290" t="n"/>
      <c r="AL184" s="290" t="n"/>
    </row>
    <row r="185">
      <c r="A185" s="206" t="n">
        <v>38</v>
      </c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0" t="n"/>
      <c r="X185" s="290" t="n"/>
      <c r="Y185" s="290" t="n"/>
      <c r="Z185" s="290" t="n"/>
      <c r="AA185" s="290" t="n"/>
      <c r="AB185" s="290" t="n"/>
      <c r="AC185" s="290" t="n"/>
      <c r="AD185" s="290" t="n"/>
      <c r="AE185" s="290" t="n"/>
      <c r="AF185" s="290" t="n"/>
      <c r="AG185" s="290" t="n"/>
      <c r="AH185" s="290" t="n"/>
      <c r="AI185" s="290" t="n"/>
      <c r="AJ185" s="290" t="n"/>
      <c r="AK185" s="290" t="n"/>
      <c r="AL185" s="290" t="n"/>
    </row>
    <row r="186">
      <c r="A186" s="206" t="n">
        <v>39</v>
      </c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90" t="n"/>
      <c r="X186" s="290" t="n"/>
      <c r="Y186" s="290" t="n"/>
      <c r="Z186" s="290" t="n"/>
      <c r="AA186" s="290" t="n"/>
      <c r="AB186" s="290" t="n"/>
      <c r="AC186" s="290" t="n"/>
      <c r="AD186" s="290" t="n"/>
      <c r="AE186" s="290" t="n"/>
      <c r="AF186" s="290" t="n"/>
      <c r="AG186" s="290" t="n"/>
      <c r="AH186" s="290" t="n"/>
      <c r="AI186" s="290" t="n"/>
      <c r="AJ186" s="290" t="n"/>
      <c r="AK186" s="290" t="n"/>
      <c r="AL186" s="290" t="n"/>
    </row>
    <row r="187">
      <c r="A187" s="279" t="n"/>
      <c r="B187" s="280" t="n"/>
      <c r="C187" s="280" t="n"/>
      <c r="D187" s="291" t="inlineStr">
        <is>
          <t>**财务未列部分需增列***</t>
        </is>
      </c>
      <c r="E187" s="292" t="n"/>
      <c r="F187" s="292" t="n"/>
      <c r="G187" s="292" t="n"/>
      <c r="H187" s="314" t="n"/>
      <c r="I187" s="282" t="n"/>
      <c r="J187" s="314" t="n"/>
      <c r="K187" s="283" t="n"/>
      <c r="L187" s="284" t="n"/>
      <c r="M187" s="314" t="n"/>
      <c r="N187" s="282" t="n"/>
      <c r="O187" s="282">
        <f>L187-M187</f>
        <v/>
      </c>
      <c r="P187" s="282">
        <f>K187-N187</f>
        <v/>
      </c>
      <c r="Q187" s="282">
        <f>M187+O187</f>
        <v/>
      </c>
      <c r="R187" s="282">
        <f>M187+N187+O187+P187</f>
        <v/>
      </c>
      <c r="S187" s="286">
        <f>SUM(T187:V187)</f>
        <v/>
      </c>
      <c r="T187" s="314" t="n"/>
      <c r="U187" s="314" t="n"/>
      <c r="V187" s="314" t="n"/>
      <c r="W187" s="314" t="n"/>
      <c r="X187" s="314" t="n"/>
      <c r="Y187" s="314" t="n"/>
      <c r="Z187" s="314" t="n"/>
      <c r="AA187" s="286" t="n"/>
      <c r="AB187" s="287" t="n"/>
      <c r="AC187" s="287" t="n"/>
      <c r="AD187" s="287" t="n"/>
      <c r="AE187" s="287" t="n"/>
      <c r="AF187" s="287" t="n"/>
      <c r="AG187" s="287" t="n"/>
      <c r="AH187" s="287" t="n"/>
      <c r="AI187" s="287" t="n"/>
      <c r="AJ187" s="287" t="n"/>
      <c r="AK187" s="287" t="n"/>
      <c r="AL187" s="294" t="n"/>
    </row>
    <row r="188">
      <c r="A188" s="315" t="n"/>
      <c r="B188" s="316" t="n"/>
      <c r="C188" s="316" t="n"/>
      <c r="D188" s="311" t="inlineStr">
        <is>
          <t>间接费小计：</t>
        </is>
      </c>
      <c r="E188" s="317" t="n"/>
      <c r="F188" s="317" t="n"/>
      <c r="G188" s="317" t="n"/>
      <c r="H188" s="298">
        <f>SUM(H147:H187)</f>
        <v/>
      </c>
      <c r="I188" s="298">
        <f>SUM(I147:I187)</f>
        <v/>
      </c>
      <c r="J188" s="298">
        <f>SUM(J147:J187)</f>
        <v/>
      </c>
      <c r="K188" s="298">
        <f>SUM(K147:K187)</f>
        <v/>
      </c>
      <c r="L188" s="313">
        <f>SUM(L147:L187)</f>
        <v/>
      </c>
      <c r="M188" s="313">
        <f>SUM(M147:M187)</f>
        <v/>
      </c>
      <c r="N188" s="313">
        <f>SUM(N147:N187)</f>
        <v/>
      </c>
      <c r="O188" s="313">
        <f>SUM(O147:O187)</f>
        <v/>
      </c>
      <c r="P188" s="313">
        <f>SUM(P147:P187)</f>
        <v/>
      </c>
      <c r="Q188" s="313">
        <f>SUM(Q147:Q187)</f>
        <v/>
      </c>
      <c r="R188" s="313">
        <f>SUM(R147:R187)</f>
        <v/>
      </c>
      <c r="S188" s="313">
        <f>SUM(S147:S187)</f>
        <v/>
      </c>
      <c r="T188" s="313" t="n"/>
      <c r="U188" s="313" t="n"/>
      <c r="V188" s="313" t="n"/>
      <c r="W188" s="313" t="n"/>
      <c r="X188" s="313" t="n"/>
      <c r="Y188" s="313" t="n"/>
      <c r="Z188" s="313">
        <f>SUM(Z147:Z187)</f>
        <v/>
      </c>
      <c r="AA188" s="313">
        <f>SUM(AA147:AA187)</f>
        <v/>
      </c>
      <c r="AB188" s="313">
        <f>SUM(AB147:AB187)</f>
        <v/>
      </c>
      <c r="AC188" s="313">
        <f>SUM(AC147:AC187)</f>
        <v/>
      </c>
      <c r="AD188" s="313">
        <f>SUM(AD147:AD187)</f>
        <v/>
      </c>
      <c r="AE188" s="313">
        <f>SUM(AE147:AE187)</f>
        <v/>
      </c>
      <c r="AF188" s="313">
        <f>SUM(AF147:AF187)</f>
        <v/>
      </c>
      <c r="AG188" s="313" t="n"/>
      <c r="AH188" s="313" t="n"/>
      <c r="AI188" s="313">
        <f>SUM(AI147:AI187)</f>
        <v/>
      </c>
      <c r="AJ188" s="313">
        <f>SUM(AJ147:AJ187)</f>
        <v/>
      </c>
      <c r="AK188" s="313">
        <f>SUM(AK147:AK187)</f>
        <v/>
      </c>
      <c r="AL188" s="294" t="n"/>
    </row>
    <row r="189">
      <c r="A189" s="279" t="n"/>
      <c r="B189" s="280" t="n"/>
      <c r="C189" s="280" t="n"/>
      <c r="D189" s="299" t="inlineStr">
        <is>
          <t>（七）安全费</t>
        </is>
      </c>
      <c r="E189" s="292" t="n"/>
      <c r="F189" s="292" t="n"/>
      <c r="G189" s="292" t="n"/>
      <c r="H189" s="282" t="n"/>
      <c r="I189" s="282" t="n"/>
      <c r="J189" s="285" t="n">
        <v>0</v>
      </c>
      <c r="K189" s="318" t="n"/>
      <c r="L189" s="284">
        <f>J189-N189-P189</f>
        <v/>
      </c>
      <c r="M189" s="282" t="n"/>
      <c r="N189" s="282" t="n"/>
      <c r="O189" s="282">
        <f>L189-M189</f>
        <v/>
      </c>
      <c r="P189" s="282">
        <f>K189-N189</f>
        <v/>
      </c>
      <c r="Q189" s="282">
        <f>M189+O189</f>
        <v/>
      </c>
      <c r="R189" s="282">
        <f>M189+N189+O189+P189</f>
        <v/>
      </c>
      <c r="S189" s="286">
        <f>SUM(T189:V189)</f>
        <v/>
      </c>
      <c r="T189" s="314" t="n"/>
      <c r="U189" s="314" t="n"/>
      <c r="V189" s="314" t="n"/>
      <c r="W189" s="314" t="n"/>
      <c r="X189" s="314" t="n"/>
      <c r="Y189" s="314" t="n"/>
      <c r="Z189" s="310" t="n"/>
      <c r="AA189" s="286" t="n"/>
      <c r="AB189" s="287" t="n"/>
      <c r="AC189" s="287" t="n"/>
      <c r="AD189" s="287" t="n"/>
      <c r="AE189" s="287" t="n"/>
      <c r="AF189" s="287" t="n"/>
      <c r="AG189" s="287" t="n"/>
      <c r="AH189" s="287" t="n"/>
      <c r="AI189" s="287" t="n"/>
      <c r="AJ189" s="287" t="n"/>
      <c r="AK189" s="287" t="n"/>
      <c r="AL189" s="294" t="n"/>
    </row>
    <row r="190">
      <c r="A190" s="206" t="n">
        <v>1</v>
      </c>
      <c r="B190" s="206" t="n"/>
      <c r="C190" s="207" t="n"/>
      <c r="D190" s="207" t="inlineStr">
        <is>
          <t>ZGD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0" t="n"/>
      <c r="X190" s="290" t="n"/>
      <c r="Y190" s="290" t="n"/>
      <c r="Z190" s="290" t="n"/>
      <c r="AA190" s="290" t="n"/>
      <c r="AB190" s="290" t="n"/>
      <c r="AC190" s="290" t="n"/>
      <c r="AD190" s="290" t="n"/>
      <c r="AE190" s="290" t="n"/>
      <c r="AF190" s="290" t="n"/>
      <c r="AG190" s="290" t="n"/>
      <c r="AH190" s="290" t="n"/>
      <c r="AI190" s="290" t="n"/>
      <c r="AJ190" s="290" t="n"/>
      <c r="AK190" s="290" t="n"/>
      <c r="AL190" s="290" t="n"/>
    </row>
    <row r="191">
      <c r="A191" s="206" t="n">
        <v>2</v>
      </c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0" t="n"/>
      <c r="X191" s="290" t="n"/>
      <c r="Y191" s="290" t="n"/>
      <c r="Z191" s="290" t="n"/>
      <c r="AA191" s="290" t="n"/>
      <c r="AB191" s="290" t="n"/>
      <c r="AC191" s="290" t="n"/>
      <c r="AD191" s="290" t="n"/>
      <c r="AE191" s="290" t="n"/>
      <c r="AF191" s="290" t="n"/>
      <c r="AG191" s="290" t="n"/>
      <c r="AH191" s="290" t="n"/>
      <c r="AI191" s="290" t="n"/>
      <c r="AJ191" s="290" t="n"/>
      <c r="AK191" s="290" t="n"/>
      <c r="AL191" s="290" t="n"/>
    </row>
    <row r="192">
      <c r="A192" s="206" t="n">
        <v>3</v>
      </c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0" t="n"/>
      <c r="X192" s="290" t="n"/>
      <c r="Y192" s="290" t="n"/>
      <c r="Z192" s="290" t="n"/>
      <c r="AA192" s="290" t="n"/>
      <c r="AB192" s="290" t="n"/>
      <c r="AC192" s="290" t="n"/>
      <c r="AD192" s="290" t="n"/>
      <c r="AE192" s="290" t="n"/>
      <c r="AF192" s="290" t="n"/>
      <c r="AG192" s="290" t="n"/>
      <c r="AH192" s="290" t="n"/>
      <c r="AI192" s="290" t="n"/>
      <c r="AJ192" s="290" t="n"/>
      <c r="AK192" s="290" t="n"/>
      <c r="AL192" s="290" t="n"/>
    </row>
    <row r="193">
      <c r="A193" s="206" t="n">
        <v>4</v>
      </c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0" t="n"/>
      <c r="X193" s="290" t="n"/>
      <c r="Y193" s="290" t="n"/>
      <c r="Z193" s="290" t="n"/>
      <c r="AA193" s="290" t="n"/>
      <c r="AB193" s="290" t="n"/>
      <c r="AC193" s="290" t="n"/>
      <c r="AD193" s="290" t="n"/>
      <c r="AE193" s="290" t="n"/>
      <c r="AF193" s="290" t="n"/>
      <c r="AG193" s="290" t="n"/>
      <c r="AH193" s="290" t="n"/>
      <c r="AI193" s="290" t="n"/>
      <c r="AJ193" s="290" t="n"/>
      <c r="AK193" s="290" t="n"/>
      <c r="AL193" s="290" t="n"/>
    </row>
    <row r="194">
      <c r="A194" s="206" t="n">
        <v>5</v>
      </c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90" t="n"/>
      <c r="X194" s="290" t="n"/>
      <c r="Y194" s="290" t="n"/>
      <c r="Z194" s="290" t="n"/>
      <c r="AA194" s="290" t="n"/>
      <c r="AB194" s="290" t="n"/>
      <c r="AC194" s="290" t="n"/>
      <c r="AD194" s="290" t="n"/>
      <c r="AE194" s="290" t="n"/>
      <c r="AF194" s="290" t="n"/>
      <c r="AG194" s="290" t="n"/>
      <c r="AH194" s="290" t="n"/>
      <c r="AI194" s="290" t="n"/>
      <c r="AJ194" s="290" t="n"/>
      <c r="AK194" s="290" t="n"/>
      <c r="AL194" s="290" t="n"/>
    </row>
    <row r="195">
      <c r="A195" s="315" t="n"/>
      <c r="B195" s="316" t="n"/>
      <c r="C195" s="316" t="n"/>
      <c r="D195" s="311" t="inlineStr">
        <is>
          <t>安全费小计：</t>
        </is>
      </c>
      <c r="E195" s="311" t="n"/>
      <c r="F195" s="311" t="n"/>
      <c r="G195" s="311" t="n"/>
      <c r="H195" s="298">
        <f>SUM(H189:H194)</f>
        <v/>
      </c>
      <c r="I195" s="298">
        <f>SUM(I189:I194)</f>
        <v/>
      </c>
      <c r="J195" s="298" t="n">
        <v>0</v>
      </c>
      <c r="K195" s="298" t="n">
        <v>0</v>
      </c>
      <c r="L195" s="319">
        <f>J195-K195</f>
        <v/>
      </c>
      <c r="M195" s="313">
        <f>SUM(M189:M194)</f>
        <v/>
      </c>
      <c r="N195" s="313">
        <f>SUM(N189:N194)</f>
        <v/>
      </c>
      <c r="O195" s="313">
        <f>SUM(O189:O194)</f>
        <v/>
      </c>
      <c r="P195" s="313">
        <f>SUM(P189:P194)</f>
        <v/>
      </c>
      <c r="Q195" s="313">
        <f>SUM(Q189:Q194)</f>
        <v/>
      </c>
      <c r="R195" s="313">
        <f>SUM(R189:R194)</f>
        <v/>
      </c>
      <c r="S195" s="313">
        <f>SUM(S189:S194)</f>
        <v/>
      </c>
      <c r="T195" s="320" t="n"/>
      <c r="U195" s="320" t="n"/>
      <c r="V195" s="320" t="n"/>
      <c r="W195" s="320" t="n"/>
      <c r="X195" s="320" t="n"/>
      <c r="Y195" s="320" t="n"/>
      <c r="Z195" s="320" t="n"/>
      <c r="AA195" s="320">
        <f>SUM(AA189:AA194)</f>
        <v/>
      </c>
      <c r="AB195" s="320">
        <f>SUM(AB189:AB194)</f>
        <v/>
      </c>
      <c r="AC195" s="320">
        <f>SUM(AC189:AC194)</f>
        <v/>
      </c>
      <c r="AD195" s="320">
        <f>SUM(AD189:AD194)</f>
        <v/>
      </c>
      <c r="AE195" s="320">
        <f>SUM(AE189:AE194)</f>
        <v/>
      </c>
      <c r="AF195" s="320">
        <f>SUM(AF189:AF194)</f>
        <v/>
      </c>
      <c r="AG195" s="320" t="n"/>
      <c r="AH195" s="320" t="n"/>
      <c r="AI195" s="320">
        <f>SUM(AI189:AI194)</f>
        <v/>
      </c>
      <c r="AJ195" s="320">
        <f>SUM(AJ189:AJ194)</f>
        <v/>
      </c>
      <c r="AK195" s="320">
        <f>SUM(AK189:AK194)</f>
        <v/>
      </c>
      <c r="AL195" s="321" t="n"/>
    </row>
    <row r="196">
      <c r="A196" s="315" t="n"/>
      <c r="B196" s="316" t="n"/>
      <c r="C196" s="316" t="n"/>
      <c r="D196" s="311" t="inlineStr">
        <is>
          <t>三、成本合计：</t>
        </is>
      </c>
      <c r="E196" s="317" t="n"/>
      <c r="F196" s="317" t="n"/>
      <c r="G196" s="317" t="n"/>
      <c r="H196" s="298">
        <f>H34+H65+H121+H138+H146+H188+H195</f>
        <v/>
      </c>
      <c r="I196" s="298">
        <f>I34+I65+I121+I138+I146+I188+I195</f>
        <v/>
      </c>
      <c r="J196" s="298">
        <f>J34+J65+J121+J138+J146+J188+J195</f>
        <v/>
      </c>
      <c r="K196" s="298">
        <f>K34+K65+K121+K138+K146+K188+K195</f>
        <v/>
      </c>
      <c r="L196" s="313">
        <f>L34+L65+L121+L138+L146+L188+L195</f>
        <v/>
      </c>
      <c r="M196" s="320">
        <f>M34+M65+M121+M138+M146+M188+M195</f>
        <v/>
      </c>
      <c r="N196" s="320">
        <f>N34+N65+N121+N138+N146+N188+N195</f>
        <v/>
      </c>
      <c r="O196" s="320">
        <f>O34+O65+O121+O138+O146+O188+O195</f>
        <v/>
      </c>
      <c r="P196" s="320">
        <f>P34+P65+P121+P138+P146+P188+P195</f>
        <v/>
      </c>
      <c r="Q196" s="320">
        <f>Q34+Q65+Q121+Q138+Q146+Q188+Q195</f>
        <v/>
      </c>
      <c r="R196" s="320">
        <f>R34+R65+R121+R138+R146+R188+R195</f>
        <v/>
      </c>
      <c r="S196" s="320">
        <f>S34+S65+S121+S138+S146+S188+S195</f>
        <v/>
      </c>
      <c r="T196" s="320" t="n"/>
      <c r="U196" s="320" t="n"/>
      <c r="V196" s="320" t="n"/>
      <c r="W196" s="320" t="n"/>
      <c r="X196" s="320" t="n"/>
      <c r="Y196" s="320" t="n"/>
      <c r="Z196" s="320">
        <f>Z34+Z65+Z121+Z138+Z146+Z188+Z195</f>
        <v/>
      </c>
      <c r="AA196" s="320">
        <f>AA34+AA65+AA121+AA138+AA146+AA188+AA195</f>
        <v/>
      </c>
      <c r="AB196" s="320">
        <f>AB34+AB65+AB121+AB138+AB146+AB188+AB195</f>
        <v/>
      </c>
      <c r="AC196" s="320">
        <f>AC34+AC65+AC121+AC138+AC146+AC188+AC195</f>
        <v/>
      </c>
      <c r="AD196" s="320">
        <f>AD34+AD65+AD121+AD138+AD146+AD188+AD195</f>
        <v/>
      </c>
      <c r="AE196" s="320">
        <f>AE34+AE65+AE121+AE138+AE146+AE188+AE195</f>
        <v/>
      </c>
      <c r="AF196" s="320">
        <f>AF34+AF65+AF121+AF138+AF146+AF188+AF195</f>
        <v/>
      </c>
      <c r="AG196" s="320" t="n"/>
      <c r="AH196" s="320" t="n"/>
      <c r="AI196" s="320">
        <f>AI34+AI65+AI121+AI138+AI146+AI188+AI195</f>
        <v/>
      </c>
      <c r="AJ196" s="320">
        <f>AJ34+AJ65+AJ121+AJ138+AJ146+AJ188+AJ195</f>
        <v/>
      </c>
      <c r="AK196" s="320">
        <f>AK34+AK65+AK121+AK138+AK146+AK188+AK195</f>
        <v/>
      </c>
      <c r="AL196" s="321" t="n"/>
    </row>
    <row r="197">
      <c r="A197" s="315" t="n"/>
      <c r="B197" s="316" t="n"/>
      <c r="C197" s="316" t="n"/>
      <c r="D197" s="311" t="inlineStr">
        <is>
          <t>四、计提保修金</t>
        </is>
      </c>
      <c r="E197" s="317" t="inlineStr">
        <is>
          <t>（在建：房建0.6%，其它0.4%；在保修期间的按0.3~0.5%自行确定;保修期结束为0）</t>
        </is>
      </c>
      <c r="F197" s="317" t="n"/>
      <c r="G197" s="317" t="n"/>
      <c r="H197" s="298" t="n"/>
      <c r="I197" s="298" t="n"/>
      <c r="J197" s="298">
        <f>H197+I197</f>
        <v/>
      </c>
      <c r="K197" s="298" t="n"/>
      <c r="L197" s="313">
        <f>J197-K197</f>
        <v/>
      </c>
      <c r="M197" s="320" t="n"/>
      <c r="N197" s="320" t="n"/>
      <c r="O197" s="320">
        <f>L197-M197</f>
        <v/>
      </c>
      <c r="P197" s="320">
        <f>K197-N197</f>
        <v/>
      </c>
      <c r="Q197" s="320">
        <f>M197+O197</f>
        <v/>
      </c>
      <c r="R197" s="320">
        <f>M197+N197+O197+P197</f>
        <v/>
      </c>
      <c r="S197" s="320">
        <f>SUM(T197:V197)</f>
        <v/>
      </c>
      <c r="T197" s="320" t="n"/>
      <c r="U197" s="320" t="n"/>
      <c r="V197" s="320" t="n"/>
      <c r="W197" s="320" t="n"/>
      <c r="X197" s="320" t="n"/>
      <c r="Y197" s="320" t="n"/>
      <c r="Z197" s="320" t="n"/>
      <c r="AA197" s="320">
        <f>Q69-S69</f>
        <v/>
      </c>
      <c r="AB197" s="320" t="n"/>
      <c r="AC197" s="320" t="n"/>
      <c r="AD197" s="320" t="n"/>
      <c r="AE197" s="320" t="n"/>
      <c r="AF197" s="320" t="n"/>
      <c r="AG197" s="320" t="n"/>
      <c r="AH197" s="320" t="n"/>
      <c r="AI197" s="320" t="n"/>
      <c r="AJ197" s="320" t="n"/>
      <c r="AK197" s="320" t="n"/>
      <c r="AL197" s="321" t="n"/>
    </row>
    <row r="198">
      <c r="A198" s="315" t="n"/>
      <c r="B198" s="316" t="n"/>
      <c r="C198" s="316" t="n"/>
      <c r="D198" s="311" t="inlineStr">
        <is>
          <t>五、过程节点奖金</t>
        </is>
      </c>
      <c r="E198" s="317" t="n"/>
      <c r="F198" s="317" t="n"/>
      <c r="G198" s="317" t="n"/>
      <c r="H198" s="298" t="n"/>
      <c r="I198" s="298" t="n"/>
      <c r="J198" s="298">
        <f>H198+I198</f>
        <v/>
      </c>
      <c r="K198" s="298" t="n"/>
      <c r="L198" s="313">
        <f>J198-K198</f>
        <v/>
      </c>
      <c r="M198" s="320" t="n"/>
      <c r="N198" s="320" t="n"/>
      <c r="O198" s="320">
        <f>L198-M198</f>
        <v/>
      </c>
      <c r="P198" s="320">
        <f>K198-N198</f>
        <v/>
      </c>
      <c r="Q198" s="320">
        <f>M198+O198</f>
        <v/>
      </c>
      <c r="R198" s="320">
        <f>M198+N198+O198+P198</f>
        <v/>
      </c>
      <c r="S198" s="320">
        <f>SUM(T198:V198)</f>
        <v/>
      </c>
      <c r="T198" s="320" t="n"/>
      <c r="U198" s="320" t="n"/>
      <c r="V198" s="320" t="n"/>
      <c r="W198" s="320" t="n"/>
      <c r="X198" s="320" t="n"/>
      <c r="Y198" s="320" t="n"/>
      <c r="Z198" s="320" t="n"/>
      <c r="AA198" s="320" t="n"/>
      <c r="AB198" s="320" t="n"/>
      <c r="AC198" s="320" t="n"/>
      <c r="AD198" s="320" t="n"/>
      <c r="AE198" s="320" t="n"/>
      <c r="AF198" s="320" t="n"/>
      <c r="AG198" s="320" t="n"/>
      <c r="AH198" s="320" t="n"/>
      <c r="AI198" s="320" t="n"/>
      <c r="AJ198" s="320" t="n"/>
      <c r="AK198" s="320" t="n"/>
      <c r="AL198" s="321" t="n"/>
    </row>
    <row r="199">
      <c r="A199" s="315" t="n"/>
      <c r="B199" s="316" t="n"/>
      <c r="C199" s="316" t="n"/>
      <c r="D199" s="311" t="inlineStr">
        <is>
          <t>六、资金占用费用</t>
        </is>
      </c>
      <c r="E199" s="317" t="n"/>
      <c r="F199" s="317" t="n"/>
      <c r="G199" s="317" t="n"/>
      <c r="H199" s="298" t="n"/>
      <c r="I199" s="298" t="n"/>
      <c r="J199" s="298">
        <f>H199+I199</f>
        <v/>
      </c>
      <c r="K199" s="298" t="n"/>
      <c r="L199" s="313">
        <f>J199-K199</f>
        <v/>
      </c>
      <c r="M199" s="322" t="n">
        <v>6780777.21</v>
      </c>
      <c r="N199" s="320" t="n"/>
      <c r="O199" s="320">
        <f>L199-M199</f>
        <v/>
      </c>
      <c r="P199" s="320">
        <f>K199-N199</f>
        <v/>
      </c>
      <c r="Q199" s="320">
        <f>M199+O199</f>
        <v/>
      </c>
      <c r="R199" s="320">
        <f>M199+N199+O199+P199</f>
        <v/>
      </c>
      <c r="S199" s="320">
        <f>SUM(T199:V199)</f>
        <v/>
      </c>
      <c r="T199" s="320" t="n"/>
      <c r="U199" s="320" t="n"/>
      <c r="V199" s="320" t="n"/>
      <c r="W199" s="320" t="n"/>
      <c r="X199" s="320" t="n"/>
      <c r="Y199" s="320" t="n"/>
      <c r="Z199" s="320" t="n"/>
      <c r="AA199" s="320" t="n"/>
      <c r="AB199" s="320" t="n"/>
      <c r="AC199" s="320" t="n"/>
      <c r="AD199" s="320" t="n"/>
      <c r="AE199" s="320" t="n"/>
      <c r="AF199" s="320" t="n"/>
      <c r="AG199" s="320" t="n"/>
      <c r="AH199" s="320" t="n"/>
      <c r="AI199" s="320" t="n"/>
      <c r="AJ199" s="320" t="n"/>
      <c r="AK199" s="320" t="n"/>
      <c r="AL199" s="321" t="n"/>
    </row>
    <row r="200">
      <c r="A200" s="315" t="n"/>
      <c r="B200" s="316" t="n"/>
      <c r="C200" s="316" t="n"/>
      <c r="D200" s="311" t="inlineStr">
        <is>
          <t>七、局投资收益（局投资项目选填）</t>
        </is>
      </c>
      <c r="E200" s="317" t="n"/>
      <c r="F200" s="317" t="n"/>
      <c r="G200" s="317" t="n"/>
      <c r="H200" s="298" t="n"/>
      <c r="I200" s="298" t="n"/>
      <c r="J200" s="298">
        <f>H200+I200</f>
        <v/>
      </c>
      <c r="K200" s="298" t="n"/>
      <c r="L200" s="313">
        <f>J200-K200</f>
        <v/>
      </c>
      <c r="M200" s="320" t="n"/>
      <c r="N200" s="320" t="n"/>
      <c r="O200" s="320">
        <f>L200-M200</f>
        <v/>
      </c>
      <c r="P200" s="320">
        <f>K200-N200</f>
        <v/>
      </c>
      <c r="Q200" s="320">
        <f>M200+O200</f>
        <v/>
      </c>
      <c r="R200" s="320">
        <f>M200+N200+O200+P200</f>
        <v/>
      </c>
      <c r="S200" s="320">
        <f>SUM(T200:V200)</f>
        <v/>
      </c>
      <c r="T200" s="320" t="n"/>
      <c r="U200" s="320" t="n"/>
      <c r="V200" s="320" t="n"/>
      <c r="W200" s="320" t="n"/>
      <c r="X200" s="320" t="n"/>
      <c r="Y200" s="320" t="n"/>
      <c r="Z200" s="320" t="n"/>
      <c r="AA200" s="320" t="n"/>
      <c r="AB200" s="320" t="n"/>
      <c r="AC200" s="320" t="n"/>
      <c r="AD200" s="320" t="n"/>
      <c r="AE200" s="320" t="n"/>
      <c r="AF200" s="320" t="n"/>
      <c r="AG200" s="320" t="n"/>
      <c r="AH200" s="320" t="n"/>
      <c r="AI200" s="320" t="n"/>
      <c r="AJ200" s="320" t="n"/>
      <c r="AK200" s="320" t="n"/>
      <c r="AL200" s="321" t="n"/>
    </row>
    <row r="201">
      <c r="A201" s="315" t="n"/>
      <c r="B201" s="316" t="n"/>
      <c r="C201" s="316" t="n"/>
      <c r="D201" s="311" t="inlineStr">
        <is>
          <t>八、研发费用</t>
        </is>
      </c>
      <c r="E201" s="317" t="n"/>
      <c r="F201" s="317" t="n"/>
      <c r="G201" s="317" t="n"/>
      <c r="H201" s="298" t="n"/>
      <c r="I201" s="298" t="n"/>
      <c r="J201" s="298">
        <f>H201+I201</f>
        <v/>
      </c>
      <c r="K201" s="298" t="n"/>
      <c r="L201" s="313">
        <f>J201-K201</f>
        <v/>
      </c>
      <c r="M201" s="320">
        <f>SUM(M202:M206)</f>
        <v/>
      </c>
      <c r="N201" s="320">
        <f>SUM(N202:N206)</f>
        <v/>
      </c>
      <c r="O201" s="320">
        <f>SUM(O202:O206)</f>
        <v/>
      </c>
      <c r="P201" s="320">
        <f>SUM(P202:P206)</f>
        <v/>
      </c>
      <c r="Q201" s="320">
        <f>SUM(Q202:Q206)</f>
        <v/>
      </c>
      <c r="R201" s="320">
        <f>SUM(R202:R206)</f>
        <v/>
      </c>
      <c r="S201" s="320">
        <f>SUM(S202:S206)</f>
        <v/>
      </c>
      <c r="T201" s="320">
        <f>SUM(T202:T206)</f>
        <v/>
      </c>
      <c r="U201" s="320">
        <f>SUM(U202:U206)</f>
        <v/>
      </c>
      <c r="V201" s="320">
        <f>SUM(V202:V206)</f>
        <v/>
      </c>
      <c r="W201" s="320">
        <f>SUM(W202:W206)</f>
        <v/>
      </c>
      <c r="X201" s="320">
        <f>SUM(X202:X206)</f>
        <v/>
      </c>
      <c r="Y201" s="320">
        <f>SUM(Y202:Y206)</f>
        <v/>
      </c>
      <c r="Z201" s="320">
        <f>SUM(Z202:Z206)</f>
        <v/>
      </c>
      <c r="AA201" s="320">
        <f>SUM(AA202:AA206)</f>
        <v/>
      </c>
      <c r="AB201" s="320">
        <f>SUM(AB202:AB206)</f>
        <v/>
      </c>
      <c r="AC201" s="320">
        <f>SUM(AC202:AC206)</f>
        <v/>
      </c>
      <c r="AD201" s="320">
        <f>SUM(AD202:AD206)</f>
        <v/>
      </c>
      <c r="AE201" s="320">
        <f>SUM(AE202:AE206)</f>
        <v/>
      </c>
      <c r="AF201" s="320">
        <f>SUM(AF202:AF206)</f>
        <v/>
      </c>
      <c r="AG201" s="320">
        <f>SUM(AG202:AG206)</f>
        <v/>
      </c>
      <c r="AH201" s="320">
        <f>SUM(AH202:AH206)</f>
        <v/>
      </c>
      <c r="AI201" s="320">
        <f>SUM(AI202:AI206)</f>
        <v/>
      </c>
      <c r="AJ201" s="320">
        <f>SUM(AJ202:AJ206)</f>
        <v/>
      </c>
      <c r="AK201" s="320">
        <f>SUM(AK202:AK206)</f>
        <v/>
      </c>
      <c r="AL201" s="321" t="n"/>
    </row>
    <row r="202">
      <c r="A202" s="206" t="n">
        <v>1</v>
      </c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  <c r="W202" s="290" t="n"/>
      <c r="X202" s="290" t="n"/>
      <c r="Y202" s="290" t="n"/>
      <c r="Z202" s="290" t="n"/>
      <c r="AA202" s="290" t="n"/>
      <c r="AB202" s="290" t="n"/>
      <c r="AC202" s="290" t="n"/>
      <c r="AD202" s="290" t="n"/>
      <c r="AE202" s="290" t="n"/>
      <c r="AF202" s="290" t="n"/>
      <c r="AG202" s="290" t="n"/>
      <c r="AH202" s="290" t="n"/>
      <c r="AI202" s="290" t="n"/>
      <c r="AJ202" s="290" t="n"/>
      <c r="AK202" s="290" t="n"/>
      <c r="AL202" s="290" t="n"/>
    </row>
    <row r="203">
      <c r="A203" s="206" t="n">
        <v>2</v>
      </c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  <c r="W203" s="290" t="n"/>
      <c r="X203" s="290" t="n"/>
      <c r="Y203" s="290" t="n"/>
      <c r="Z203" s="290" t="n"/>
      <c r="AA203" s="290" t="n"/>
      <c r="AB203" s="290" t="n"/>
      <c r="AC203" s="290" t="n"/>
      <c r="AD203" s="290" t="n"/>
      <c r="AE203" s="290" t="n"/>
      <c r="AF203" s="290" t="n"/>
      <c r="AG203" s="290" t="n"/>
      <c r="AH203" s="290" t="n"/>
      <c r="AI203" s="290" t="n"/>
      <c r="AJ203" s="290" t="n"/>
      <c r="AK203" s="290" t="n"/>
      <c r="AL203" s="290" t="n"/>
    </row>
    <row r="204">
      <c r="A204" s="206" t="n">
        <v>3</v>
      </c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90" t="n"/>
      <c r="X204" s="290" t="n"/>
      <c r="Y204" s="290" t="n"/>
      <c r="Z204" s="290" t="n"/>
      <c r="AA204" s="290" t="n"/>
      <c r="AB204" s="290" t="n"/>
      <c r="AC204" s="290" t="n"/>
      <c r="AD204" s="290" t="n"/>
      <c r="AE204" s="290" t="n"/>
      <c r="AF204" s="290" t="n"/>
      <c r="AG204" s="290" t="n"/>
      <c r="AH204" s="290" t="n"/>
      <c r="AI204" s="290" t="n"/>
      <c r="AJ204" s="290" t="n"/>
      <c r="AK204" s="290" t="n"/>
      <c r="AL204" s="290" t="n"/>
    </row>
    <row r="205">
      <c r="A205" s="206" t="n">
        <v>4</v>
      </c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90" t="n"/>
      <c r="X205" s="290" t="n"/>
      <c r="Y205" s="290" t="n"/>
      <c r="Z205" s="290" t="n"/>
      <c r="AA205" s="290" t="n"/>
      <c r="AB205" s="290" t="n"/>
      <c r="AC205" s="290" t="n"/>
      <c r="AD205" s="290" t="n"/>
      <c r="AE205" s="290" t="n"/>
      <c r="AF205" s="290" t="n"/>
      <c r="AG205" s="290" t="n"/>
      <c r="AH205" s="290" t="n"/>
      <c r="AI205" s="290" t="n"/>
      <c r="AJ205" s="290" t="n"/>
      <c r="AK205" s="290" t="n"/>
      <c r="AL205" s="290" t="n"/>
    </row>
    <row r="206">
      <c r="A206" s="206" t="n">
        <v>5</v>
      </c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90" t="n"/>
      <c r="X206" s="290" t="n"/>
      <c r="Y206" s="290" t="n"/>
      <c r="Z206" s="290" t="n"/>
      <c r="AA206" s="290" t="n"/>
      <c r="AB206" s="290" t="n"/>
      <c r="AC206" s="290" t="n"/>
      <c r="AD206" s="290" t="n"/>
      <c r="AE206" s="290" t="n"/>
      <c r="AF206" s="290" t="n"/>
      <c r="AG206" s="290" t="n"/>
      <c r="AH206" s="290" t="n"/>
      <c r="AI206" s="290" t="n"/>
      <c r="AJ206" s="290" t="n"/>
      <c r="AK206" s="290" t="n"/>
      <c r="AL206" s="290" t="n"/>
    </row>
    <row r="207">
      <c r="A207" s="295" t="n"/>
      <c r="B207" s="296" t="n"/>
      <c r="C207" s="296" t="n"/>
      <c r="D207" s="311" t="inlineStr">
        <is>
          <t>九、成本及费用合计（三+四+五+六+七）</t>
        </is>
      </c>
      <c r="E207" s="312" t="n"/>
      <c r="F207" s="312" t="n"/>
      <c r="G207" s="312" t="n"/>
      <c r="H207" s="298">
        <f>H196+H197+H198+H199+H200+H201</f>
        <v/>
      </c>
      <c r="I207" s="298">
        <f>I196+I197+I198+I199+I200+I201</f>
        <v/>
      </c>
      <c r="J207" s="323">
        <f>J196+J197+J198+J199+J200+J201</f>
        <v/>
      </c>
      <c r="K207" s="298">
        <f>K196+K197+K198+K199+K200+K201</f>
        <v/>
      </c>
      <c r="L207" s="324">
        <f>L196+L197+L198+L199+L200+L201</f>
        <v/>
      </c>
      <c r="M207" s="324">
        <f>M196+M197+M198+M199+M200+M201</f>
        <v/>
      </c>
      <c r="N207" s="324">
        <f>N196+N197+N198+N199+N200+N201</f>
        <v/>
      </c>
      <c r="O207" s="324">
        <f>O196+O197+O198+O199+O200+O201</f>
        <v/>
      </c>
      <c r="P207" s="324">
        <f>P196+P197+P198+P199+P200+P201</f>
        <v/>
      </c>
      <c r="Q207" s="324">
        <f>Q196+Q197+Q198+Q199+Q200+Q201</f>
        <v/>
      </c>
      <c r="R207" s="324">
        <f>R196+R197+R198+R199+R200+R201</f>
        <v/>
      </c>
      <c r="S207" s="320">
        <f>S196+S197+S198+S199+S200+S201</f>
        <v/>
      </c>
      <c r="T207" s="320" t="n"/>
      <c r="U207" s="320" t="n"/>
      <c r="V207" s="320" t="n"/>
      <c r="W207" s="320" t="n"/>
      <c r="X207" s="320" t="n"/>
      <c r="Y207" s="320" t="n"/>
      <c r="Z207" s="320">
        <f>Z196+Z197+Z198+Z199+Z200+Z201</f>
        <v/>
      </c>
      <c r="AA207" s="320">
        <f>AA196+AA197+AA198+AA199+AA200+AA201</f>
        <v/>
      </c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6" t="n"/>
      <c r="AL207" s="327" t="n"/>
    </row>
    <row r="208">
      <c r="A208" s="295" t="n"/>
      <c r="B208" s="296" t="n"/>
      <c r="C208" s="296" t="n"/>
      <c r="D208" s="311" t="inlineStr">
        <is>
          <t>十、增值税实际税负（按财务数据）</t>
        </is>
      </c>
      <c r="E208" s="312" t="inlineStr">
        <is>
          <t>根据财务账面实际已缴纳增值税额+尚需缴纳的增值税额</t>
        </is>
      </c>
      <c r="F208" s="312" t="n"/>
      <c r="G208" s="312" t="n"/>
      <c r="H208" s="298" t="n"/>
      <c r="I208" s="298" t="n"/>
      <c r="J208" s="323">
        <f>H78+I78</f>
        <v/>
      </c>
      <c r="K208" s="298" t="inlineStr">
        <is>
          <t>/</t>
        </is>
      </c>
      <c r="L208" s="324" t="inlineStr">
        <is>
          <t>/</t>
        </is>
      </c>
      <c r="M208" s="324" t="n"/>
      <c r="N208" s="324">
        <f>N6-N77</f>
        <v/>
      </c>
      <c r="O208" s="324" t="n"/>
      <c r="P208" s="324" t="n"/>
      <c r="Q208" s="324" t="inlineStr">
        <is>
          <t>/</t>
        </is>
      </c>
      <c r="R208" s="324">
        <f>N78+P78</f>
        <v/>
      </c>
      <c r="S208" s="320" t="n"/>
      <c r="T208" s="320" t="n"/>
      <c r="U208" s="320" t="n"/>
      <c r="V208" s="320" t="n"/>
      <c r="W208" s="320" t="n"/>
      <c r="X208" s="320" t="n"/>
      <c r="Y208" s="320" t="n"/>
      <c r="Z208" s="320" t="n"/>
      <c r="AA208" s="320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6" t="n"/>
      <c r="AL208" s="327" t="n"/>
    </row>
    <row r="209">
      <c r="A209" s="295" t="n"/>
      <c r="B209" s="296" t="n"/>
      <c r="C209" s="296" t="n"/>
      <c r="D209" s="311" t="inlineStr">
        <is>
          <t>十一、税金及附加（按财务数据）</t>
        </is>
      </c>
      <c r="E209" s="312" t="inlineStr">
        <is>
          <t>根据财务账面实际已缴纳税金及附加+尚需缴纳的税金及附加</t>
        </is>
      </c>
      <c r="F209" s="312" t="n"/>
      <c r="G209" s="312" t="n"/>
      <c r="H209" s="298" t="n"/>
      <c r="I209" s="298" t="n"/>
      <c r="J209" s="323">
        <f>H79+I79</f>
        <v/>
      </c>
      <c r="K209" s="298" t="n"/>
      <c r="L209" s="324">
        <f>J79</f>
        <v/>
      </c>
      <c r="M209" s="328" t="n">
        <v>349670.26</v>
      </c>
      <c r="N209" s="324" t="n"/>
      <c r="O209" s="324">
        <f>L79-M79</f>
        <v/>
      </c>
      <c r="P209" s="324" t="n"/>
      <c r="Q209" s="324">
        <f>M79+O79</f>
        <v/>
      </c>
      <c r="R209" s="324">
        <f>Q79</f>
        <v/>
      </c>
      <c r="S209" s="320" t="n"/>
      <c r="T209" s="320" t="n"/>
      <c r="U209" s="320" t="n"/>
      <c r="V209" s="320" t="n"/>
      <c r="W209" s="320" t="n"/>
      <c r="X209" s="320" t="n"/>
      <c r="Y209" s="320" t="n"/>
      <c r="Z209" s="320" t="n"/>
      <c r="AA209" s="320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6" t="n"/>
      <c r="AL209" s="327" t="n"/>
    </row>
    <row r="210">
      <c r="A210" s="295" t="n"/>
      <c r="B210" s="296" t="n"/>
      <c r="C210" s="296" t="n"/>
      <c r="D210" s="311" t="inlineStr">
        <is>
          <t>十二、利润</t>
        </is>
      </c>
      <c r="E210" s="312" t="n"/>
      <c r="F210" s="312" t="n"/>
      <c r="G210" s="312" t="n"/>
      <c r="H210" s="298" t="n"/>
      <c r="I210" s="298" t="n"/>
      <c r="J210" s="323">
        <f>J6-J207-J208-J209</f>
        <v/>
      </c>
      <c r="K210" s="298" t="n"/>
      <c r="L210" s="324" t="n"/>
      <c r="M210" s="324" t="n"/>
      <c r="N210" s="324" t="n"/>
      <c r="O210" s="324" t="n"/>
      <c r="P210" s="324" t="n"/>
      <c r="Q210" s="324" t="n"/>
      <c r="R210" s="324" t="n"/>
      <c r="S210" s="320" t="n"/>
      <c r="T210" s="320" t="n"/>
      <c r="U210" s="320" t="n"/>
      <c r="V210" s="320" t="n"/>
      <c r="W210" s="320" t="n"/>
      <c r="X210" s="320" t="n"/>
      <c r="Y210" s="320" t="n"/>
      <c r="Z210" s="320" t="n"/>
      <c r="AA210" s="320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6" t="n"/>
      <c r="AL210" s="327" t="n"/>
    </row>
    <row r="211">
      <c r="A211" s="329" t="n"/>
      <c r="B211" s="330" t="n"/>
      <c r="C211" s="330" t="n"/>
      <c r="D211" s="331" t="inlineStr">
        <is>
          <t>十三、利润率</t>
        </is>
      </c>
      <c r="E211" s="332" t="n"/>
      <c r="F211" s="332" t="n"/>
      <c r="G211" s="332" t="n"/>
      <c r="H211" s="333" t="n"/>
      <c r="I211" s="333" t="n"/>
      <c r="J211" s="333">
        <f>J210/J6</f>
        <v/>
      </c>
      <c r="K211" s="333" t="n"/>
      <c r="L211" s="334">
        <f>L210/L6</f>
        <v/>
      </c>
      <c r="M211" s="334">
        <f>M210/M6</f>
        <v/>
      </c>
      <c r="N211" s="334" t="n"/>
      <c r="O211" s="334" t="n"/>
      <c r="P211" s="334" t="n"/>
      <c r="Q211" s="334">
        <f>Q210/Q6</f>
        <v/>
      </c>
      <c r="R211" s="334">
        <f>R210/R6</f>
        <v/>
      </c>
      <c r="S211" s="335" t="n"/>
      <c r="T211" s="335" t="n"/>
      <c r="U211" s="335" t="n"/>
      <c r="V211" s="335" t="n"/>
      <c r="W211" s="335" t="n"/>
      <c r="X211" s="335" t="n"/>
      <c r="Y211" s="335" t="n"/>
      <c r="Z211" s="335" t="n"/>
      <c r="AA211" s="335" t="n"/>
      <c r="AB211" s="336" t="n"/>
      <c r="AC211" s="336" t="n"/>
      <c r="AD211" s="336" t="n"/>
      <c r="AE211" s="336" t="n"/>
      <c r="AF211" s="336" t="n"/>
      <c r="AG211" s="336" t="n"/>
      <c r="AH211" s="336" t="n"/>
      <c r="AI211" s="336" t="n"/>
      <c r="AJ211" s="336" t="n"/>
      <c r="AK211" s="337" t="n"/>
      <c r="AL211" s="338" t="n"/>
    </row>
    <row r="212">
      <c r="A212" s="111" t="n"/>
      <c r="B212" s="111" t="n"/>
      <c r="C212" s="111" t="n"/>
      <c r="D212" s="112" t="n"/>
      <c r="E212" s="113" t="n"/>
      <c r="F212" s="113" t="n"/>
      <c r="G212" s="113" t="n"/>
      <c r="H212" s="248" t="n"/>
      <c r="I212" s="248" t="n"/>
      <c r="J212" s="249" t="inlineStr">
        <is>
          <t>含税利润率</t>
        </is>
      </c>
      <c r="K212" s="250" t="n"/>
      <c r="L212" s="251" t="inlineStr">
        <is>
          <t>不含税利润率</t>
        </is>
      </c>
      <c r="M212" s="252" t="n"/>
      <c r="N212" s="252" t="n"/>
      <c r="O212" s="252" t="n"/>
      <c r="P212" s="252" t="n"/>
      <c r="Q212" s="252" t="n"/>
      <c r="R212" s="252" t="n"/>
      <c r="S212" s="252" t="n"/>
      <c r="T212" s="252" t="n"/>
      <c r="U212" s="252" t="n"/>
      <c r="V212" s="252" t="n"/>
      <c r="W212" s="252" t="n"/>
      <c r="X212" s="252" t="n"/>
      <c r="Y212" s="252" t="n"/>
      <c r="Z212" s="253" t="n"/>
      <c r="AA212" s="162" t="n"/>
      <c r="AB212" s="254" t="n"/>
      <c r="AC212" s="254" t="n"/>
      <c r="AD212" s="254" t="n"/>
      <c r="AE212" s="254" t="n"/>
      <c r="AF212" s="254" t="n"/>
      <c r="AG212" s="254" t="n"/>
      <c r="AH212" s="254" t="n"/>
      <c r="AI212" s="254" t="n"/>
      <c r="AJ212" s="254" t="n"/>
      <c r="AK212" s="254" t="n"/>
      <c r="AL212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2026-04-23T01:39:52Z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