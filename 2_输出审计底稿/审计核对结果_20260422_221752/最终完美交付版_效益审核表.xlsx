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282" t="n"/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46</v>
      </c>
      <c r="B118" s="280" t="n"/>
      <c r="C118" s="280" t="n"/>
      <c r="D118" s="299" t="inlineStr">
        <is>
          <t>材料调出（注：负数填报）</t>
        </is>
      </c>
      <c r="E118" s="304" t="n"/>
      <c r="F118" s="304" t="n"/>
      <c r="G118" s="304" t="n"/>
      <c r="H118" s="305" t="n"/>
      <c r="I118" s="305" t="n"/>
      <c r="J118" s="282" t="n"/>
      <c r="K118" s="283" t="n"/>
      <c r="L118" s="284" t="n"/>
      <c r="M118" s="306" t="n">
        <v>-8003517.42</v>
      </c>
      <c r="N118" s="305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5" t="n"/>
      <c r="U118" s="305" t="n"/>
      <c r="V118" s="305" t="n"/>
      <c r="W118" s="305" t="n"/>
      <c r="X118" s="305" t="n"/>
      <c r="Y118" s="305" t="n"/>
      <c r="Z118" s="282">
        <f>SUM(AA31:AJ31)</f>
        <v/>
      </c>
      <c r="AA118" s="305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287">
        <f>AB31/1.17*0.17+AC31/1.16*0.16+AD31/1.11*0.11+AE31/1.1*0.1+AF31/1.09*0.09+AI31/1.03*0.03</f>
        <v/>
      </c>
      <c r="AL118" s="308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4" t="n"/>
      <c r="F119" s="304" t="n"/>
      <c r="G119" s="304" t="n"/>
      <c r="H119" s="305" t="n"/>
      <c r="I119" s="305" t="n"/>
      <c r="J119" s="282" t="n"/>
      <c r="K119" s="283" t="n"/>
      <c r="L119" s="284" t="n"/>
      <c r="M119" s="305" t="n"/>
      <c r="N119" s="305" t="n"/>
      <c r="O119" s="282" t="n"/>
      <c r="P119" s="282" t="n"/>
      <c r="Q119" s="282" t="n"/>
      <c r="R119" s="282" t="n"/>
      <c r="S119" s="286" t="n"/>
      <c r="T119" s="305" t="n"/>
      <c r="U119" s="305" t="n"/>
      <c r="V119" s="305" t="n"/>
      <c r="W119" s="305" t="n"/>
      <c r="X119" s="305" t="n"/>
      <c r="Y119" s="305" t="n"/>
      <c r="Z119" s="282" t="n"/>
      <c r="AA119" s="305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287" t="n"/>
      <c r="AL119" s="308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09" t="n"/>
      <c r="F137" s="309" t="n"/>
      <c r="G137" s="309" t="n"/>
      <c r="H137" s="282" t="n"/>
      <c r="I137" s="282" t="n"/>
      <c r="J137" s="282" t="n"/>
      <c r="K137" s="283" t="n">
        <v>0</v>
      </c>
      <c r="L137" s="284">
        <f>J137-K137</f>
        <v/>
      </c>
      <c r="M137" s="310" t="n"/>
      <c r="N137" s="310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0" t="n"/>
      <c r="U137" s="310" t="n"/>
      <c r="V137" s="310" t="n"/>
      <c r="W137" s="310" t="n"/>
      <c r="X137" s="310" t="n"/>
      <c r="Y137" s="310" t="n"/>
      <c r="Z137" s="310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1" t="inlineStr">
        <is>
          <t>机械费小计：</t>
        </is>
      </c>
      <c r="E138" s="312" t="n"/>
      <c r="F138" s="312" t="n"/>
      <c r="G138" s="312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3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4" t="n"/>
      <c r="N145" s="314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4" t="n"/>
      <c r="U145" s="314" t="n"/>
      <c r="V145" s="314" t="n"/>
      <c r="W145" s="314" t="n"/>
      <c r="X145" s="314" t="n"/>
      <c r="Y145" s="314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5" t="n"/>
      <c r="B146" s="316" t="n"/>
      <c r="C146" s="316" t="n"/>
      <c r="D146" s="311" t="inlineStr">
        <is>
          <t>其他直接费小计：</t>
        </is>
      </c>
      <c r="E146" s="317" t="n"/>
      <c r="F146" s="317" t="n"/>
      <c r="G146" s="317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3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39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4" t="n"/>
      <c r="I187" s="282" t="n"/>
      <c r="J187" s="314" t="n"/>
      <c r="K187" s="283" t="n"/>
      <c r="L187" s="284" t="n"/>
      <c r="M187" s="314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4" t="n"/>
      <c r="U187" s="314" t="n"/>
      <c r="V187" s="314" t="n"/>
      <c r="W187" s="314" t="n"/>
      <c r="X187" s="314" t="n"/>
      <c r="Y187" s="314" t="n"/>
      <c r="Z187" s="314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5" t="n"/>
      <c r="B188" s="316" t="n"/>
      <c r="C188" s="316" t="n"/>
      <c r="D188" s="311" t="inlineStr">
        <is>
          <t>间接费小计：</t>
        </is>
      </c>
      <c r="E188" s="317" t="n"/>
      <c r="F188" s="317" t="n"/>
      <c r="G188" s="317" t="n"/>
      <c r="H188" s="298">
        <f>SUM(H147:H187)</f>
        <v/>
      </c>
      <c r="I188" s="298">
        <f>SUM(I147:I187)</f>
        <v/>
      </c>
      <c r="J188" s="298">
        <f>SUM(J147:J187)</f>
        <v/>
      </c>
      <c r="K188" s="298">
        <f>SUM(K147:K187)</f>
        <v/>
      </c>
      <c r="L188" s="313">
        <f>SUM(L147:L187)</f>
        <v/>
      </c>
      <c r="M188" s="313">
        <f>SUM(M147:M187)</f>
        <v/>
      </c>
      <c r="N188" s="313">
        <f>SUM(N147:N187)</f>
        <v/>
      </c>
      <c r="O188" s="313">
        <f>SUM(O147:O187)</f>
        <v/>
      </c>
      <c r="P188" s="313">
        <f>SUM(P147:P187)</f>
        <v/>
      </c>
      <c r="Q188" s="313">
        <f>SUM(Q147:Q187)</f>
        <v/>
      </c>
      <c r="R188" s="313">
        <f>SUM(R147:R187)</f>
        <v/>
      </c>
      <c r="S188" s="313">
        <f>SUM(S147:S187)</f>
        <v/>
      </c>
      <c r="T188" s="313" t="n"/>
      <c r="U188" s="313" t="n"/>
      <c r="V188" s="313" t="n"/>
      <c r="W188" s="313" t="n"/>
      <c r="X188" s="313" t="n"/>
      <c r="Y188" s="313" t="n"/>
      <c r="Z188" s="313">
        <f>SUM(Z147:Z187)</f>
        <v/>
      </c>
      <c r="AA188" s="313">
        <f>SUM(AA147:AA187)</f>
        <v/>
      </c>
      <c r="AB188" s="313">
        <f>SUM(AB147:AB187)</f>
        <v/>
      </c>
      <c r="AC188" s="313">
        <f>SUM(AC147:AC187)</f>
        <v/>
      </c>
      <c r="AD188" s="313">
        <f>SUM(AD147:AD187)</f>
        <v/>
      </c>
      <c r="AE188" s="313">
        <f>SUM(AE147:AE187)</f>
        <v/>
      </c>
      <c r="AF188" s="313">
        <f>SUM(AF147:AF187)</f>
        <v/>
      </c>
      <c r="AG188" s="313" t="n"/>
      <c r="AH188" s="313" t="n"/>
      <c r="AI188" s="313">
        <f>SUM(AI147:AI187)</f>
        <v/>
      </c>
      <c r="AJ188" s="313">
        <f>SUM(AJ147:AJ187)</f>
        <v/>
      </c>
      <c r="AK188" s="313">
        <f>SUM(AK147:AK187)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8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4" t="n"/>
      <c r="U189" s="314" t="n"/>
      <c r="V189" s="314" t="n"/>
      <c r="W189" s="314" t="n"/>
      <c r="X189" s="314" t="n"/>
      <c r="Y189" s="314" t="n"/>
      <c r="Z189" s="310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5" t="n"/>
      <c r="B195" s="316" t="n"/>
      <c r="C195" s="316" t="n"/>
      <c r="D195" s="311" t="inlineStr">
        <is>
          <t>安全费小计：</t>
        </is>
      </c>
      <c r="E195" s="311" t="n"/>
      <c r="F195" s="311" t="n"/>
      <c r="G195" s="311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19">
        <f>J195-K195</f>
        <v/>
      </c>
      <c r="M195" s="313">
        <f>SUM(M189:M194)</f>
        <v/>
      </c>
      <c r="N195" s="313">
        <f>SUM(N189:N194)</f>
        <v/>
      </c>
      <c r="O195" s="313">
        <f>SUM(O189:O194)</f>
        <v/>
      </c>
      <c r="P195" s="313">
        <f>SUM(P189:P194)</f>
        <v/>
      </c>
      <c r="Q195" s="313">
        <f>SUM(Q189:Q194)</f>
        <v/>
      </c>
      <c r="R195" s="313">
        <f>SUM(R189:R194)</f>
        <v/>
      </c>
      <c r="S195" s="313">
        <f>SUM(S189:S194)</f>
        <v/>
      </c>
      <c r="T195" s="320" t="n"/>
      <c r="U195" s="320" t="n"/>
      <c r="V195" s="320" t="n"/>
      <c r="W195" s="320" t="n"/>
      <c r="X195" s="320" t="n"/>
      <c r="Y195" s="320" t="n"/>
      <c r="Z195" s="320" t="n"/>
      <c r="AA195" s="320">
        <f>SUM(AA189:AA194)</f>
        <v/>
      </c>
      <c r="AB195" s="320">
        <f>SUM(AB189:AB194)</f>
        <v/>
      </c>
      <c r="AC195" s="320">
        <f>SUM(AC189:AC194)</f>
        <v/>
      </c>
      <c r="AD195" s="320">
        <f>SUM(AD189:AD194)</f>
        <v/>
      </c>
      <c r="AE195" s="320">
        <f>SUM(AE189:AE194)</f>
        <v/>
      </c>
      <c r="AF195" s="320">
        <f>SUM(AF189:AF194)</f>
        <v/>
      </c>
      <c r="AG195" s="320" t="n"/>
      <c r="AH195" s="320" t="n"/>
      <c r="AI195" s="320">
        <f>SUM(AI189:AI194)</f>
        <v/>
      </c>
      <c r="AJ195" s="320">
        <f>SUM(AJ189:AJ194)</f>
        <v/>
      </c>
      <c r="AK195" s="320">
        <f>SUM(AK189:AK194)</f>
        <v/>
      </c>
      <c r="AL195" s="321" t="n"/>
    </row>
    <row r="196">
      <c r="A196" s="315" t="n"/>
      <c r="B196" s="316" t="n"/>
      <c r="C196" s="316" t="n"/>
      <c r="D196" s="311" t="inlineStr">
        <is>
          <t>三、成本合计：</t>
        </is>
      </c>
      <c r="E196" s="317" t="n"/>
      <c r="F196" s="317" t="n"/>
      <c r="G196" s="317" t="n"/>
      <c r="H196" s="298">
        <f>H34+H65+H121+H138+H146+H188+H195</f>
        <v/>
      </c>
      <c r="I196" s="298">
        <f>I34+I65+I121+I138+I146+I188+I195</f>
        <v/>
      </c>
      <c r="J196" s="298">
        <f>J34+J65+J121+J138+J146+J188+J195</f>
        <v/>
      </c>
      <c r="K196" s="298">
        <f>K34+K65+K121+K138+K146+K188+K195</f>
        <v/>
      </c>
      <c r="L196" s="313">
        <f>L34+L65+L121+L138+L146+L188+L195</f>
        <v/>
      </c>
      <c r="M196" s="320">
        <f>M34+M65+M121+M138+M146+M188+M195</f>
        <v/>
      </c>
      <c r="N196" s="320">
        <f>N34+N65+N121+N138+N146+N188+N195</f>
        <v/>
      </c>
      <c r="O196" s="320">
        <f>O34+O65+O121+O138+O146+O188+O195</f>
        <v/>
      </c>
      <c r="P196" s="320">
        <f>P34+P65+P121+P138+P146+P188+P195</f>
        <v/>
      </c>
      <c r="Q196" s="320">
        <f>Q34+Q65+Q121+Q138+Q146+Q188+Q195</f>
        <v/>
      </c>
      <c r="R196" s="320">
        <f>R34+R65+R121+R138+R146+R188+R195</f>
        <v/>
      </c>
      <c r="S196" s="320">
        <f>S34+S65+S121+S138+S146+S188+S195</f>
        <v/>
      </c>
      <c r="T196" s="320" t="n"/>
      <c r="U196" s="320" t="n"/>
      <c r="V196" s="320" t="n"/>
      <c r="W196" s="320" t="n"/>
      <c r="X196" s="320" t="n"/>
      <c r="Y196" s="320" t="n"/>
      <c r="Z196" s="320">
        <f>Z34+Z65+Z121+Z138+Z146+Z188+Z195</f>
        <v/>
      </c>
      <c r="AA196" s="320">
        <f>AA34+AA65+AA121+AA138+AA146+AA188+AA195</f>
        <v/>
      </c>
      <c r="AB196" s="320">
        <f>AB34+AB65+AB121+AB138+AB146+AB188+AB195</f>
        <v/>
      </c>
      <c r="AC196" s="320">
        <f>AC34+AC65+AC121+AC138+AC146+AC188+AC195</f>
        <v/>
      </c>
      <c r="AD196" s="320">
        <f>AD34+AD65+AD121+AD138+AD146+AD188+AD195</f>
        <v/>
      </c>
      <c r="AE196" s="320">
        <f>AE34+AE65+AE121+AE138+AE146+AE188+AE195</f>
        <v/>
      </c>
      <c r="AF196" s="320">
        <f>AF34+AF65+AF121+AF138+AF146+AF188+AF195</f>
        <v/>
      </c>
      <c r="AG196" s="320" t="n"/>
      <c r="AH196" s="320" t="n"/>
      <c r="AI196" s="320">
        <f>AI34+AI65+AI121+AI138+AI146+AI188+AI195</f>
        <v/>
      </c>
      <c r="AJ196" s="320">
        <f>AJ34+AJ65+AJ121+AJ138+AJ146+AJ188+AJ195</f>
        <v/>
      </c>
      <c r="AK196" s="320">
        <f>AK34+AK65+AK121+AK138+AK146+AK188+AK195</f>
        <v/>
      </c>
      <c r="AL196" s="321" t="n"/>
    </row>
    <row r="197">
      <c r="A197" s="315" t="n"/>
      <c r="B197" s="316" t="n"/>
      <c r="C197" s="316" t="n"/>
      <c r="D197" s="311" t="inlineStr">
        <is>
          <t>四、计提保修金</t>
        </is>
      </c>
      <c r="E197" s="317" t="inlineStr">
        <is>
          <t>（在建：房建0.6%，其它0.4%；在保修期间的按0.3~0.5%自行确定;保修期结束为0）</t>
        </is>
      </c>
      <c r="F197" s="317" t="n"/>
      <c r="G197" s="317" t="n"/>
      <c r="H197" s="298" t="n"/>
      <c r="I197" s="298" t="n"/>
      <c r="J197" s="298">
        <f>H197+I197</f>
        <v/>
      </c>
      <c r="K197" s="298" t="n"/>
      <c r="L197" s="313">
        <f>J197-K197</f>
        <v/>
      </c>
      <c r="M197" s="320" t="n"/>
      <c r="N197" s="320" t="n"/>
      <c r="O197" s="320">
        <f>L197-M197</f>
        <v/>
      </c>
      <c r="P197" s="320">
        <f>K197-N197</f>
        <v/>
      </c>
      <c r="Q197" s="320">
        <f>M197+O197</f>
        <v/>
      </c>
      <c r="R197" s="320">
        <f>M197+N197+O197+P197</f>
        <v/>
      </c>
      <c r="S197" s="320">
        <f>SUM(T197:V197)</f>
        <v/>
      </c>
      <c r="T197" s="320" t="n"/>
      <c r="U197" s="320" t="n"/>
      <c r="V197" s="320" t="n"/>
      <c r="W197" s="320" t="n"/>
      <c r="X197" s="320" t="n"/>
      <c r="Y197" s="320" t="n"/>
      <c r="Z197" s="320" t="n"/>
      <c r="AA197" s="320">
        <f>Q69-S69</f>
        <v/>
      </c>
      <c r="AB197" s="320" t="n"/>
      <c r="AC197" s="320" t="n"/>
      <c r="AD197" s="320" t="n"/>
      <c r="AE197" s="320" t="n"/>
      <c r="AF197" s="320" t="n"/>
      <c r="AG197" s="320" t="n"/>
      <c r="AH197" s="320" t="n"/>
      <c r="AI197" s="320" t="n"/>
      <c r="AJ197" s="320" t="n"/>
      <c r="AK197" s="320" t="n"/>
      <c r="AL197" s="321" t="n"/>
    </row>
    <row r="198">
      <c r="A198" s="315" t="n"/>
      <c r="B198" s="316" t="n"/>
      <c r="C198" s="316" t="n"/>
      <c r="D198" s="311" t="inlineStr">
        <is>
          <t>五、过程节点奖金</t>
        </is>
      </c>
      <c r="E198" s="317" t="n"/>
      <c r="F198" s="317" t="n"/>
      <c r="G198" s="317" t="n"/>
      <c r="H198" s="298" t="n"/>
      <c r="I198" s="298" t="n"/>
      <c r="J198" s="298">
        <f>H198+I198</f>
        <v/>
      </c>
      <c r="K198" s="298" t="n"/>
      <c r="L198" s="313">
        <f>J198-K198</f>
        <v/>
      </c>
      <c r="M198" s="320" t="n"/>
      <c r="N198" s="320" t="n"/>
      <c r="O198" s="320">
        <f>L198-M198</f>
        <v/>
      </c>
      <c r="P198" s="320">
        <f>K198-N198</f>
        <v/>
      </c>
      <c r="Q198" s="320">
        <f>M198+O198</f>
        <v/>
      </c>
      <c r="R198" s="320">
        <f>M198+N198+O198+P198</f>
        <v/>
      </c>
      <c r="S198" s="320">
        <f>SUM(T198:V198)</f>
        <v/>
      </c>
      <c r="T198" s="320" t="n"/>
      <c r="U198" s="320" t="n"/>
      <c r="V198" s="320" t="n"/>
      <c r="W198" s="320" t="n"/>
      <c r="X198" s="320" t="n"/>
      <c r="Y198" s="320" t="n"/>
      <c r="Z198" s="320" t="n"/>
      <c r="AA198" s="320" t="n"/>
      <c r="AB198" s="320" t="n"/>
      <c r="AC198" s="320" t="n"/>
      <c r="AD198" s="320" t="n"/>
      <c r="AE198" s="320" t="n"/>
      <c r="AF198" s="320" t="n"/>
      <c r="AG198" s="320" t="n"/>
      <c r="AH198" s="320" t="n"/>
      <c r="AI198" s="320" t="n"/>
      <c r="AJ198" s="320" t="n"/>
      <c r="AK198" s="320" t="n"/>
      <c r="AL198" s="321" t="n"/>
    </row>
    <row r="199">
      <c r="A199" s="315" t="n"/>
      <c r="B199" s="316" t="n"/>
      <c r="C199" s="316" t="n"/>
      <c r="D199" s="311" t="inlineStr">
        <is>
          <t>六、资金占用费用</t>
        </is>
      </c>
      <c r="E199" s="317" t="n"/>
      <c r="F199" s="317" t="n"/>
      <c r="G199" s="317" t="n"/>
      <c r="H199" s="298" t="n"/>
      <c r="I199" s="298" t="n"/>
      <c r="J199" s="298">
        <f>H199+I199</f>
        <v/>
      </c>
      <c r="K199" s="298" t="n"/>
      <c r="L199" s="313">
        <f>J199-K199</f>
        <v/>
      </c>
      <c r="M199" s="322" t="n">
        <v>6780777.21</v>
      </c>
      <c r="N199" s="320" t="n"/>
      <c r="O199" s="320">
        <f>L199-M199</f>
        <v/>
      </c>
      <c r="P199" s="320">
        <f>K199-N199</f>
        <v/>
      </c>
      <c r="Q199" s="320">
        <f>M199+O199</f>
        <v/>
      </c>
      <c r="R199" s="320">
        <f>M199+N199+O199+P199</f>
        <v/>
      </c>
      <c r="S199" s="320">
        <f>SUM(T199:V199)</f>
        <v/>
      </c>
      <c r="T199" s="320" t="n"/>
      <c r="U199" s="320" t="n"/>
      <c r="V199" s="320" t="n"/>
      <c r="W199" s="320" t="n"/>
      <c r="X199" s="320" t="n"/>
      <c r="Y199" s="320" t="n"/>
      <c r="Z199" s="320" t="n"/>
      <c r="AA199" s="320" t="n"/>
      <c r="AB199" s="320" t="n"/>
      <c r="AC199" s="320" t="n"/>
      <c r="AD199" s="320" t="n"/>
      <c r="AE199" s="320" t="n"/>
      <c r="AF199" s="320" t="n"/>
      <c r="AG199" s="320" t="n"/>
      <c r="AH199" s="320" t="n"/>
      <c r="AI199" s="320" t="n"/>
      <c r="AJ199" s="320" t="n"/>
      <c r="AK199" s="320" t="n"/>
      <c r="AL199" s="321" t="n"/>
    </row>
    <row r="200">
      <c r="A200" s="315" t="n"/>
      <c r="B200" s="316" t="n"/>
      <c r="C200" s="316" t="n"/>
      <c r="D200" s="311" t="inlineStr">
        <is>
          <t>七、局投资收益（局投资项目选填）</t>
        </is>
      </c>
      <c r="E200" s="317" t="n"/>
      <c r="F200" s="317" t="n"/>
      <c r="G200" s="317" t="n"/>
      <c r="H200" s="298" t="n"/>
      <c r="I200" s="298" t="n"/>
      <c r="J200" s="298">
        <f>H200+I200</f>
        <v/>
      </c>
      <c r="K200" s="298" t="n"/>
      <c r="L200" s="313">
        <f>J200-K200</f>
        <v/>
      </c>
      <c r="M200" s="320" t="n"/>
      <c r="N200" s="320" t="n"/>
      <c r="O200" s="320">
        <f>L200-M200</f>
        <v/>
      </c>
      <c r="P200" s="320">
        <f>K200-N200</f>
        <v/>
      </c>
      <c r="Q200" s="320">
        <f>M200+O200</f>
        <v/>
      </c>
      <c r="R200" s="320">
        <f>M200+N200+O200+P200</f>
        <v/>
      </c>
      <c r="S200" s="320">
        <f>SUM(T200:V200)</f>
        <v/>
      </c>
      <c r="T200" s="320" t="n"/>
      <c r="U200" s="320" t="n"/>
      <c r="V200" s="320" t="n"/>
      <c r="W200" s="320" t="n"/>
      <c r="X200" s="320" t="n"/>
      <c r="Y200" s="320" t="n"/>
      <c r="Z200" s="320" t="n"/>
      <c r="AA200" s="320" t="n"/>
      <c r="AB200" s="320" t="n"/>
      <c r="AC200" s="320" t="n"/>
      <c r="AD200" s="320" t="n"/>
      <c r="AE200" s="320" t="n"/>
      <c r="AF200" s="320" t="n"/>
      <c r="AG200" s="320" t="n"/>
      <c r="AH200" s="320" t="n"/>
      <c r="AI200" s="320" t="n"/>
      <c r="AJ200" s="320" t="n"/>
      <c r="AK200" s="320" t="n"/>
      <c r="AL200" s="321" t="n"/>
    </row>
    <row r="201">
      <c r="A201" s="315" t="n"/>
      <c r="B201" s="316" t="n"/>
      <c r="C201" s="316" t="n"/>
      <c r="D201" s="311" t="inlineStr">
        <is>
          <t>八、研发费用</t>
        </is>
      </c>
      <c r="E201" s="317" t="n"/>
      <c r="F201" s="317" t="n"/>
      <c r="G201" s="317" t="n"/>
      <c r="H201" s="298" t="n"/>
      <c r="I201" s="298" t="n"/>
      <c r="J201" s="298">
        <f>H201+I201</f>
        <v/>
      </c>
      <c r="K201" s="298" t="n"/>
      <c r="L201" s="313">
        <f>J201-K201</f>
        <v/>
      </c>
      <c r="M201" s="320">
        <f>SUM(M202:M206)</f>
        <v/>
      </c>
      <c r="N201" s="320">
        <f>SUM(N202:N206)</f>
        <v/>
      </c>
      <c r="O201" s="320">
        <f>SUM(O202:O206)</f>
        <v/>
      </c>
      <c r="P201" s="320">
        <f>SUM(P202:P206)</f>
        <v/>
      </c>
      <c r="Q201" s="320">
        <f>SUM(Q202:Q206)</f>
        <v/>
      </c>
      <c r="R201" s="320">
        <f>SUM(R202:R206)</f>
        <v/>
      </c>
      <c r="S201" s="320">
        <f>SUM(S202:S206)</f>
        <v/>
      </c>
      <c r="T201" s="320">
        <f>SUM(T202:T206)</f>
        <v/>
      </c>
      <c r="U201" s="320">
        <f>SUM(U202:U206)</f>
        <v/>
      </c>
      <c r="V201" s="320">
        <f>SUM(V202:V206)</f>
        <v/>
      </c>
      <c r="W201" s="320">
        <f>SUM(W202:W206)</f>
        <v/>
      </c>
      <c r="X201" s="320">
        <f>SUM(X202:X206)</f>
        <v/>
      </c>
      <c r="Y201" s="320">
        <f>SUM(Y202:Y206)</f>
        <v/>
      </c>
      <c r="Z201" s="320">
        <f>SUM(Z202:Z206)</f>
        <v/>
      </c>
      <c r="AA201" s="320">
        <f>SUM(AA202:AA206)</f>
        <v/>
      </c>
      <c r="AB201" s="320">
        <f>SUM(AB202:AB206)</f>
        <v/>
      </c>
      <c r="AC201" s="320">
        <f>SUM(AC202:AC206)</f>
        <v/>
      </c>
      <c r="AD201" s="320">
        <f>SUM(AD202:AD206)</f>
        <v/>
      </c>
      <c r="AE201" s="320">
        <f>SUM(AE202:AE206)</f>
        <v/>
      </c>
      <c r="AF201" s="320">
        <f>SUM(AF202:AF206)</f>
        <v/>
      </c>
      <c r="AG201" s="320">
        <f>SUM(AG202:AG206)</f>
        <v/>
      </c>
      <c r="AH201" s="320">
        <f>SUM(AH202:AH206)</f>
        <v/>
      </c>
      <c r="AI201" s="320">
        <f>SUM(AI202:AI206)</f>
        <v/>
      </c>
      <c r="AJ201" s="320">
        <f>SUM(AJ202:AJ206)</f>
        <v/>
      </c>
      <c r="AK201" s="320">
        <f>SUM(AK202:AK206)</f>
        <v/>
      </c>
      <c r="AL201" s="321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1" t="inlineStr">
        <is>
          <t>九、成本及费用合计（三+四+五+六+七）</t>
        </is>
      </c>
      <c r="E207" s="312" t="n"/>
      <c r="F207" s="312" t="n"/>
      <c r="G207" s="312" t="n"/>
      <c r="H207" s="298">
        <f>H196+H197+H198+H199+H200+H201</f>
        <v/>
      </c>
      <c r="I207" s="298">
        <f>I196+I197+I198+I199+I200+I201</f>
        <v/>
      </c>
      <c r="J207" s="323">
        <f>J196+J197+J198+J199+J200+J201</f>
        <v/>
      </c>
      <c r="K207" s="298">
        <f>K196+K197+K198+K199+K200+K201</f>
        <v/>
      </c>
      <c r="L207" s="324">
        <f>L196+L197+L198+L199+L200+L201</f>
        <v/>
      </c>
      <c r="M207" s="324">
        <f>M196+M197+M198+M199+M200+M201</f>
        <v/>
      </c>
      <c r="N207" s="324">
        <f>N196+N197+N198+N199+N200+N201</f>
        <v/>
      </c>
      <c r="O207" s="324">
        <f>O196+O197+O198+O199+O200+O201</f>
        <v/>
      </c>
      <c r="P207" s="324">
        <f>P196+P197+P198+P199+P200+P201</f>
        <v/>
      </c>
      <c r="Q207" s="324">
        <f>Q196+Q197+Q198+Q199+Q200+Q201</f>
        <v/>
      </c>
      <c r="R207" s="324">
        <f>R196+R197+R198+R199+R200+R201</f>
        <v/>
      </c>
      <c r="S207" s="320">
        <f>S196+S197+S198+S199+S200+S201</f>
        <v/>
      </c>
      <c r="T207" s="320" t="n"/>
      <c r="U207" s="320" t="n"/>
      <c r="V207" s="320" t="n"/>
      <c r="W207" s="320" t="n"/>
      <c r="X207" s="320" t="n"/>
      <c r="Y207" s="320" t="n"/>
      <c r="Z207" s="320">
        <f>Z196+Z197+Z198+Z199+Z200+Z201</f>
        <v/>
      </c>
      <c r="AA207" s="320">
        <f>AA196+AA197+AA198+AA199+AA200+AA201</f>
        <v/>
      </c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6" t="n"/>
      <c r="AL207" s="327" t="n"/>
    </row>
    <row r="208">
      <c r="A208" s="295" t="n"/>
      <c r="B208" s="296" t="n"/>
      <c r="C208" s="296" t="n"/>
      <c r="D208" s="311" t="inlineStr">
        <is>
          <t>十、增值税实际税负（按财务数据）</t>
        </is>
      </c>
      <c r="E208" s="312" t="inlineStr">
        <is>
          <t>根据财务账面实际已缴纳增值税额+尚需缴纳的增值税额</t>
        </is>
      </c>
      <c r="F208" s="312" t="n"/>
      <c r="G208" s="312" t="n"/>
      <c r="H208" s="298" t="n"/>
      <c r="I208" s="298" t="n"/>
      <c r="J208" s="323">
        <f>H78+I78</f>
        <v/>
      </c>
      <c r="K208" s="298" t="inlineStr">
        <is>
          <t>/</t>
        </is>
      </c>
      <c r="L208" s="324" t="inlineStr">
        <is>
          <t>/</t>
        </is>
      </c>
      <c r="M208" s="324" t="n"/>
      <c r="N208" s="324">
        <f>N6-N77</f>
        <v/>
      </c>
      <c r="O208" s="324" t="n"/>
      <c r="P208" s="324" t="n"/>
      <c r="Q208" s="324" t="inlineStr">
        <is>
          <t>/</t>
        </is>
      </c>
      <c r="R208" s="324">
        <f>N78+P78</f>
        <v/>
      </c>
      <c r="S208" s="320" t="n"/>
      <c r="T208" s="320" t="n"/>
      <c r="U208" s="320" t="n"/>
      <c r="V208" s="320" t="n"/>
      <c r="W208" s="320" t="n"/>
      <c r="X208" s="320" t="n"/>
      <c r="Y208" s="320" t="n"/>
      <c r="Z208" s="320" t="n"/>
      <c r="AA208" s="320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6" t="n"/>
      <c r="AL208" s="327" t="n"/>
    </row>
    <row r="209">
      <c r="A209" s="295" t="n"/>
      <c r="B209" s="296" t="n"/>
      <c r="C209" s="296" t="n"/>
      <c r="D209" s="311" t="inlineStr">
        <is>
          <t>十一、税金及附加（按财务数据）</t>
        </is>
      </c>
      <c r="E209" s="312" t="inlineStr">
        <is>
          <t>根据财务账面实际已缴纳税金及附加+尚需缴纳的税金及附加</t>
        </is>
      </c>
      <c r="F209" s="312" t="n"/>
      <c r="G209" s="312" t="n"/>
      <c r="H209" s="298" t="n"/>
      <c r="I209" s="298" t="n"/>
      <c r="J209" s="323">
        <f>H79+I79</f>
        <v/>
      </c>
      <c r="K209" s="298" t="n"/>
      <c r="L209" s="324">
        <f>J79</f>
        <v/>
      </c>
      <c r="M209" s="328" t="n">
        <v>349670.26</v>
      </c>
      <c r="N209" s="324" t="n"/>
      <c r="O209" s="324">
        <f>L79-M79</f>
        <v/>
      </c>
      <c r="P209" s="324" t="n"/>
      <c r="Q209" s="324">
        <f>M79+O79</f>
        <v/>
      </c>
      <c r="R209" s="324">
        <f>Q79</f>
        <v/>
      </c>
      <c r="S209" s="320" t="n"/>
      <c r="T209" s="320" t="n"/>
      <c r="U209" s="320" t="n"/>
      <c r="V209" s="320" t="n"/>
      <c r="W209" s="320" t="n"/>
      <c r="X209" s="320" t="n"/>
      <c r="Y209" s="320" t="n"/>
      <c r="Z209" s="320" t="n"/>
      <c r="AA209" s="320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6" t="n"/>
      <c r="AL209" s="327" t="n"/>
    </row>
    <row r="210">
      <c r="A210" s="295" t="n"/>
      <c r="B210" s="296" t="n"/>
      <c r="C210" s="296" t="n"/>
      <c r="D210" s="311" t="inlineStr">
        <is>
          <t>十二、利润</t>
        </is>
      </c>
      <c r="E210" s="312" t="n"/>
      <c r="F210" s="312" t="n"/>
      <c r="G210" s="312" t="n"/>
      <c r="H210" s="298" t="n"/>
      <c r="I210" s="298" t="n"/>
      <c r="J210" s="323">
        <f>J6-J207-J208-J209</f>
        <v/>
      </c>
      <c r="K210" s="298" t="n"/>
      <c r="L210" s="324" t="n"/>
      <c r="M210" s="324" t="n"/>
      <c r="N210" s="324" t="n"/>
      <c r="O210" s="324" t="n"/>
      <c r="P210" s="324" t="n"/>
      <c r="Q210" s="324" t="n"/>
      <c r="R210" s="324" t="n"/>
      <c r="S210" s="320" t="n"/>
      <c r="T210" s="320" t="n"/>
      <c r="U210" s="320" t="n"/>
      <c r="V210" s="320" t="n"/>
      <c r="W210" s="320" t="n"/>
      <c r="X210" s="320" t="n"/>
      <c r="Y210" s="320" t="n"/>
      <c r="Z210" s="320" t="n"/>
      <c r="AA210" s="320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6" t="n"/>
      <c r="AL210" s="327" t="n"/>
    </row>
    <row r="211">
      <c r="A211" s="329" t="n"/>
      <c r="B211" s="330" t="n"/>
      <c r="C211" s="330" t="n"/>
      <c r="D211" s="331" t="inlineStr">
        <is>
          <t>十三、利润率</t>
        </is>
      </c>
      <c r="E211" s="332" t="n"/>
      <c r="F211" s="332" t="n"/>
      <c r="G211" s="332" t="n"/>
      <c r="H211" s="333" t="n"/>
      <c r="I211" s="333" t="n"/>
      <c r="J211" s="333">
        <f>J210/J6</f>
        <v/>
      </c>
      <c r="K211" s="333" t="n"/>
      <c r="L211" s="334">
        <f>L210/L6</f>
        <v/>
      </c>
      <c r="M211" s="334">
        <f>M210/M6</f>
        <v/>
      </c>
      <c r="N211" s="334" t="n"/>
      <c r="O211" s="334" t="n"/>
      <c r="P211" s="334" t="n"/>
      <c r="Q211" s="334">
        <f>Q210/Q6</f>
        <v/>
      </c>
      <c r="R211" s="334">
        <f>R210/R6</f>
        <v/>
      </c>
      <c r="S211" s="335" t="n"/>
      <c r="T211" s="335" t="n"/>
      <c r="U211" s="335" t="n"/>
      <c r="V211" s="335" t="n"/>
      <c r="W211" s="335" t="n"/>
      <c r="X211" s="335" t="n"/>
      <c r="Y211" s="335" t="n"/>
      <c r="Z211" s="335" t="n"/>
      <c r="AA211" s="335" t="n"/>
      <c r="AB211" s="336" t="n"/>
      <c r="AC211" s="336" t="n"/>
      <c r="AD211" s="336" t="n"/>
      <c r="AE211" s="336" t="n"/>
      <c r="AF211" s="336" t="n"/>
      <c r="AG211" s="336" t="n"/>
      <c r="AH211" s="336" t="n"/>
      <c r="AI211" s="336" t="n"/>
      <c r="AJ211" s="336" t="n"/>
      <c r="AK211" s="337" t="n"/>
      <c r="AL211" s="338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2026-04-22T14:21:40Z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