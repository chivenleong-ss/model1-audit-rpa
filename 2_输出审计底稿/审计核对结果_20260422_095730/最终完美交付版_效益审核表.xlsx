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14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306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306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306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82" t="n">
        <v>18</v>
      </c>
      <c r="B57" s="283" t="n"/>
      <c r="C57" s="283" t="n"/>
      <c r="D57" s="302" t="inlineStr">
        <is>
          <t>材料调入</t>
        </is>
      </c>
      <c r="E57" s="283" t="n"/>
      <c r="F57" s="283" t="n"/>
      <c r="G57" s="283" t="n"/>
      <c r="H57" s="285" t="n"/>
      <c r="I57" s="285" t="n"/>
      <c r="J57" s="285" t="n"/>
      <c r="K57" s="286" t="n"/>
      <c r="L57" s="287" t="n"/>
      <c r="M57" s="307" t="n">
        <v>34020317.08</v>
      </c>
      <c r="N57" s="285" t="n"/>
      <c r="O57" s="285">
        <f>L57-M57</f>
        <v/>
      </c>
      <c r="P57" s="285">
        <f>K57-N57</f>
        <v/>
      </c>
      <c r="Q57" s="285">
        <f>M57+O57</f>
        <v/>
      </c>
      <c r="R57" s="285">
        <f>M57+N57+O57+P57</f>
        <v/>
      </c>
      <c r="S57" s="289">
        <f>SUM(T57:V57)</f>
        <v/>
      </c>
      <c r="T57" s="289" t="n"/>
      <c r="U57" s="289" t="n"/>
      <c r="V57" s="289" t="n"/>
      <c r="W57" s="289" t="n"/>
      <c r="X57" s="289" t="n"/>
      <c r="Y57" s="289" t="n"/>
      <c r="Z57" s="285">
        <f>SUM(AA30:AJ30)</f>
        <v/>
      </c>
      <c r="AA57" s="289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290">
        <f>AB30/1.17*0.17+AC30/1.16*0.16+AD30/1.11*0.11+AE30/1.1*0.1+AF30/1.09*0.09+AI30/1.03*0.03</f>
        <v/>
      </c>
      <c r="AL57" s="305" t="n"/>
    </row>
    <row r="58" ht="14" customFormat="1" customHeight="1" s="180">
      <c r="A58" s="282" t="n">
        <v>19</v>
      </c>
      <c r="B58" s="283" t="n"/>
      <c r="C58" s="283" t="n"/>
      <c r="D58" s="302" t="inlineStr">
        <is>
          <t>材料调出（注：负数填报）</t>
        </is>
      </c>
      <c r="E58" s="308" t="n"/>
      <c r="F58" s="308" t="n"/>
      <c r="G58" s="308" t="n"/>
      <c r="H58" s="309" t="n"/>
      <c r="I58" s="309" t="n"/>
      <c r="J58" s="285" t="n"/>
      <c r="K58" s="286" t="n"/>
      <c r="L58" s="287" t="n"/>
      <c r="M58" s="310" t="n">
        <v>-8241729.17</v>
      </c>
      <c r="N58" s="309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309" t="n"/>
      <c r="U58" s="309" t="n"/>
      <c r="V58" s="309" t="n"/>
      <c r="W58" s="309" t="n"/>
      <c r="X58" s="309" t="n"/>
      <c r="Y58" s="309" t="n"/>
      <c r="Z58" s="285">
        <f>SUM(AA31:AJ31)</f>
        <v/>
      </c>
      <c r="AA58" s="309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290">
        <f>AB31/1.17*0.17+AC31/1.16*0.16+AD31/1.11*0.11+AE31/1.1*0.1+AF31/1.09*0.09+AI31/1.03*0.03</f>
        <v/>
      </c>
      <c r="AL58" s="312" t="n"/>
    </row>
    <row r="59" ht="14" customFormat="1" customHeight="1" s="180">
      <c r="A59" s="282" t="n"/>
      <c r="B59" s="283" t="n"/>
      <c r="C59" s="283" t="n"/>
      <c r="D59" s="302" t="inlineStr">
        <is>
          <t>材料库存（注：项目已结算未使用材料冲减项目成本，负数填报）</t>
        </is>
      </c>
      <c r="E59" s="308" t="n"/>
      <c r="F59" s="308" t="n"/>
      <c r="G59" s="308" t="n"/>
      <c r="H59" s="309" t="n"/>
      <c r="I59" s="309" t="n"/>
      <c r="J59" s="285" t="n"/>
      <c r="K59" s="286" t="n"/>
      <c r="L59" s="287" t="n"/>
      <c r="M59" s="309" t="n"/>
      <c r="N59" s="309" t="n"/>
      <c r="O59" s="285" t="n"/>
      <c r="P59" s="285" t="n"/>
      <c r="Q59" s="285" t="n"/>
      <c r="R59" s="285" t="n"/>
      <c r="S59" s="289" t="n"/>
      <c r="T59" s="309" t="n"/>
      <c r="U59" s="309" t="n"/>
      <c r="V59" s="309" t="n"/>
      <c r="W59" s="309" t="n"/>
      <c r="X59" s="309" t="n"/>
      <c r="Y59" s="309" t="n"/>
      <c r="Z59" s="285" t="n"/>
      <c r="AA59" s="309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290" t="n"/>
      <c r="AL59" s="312" t="n"/>
    </row>
    <row r="60" ht="14" customFormat="1" customHeight="1" s="180">
      <c r="A60" s="282" t="n"/>
      <c r="B60" s="283" t="n"/>
      <c r="C60" s="283" t="n"/>
      <c r="D60" s="294" t="inlineStr">
        <is>
          <t>**财务未列部分需增列***</t>
        </is>
      </c>
      <c r="E60" s="303" t="n"/>
      <c r="F60" s="303" t="n"/>
      <c r="G60" s="303" t="n"/>
      <c r="H60" s="285" t="n"/>
      <c r="I60" s="285" t="n"/>
      <c r="J60" s="285" t="n"/>
      <c r="K60" s="286" t="n"/>
      <c r="L60" s="287" t="n"/>
      <c r="M60" s="285" t="n"/>
      <c r="N60" s="285" t="n"/>
      <c r="O60" s="285">
        <f>L60-M60</f>
        <v/>
      </c>
      <c r="P60" s="285">
        <f>K60-N60</f>
        <v/>
      </c>
      <c r="Q60" s="285">
        <f>M60+O60</f>
        <v/>
      </c>
      <c r="R60" s="285">
        <f>M60+N60+O60+P60</f>
        <v/>
      </c>
      <c r="S60" s="289">
        <f>SUM(T60:V60)</f>
        <v/>
      </c>
      <c r="T60" s="289" t="n"/>
      <c r="U60" s="289" t="n"/>
      <c r="V60" s="289" t="n"/>
      <c r="W60" s="289" t="n"/>
      <c r="X60" s="289" t="n"/>
      <c r="Y60" s="289" t="n"/>
      <c r="Z60" s="289" t="n"/>
      <c r="AA60" s="289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290">
        <f>AB33/1.17*0.17+AC33/1.16*0.16+AD33/1.11*0.11+AE33/1.1*0.1+AF33/1.09*0.09+AI33/1.03*0.03</f>
        <v/>
      </c>
      <c r="AL60" s="305" t="n"/>
    </row>
    <row r="61" ht="14" customFormat="1" customHeight="1" s="180">
      <c r="A61" s="298" t="n"/>
      <c r="B61" s="299" t="n"/>
      <c r="C61" s="299" t="n"/>
      <c r="D61" s="300" t="inlineStr">
        <is>
          <t>材料费小计：</t>
        </is>
      </c>
      <c r="E61" s="301">
        <f>SUM(E34:E60)</f>
        <v/>
      </c>
      <c r="F61" s="301">
        <f>SUM(F34:F60)</f>
        <v/>
      </c>
      <c r="G61" s="301">
        <f>SUM(G34:G60)</f>
        <v/>
      </c>
      <c r="H61" s="301">
        <f>SUM(H34:H60)</f>
        <v/>
      </c>
      <c r="I61" s="301">
        <f>SUM(I34:I60)</f>
        <v/>
      </c>
      <c r="J61" s="301">
        <f>SUM(J34:J60)</f>
        <v/>
      </c>
      <c r="K61" s="301">
        <f>SUM(K34:K60)</f>
        <v/>
      </c>
      <c r="L61" s="301">
        <f>SUM(L34:L60)</f>
        <v/>
      </c>
      <c r="M61" s="301">
        <f>SUM(M34:M60)</f>
        <v/>
      </c>
      <c r="N61" s="301">
        <f>SUM(N34:N60)</f>
        <v/>
      </c>
      <c r="O61" s="301">
        <f>SUM(O34:O60)</f>
        <v/>
      </c>
      <c r="P61" s="301">
        <f>SUM(P34:P60)</f>
        <v/>
      </c>
      <c r="Q61" s="301">
        <f>SUM(Q34:Q60)</f>
        <v/>
      </c>
      <c r="R61" s="301">
        <f>SUM(R34:R60)</f>
        <v/>
      </c>
      <c r="S61" s="301">
        <f>SUM(S34:S60)</f>
        <v/>
      </c>
      <c r="T61" s="301">
        <f>SUM(T34:T60)</f>
        <v/>
      </c>
      <c r="U61" s="301">
        <f>SUM(U34:U60)</f>
        <v/>
      </c>
      <c r="V61" s="301">
        <f>SUM(V34:V60)</f>
        <v/>
      </c>
      <c r="W61" s="301">
        <f>SUM(W34:W60)</f>
        <v/>
      </c>
      <c r="X61" s="301">
        <f>SUM(X34:X60)</f>
        <v/>
      </c>
      <c r="Y61" s="301">
        <f>SUM(Y34:Y60)</f>
        <v/>
      </c>
      <c r="Z61" s="301">
        <f>SUM(Z34:Z60)</f>
        <v/>
      </c>
      <c r="AA61" s="301">
        <f>SUM(AA34:AA60)</f>
        <v/>
      </c>
      <c r="AB61" s="301">
        <f>SUM(AB34:AB60)</f>
        <v/>
      </c>
      <c r="AC61" s="301">
        <f>SUM(AC34:AC60)</f>
        <v/>
      </c>
      <c r="AD61" s="301">
        <f>SUM(AD34:AD60)</f>
        <v/>
      </c>
      <c r="AE61" s="301">
        <f>SUM(AE34:AE60)</f>
        <v/>
      </c>
      <c r="AF61" s="301">
        <f>SUM(AF34:AF60)</f>
        <v/>
      </c>
      <c r="AG61" s="301">
        <f>SUM(AG34:AG60)</f>
        <v/>
      </c>
      <c r="AH61" s="301">
        <f>SUM(AH34:AH60)</f>
        <v/>
      </c>
      <c r="AI61" s="301">
        <f>SUM(AI34:AI60)</f>
        <v/>
      </c>
      <c r="AJ61" s="301">
        <f>SUM(AJ34:AJ60)</f>
        <v/>
      </c>
      <c r="AK61" s="301">
        <f>SUM(AK34:AK60)</f>
        <v/>
      </c>
      <c r="AL61" s="291" t="n"/>
    </row>
    <row r="62" ht="14" customFormat="1" customHeight="1" s="180">
      <c r="A62" s="282" t="n"/>
      <c r="B62" s="283" t="n"/>
      <c r="C62" s="283" t="n"/>
      <c r="D62" s="302" t="inlineStr">
        <is>
          <t>(四）机械租赁费</t>
        </is>
      </c>
      <c r="E62" s="295" t="n"/>
      <c r="F62" s="295" t="n"/>
      <c r="G62" s="295" t="n"/>
      <c r="H62" s="285" t="n"/>
      <c r="I62" s="285" t="n"/>
      <c r="J62" s="285" t="n"/>
      <c r="K62" s="286" t="n">
        <v>0</v>
      </c>
      <c r="L62" s="287">
        <f>J62-K62</f>
        <v/>
      </c>
      <c r="M62" s="288" t="n"/>
      <c r="N62" s="288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9" t="n"/>
      <c r="U62" s="289" t="n"/>
      <c r="V62" s="289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90">
        <f>AB35/1.17*0.17+AC35/1.16*0.16+AD35/1.11*0.11+AE35/1.1*0.1+AF35/1.09*0.09+AI35/1.03*0.03</f>
        <v/>
      </c>
      <c r="AL62" s="291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6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6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6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6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13" t="n"/>
      <c r="F68" s="313" t="n"/>
      <c r="G68" s="313" t="n"/>
      <c r="H68" s="285" t="n"/>
      <c r="I68" s="285" t="n"/>
      <c r="J68" s="285" t="n"/>
      <c r="K68" s="286" t="n">
        <v>0</v>
      </c>
      <c r="L68" s="287">
        <f>J68-K68</f>
        <v/>
      </c>
      <c r="M68" s="314" t="n"/>
      <c r="N68" s="314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314" t="n"/>
      <c r="U68" s="314" t="n"/>
      <c r="V68" s="314" t="n"/>
      <c r="W68" s="314" t="n"/>
      <c r="X68" s="314" t="n"/>
      <c r="Y68" s="314" t="n"/>
      <c r="Z68" s="314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AB37/1.17*0.17+AC37/1.16*0.16+AD37/1.11*0.11+AE37/1.1*0.1+AF37/1.09*0.09+AI37/1.03*0.03</f>
        <v/>
      </c>
      <c r="AL68" s="297" t="n"/>
    </row>
    <row r="69" ht="39" customFormat="1" customHeight="1" s="180">
      <c r="A69" s="298" t="n"/>
      <c r="B69" s="299" t="n"/>
      <c r="C69" s="299" t="n"/>
      <c r="D69" s="315" t="inlineStr">
        <is>
          <t>机械费小计：</t>
        </is>
      </c>
      <c r="E69" s="316" t="n"/>
      <c r="F69" s="316" t="n"/>
      <c r="G69" s="316" t="n"/>
      <c r="H69" s="301">
        <f>SUM(H62:H68)</f>
        <v/>
      </c>
      <c r="I69" s="301">
        <f>SUM(I62:I68)</f>
        <v/>
      </c>
      <c r="J69" s="301">
        <f>SUM(J62:J68)</f>
        <v/>
      </c>
      <c r="K69" s="301">
        <f>SUM(K62:K68)</f>
        <v/>
      </c>
      <c r="L69" s="317">
        <f>SUM(L62:L68)</f>
        <v/>
      </c>
      <c r="M69" s="301">
        <f>SUM(M62:M68)</f>
        <v/>
      </c>
      <c r="N69" s="301">
        <f>SUM(N62:N68)</f>
        <v/>
      </c>
      <c r="O69" s="301">
        <f>SUM(O62:O68)</f>
        <v/>
      </c>
      <c r="P69" s="301">
        <f>SUM(P62:P68)</f>
        <v/>
      </c>
      <c r="Q69" s="301">
        <f>SUM(Q62:Q68)</f>
        <v/>
      </c>
      <c r="R69" s="301">
        <f>SUM(R62:R68)</f>
        <v/>
      </c>
      <c r="S69" s="301">
        <f>SUM(S62:S68)</f>
        <v/>
      </c>
      <c r="T69" s="301" t="n"/>
      <c r="U69" s="301" t="n"/>
      <c r="V69" s="301" t="n"/>
      <c r="W69" s="301" t="n"/>
      <c r="X69" s="301" t="n"/>
      <c r="Y69" s="301" t="n"/>
      <c r="Z69" s="301">
        <f>SUM(Z62:Z68)</f>
        <v/>
      </c>
      <c r="AA69" s="301">
        <f>SUM(AA62:AA68)</f>
        <v/>
      </c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301" t="n"/>
      <c r="AL69" s="291" t="n"/>
    </row>
    <row r="70" ht="14" customFormat="1" customHeight="1" s="180">
      <c r="A70" s="282" t="n"/>
      <c r="B70" s="283" t="n"/>
      <c r="C70" s="283" t="n"/>
      <c r="D70" s="302" t="inlineStr">
        <is>
          <t>（五）其他直接费</t>
        </is>
      </c>
      <c r="E70" s="295" t="n"/>
      <c r="F70" s="295" t="n"/>
      <c r="G70" s="295" t="n"/>
      <c r="H70" s="285" t="n"/>
      <c r="I70" s="285" t="n"/>
      <c r="J70" s="288" t="n">
        <v>0</v>
      </c>
      <c r="K70" s="286" t="n">
        <v>0</v>
      </c>
      <c r="L70" s="287">
        <f>J70-N70-P70</f>
        <v/>
      </c>
      <c r="M70" s="288" t="n"/>
      <c r="N70" s="288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90" t="n"/>
      <c r="AL70" s="291" t="n"/>
    </row>
    <row r="71" ht="14" customFormat="1" customHeight="1" s="180">
      <c r="A71" s="206" t="n">
        <v>1</v>
      </c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2</v>
      </c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6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3</v>
      </c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6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82" t="n"/>
      <c r="B74" s="283" t="n"/>
      <c r="C74" s="283" t="n"/>
      <c r="D74" s="294" t="inlineStr">
        <is>
          <t>**财务未列部分需增列***</t>
        </is>
      </c>
      <c r="E74" s="295" t="n"/>
      <c r="F74" s="295" t="n"/>
      <c r="G74" s="295" t="n"/>
      <c r="H74" s="285" t="n"/>
      <c r="I74" s="285" t="n"/>
      <c r="J74" s="288" t="n"/>
      <c r="K74" s="286" t="n"/>
      <c r="L74" s="287">
        <f>J74-K74</f>
        <v/>
      </c>
      <c r="M74" s="318" t="n"/>
      <c r="N74" s="318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318" t="n"/>
      <c r="U74" s="318" t="n"/>
      <c r="V74" s="318" t="n"/>
      <c r="W74" s="318" t="n"/>
      <c r="X74" s="318" t="n"/>
      <c r="Y74" s="318" t="n"/>
      <c r="Z74" s="285">
        <f>SUM(AA45:AJ45)</f>
        <v/>
      </c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90" t="n"/>
      <c r="AL74" s="291" t="n"/>
    </row>
    <row r="75" ht="14" customFormat="1" customHeight="1" s="180">
      <c r="A75" s="319" t="n"/>
      <c r="B75" s="320" t="n"/>
      <c r="C75" s="320" t="n"/>
      <c r="D75" s="315" t="inlineStr">
        <is>
          <t>其他直接费小计：</t>
        </is>
      </c>
      <c r="E75" s="321" t="n"/>
      <c r="F75" s="321" t="n"/>
      <c r="G75" s="321" t="n"/>
      <c r="H75" s="301">
        <f>SUM(H70:H74)</f>
        <v/>
      </c>
      <c r="I75" s="301">
        <f>SUM(I70:I74)</f>
        <v/>
      </c>
      <c r="J75" s="301">
        <f>SUM(J70:J74)</f>
        <v/>
      </c>
      <c r="K75" s="301">
        <f>SUM(K70:K74)</f>
        <v/>
      </c>
      <c r="L75" s="317">
        <f>SUM(L70:L74)</f>
        <v/>
      </c>
      <c r="M75" s="301">
        <f>SUM(M70:M74)</f>
        <v/>
      </c>
      <c r="N75" s="301">
        <f>SUM(N70:N74)</f>
        <v/>
      </c>
      <c r="O75" s="301">
        <f>L75-M75</f>
        <v/>
      </c>
      <c r="P75" s="301">
        <f>SUM(P70:P74)</f>
        <v/>
      </c>
      <c r="Q75" s="301">
        <f>M75+O75</f>
        <v/>
      </c>
      <c r="R75" s="301">
        <f>SUM(R70:R74)</f>
        <v/>
      </c>
      <c r="S75" s="301">
        <f>SUM(S70:S74)</f>
        <v/>
      </c>
      <c r="T75" s="301" t="n"/>
      <c r="U75" s="301" t="n"/>
      <c r="V75" s="301" t="n"/>
      <c r="W75" s="301" t="n"/>
      <c r="X75" s="301" t="n"/>
      <c r="Y75" s="301" t="n"/>
      <c r="Z75" s="301">
        <f>SUM(Z70:Z74)</f>
        <v/>
      </c>
      <c r="AA75" s="301">
        <f>SUM(AA70:AA74)</f>
        <v/>
      </c>
      <c r="AB75" s="301">
        <f>SUM(AB70:AB74)</f>
        <v/>
      </c>
      <c r="AC75" s="301">
        <f>SUM(AC70:AC74)</f>
        <v/>
      </c>
      <c r="AD75" s="301">
        <f>SUM(AD70:AD74)</f>
        <v/>
      </c>
      <c r="AE75" s="301">
        <f>SUM(AE70:AE74)</f>
        <v/>
      </c>
      <c r="AF75" s="301">
        <f>SUM(AF70:AF74)</f>
        <v/>
      </c>
      <c r="AG75" s="301" t="n"/>
      <c r="AH75" s="301" t="n"/>
      <c r="AI75" s="301">
        <f>SUM(AI70:AI74)</f>
        <v/>
      </c>
      <c r="AJ75" s="301">
        <f>SUM(AJ70:AJ74)</f>
        <v/>
      </c>
      <c r="AK75" s="301">
        <f>SUM(AK70:AK74)</f>
        <v/>
      </c>
      <c r="AL75" s="291" t="n"/>
    </row>
    <row r="76" ht="14" customFormat="1" customHeight="1" s="180">
      <c r="A76" s="282" t="n"/>
      <c r="B76" s="283" t="n"/>
      <c r="C76" s="283" t="n"/>
      <c r="D76" s="302" t="inlineStr">
        <is>
          <t>（六）间接费</t>
        </is>
      </c>
      <c r="E76" s="295" t="n"/>
      <c r="F76" s="295" t="n"/>
      <c r="G76" s="295" t="n"/>
      <c r="H76" s="288" t="n"/>
      <c r="I76" s="285" t="n"/>
      <c r="J76" s="285" t="n">
        <v>0</v>
      </c>
      <c r="K76" s="286" t="n">
        <v>0</v>
      </c>
      <c r="L76" s="287">
        <f>J76-N76-P76</f>
        <v/>
      </c>
      <c r="M76" s="288" t="n"/>
      <c r="N76" s="288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9" t="n"/>
      <c r="U76" s="289" t="n"/>
      <c r="V76" s="289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90" t="n"/>
      <c r="AL76" s="291" t="n"/>
    </row>
    <row r="77" ht="14" customFormat="1" customHeight="1" s="180">
      <c r="A77" s="206" t="n">
        <v>1</v>
      </c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6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2</v>
      </c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6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3</v>
      </c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4</v>
      </c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5</v>
      </c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6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6</v>
      </c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6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7</v>
      </c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6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8</v>
      </c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9</v>
      </c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6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10</v>
      </c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6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11</v>
      </c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6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12</v>
      </c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13</v>
      </c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14</v>
      </c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15</v>
      </c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16</v>
      </c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17</v>
      </c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18</v>
      </c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19</v>
      </c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20</v>
      </c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21</v>
      </c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22</v>
      </c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23</v>
      </c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24</v>
      </c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25</v>
      </c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26</v>
      </c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27</v>
      </c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28</v>
      </c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29</v>
      </c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30</v>
      </c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31</v>
      </c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32</v>
      </c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/>
      <c r="B109" s="283" t="n"/>
      <c r="C109" s="283" t="n"/>
      <c r="D109" s="294" t="inlineStr">
        <is>
          <t>**财务未列部分需增列***</t>
        </is>
      </c>
      <c r="E109" s="295" t="n"/>
      <c r="F109" s="295" t="n"/>
      <c r="G109" s="295" t="n"/>
      <c r="H109" s="318" t="n"/>
      <c r="I109" s="285" t="n"/>
      <c r="J109" s="318" t="n"/>
      <c r="K109" s="286" t="n"/>
      <c r="L109" s="287" t="n"/>
      <c r="M109" s="318" t="n"/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18" t="n"/>
      <c r="U109" s="318" t="n"/>
      <c r="V109" s="318" t="n"/>
      <c r="W109" s="318" t="n"/>
      <c r="X109" s="318" t="n"/>
      <c r="Y109" s="318" t="n"/>
      <c r="Z109" s="318" t="n"/>
      <c r="AA109" s="289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7" t="n"/>
    </row>
    <row r="110">
      <c r="A110" s="319" t="n"/>
      <c r="B110" s="320" t="n"/>
      <c r="C110" s="320" t="n"/>
      <c r="D110" s="315" t="inlineStr">
        <is>
          <t>间接费小计：</t>
        </is>
      </c>
      <c r="E110" s="321" t="n"/>
      <c r="F110" s="321" t="n"/>
      <c r="G110" s="321" t="n"/>
      <c r="H110" s="301">
        <f>SUM(H76:H109)</f>
        <v/>
      </c>
      <c r="I110" s="301">
        <f>SUM(I76:I109)</f>
        <v/>
      </c>
      <c r="J110" s="301">
        <f>SUM(J76:J109)</f>
        <v/>
      </c>
      <c r="K110" s="301">
        <f>SUM(K76:K109)</f>
        <v/>
      </c>
      <c r="L110" s="317">
        <f>SUM(L76:L109)</f>
        <v/>
      </c>
      <c r="M110" s="317">
        <f>SUM(M76:M109)</f>
        <v/>
      </c>
      <c r="N110" s="317">
        <f>SUM(N76:N109)</f>
        <v/>
      </c>
      <c r="O110" s="317">
        <f>SUM(O76:O109)</f>
        <v/>
      </c>
      <c r="P110" s="317">
        <f>SUM(P76:P109)</f>
        <v/>
      </c>
      <c r="Q110" s="317">
        <f>SUM(Q76:Q109)</f>
        <v/>
      </c>
      <c r="R110" s="317">
        <f>SUM(R76:R109)</f>
        <v/>
      </c>
      <c r="S110" s="317">
        <f>SUM(S76:S109)</f>
        <v/>
      </c>
      <c r="T110" s="317" t="n"/>
      <c r="U110" s="317" t="n"/>
      <c r="V110" s="317" t="n"/>
      <c r="W110" s="317" t="n"/>
      <c r="X110" s="317" t="n"/>
      <c r="Y110" s="317" t="n"/>
      <c r="Z110" s="317">
        <f>SUM(Z76:Z109)</f>
        <v/>
      </c>
      <c r="AA110" s="317">
        <f>SUM(AA76:AA109)</f>
        <v/>
      </c>
      <c r="AB110" s="317">
        <f>SUM(AB76:AB109)</f>
        <v/>
      </c>
      <c r="AC110" s="317">
        <f>SUM(AC76:AC109)</f>
        <v/>
      </c>
      <c r="AD110" s="317">
        <f>SUM(AD76:AD109)</f>
        <v/>
      </c>
      <c r="AE110" s="317">
        <f>SUM(AE76:AE109)</f>
        <v/>
      </c>
      <c r="AF110" s="317">
        <f>SUM(AF76:AF109)</f>
        <v/>
      </c>
      <c r="AG110" s="317" t="n"/>
      <c r="AH110" s="317" t="n"/>
      <c r="AI110" s="317">
        <f>SUM(AI76:AI109)</f>
        <v/>
      </c>
      <c r="AJ110" s="317">
        <f>SUM(AJ76:AJ109)</f>
        <v/>
      </c>
      <c r="AK110" s="317">
        <f>SUM(AK76:AK109)</f>
        <v/>
      </c>
      <c r="AL110" s="297" t="n"/>
    </row>
    <row r="111">
      <c r="A111" s="282" t="n"/>
      <c r="B111" s="283" t="n"/>
      <c r="C111" s="283" t="n"/>
      <c r="D111" s="302" t="inlineStr">
        <is>
          <t>（七）安全费</t>
        </is>
      </c>
      <c r="E111" s="295" t="n"/>
      <c r="F111" s="295" t="n"/>
      <c r="G111" s="295" t="n"/>
      <c r="H111" s="285" t="n"/>
      <c r="I111" s="285" t="n"/>
      <c r="J111" s="288" t="n">
        <v>0</v>
      </c>
      <c r="K111" s="322" t="n"/>
      <c r="L111" s="287">
        <f>J111-N111-P111</f>
        <v/>
      </c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318" t="n"/>
      <c r="U111" s="318" t="n"/>
      <c r="V111" s="318" t="n"/>
      <c r="W111" s="318" t="n"/>
      <c r="X111" s="318" t="n"/>
      <c r="Y111" s="318" t="n"/>
      <c r="Z111" s="314" t="n"/>
      <c r="AA111" s="289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7" t="n"/>
    </row>
    <row r="112">
      <c r="A112" s="206" t="n">
        <v>1</v>
      </c>
      <c r="B112" s="206" t="n"/>
      <c r="C112" s="207" t="n"/>
      <c r="D112" s="207" t="inlineStr">
        <is>
          <t>安全生产-分包工程支出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6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2</v>
      </c>
      <c r="B113" s="206" t="n"/>
      <c r="C113" s="207" t="n"/>
      <c r="D113" s="207" t="inlineStr">
        <is>
          <t>安全生产-直接人工费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6">
        <f>J113-K113</f>
        <v/>
      </c>
      <c r="M113" s="210" t="n">
        <v>951309.41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3</v>
      </c>
      <c r="B114" s="206" t="n"/>
      <c r="C114" s="207" t="n"/>
      <c r="D114" s="207" t="inlineStr">
        <is>
          <t>安全生产费-报销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162980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319" t="n"/>
      <c r="B115" s="320" t="n"/>
      <c r="C115" s="320" t="n"/>
      <c r="D115" s="315" t="inlineStr">
        <is>
          <t>安全费小计：</t>
        </is>
      </c>
      <c r="E115" s="315" t="n"/>
      <c r="F115" s="315" t="n"/>
      <c r="G115" s="315" t="n"/>
      <c r="H115" s="301">
        <f>SUM(H111:H114)</f>
        <v/>
      </c>
      <c r="I115" s="301">
        <f>SUM(I111:I114)</f>
        <v/>
      </c>
      <c r="J115" s="301" t="n">
        <v>0</v>
      </c>
      <c r="K115" s="301" t="n">
        <v>0</v>
      </c>
      <c r="L115" s="323">
        <f>J115-K115</f>
        <v/>
      </c>
      <c r="M115" s="317">
        <f>SUM(M111:M114)</f>
        <v/>
      </c>
      <c r="N115" s="317">
        <f>SUM(N111:N114)</f>
        <v/>
      </c>
      <c r="O115" s="317">
        <f>SUM(O111:O114)</f>
        <v/>
      </c>
      <c r="P115" s="317">
        <f>SUM(P111:P114)</f>
        <v/>
      </c>
      <c r="Q115" s="317">
        <f>SUM(Q111:Q114)</f>
        <v/>
      </c>
      <c r="R115" s="317">
        <f>SUM(R111:R114)</f>
        <v/>
      </c>
      <c r="S115" s="317">
        <f>SUM(S111:S114)</f>
        <v/>
      </c>
      <c r="T115" s="324" t="n"/>
      <c r="U115" s="324" t="n"/>
      <c r="V115" s="324" t="n"/>
      <c r="W115" s="324" t="n"/>
      <c r="X115" s="324" t="n"/>
      <c r="Y115" s="324" t="n"/>
      <c r="Z115" s="324" t="n"/>
      <c r="AA115" s="324">
        <f>SUM(AA111:AA114)</f>
        <v/>
      </c>
      <c r="AB115" s="324">
        <f>SUM(AB111:AB114)</f>
        <v/>
      </c>
      <c r="AC115" s="324">
        <f>SUM(AC111:AC114)</f>
        <v/>
      </c>
      <c r="AD115" s="324">
        <f>SUM(AD111:AD114)</f>
        <v/>
      </c>
      <c r="AE115" s="324">
        <f>SUM(AE111:AE114)</f>
        <v/>
      </c>
      <c r="AF115" s="324">
        <f>SUM(AF111:AF114)</f>
        <v/>
      </c>
      <c r="AG115" s="324" t="n"/>
      <c r="AH115" s="324" t="n"/>
      <c r="AI115" s="324">
        <f>SUM(AI111:AI114)</f>
        <v/>
      </c>
      <c r="AJ115" s="324">
        <f>SUM(AJ111:AJ114)</f>
        <v/>
      </c>
      <c r="AK115" s="324">
        <f>SUM(AK111:AK114)</f>
        <v/>
      </c>
      <c r="AL115" s="325" t="n"/>
    </row>
    <row r="116">
      <c r="A116" s="319" t="n"/>
      <c r="B116" s="320" t="n"/>
      <c r="C116" s="320" t="n"/>
      <c r="D116" s="315" t="inlineStr">
        <is>
          <t>三、成本合计：</t>
        </is>
      </c>
      <c r="E116" s="321" t="n"/>
      <c r="F116" s="321" t="n"/>
      <c r="G116" s="321" t="n"/>
      <c r="H116" s="301">
        <f>H21+H33+H61+H69+H75+H110+H115</f>
        <v/>
      </c>
      <c r="I116" s="301">
        <f>I21+I33+I61+I69+I75+I110+I115</f>
        <v/>
      </c>
      <c r="J116" s="301">
        <f>J21+J33+J61+J69+J75+J110+J115</f>
        <v/>
      </c>
      <c r="K116" s="301">
        <f>K21+K33+K61+K69+K75+K110+K115</f>
        <v/>
      </c>
      <c r="L116" s="317">
        <f>L21+L33+L61+L69+L75+L110+L115</f>
        <v/>
      </c>
      <c r="M116" s="324">
        <f>M21+M33+M61+M69+M75+M110+M115</f>
        <v/>
      </c>
      <c r="N116" s="324">
        <f>N21+N33+N61+N69+N75+N110+N115</f>
        <v/>
      </c>
      <c r="O116" s="324">
        <f>O21+O33+O61+O69+O75+O110+O115</f>
        <v/>
      </c>
      <c r="P116" s="324">
        <f>P21+P33+P61+P69+P75+P110+P115</f>
        <v/>
      </c>
      <c r="Q116" s="324">
        <f>Q21+Q33+Q61+Q69+Q75+Q110+Q115</f>
        <v/>
      </c>
      <c r="R116" s="324">
        <f>R21+R33+R61+R69+R75+R110+R115</f>
        <v/>
      </c>
      <c r="S116" s="324">
        <f>S21+S33+S61+S69+S75+S110+S115</f>
        <v/>
      </c>
      <c r="T116" s="324" t="n"/>
      <c r="U116" s="324" t="n"/>
      <c r="V116" s="324" t="n"/>
      <c r="W116" s="324" t="n"/>
      <c r="X116" s="324" t="n"/>
      <c r="Y116" s="324" t="n"/>
      <c r="Z116" s="324">
        <f>Z21+Z33+Z61+Z69+Z75+Z110+Z115</f>
        <v/>
      </c>
      <c r="AA116" s="324">
        <f>AA21+AA33+AA61+AA69+AA75+AA110+AA115</f>
        <v/>
      </c>
      <c r="AB116" s="324">
        <f>AB21+AB33+AB61+AB69+AB75+AB110+AB115</f>
        <v/>
      </c>
      <c r="AC116" s="324">
        <f>AC21+AC33+AC61+AC69+AC75+AC110+AC115</f>
        <v/>
      </c>
      <c r="AD116" s="324">
        <f>AD21+AD33+AD61+AD69+AD75+AD110+AD115</f>
        <v/>
      </c>
      <c r="AE116" s="324">
        <f>AE21+AE33+AE61+AE69+AE75+AE110+AE115</f>
        <v/>
      </c>
      <c r="AF116" s="324">
        <f>AF21+AF33+AF61+AF69+AF75+AF110+AF115</f>
        <v/>
      </c>
      <c r="AG116" s="324" t="n"/>
      <c r="AH116" s="324" t="n"/>
      <c r="AI116" s="324">
        <f>AI21+AI33+AI61+AI69+AI75+AI110+AI115</f>
        <v/>
      </c>
      <c r="AJ116" s="324">
        <f>AJ21+AJ33+AJ61+AJ69+AJ75+AJ110+AJ115</f>
        <v/>
      </c>
      <c r="AK116" s="324">
        <f>AK21+AK33+AK61+AK69+AK75+AK110+AK115</f>
        <v/>
      </c>
      <c r="AL116" s="325" t="n"/>
    </row>
    <row r="117">
      <c r="A117" s="319" t="n"/>
      <c r="B117" s="320" t="n"/>
      <c r="C117" s="320" t="n"/>
      <c r="D117" s="315" t="inlineStr">
        <is>
          <t>四、计提保修金</t>
        </is>
      </c>
      <c r="E117" s="321" t="inlineStr">
        <is>
          <t>（在建：房建0.6%，其它0.4%；在保修期间的按0.3~0.5%自行确定;保修期结束为0）</t>
        </is>
      </c>
      <c r="F117" s="321" t="n"/>
      <c r="G117" s="321" t="n"/>
      <c r="H117" s="301" t="n"/>
      <c r="I117" s="301" t="n"/>
      <c r="J117" s="301">
        <f>H117+I117</f>
        <v/>
      </c>
      <c r="K117" s="301" t="n"/>
      <c r="L117" s="317">
        <f>J117-K117</f>
        <v/>
      </c>
      <c r="M117" s="324" t="n"/>
      <c r="N117" s="324" t="n"/>
      <c r="O117" s="324">
        <f>L117-M117</f>
        <v/>
      </c>
      <c r="P117" s="324">
        <f>K117-N117</f>
        <v/>
      </c>
      <c r="Q117" s="324">
        <f>M117+O117</f>
        <v/>
      </c>
      <c r="R117" s="324">
        <f>M117+N117+O117+P117</f>
        <v/>
      </c>
      <c r="S117" s="324">
        <f>SUM(T117:V117)</f>
        <v/>
      </c>
      <c r="T117" s="324" t="n"/>
      <c r="U117" s="324" t="n"/>
      <c r="V117" s="324" t="n"/>
      <c r="W117" s="324" t="n"/>
      <c r="X117" s="324" t="n"/>
      <c r="Y117" s="324" t="n"/>
      <c r="Z117" s="324" t="n"/>
      <c r="AA117" s="324">
        <f>Q69-S69</f>
        <v/>
      </c>
      <c r="AB117" s="324" t="n"/>
      <c r="AC117" s="324" t="n"/>
      <c r="AD117" s="324" t="n"/>
      <c r="AE117" s="324" t="n"/>
      <c r="AF117" s="324" t="n"/>
      <c r="AG117" s="324" t="n"/>
      <c r="AH117" s="324" t="n"/>
      <c r="AI117" s="324" t="n"/>
      <c r="AJ117" s="324" t="n"/>
      <c r="AK117" s="324" t="n"/>
      <c r="AL117" s="325" t="n"/>
    </row>
    <row r="118">
      <c r="A118" s="319" t="n"/>
      <c r="B118" s="320" t="n"/>
      <c r="C118" s="320" t="n"/>
      <c r="D118" s="315" t="inlineStr">
        <is>
          <t>五、过程节点奖金</t>
        </is>
      </c>
      <c r="E118" s="321" t="n"/>
      <c r="F118" s="321" t="n"/>
      <c r="G118" s="321" t="n"/>
      <c r="H118" s="301" t="n"/>
      <c r="I118" s="301" t="n"/>
      <c r="J118" s="301">
        <f>H118+I118</f>
        <v/>
      </c>
      <c r="K118" s="301" t="n"/>
      <c r="L118" s="317">
        <f>J118-K118</f>
        <v/>
      </c>
      <c r="M118" s="324" t="n"/>
      <c r="N118" s="324" t="n"/>
      <c r="O118" s="324">
        <f>L118-M118</f>
        <v/>
      </c>
      <c r="P118" s="324">
        <f>K118-N118</f>
        <v/>
      </c>
      <c r="Q118" s="324">
        <f>M118+O118</f>
        <v/>
      </c>
      <c r="R118" s="324">
        <f>M118+N118+O118+P118</f>
        <v/>
      </c>
      <c r="S118" s="324">
        <f>SUM(T118:V118)</f>
        <v/>
      </c>
      <c r="T118" s="324" t="n"/>
      <c r="U118" s="324" t="n"/>
      <c r="V118" s="324" t="n"/>
      <c r="W118" s="324" t="n"/>
      <c r="X118" s="324" t="n"/>
      <c r="Y118" s="324" t="n"/>
      <c r="Z118" s="324" t="n"/>
      <c r="AA118" s="324" t="n"/>
      <c r="AB118" s="324" t="n"/>
      <c r="AC118" s="324" t="n"/>
      <c r="AD118" s="324" t="n"/>
      <c r="AE118" s="324" t="n"/>
      <c r="AF118" s="324" t="n"/>
      <c r="AG118" s="324" t="n"/>
      <c r="AH118" s="324" t="n"/>
      <c r="AI118" s="324" t="n"/>
      <c r="AJ118" s="324" t="n"/>
      <c r="AK118" s="324" t="n"/>
      <c r="AL118" s="325" t="n"/>
    </row>
    <row r="119">
      <c r="A119" s="319" t="n"/>
      <c r="B119" s="320" t="n"/>
      <c r="C119" s="320" t="n"/>
      <c r="D119" s="315" t="inlineStr">
        <is>
          <t>六、资金占用费用</t>
        </is>
      </c>
      <c r="E119" s="321" t="n"/>
      <c r="F119" s="321" t="n"/>
      <c r="G119" s="321" t="n"/>
      <c r="H119" s="301" t="n"/>
      <c r="I119" s="301" t="n"/>
      <c r="J119" s="301">
        <f>H119+I119</f>
        <v/>
      </c>
      <c r="K119" s="301" t="n"/>
      <c r="L119" s="317">
        <f>J119-K119</f>
        <v/>
      </c>
      <c r="M119" s="326" t="n">
        <v>762837.87</v>
      </c>
      <c r="N119" s="324" t="n"/>
      <c r="O119" s="324">
        <f>L119-M119</f>
        <v/>
      </c>
      <c r="P119" s="324">
        <f>K119-N119</f>
        <v/>
      </c>
      <c r="Q119" s="324">
        <f>M119+O119</f>
        <v/>
      </c>
      <c r="R119" s="324">
        <f>M119+N119+O119+P119</f>
        <v/>
      </c>
      <c r="S119" s="324">
        <f>SUM(T119:V119)</f>
        <v/>
      </c>
      <c r="T119" s="324" t="n"/>
      <c r="U119" s="324" t="n"/>
      <c r="V119" s="324" t="n"/>
      <c r="W119" s="324" t="n"/>
      <c r="X119" s="324" t="n"/>
      <c r="Y119" s="324" t="n"/>
      <c r="Z119" s="324" t="n"/>
      <c r="AA119" s="324" t="n"/>
      <c r="AB119" s="324" t="n"/>
      <c r="AC119" s="324" t="n"/>
      <c r="AD119" s="324" t="n"/>
      <c r="AE119" s="324" t="n"/>
      <c r="AF119" s="324" t="n"/>
      <c r="AG119" s="324" t="n"/>
      <c r="AH119" s="324" t="n"/>
      <c r="AI119" s="324" t="n"/>
      <c r="AJ119" s="324" t="n"/>
      <c r="AK119" s="324" t="n"/>
      <c r="AL119" s="325" t="n"/>
    </row>
    <row r="120">
      <c r="A120" s="319" t="n"/>
      <c r="B120" s="320" t="n"/>
      <c r="C120" s="320" t="n"/>
      <c r="D120" s="315" t="inlineStr">
        <is>
          <t>七、局投资收益（局投资项目选填）</t>
        </is>
      </c>
      <c r="E120" s="321" t="n"/>
      <c r="F120" s="321" t="n"/>
      <c r="G120" s="321" t="n"/>
      <c r="H120" s="301" t="n"/>
      <c r="I120" s="301" t="n"/>
      <c r="J120" s="301">
        <f>H120+I120</f>
        <v/>
      </c>
      <c r="K120" s="301" t="n"/>
      <c r="L120" s="317">
        <f>J120-K120</f>
        <v/>
      </c>
      <c r="M120" s="324" t="n"/>
      <c r="N120" s="324" t="n"/>
      <c r="O120" s="324">
        <f>L120-M120</f>
        <v/>
      </c>
      <c r="P120" s="324">
        <f>K120-N120</f>
        <v/>
      </c>
      <c r="Q120" s="324">
        <f>M120+O120</f>
        <v/>
      </c>
      <c r="R120" s="324">
        <f>M120+N120+O120+P120</f>
        <v/>
      </c>
      <c r="S120" s="324">
        <f>SUM(T120:V120)</f>
        <v/>
      </c>
      <c r="T120" s="324" t="n"/>
      <c r="U120" s="324" t="n"/>
      <c r="V120" s="324" t="n"/>
      <c r="W120" s="324" t="n"/>
      <c r="X120" s="324" t="n"/>
      <c r="Y120" s="324" t="n"/>
      <c r="Z120" s="324" t="n"/>
      <c r="AA120" s="324" t="n"/>
      <c r="AB120" s="324" t="n"/>
      <c r="AC120" s="324" t="n"/>
      <c r="AD120" s="324" t="n"/>
      <c r="AE120" s="324" t="n"/>
      <c r="AF120" s="324" t="n"/>
      <c r="AG120" s="324" t="n"/>
      <c r="AH120" s="324" t="n"/>
      <c r="AI120" s="324" t="n"/>
      <c r="AJ120" s="324" t="n"/>
      <c r="AK120" s="324" t="n"/>
      <c r="AL120" s="325" t="n"/>
    </row>
    <row r="121">
      <c r="A121" s="319" t="n"/>
      <c r="B121" s="320" t="n"/>
      <c r="C121" s="320" t="n"/>
      <c r="D121" s="315" t="inlineStr">
        <is>
          <t>八、研发费用</t>
        </is>
      </c>
      <c r="E121" s="321" t="n"/>
      <c r="F121" s="321" t="n"/>
      <c r="G121" s="321" t="n"/>
      <c r="H121" s="301" t="n"/>
      <c r="I121" s="301" t="n"/>
      <c r="J121" s="301">
        <f>H121+I121</f>
        <v/>
      </c>
      <c r="K121" s="301" t="n"/>
      <c r="L121" s="317">
        <f>J121-K121</f>
        <v/>
      </c>
      <c r="M121" s="324">
        <f>SUM(M122:M122)</f>
        <v/>
      </c>
      <c r="N121" s="324">
        <f>SUM(N122:N122)</f>
        <v/>
      </c>
      <c r="O121" s="324">
        <f>SUM(O122:O122)</f>
        <v/>
      </c>
      <c r="P121" s="324">
        <f>SUM(P122:P122)</f>
        <v/>
      </c>
      <c r="Q121" s="324">
        <f>SUM(Q122:Q122)</f>
        <v/>
      </c>
      <c r="R121" s="324">
        <f>SUM(R122:R122)</f>
        <v/>
      </c>
      <c r="S121" s="324">
        <f>SUM(S122:S122)</f>
        <v/>
      </c>
      <c r="T121" s="324">
        <f>SUM(T122:T122)</f>
        <v/>
      </c>
      <c r="U121" s="324">
        <f>SUM(U122:U122)</f>
        <v/>
      </c>
      <c r="V121" s="324">
        <f>SUM(V122:V122)</f>
        <v/>
      </c>
      <c r="W121" s="324">
        <f>SUM(W122:W122)</f>
        <v/>
      </c>
      <c r="X121" s="324">
        <f>SUM(X122:X122)</f>
        <v/>
      </c>
      <c r="Y121" s="324">
        <f>SUM(Y122:Y122)</f>
        <v/>
      </c>
      <c r="Z121" s="324">
        <f>SUM(Z122:Z122)</f>
        <v/>
      </c>
      <c r="AA121" s="324">
        <f>SUM(AA122:AA122)</f>
        <v/>
      </c>
      <c r="AB121" s="324">
        <f>SUM(AB122:AB122)</f>
        <v/>
      </c>
      <c r="AC121" s="324">
        <f>SUM(AC122:AC122)</f>
        <v/>
      </c>
      <c r="AD121" s="324">
        <f>SUM(AD122:AD122)</f>
        <v/>
      </c>
      <c r="AE121" s="324">
        <f>SUM(AE122:AE122)</f>
        <v/>
      </c>
      <c r="AF121" s="324">
        <f>SUM(AF122:AF122)</f>
        <v/>
      </c>
      <c r="AG121" s="324">
        <f>SUM(AG122:AG122)</f>
        <v/>
      </c>
      <c r="AH121" s="324">
        <f>SUM(AH122:AH122)</f>
        <v/>
      </c>
      <c r="AI121" s="324">
        <f>SUM(AI122:AI122)</f>
        <v/>
      </c>
      <c r="AJ121" s="324">
        <f>SUM(AJ122:AJ122)</f>
        <v/>
      </c>
      <c r="AK121" s="324">
        <f>SUM(AK122:AK122)</f>
        <v/>
      </c>
      <c r="AL121" s="325" t="n"/>
    </row>
    <row r="122">
      <c r="A122" s="209" t="n">
        <v>1</v>
      </c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  <c r="AI122" s="293" t="n"/>
      <c r="AJ122" s="293" t="n"/>
      <c r="AK122" s="293" t="n"/>
      <c r="AL122" s="293" t="n"/>
    </row>
    <row r="123">
      <c r="A123" s="298" t="n"/>
      <c r="B123" s="299" t="n"/>
      <c r="C123" s="299" t="n"/>
      <c r="D123" s="315" t="inlineStr">
        <is>
          <t>九、成本及费用合计（三+四+五+六+七）</t>
        </is>
      </c>
      <c r="E123" s="316" t="n"/>
      <c r="F123" s="316" t="n"/>
      <c r="G123" s="316" t="n"/>
      <c r="H123" s="301">
        <f>H116+H117+H118+H119+H120+H121</f>
        <v/>
      </c>
      <c r="I123" s="301">
        <f>I116+I117+I118+I119+I120+I121</f>
        <v/>
      </c>
      <c r="J123" s="327">
        <f>J116+J117+J118+J119+J120+J121</f>
        <v/>
      </c>
      <c r="K123" s="301">
        <f>K116+K117+K118+K119+K120+K121</f>
        <v/>
      </c>
      <c r="L123" s="328">
        <f>L116+L117+L118+L119+L120+L121</f>
        <v/>
      </c>
      <c r="M123" s="328">
        <f>M116+M117+M118+M119+M120+M121</f>
        <v/>
      </c>
      <c r="N123" s="328">
        <f>N116+N117+N118+N119+N120+N121</f>
        <v/>
      </c>
      <c r="O123" s="328">
        <f>O116+O117+O118+O119+O120+O121</f>
        <v/>
      </c>
      <c r="P123" s="328">
        <f>P116+P117+P118+P119+P120+P121</f>
        <v/>
      </c>
      <c r="Q123" s="328">
        <f>Q116+Q117+Q118+Q119+Q120+Q121</f>
        <v/>
      </c>
      <c r="R123" s="328">
        <f>R116+R117+R118+R119+R120+R121</f>
        <v/>
      </c>
      <c r="S123" s="324">
        <f>S116+S117+S118+S119+S120+S121</f>
        <v/>
      </c>
      <c r="T123" s="324" t="n"/>
      <c r="U123" s="324" t="n"/>
      <c r="V123" s="324" t="n"/>
      <c r="W123" s="324" t="n"/>
      <c r="X123" s="324" t="n"/>
      <c r="Y123" s="324" t="n"/>
      <c r="Z123" s="324">
        <f>Z116+Z117+Z118+Z119+Z120+Z121</f>
        <v/>
      </c>
      <c r="AA123" s="324">
        <f>AA116+AA117+AA118+AA119+AA120+AA121</f>
        <v/>
      </c>
      <c r="AB123" s="329" t="n"/>
      <c r="AC123" s="329" t="n"/>
      <c r="AD123" s="329" t="n"/>
      <c r="AE123" s="329" t="n"/>
      <c r="AF123" s="329" t="n"/>
      <c r="AG123" s="329" t="n"/>
      <c r="AH123" s="329" t="n"/>
      <c r="AI123" s="329" t="n"/>
      <c r="AJ123" s="329" t="n"/>
      <c r="AK123" s="330" t="n"/>
      <c r="AL123" s="331" t="n"/>
    </row>
    <row r="124">
      <c r="A124" s="298" t="n"/>
      <c r="B124" s="299" t="n"/>
      <c r="C124" s="299" t="n"/>
      <c r="D124" s="315" t="inlineStr">
        <is>
          <t>十、增值税实际税负（按财务数据）</t>
        </is>
      </c>
      <c r="E124" s="316" t="inlineStr">
        <is>
          <t>根据财务账面实际已缴纳增值税额+尚需缴纳的增值税额</t>
        </is>
      </c>
      <c r="F124" s="316" t="n"/>
      <c r="G124" s="316" t="n"/>
      <c r="H124" s="301" t="n"/>
      <c r="I124" s="301" t="n"/>
      <c r="J124" s="327">
        <f>H78+I78</f>
        <v/>
      </c>
      <c r="K124" s="301" t="inlineStr">
        <is>
          <t>/</t>
        </is>
      </c>
      <c r="L124" s="328" t="inlineStr">
        <is>
          <t>/</t>
        </is>
      </c>
      <c r="M124" s="328" t="n"/>
      <c r="N124" s="328">
        <f>N6-N77</f>
        <v/>
      </c>
      <c r="O124" s="328" t="n"/>
      <c r="P124" s="328" t="n"/>
      <c r="Q124" s="328" t="inlineStr">
        <is>
          <t>/</t>
        </is>
      </c>
      <c r="R124" s="328">
        <f>N78+P78</f>
        <v/>
      </c>
      <c r="S124" s="324" t="n"/>
      <c r="T124" s="324" t="n"/>
      <c r="U124" s="324" t="n"/>
      <c r="V124" s="324" t="n"/>
      <c r="W124" s="324" t="n"/>
      <c r="X124" s="324" t="n"/>
      <c r="Y124" s="324" t="n"/>
      <c r="Z124" s="324" t="n"/>
      <c r="AA124" s="324" t="n"/>
      <c r="AB124" s="329" t="n"/>
      <c r="AC124" s="329" t="n"/>
      <c r="AD124" s="329" t="n"/>
      <c r="AE124" s="329" t="n"/>
      <c r="AF124" s="329" t="n"/>
      <c r="AG124" s="329" t="n"/>
      <c r="AH124" s="329" t="n"/>
      <c r="AI124" s="329" t="n"/>
      <c r="AJ124" s="329" t="n"/>
      <c r="AK124" s="330" t="n"/>
      <c r="AL124" s="331" t="n"/>
    </row>
    <row r="125">
      <c r="A125" s="298" t="n"/>
      <c r="B125" s="299" t="n"/>
      <c r="C125" s="299" t="n"/>
      <c r="D125" s="315" t="inlineStr">
        <is>
          <t>十一、税金及附加（按财务数据）</t>
        </is>
      </c>
      <c r="E125" s="316" t="inlineStr">
        <is>
          <t>根据财务账面实际已缴纳税金及附加+尚需缴纳的税金及附加</t>
        </is>
      </c>
      <c r="F125" s="316" t="n"/>
      <c r="G125" s="316" t="n"/>
      <c r="H125" s="301" t="n"/>
      <c r="I125" s="301" t="n"/>
      <c r="J125" s="327">
        <f>H79+I79</f>
        <v/>
      </c>
      <c r="K125" s="301" t="n"/>
      <c r="L125" s="328">
        <f>J79</f>
        <v/>
      </c>
      <c r="M125" s="332" t="n">
        <v>260389.37</v>
      </c>
      <c r="N125" s="328" t="n"/>
      <c r="O125" s="328">
        <f>L79-M79</f>
        <v/>
      </c>
      <c r="P125" s="328" t="n"/>
      <c r="Q125" s="328">
        <f>M79+O79</f>
        <v/>
      </c>
      <c r="R125" s="328">
        <f>Q79</f>
        <v/>
      </c>
      <c r="S125" s="324" t="n"/>
      <c r="T125" s="324" t="n"/>
      <c r="U125" s="324" t="n"/>
      <c r="V125" s="324" t="n"/>
      <c r="W125" s="324" t="n"/>
      <c r="X125" s="324" t="n"/>
      <c r="Y125" s="324" t="n"/>
      <c r="Z125" s="324" t="n"/>
      <c r="AA125" s="324" t="n"/>
      <c r="AB125" s="329" t="n"/>
      <c r="AC125" s="329" t="n"/>
      <c r="AD125" s="329" t="n"/>
      <c r="AE125" s="329" t="n"/>
      <c r="AF125" s="329" t="n"/>
      <c r="AG125" s="329" t="n"/>
      <c r="AH125" s="329" t="n"/>
      <c r="AI125" s="329" t="n"/>
      <c r="AJ125" s="329" t="n"/>
      <c r="AK125" s="330" t="n"/>
      <c r="AL125" s="331" t="n"/>
    </row>
    <row r="126">
      <c r="A126" s="298" t="n"/>
      <c r="B126" s="299" t="n"/>
      <c r="C126" s="299" t="n"/>
      <c r="D126" s="315" t="inlineStr">
        <is>
          <t>十二、利润</t>
        </is>
      </c>
      <c r="E126" s="316" t="n"/>
      <c r="F126" s="316" t="n"/>
      <c r="G126" s="316" t="n"/>
      <c r="H126" s="301" t="n"/>
      <c r="I126" s="301" t="n"/>
      <c r="J126" s="327">
        <f>J6-J123-J124-J125</f>
        <v/>
      </c>
      <c r="K126" s="301" t="n"/>
      <c r="L126" s="328" t="n"/>
      <c r="M126" s="328" t="n"/>
      <c r="N126" s="328" t="n"/>
      <c r="O126" s="328" t="n"/>
      <c r="P126" s="328" t="n"/>
      <c r="Q126" s="328" t="n"/>
      <c r="R126" s="328" t="n"/>
      <c r="S126" s="324" t="n"/>
      <c r="T126" s="324" t="n"/>
      <c r="U126" s="324" t="n"/>
      <c r="V126" s="324" t="n"/>
      <c r="W126" s="324" t="n"/>
      <c r="X126" s="324" t="n"/>
      <c r="Y126" s="324" t="n"/>
      <c r="Z126" s="324" t="n"/>
      <c r="AA126" s="324" t="n"/>
      <c r="AB126" s="329" t="n"/>
      <c r="AC126" s="329" t="n"/>
      <c r="AD126" s="329" t="n"/>
      <c r="AE126" s="329" t="n"/>
      <c r="AF126" s="329" t="n"/>
      <c r="AG126" s="329" t="n"/>
      <c r="AH126" s="329" t="n"/>
      <c r="AI126" s="329" t="n"/>
      <c r="AJ126" s="329" t="n"/>
      <c r="AK126" s="330" t="n"/>
      <c r="AL126" s="331" t="n"/>
    </row>
    <row r="127">
      <c r="A127" s="333" t="n"/>
      <c r="B127" s="334" t="n"/>
      <c r="C127" s="334" t="n"/>
      <c r="D127" s="335" t="inlineStr">
        <is>
          <t>十三、利润率</t>
        </is>
      </c>
      <c r="E127" s="336" t="n"/>
      <c r="F127" s="336" t="n"/>
      <c r="G127" s="336" t="n"/>
      <c r="H127" s="337" t="n"/>
      <c r="I127" s="337" t="n"/>
      <c r="J127" s="337">
        <f>J126/J6</f>
        <v/>
      </c>
      <c r="K127" s="337" t="n"/>
      <c r="L127" s="338">
        <f>L126/L6</f>
        <v/>
      </c>
      <c r="M127" s="338">
        <f>M126/M6</f>
        <v/>
      </c>
      <c r="N127" s="338" t="n"/>
      <c r="O127" s="338" t="n"/>
      <c r="P127" s="338" t="n"/>
      <c r="Q127" s="338">
        <f>Q126/Q6</f>
        <v/>
      </c>
      <c r="R127" s="338">
        <f>R126/R6</f>
        <v/>
      </c>
      <c r="S127" s="339" t="n"/>
      <c r="T127" s="339" t="n"/>
      <c r="U127" s="339" t="n"/>
      <c r="V127" s="339" t="n"/>
      <c r="W127" s="339" t="n"/>
      <c r="X127" s="339" t="n"/>
      <c r="Y127" s="339" t="n"/>
      <c r="Z127" s="339" t="n"/>
      <c r="AA127" s="339" t="n"/>
      <c r="AB127" s="340" t="n"/>
      <c r="AC127" s="340" t="n"/>
      <c r="AD127" s="340" t="n"/>
      <c r="AE127" s="340" t="n"/>
      <c r="AF127" s="340" t="n"/>
      <c r="AG127" s="340" t="n"/>
      <c r="AH127" s="340" t="n"/>
      <c r="AI127" s="340" t="n"/>
      <c r="AJ127" s="340" t="n"/>
      <c r="AK127" s="341" t="n"/>
      <c r="AL127" s="342" t="n"/>
    </row>
    <row r="128">
      <c r="A128" s="111" t="n"/>
      <c r="B128" s="111" t="n"/>
      <c r="C128" s="111" t="n"/>
      <c r="D128" s="112" t="n"/>
      <c r="E128" s="113" t="n"/>
      <c r="F128" s="113" t="n"/>
      <c r="G128" s="113" t="n"/>
      <c r="H128" s="251" t="n"/>
      <c r="I128" s="251" t="n"/>
      <c r="J128" s="252" t="inlineStr">
        <is>
          <t>含税利润率</t>
        </is>
      </c>
      <c r="K128" s="253" t="n"/>
      <c r="L128" s="254" t="inlineStr">
        <is>
          <t>不含税利润率</t>
        </is>
      </c>
      <c r="M128" s="255" t="n"/>
      <c r="N128" s="255" t="n"/>
      <c r="O128" s="255" t="n"/>
      <c r="P128" s="255" t="n"/>
      <c r="Q128" s="255" t="n"/>
      <c r="R128" s="255" t="n"/>
      <c r="S128" s="255" t="n"/>
      <c r="T128" s="255" t="n"/>
      <c r="U128" s="255" t="n"/>
      <c r="V128" s="255" t="n"/>
      <c r="W128" s="255" t="n"/>
      <c r="X128" s="255" t="n"/>
      <c r="Y128" s="255" t="n"/>
      <c r="Z128" s="256" t="n"/>
      <c r="AA128" s="162" t="n"/>
      <c r="AB128" s="257" t="n"/>
      <c r="AC128" s="257" t="n"/>
      <c r="AD128" s="257" t="n"/>
      <c r="AE128" s="257" t="n"/>
      <c r="AF128" s="257" t="n"/>
      <c r="AG128" s="257" t="n"/>
      <c r="AH128" s="257" t="n"/>
      <c r="AI128" s="257" t="n"/>
      <c r="AJ128" s="257" t="n"/>
      <c r="AK128" s="257" t="n"/>
      <c r="AL128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2026-04-22T01:58:15Z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