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6" authorId="0" shapeId="0">
      <text>
        <t>于:
**同财务账面合同履约成本/工程施工成本/直接人工费数据一致**</t>
      </text>
    </comment>
    <comment ref="F66" authorId="0" shapeId="0">
      <text>
        <t>于:
**同财务账面合同履约成本/工程施工成本/直接人工费数据一致**</t>
      </text>
    </comment>
    <comment ref="G66" authorId="0" shapeId="0">
      <text>
        <t>于:
**同财务账面合同履约成本/工程施工成本/直接人工费数据一致**</t>
      </text>
    </comment>
    <comment ref="H66" authorId="0" shapeId="0">
      <text>
        <t>于:
**同财务账面合同履约成本/工程施工成本/直接人工费数据一致**</t>
      </text>
    </comment>
    <comment ref="I66" authorId="0" shapeId="0">
      <text>
        <t>于:
**同财务账面合同履约成本/工程施工成本/直接人工费数据一致**</t>
      </text>
    </comment>
    <comment ref="J66" authorId="0" shapeId="0">
      <text>
        <t>于:
**同财务账面合同履约成本/工程施工成本/直接人工费数据一致**</t>
      </text>
    </comment>
    <comment ref="K66" authorId="0" shapeId="0">
      <text>
        <t>于:
**同财务账面合同履约成本/工程施工成本/直接人工费数据一致**</t>
      </text>
    </comment>
    <comment ref="L66" authorId="0" shapeId="0">
      <text>
        <t>于:
**同财务账面合同履约成本/工程施工成本/直接人工费数据一致**</t>
      </text>
    </comment>
    <comment ref="M66" authorId="0" shapeId="0">
      <text>
        <t>于:
**同财务账面合同履约成本/工程施工成本/直接人工费数据一致**</t>
      </text>
    </comment>
    <comment ref="N66" authorId="0" shapeId="0">
      <text>
        <t>于:
**同财务账面合同履约成本/工程施工成本/直接人工费数据一致**</t>
      </text>
    </comment>
    <comment ref="O66" authorId="0" shapeId="0">
      <text>
        <t>于:
**同财务账面合同履约成本/工程施工成本/直接人工费数据一致**</t>
      </text>
    </comment>
    <comment ref="P66" authorId="0" shapeId="0">
      <text>
        <t>于:
**同财务账面合同履约成本/工程施工成本/直接人工费数据一致**</t>
      </text>
    </comment>
    <comment ref="Q66" authorId="0" shapeId="0">
      <text>
        <t>于:
**同财务账面合同履约成本/工程施工成本/直接人工费数据一致**</t>
      </text>
    </comment>
    <comment ref="R66" authorId="0" shapeId="0">
      <text>
        <t>于:
**同财务账面合同履约成本/工程施工成本/直接人工费数据一致**</t>
      </text>
    </comment>
    <comment ref="S66" authorId="0" shapeId="0">
      <text>
        <t>于:
**同财务账面合同履约成本/工程施工成本/直接人工费数据一致**</t>
      </text>
    </comment>
    <comment ref="T66" authorId="0" shapeId="0">
      <text>
        <t>于:
**同财务账面合同履约成本/工程施工成本/直接人工费数据一致**</t>
      </text>
    </comment>
    <comment ref="U66" authorId="0" shapeId="0">
      <text>
        <t>于:
**同财务账面合同履约成本/工程施工成本/直接人工费数据一致**</t>
      </text>
    </comment>
    <comment ref="V66" authorId="0" shapeId="0">
      <text>
        <t>于:
**同财务账面合同履约成本/工程施工成本/直接人工费数据一致**</t>
      </text>
    </comment>
    <comment ref="W66" authorId="0" shapeId="0">
      <text>
        <t>于:
**同财务账面合同履约成本/工程施工成本/直接人工费数据一致**</t>
      </text>
    </comment>
    <comment ref="X66" authorId="0" shapeId="0">
      <text>
        <t>于:
**同财务账面合同履约成本/工程施工成本/直接人工费数据一致**</t>
      </text>
    </comment>
    <comment ref="Y66" authorId="0" shapeId="0">
      <text>
        <t>于:
**同财务账面合同履约成本/工程施工成本/直接人工费数据一致**</t>
      </text>
    </comment>
    <comment ref="Z66" authorId="0" shapeId="0">
      <text>
        <t>于:
**同财务账面合同履约成本/工程施工成本/直接人工费数据一致**</t>
      </text>
    </comment>
    <comment ref="AA66" authorId="0" shapeId="0">
      <text>
        <t>于:
**同财务账面合同履约成本/工程施工成本/直接人工费数据一致**</t>
      </text>
    </comment>
    <comment ref="AB66" authorId="0" shapeId="0">
      <text>
        <t>于:
**同财务账面合同履约成本/工程施工成本/直接人工费数据一致**</t>
      </text>
    </comment>
    <comment ref="AC66" authorId="0" shapeId="0">
      <text>
        <t>于:
**同财务账面合同履约成本/工程施工成本/直接人工费数据一致**</t>
      </text>
    </comment>
    <comment ref="AD66" authorId="0" shapeId="0">
      <text>
        <t>于:
**同财务账面合同履约成本/工程施工成本/直接人工费数据一致**</t>
      </text>
    </comment>
    <comment ref="AE66" authorId="0" shapeId="0">
      <text>
        <t>于:
**同财务账面合同履约成本/工程施工成本/直接人工费数据一致**</t>
      </text>
    </comment>
    <comment ref="AF66" authorId="0" shapeId="0">
      <text>
        <t>于:
**同财务账面合同履约成本/工程施工成本/直接人工费数据一致**</t>
      </text>
    </comment>
    <comment ref="AG66" authorId="0" shapeId="0">
      <text>
        <t>于:
**同财务账面合同履约成本/工程施工成本/直接人工费数据一致**</t>
      </text>
    </comment>
    <comment ref="AH66" authorId="0" shapeId="0">
      <text>
        <t>于:
**同财务账面合同履约成本/工程施工成本/直接人工费数据一致**</t>
      </text>
    </comment>
    <comment ref="AI66" authorId="0" shapeId="0">
      <text>
        <t>于:
**同财务账面合同履约成本/工程施工成本/直接人工费数据一致**</t>
      </text>
    </comment>
    <comment ref="AJ66" authorId="0" shapeId="0">
      <text>
        <t>于:
**同财务账面合同履约成本/工程施工成本/直接人工费数据一致**</t>
      </text>
    </comment>
    <comment ref="AK66" authorId="0" shapeId="0">
      <text>
        <t>于:
**同财务账面合同履约成本/工程施工成本/直接人工费数据一致**</t>
      </text>
    </comment>
    <comment ref="M124" authorId="1" shapeId="0">
      <text>
        <t xml:space="preserve">**同财务账面合同履约成本/工程施工成本/机械租赁费数据一致**
</t>
      </text>
    </comment>
    <comment ref="M133" authorId="0" shapeId="0">
      <text>
        <t>于:
**同财务账面合同履约成本/工程施工成本其他直接费数据一致**</t>
      </text>
    </comment>
    <comment ref="M167" authorId="1" shapeId="0">
      <text>
        <t>**同财务账面合同履约成本/工程施工成本/间接费数据一致**</t>
      </text>
    </comment>
    <comment ref="D175" authorId="2" shapeId="0">
      <text>
        <t>（在建：房建0.6%，其它0.4%；在保修期间的按0.3~0.5%自行确定;保修期结束为0）</t>
      </text>
    </comment>
    <comment ref="E18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8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315595.13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3815327.99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  <c r="W20" s="293" t="n"/>
      <c r="X20" s="293" t="n"/>
      <c r="Y20" s="293" t="n"/>
      <c r="Z20" s="293" t="n"/>
      <c r="AA20" s="293" t="n"/>
      <c r="AB20" s="293" t="n"/>
      <c r="AC20" s="293" t="n"/>
      <c r="AD20" s="293" t="n"/>
      <c r="AE20" s="293" t="n"/>
      <c r="AF20" s="293" t="n"/>
      <c r="AG20" s="293" t="n"/>
      <c r="AH20" s="293" t="n"/>
      <c r="AI20" s="293" t="n"/>
      <c r="AJ20" s="293" t="n"/>
      <c r="AK20" s="293" t="n"/>
      <c r="AL20" s="293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  <c r="W21" s="293" t="n"/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93" t="n"/>
      <c r="AJ21" s="293" t="n"/>
      <c r="AK21" s="293" t="n"/>
      <c r="AL21" s="293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  <c r="W22" s="293" t="n"/>
      <c r="X22" s="293" t="n"/>
      <c r="Y22" s="293" t="n"/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93" t="n"/>
      <c r="AJ22" s="293" t="n"/>
      <c r="AK22" s="293" t="n"/>
      <c r="AL22" s="293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3" t="n"/>
      <c r="X32" s="293" t="n"/>
      <c r="Y32" s="293" t="n"/>
      <c r="Z32" s="293" t="n"/>
      <c r="AA32" s="293" t="n"/>
      <c r="AB32" s="293" t="n"/>
      <c r="AC32" s="293" t="n"/>
      <c r="AD32" s="293" t="n"/>
      <c r="AE32" s="293" t="n"/>
      <c r="AF32" s="293" t="n"/>
      <c r="AG32" s="293" t="n"/>
      <c r="AH32" s="293" t="n"/>
      <c r="AI32" s="293" t="n"/>
      <c r="AJ32" s="293" t="n"/>
      <c r="AK32" s="293" t="n"/>
      <c r="AL32" s="293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  <c r="W33" s="293" t="n"/>
      <c r="X33" s="293" t="n"/>
      <c r="Y33" s="293" t="n"/>
      <c r="Z33" s="293" t="n"/>
      <c r="AA33" s="293" t="n"/>
      <c r="AB33" s="293" t="n"/>
      <c r="AC33" s="293" t="n"/>
      <c r="AD33" s="293" t="n"/>
      <c r="AE33" s="293" t="n"/>
      <c r="AF33" s="293" t="n"/>
      <c r="AG33" s="293" t="n"/>
      <c r="AH33" s="293" t="n"/>
      <c r="AI33" s="293" t="n"/>
      <c r="AJ33" s="293" t="n"/>
      <c r="AK33" s="293" t="n"/>
      <c r="AL33" s="293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6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  <c r="W34" s="293" t="n"/>
      <c r="X34" s="293" t="n"/>
      <c r="Y34" s="293" t="n"/>
      <c r="Z34" s="293" t="n"/>
      <c r="AA34" s="293" t="n"/>
      <c r="AB34" s="293" t="n"/>
      <c r="AC34" s="293" t="n"/>
      <c r="AD34" s="293" t="n"/>
      <c r="AE34" s="293" t="n"/>
      <c r="AF34" s="293" t="n"/>
      <c r="AG34" s="293" t="n"/>
      <c r="AH34" s="293" t="n"/>
      <c r="AI34" s="293" t="n"/>
      <c r="AJ34" s="293" t="n"/>
      <c r="AK34" s="293" t="n"/>
      <c r="AL34" s="293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  <c r="W35" s="293" t="n"/>
      <c r="X35" s="293" t="n"/>
      <c r="Y35" s="293" t="n"/>
      <c r="Z35" s="293" t="n"/>
      <c r="AA35" s="293" t="n"/>
      <c r="AB35" s="293" t="n"/>
      <c r="AC35" s="293" t="n"/>
      <c r="AD35" s="293" t="n"/>
      <c r="AE35" s="293" t="n"/>
      <c r="AF35" s="293" t="n"/>
      <c r="AG35" s="293" t="n"/>
      <c r="AH35" s="293" t="n"/>
      <c r="AI35" s="293" t="n"/>
      <c r="AJ35" s="293" t="n"/>
      <c r="AK35" s="293" t="n"/>
      <c r="AL35" s="293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  <c r="W36" s="293" t="n"/>
      <c r="X36" s="293" t="n"/>
      <c r="Y36" s="293" t="n"/>
      <c r="Z36" s="293" t="n"/>
      <c r="AA36" s="293" t="n"/>
      <c r="AB36" s="293" t="n"/>
      <c r="AC36" s="293" t="n"/>
      <c r="AD36" s="293" t="n"/>
      <c r="AE36" s="293" t="n"/>
      <c r="AF36" s="293" t="n"/>
      <c r="AG36" s="293" t="n"/>
      <c r="AH36" s="293" t="n"/>
      <c r="AI36" s="293" t="n"/>
      <c r="AJ36" s="293" t="n"/>
      <c r="AK36" s="293" t="n"/>
      <c r="AL36" s="293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  <c r="W37" s="293" t="n"/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I37" s="293" t="n"/>
      <c r="AJ37" s="293" t="n"/>
      <c r="AK37" s="293" t="n"/>
      <c r="AL37" s="293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  <c r="W38" s="293" t="n"/>
      <c r="X38" s="293" t="n"/>
      <c r="Y38" s="293" t="n"/>
      <c r="Z38" s="293" t="n"/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I38" s="293" t="n"/>
      <c r="AJ38" s="293" t="n"/>
      <c r="AK38" s="293" t="n"/>
      <c r="AL38" s="293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  <c r="W39" s="293" t="n"/>
      <c r="X39" s="293" t="n"/>
      <c r="Y39" s="293" t="n"/>
      <c r="Z39" s="293" t="n"/>
      <c r="AA39" s="293" t="n"/>
      <c r="AB39" s="293" t="n"/>
      <c r="AC39" s="293" t="n"/>
      <c r="AD39" s="293" t="n"/>
      <c r="AE39" s="293" t="n"/>
      <c r="AF39" s="293" t="n"/>
      <c r="AG39" s="293" t="n"/>
      <c r="AH39" s="293" t="n"/>
      <c r="AI39" s="293" t="n"/>
      <c r="AJ39" s="293" t="n"/>
      <c r="AK39" s="293" t="n"/>
      <c r="AL39" s="293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I57" s="293" t="n"/>
      <c r="AJ57" s="293" t="n"/>
      <c r="AK57" s="293" t="n"/>
      <c r="AL57" s="293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  <c r="AI58" s="293" t="n"/>
      <c r="AJ58" s="293" t="n"/>
      <c r="AK58" s="293" t="n"/>
      <c r="AL58" s="293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  <c r="AI59" s="293" t="n"/>
      <c r="AJ59" s="293" t="n"/>
      <c r="AK59" s="293" t="n"/>
      <c r="AL59" s="293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I60" s="293" t="n"/>
      <c r="AJ60" s="293" t="n"/>
      <c r="AK60" s="293" t="n"/>
      <c r="AL60" s="293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I61" s="293" t="n"/>
      <c r="AJ61" s="293" t="n"/>
      <c r="AK61" s="293" t="n"/>
      <c r="AL61" s="293" t="n"/>
    </row>
    <row r="62" ht="14" customFormat="1" customHeight="1" s="180">
      <c r="A62" s="206" t="n">
        <v>50</v>
      </c>
      <c r="B62" s="206" t="n"/>
      <c r="C62" s="207" t="n"/>
      <c r="D62" s="207" t="inlineStr">
        <is>
          <t>XJZ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-515811.59</v>
      </c>
      <c r="N62" s="206" t="n"/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06" t="n"/>
      <c r="U62" s="206" t="n"/>
      <c r="V62" s="206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I62" s="293" t="n"/>
      <c r="AJ62" s="293" t="n"/>
      <c r="AK62" s="293" t="n"/>
      <c r="AL62" s="293" t="n"/>
    </row>
    <row r="63" ht="14" customFormat="1" customHeight="1" s="180">
      <c r="A63" s="206" t="n">
        <v>51</v>
      </c>
      <c r="B63" s="206" t="n"/>
      <c r="C63" s="207" t="n"/>
      <c r="D63" s="207" t="inlineStr">
        <is>
          <t>SJZ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-171629.04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06" t="n">
        <v>52</v>
      </c>
      <c r="B64" s="206" t="n"/>
      <c r="C64" s="207" t="n"/>
      <c r="D64" s="207" t="inlineStr">
        <is>
          <t>ZGD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6" t="n"/>
      <c r="M64" s="210" t="n">
        <v>210466.31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82" t="n"/>
      <c r="B65" s="283" t="n"/>
      <c r="C65" s="283" t="n"/>
      <c r="D65" s="294" t="inlineStr">
        <is>
          <t>**财务未列部分需增列***</t>
        </is>
      </c>
      <c r="E65" s="295" t="n"/>
      <c r="F65" s="295" t="n"/>
      <c r="G65" s="295" t="n"/>
      <c r="H65" s="285" t="n"/>
      <c r="I65" s="285" t="n"/>
      <c r="J65" s="285" t="n"/>
      <c r="K65" s="286" t="n"/>
      <c r="L65" s="287" t="n"/>
      <c r="M65" s="285" t="n"/>
      <c r="N65" s="285" t="n"/>
      <c r="O65" s="285">
        <f>L65-M65</f>
        <v/>
      </c>
      <c r="P65" s="285">
        <f>K65-N65</f>
        <v/>
      </c>
      <c r="Q65" s="285">
        <f>M65+O65</f>
        <v/>
      </c>
      <c r="R65" s="285">
        <f>M65+N65+O65+P65</f>
        <v/>
      </c>
      <c r="S65" s="289">
        <f>SUM(T65:V65)</f>
        <v/>
      </c>
      <c r="T65" s="285" t="n"/>
      <c r="U65" s="285" t="n"/>
      <c r="V65" s="285" t="n"/>
      <c r="W65" s="285" t="n"/>
      <c r="X65" s="285" t="n"/>
      <c r="Y65" s="285" t="n"/>
      <c r="Z65" s="285">
        <f>SUM(AA16:AJ16)</f>
        <v/>
      </c>
      <c r="AA65" s="296" t="n"/>
      <c r="AB65" s="290" t="n"/>
      <c r="AC65" s="290" t="n"/>
      <c r="AD65" s="290" t="n"/>
      <c r="AE65" s="290" t="n"/>
      <c r="AF65" s="290" t="n"/>
      <c r="AG65" s="290" t="n"/>
      <c r="AH65" s="290" t="n"/>
      <c r="AI65" s="290" t="n"/>
      <c r="AJ65" s="290" t="n"/>
      <c r="AK65" s="290">
        <f>AB16/1.17*0.17+AC16/1.16*0.16+AD16/1.11*0.11+AE16/1.1*0.1+AF16/1.09*0.09+AI16/1.03*0.03</f>
        <v/>
      </c>
      <c r="AL65" s="297" t="n"/>
    </row>
    <row r="66" ht="14" customFormat="1" customHeight="1" s="180">
      <c r="A66" s="298" t="n"/>
      <c r="B66" s="299" t="n"/>
      <c r="C66" s="299" t="n"/>
      <c r="D66" s="300" t="inlineStr">
        <is>
          <t>人工费小计：</t>
        </is>
      </c>
      <c r="E66" s="301">
        <f>SUM(E12:E65)</f>
        <v/>
      </c>
      <c r="F66" s="301">
        <f>SUM(F12:F65)</f>
        <v/>
      </c>
      <c r="G66" s="301">
        <f>SUM(G12:G65)</f>
        <v/>
      </c>
      <c r="H66" s="301">
        <f>SUM(H12:H65)</f>
        <v/>
      </c>
      <c r="I66" s="301">
        <f>SUM(I12:I65)</f>
        <v/>
      </c>
      <c r="J66" s="301">
        <f>SUM(J12:J65)</f>
        <v/>
      </c>
      <c r="K66" s="301">
        <f>SUM(K12:K65)</f>
        <v/>
      </c>
      <c r="L66" s="301">
        <f>SUM(L12:L65)</f>
        <v/>
      </c>
      <c r="M66" s="301">
        <f>SUM(M12:M65)</f>
        <v/>
      </c>
      <c r="N66" s="301">
        <f>SUM(N12:N65)</f>
        <v/>
      </c>
      <c r="O66" s="301">
        <f>SUM(O12:O65)</f>
        <v/>
      </c>
      <c r="P66" s="301">
        <f>SUM(P12:P65)</f>
        <v/>
      </c>
      <c r="Q66" s="301">
        <f>SUM(Q12:Q65)</f>
        <v/>
      </c>
      <c r="R66" s="301">
        <f>SUM(R12:R65)</f>
        <v/>
      </c>
      <c r="S66" s="301">
        <f>SUM(S12:S65)</f>
        <v/>
      </c>
      <c r="T66" s="301">
        <f>SUM(T12:T65)</f>
        <v/>
      </c>
      <c r="U66" s="301">
        <f>SUM(U12:U65)</f>
        <v/>
      </c>
      <c r="V66" s="301">
        <f>SUM(V12:V65)</f>
        <v/>
      </c>
      <c r="W66" s="301">
        <f>SUM(W12:W65)</f>
        <v/>
      </c>
      <c r="X66" s="301">
        <f>SUM(X12:X65)</f>
        <v/>
      </c>
      <c r="Y66" s="301">
        <f>SUM(Y12:Y65)</f>
        <v/>
      </c>
      <c r="Z66" s="301">
        <f>SUM(Z12:Z65)</f>
        <v/>
      </c>
      <c r="AA66" s="301">
        <f>SUM(AA12:AA65)</f>
        <v/>
      </c>
      <c r="AB66" s="301">
        <f>SUM(AB12:AB65)</f>
        <v/>
      </c>
      <c r="AC66" s="301">
        <f>SUM(AC12:AC65)</f>
        <v/>
      </c>
      <c r="AD66" s="301">
        <f>SUM(AD12:AD65)</f>
        <v/>
      </c>
      <c r="AE66" s="301">
        <f>SUM(AE12:AE65)</f>
        <v/>
      </c>
      <c r="AF66" s="301">
        <f>SUM(AF12:AF65)</f>
        <v/>
      </c>
      <c r="AG66" s="301">
        <f>SUM(AG12:AG65)</f>
        <v/>
      </c>
      <c r="AH66" s="301">
        <f>SUM(AH12:AH65)</f>
        <v/>
      </c>
      <c r="AI66" s="301">
        <f>SUM(AI12:AI65)</f>
        <v/>
      </c>
      <c r="AJ66" s="301">
        <f>SUM(AJ12:AJ65)</f>
        <v/>
      </c>
      <c r="AK66" s="301">
        <f>SUM(AK12:AK65)</f>
        <v/>
      </c>
      <c r="AL66" s="291" t="n"/>
    </row>
    <row r="67" ht="14" customFormat="1" customHeight="1" s="180">
      <c r="A67" s="282" t="n"/>
      <c r="B67" s="283" t="n"/>
      <c r="C67" s="283" t="n"/>
      <c r="D67" s="302" t="inlineStr">
        <is>
          <t>（二）分包工程</t>
        </is>
      </c>
      <c r="E67" s="283" t="n"/>
      <c r="F67" s="283" t="n"/>
      <c r="G67" s="283" t="n"/>
      <c r="H67" s="285" t="n"/>
      <c r="I67" s="285" t="n"/>
      <c r="J67" s="285" t="n"/>
      <c r="K67" s="286" t="n"/>
      <c r="L67" s="287" t="n"/>
      <c r="M67" s="285" t="n"/>
      <c r="N67" s="285" t="n"/>
      <c r="O67" s="285">
        <f>L67-M67</f>
        <v/>
      </c>
      <c r="P67" s="285">
        <f>K67-N67</f>
        <v/>
      </c>
      <c r="Q67" s="285">
        <f>M67+O67</f>
        <v/>
      </c>
      <c r="R67" s="285">
        <f>M67+N67+O67+P67</f>
        <v/>
      </c>
      <c r="S67" s="289">
        <f>SUM(T67:V67)</f>
        <v/>
      </c>
      <c r="T67" s="289" t="n"/>
      <c r="U67" s="289" t="n"/>
      <c r="V67" s="289" t="n"/>
      <c r="W67" s="289" t="n"/>
      <c r="X67" s="289" t="n"/>
      <c r="Y67" s="289" t="n"/>
      <c r="Z67" s="289" t="n"/>
      <c r="AA67" s="289" t="n"/>
      <c r="AB67" s="289" t="n"/>
      <c r="AC67" s="289" t="n"/>
      <c r="AD67" s="289" t="n"/>
      <c r="AE67" s="289" t="n"/>
      <c r="AF67" s="289" t="n"/>
      <c r="AG67" s="289" t="n"/>
      <c r="AH67" s="289" t="n"/>
      <c r="AI67" s="289" t="n"/>
      <c r="AJ67" s="289" t="n"/>
      <c r="AK67" s="290">
        <f>AB18/1.17*0.17+AC18/1.16*0.16+AD18/1.11*0.11+AE18/1.1*0.1+AF18/1.09*0.09+AI18/1.03*0.03</f>
        <v/>
      </c>
      <c r="AL67" s="291" t="n"/>
    </row>
    <row r="68" ht="14" customFormat="1" customHeight="1" s="180">
      <c r="A68" s="206" t="n">
        <v>1</v>
      </c>
      <c r="B68" s="206" t="inlineStr">
        <is>
          <t>200147390</t>
        </is>
      </c>
      <c r="C68" s="207" t="inlineStr">
        <is>
          <t>中建四局0200202104503001</t>
        </is>
      </c>
      <c r="D68" s="207" t="inlineStr">
        <is>
          <t>佛山市劲辉鑫业建筑工程有限公司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6" t="n"/>
      <c r="M68" s="210" t="n">
        <v>2745444.28</v>
      </c>
      <c r="N68" s="210" t="n">
        <v>375692.37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1905250</v>
      </c>
      <c r="U68" s="206" t="n"/>
      <c r="V68" s="206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I68" s="293" t="n"/>
      <c r="AJ68" s="293" t="n"/>
      <c r="AK68" s="293" t="n"/>
      <c r="AL68" s="293" t="n"/>
    </row>
    <row r="69" ht="39" customFormat="1" customHeight="1" s="180">
      <c r="A69" s="206" t="n">
        <v>2</v>
      </c>
      <c r="B69" s="206" t="inlineStr">
        <is>
          <t>200199796</t>
        </is>
      </c>
      <c r="C69" s="207" t="inlineStr">
        <is>
          <t>中建四局0200202104503005</t>
        </is>
      </c>
      <c r="D69" s="207" t="inlineStr">
        <is>
          <t>佛山市喜润鑫建筑工程有限公司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6" t="n"/>
      <c r="M69" s="210" t="n">
        <v>758788.1800000001</v>
      </c>
      <c r="N69" s="210" t="n">
        <v>23961.74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575800</v>
      </c>
      <c r="U69" s="206" t="n"/>
      <c r="V69" s="206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I69" s="293" t="n"/>
      <c r="AJ69" s="293" t="n"/>
      <c r="AK69" s="293" t="n"/>
      <c r="AL69" s="293" t="n"/>
    </row>
    <row r="70" ht="14" customFormat="1" customHeight="1" s="180">
      <c r="A70" s="206" t="n">
        <v>3</v>
      </c>
      <c r="B70" s="206" t="inlineStr">
        <is>
          <t>100217528</t>
        </is>
      </c>
      <c r="C70" s="207" t="inlineStr">
        <is>
          <t>中建四局0200202104503006</t>
        </is>
      </c>
      <c r="D70" s="207" t="inlineStr">
        <is>
          <t>佛山市耀盈活动房屋有限公司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6" t="n"/>
      <c r="M70" s="210" t="n">
        <v>264623.8</v>
      </c>
      <c r="N70" s="210" t="n">
        <v>36211.68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215000</v>
      </c>
      <c r="U70" s="206" t="n"/>
      <c r="V70" s="206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I70" s="293" t="n"/>
      <c r="AJ70" s="293" t="n"/>
      <c r="AK70" s="293" t="n"/>
      <c r="AL70" s="293" t="n"/>
    </row>
    <row r="71" ht="14" customFormat="1" customHeight="1" s="180">
      <c r="A71" s="206" t="n">
        <v>4</v>
      </c>
      <c r="B71" s="206" t="inlineStr">
        <is>
          <t>100174525</t>
        </is>
      </c>
      <c r="C71" s="207" t="inlineStr">
        <is>
          <t>中建四局0200202104503004</t>
        </is>
      </c>
      <c r="D71" s="207" t="inlineStr">
        <is>
          <t>四川湘盛建筑工程有限公司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6" t="n"/>
      <c r="M71" s="210" t="n">
        <v>2552571.71</v>
      </c>
      <c r="N71" s="210" t="n">
        <v>241571.53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1895600</v>
      </c>
      <c r="U71" s="206" t="n"/>
      <c r="V71" s="206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I71" s="293" t="n"/>
      <c r="AJ71" s="293" t="n"/>
      <c r="AK71" s="293" t="n"/>
      <c r="AL71" s="293" t="n"/>
    </row>
    <row r="72" ht="14" customFormat="1" customHeight="1" s="180">
      <c r="A72" s="206" t="n">
        <v>5</v>
      </c>
      <c r="B72" s="206" t="inlineStr">
        <is>
          <t>200540519</t>
        </is>
      </c>
      <c r="C72" s="207" t="inlineStr">
        <is>
          <t>中建四局0200202104503002</t>
        </is>
      </c>
      <c r="D72" s="207" t="inlineStr">
        <is>
          <t>广东湘庆建筑工程有限公司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1021000.84</v>
      </c>
      <c r="N72" s="210" t="n">
        <v>96726.39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819800</v>
      </c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>
        <v>6</v>
      </c>
      <c r="B73" s="206" t="inlineStr">
        <is>
          <t>200053581</t>
        </is>
      </c>
      <c r="C73" s="207" t="inlineStr">
        <is>
          <t>中建四局020020210045030002</t>
        </is>
      </c>
      <c r="D73" s="207" t="inlineStr">
        <is>
          <t>广东粤忠晟保安服务有限公司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532349.4300000001</v>
      </c>
      <c r="N73" s="210" t="n">
        <v>28018.39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394070.52</v>
      </c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06" t="n">
        <v>7</v>
      </c>
      <c r="B74" s="206" t="inlineStr">
        <is>
          <t>200436105</t>
        </is>
      </c>
      <c r="C74" s="207" t="inlineStr">
        <is>
          <t>中建四局0200202104503003</t>
        </is>
      </c>
      <c r="D74" s="207" t="inlineStr">
        <is>
          <t>广东纬地建筑劳务有限公司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45524068.08</v>
      </c>
      <c r="N74" s="210" t="n">
        <v>1437441.88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41605917</v>
      </c>
      <c r="U74" s="206" t="n"/>
      <c r="V74" s="206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  <c r="AI74" s="293" t="n"/>
      <c r="AJ74" s="293" t="n"/>
      <c r="AK74" s="293" t="n"/>
      <c r="AL74" s="293" t="n"/>
    </row>
    <row r="75" ht="14" customFormat="1" customHeight="1" s="180">
      <c r="A75" s="206" t="n">
        <v>8</v>
      </c>
      <c r="B75" s="206" t="inlineStr">
        <is>
          <t>200436105</t>
        </is>
      </c>
      <c r="C75" s="207" t="inlineStr">
        <is>
          <t>中建四局0200202104504002</t>
        </is>
      </c>
      <c r="D75" s="207" t="inlineStr">
        <is>
          <t>广东纬地建筑劳务有限公司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-1556.78</v>
      </c>
      <c r="N75" s="210" t="n">
        <v>9916.99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272300</v>
      </c>
      <c r="U75" s="206" t="n"/>
      <c r="V75" s="206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  <c r="AI75" s="293" t="n"/>
      <c r="AJ75" s="293" t="n"/>
      <c r="AK75" s="293" t="n"/>
      <c r="AL75" s="293" t="n"/>
    </row>
    <row r="76" ht="14" customFormat="1" customHeight="1" s="180">
      <c r="A76" s="206" t="n">
        <v>9</v>
      </c>
      <c r="B76" s="206" t="inlineStr">
        <is>
          <t>100217071</t>
        </is>
      </c>
      <c r="C76" s="207" t="inlineStr">
        <is>
          <t>中建四局0200202104503007</t>
        </is>
      </c>
      <c r="D76" s="207" t="inlineStr">
        <is>
          <t>广东邵宇建筑安装工程有限公司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6286297.79</v>
      </c>
      <c r="N76" s="210" t="n">
        <v>595534.53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5353700</v>
      </c>
      <c r="U76" s="206" t="n"/>
      <c r="V76" s="206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  <c r="AI76" s="293" t="n"/>
      <c r="AJ76" s="293" t="n"/>
      <c r="AK76" s="293" t="n"/>
      <c r="AL76" s="293" t="n"/>
    </row>
    <row r="77" ht="14" customFormat="1" customHeight="1" s="180">
      <c r="A77" s="206" t="n">
        <v>10</v>
      </c>
      <c r="B77" s="206" t="inlineStr">
        <is>
          <t>100187703</t>
        </is>
      </c>
      <c r="C77" s="207" t="inlineStr">
        <is>
          <t>中建四局0200202104503008</t>
        </is>
      </c>
      <c r="D77" s="207" t="inlineStr">
        <is>
          <t>广州市金式广告有限公司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295653.46</v>
      </c>
      <c r="N77" s="210" t="n">
        <v>9336.42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100000</v>
      </c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>
        <v>11</v>
      </c>
      <c r="B78" s="206" t="inlineStr">
        <is>
          <t>200056273</t>
        </is>
      </c>
      <c r="C78" s="207" t="inlineStr">
        <is>
          <t>中建四局020020210045030001</t>
        </is>
      </c>
      <c r="D78" s="207" t="inlineStr">
        <is>
          <t>广州金的建设有限公司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92741.66</v>
      </c>
      <c r="N78" s="210" t="n">
        <v>8786.049999999999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74400</v>
      </c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82" t="n"/>
      <c r="B79" s="283" t="n"/>
      <c r="C79" s="283" t="n"/>
      <c r="D79" s="294" t="inlineStr">
        <is>
          <t>**财务未列部分需增列***</t>
        </is>
      </c>
      <c r="E79" s="303" t="n"/>
      <c r="F79" s="303" t="n"/>
      <c r="G79" s="303" t="n"/>
      <c r="H79" s="285" t="n"/>
      <c r="I79" s="285" t="n"/>
      <c r="J79" s="285" t="n"/>
      <c r="K79" s="286" t="n"/>
      <c r="L79" s="287" t="n"/>
      <c r="M79" s="285" t="n"/>
      <c r="N79" s="285" t="n"/>
      <c r="O79" s="285">
        <f>L79-M79</f>
        <v/>
      </c>
      <c r="P79" s="285">
        <f>K79-N79</f>
        <v/>
      </c>
      <c r="Q79" s="285">
        <f>M79+O79</f>
        <v/>
      </c>
      <c r="R79" s="285">
        <f>M79+N79+O79+P79</f>
        <v/>
      </c>
      <c r="S79" s="289">
        <f>SUM(T79:V79)</f>
        <v/>
      </c>
      <c r="T79" s="285" t="n"/>
      <c r="U79" s="285" t="n"/>
      <c r="V79" s="285" t="n"/>
      <c r="W79" s="285" t="n"/>
      <c r="X79" s="285" t="n"/>
      <c r="Y79" s="285" t="n"/>
      <c r="Z79" s="289" t="n"/>
      <c r="AA79" s="289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>
        <f>AB22/1.17*0.17+AC22/1.16*0.16+AD22/1.11*0.11+AE22/1.1*0.1+AF22/1.09*0.09+AI22/1.03*0.03</f>
        <v/>
      </c>
      <c r="AL79" s="297" t="n"/>
    </row>
    <row r="80" ht="14" customFormat="1" customHeight="1" s="180">
      <c r="A80" s="298" t="n"/>
      <c r="B80" s="299" t="n"/>
      <c r="C80" s="299" t="n"/>
      <c r="D80" s="300" t="inlineStr">
        <is>
          <t>分包工程小计：</t>
        </is>
      </c>
      <c r="E80" s="301">
        <f>SUM(E67:E79)</f>
        <v/>
      </c>
      <c r="F80" s="301">
        <f>SUM(F67:F79)</f>
        <v/>
      </c>
      <c r="G80" s="301">
        <f>SUM(G67:G79)</f>
        <v/>
      </c>
      <c r="H80" s="301">
        <f>SUM(H67:H79)</f>
        <v/>
      </c>
      <c r="I80" s="301">
        <f>SUM(I67:I79)</f>
        <v/>
      </c>
      <c r="J80" s="301">
        <f>SUM(J67:J79)</f>
        <v/>
      </c>
      <c r="K80" s="301">
        <f>SUM(K67:K79)</f>
        <v/>
      </c>
      <c r="L80" s="301">
        <f>SUM(L67:L79)</f>
        <v/>
      </c>
      <c r="M80" s="301">
        <f>SUM(M67:M79)</f>
        <v/>
      </c>
      <c r="N80" s="301">
        <f>SUM(N67:N79)</f>
        <v/>
      </c>
      <c r="O80" s="301">
        <f>SUM(O67:O79)</f>
        <v/>
      </c>
      <c r="P80" s="301">
        <f>SUM(P67:P79)</f>
        <v/>
      </c>
      <c r="Q80" s="301">
        <f>SUM(Q67:Q79)</f>
        <v/>
      </c>
      <c r="R80" s="301">
        <f>SUM(R67:R79)</f>
        <v/>
      </c>
      <c r="S80" s="301">
        <f>SUM(S67:S79)</f>
        <v/>
      </c>
      <c r="T80" s="301">
        <f>SUM(T67:T79)</f>
        <v/>
      </c>
      <c r="U80" s="301">
        <f>SUM(U67:U79)</f>
        <v/>
      </c>
      <c r="V80" s="301">
        <f>SUM(V67:V79)</f>
        <v/>
      </c>
      <c r="W80" s="301">
        <f>SUM(W67:W79)</f>
        <v/>
      </c>
      <c r="X80" s="301">
        <f>SUM(X67:X79)</f>
        <v/>
      </c>
      <c r="Y80" s="301">
        <f>SUM(Y67:Y79)</f>
        <v/>
      </c>
      <c r="Z80" s="301">
        <f>SUM(Z67:Z79)</f>
        <v/>
      </c>
      <c r="AA80" s="301">
        <f>SUM(AA67:AA79)</f>
        <v/>
      </c>
      <c r="AB80" s="301">
        <f>SUM(AB67:AB79)</f>
        <v/>
      </c>
      <c r="AC80" s="301">
        <f>SUM(AC67:AC79)</f>
        <v/>
      </c>
      <c r="AD80" s="301">
        <f>SUM(AD67:AD79)</f>
        <v/>
      </c>
      <c r="AE80" s="301">
        <f>SUM(AE67:AE79)</f>
        <v/>
      </c>
      <c r="AF80" s="301">
        <f>SUM(AF67:AF79)</f>
        <v/>
      </c>
      <c r="AG80" s="301">
        <f>SUM(AG67:AG79)</f>
        <v/>
      </c>
      <c r="AH80" s="301">
        <f>SUM(AH67:AH79)</f>
        <v/>
      </c>
      <c r="AI80" s="301">
        <f>SUM(AI67:AI79)</f>
        <v/>
      </c>
      <c r="AJ80" s="301">
        <f>SUM(AJ67:AJ79)</f>
        <v/>
      </c>
      <c r="AK80" s="301">
        <f>SUM(AK67:AK79)</f>
        <v/>
      </c>
      <c r="AL80" s="291" t="n"/>
    </row>
    <row r="81" ht="14" customFormat="1" customHeight="1" s="3">
      <c r="A81" s="282" t="n"/>
      <c r="B81" s="283" t="n"/>
      <c r="C81" s="283" t="n"/>
      <c r="D81" s="302" t="inlineStr">
        <is>
          <t>(三)材料费</t>
        </is>
      </c>
      <c r="E81" s="283" t="n"/>
      <c r="F81" s="283" t="n"/>
      <c r="G81" s="283" t="n"/>
      <c r="H81" s="285" t="n"/>
      <c r="I81" s="285" t="n"/>
      <c r="J81" s="285" t="n"/>
      <c r="K81" s="286" t="n"/>
      <c r="L81" s="287" t="n"/>
      <c r="M81" s="285" t="n"/>
      <c r="N81" s="285" t="n"/>
      <c r="O81" s="285">
        <f>L81-M81</f>
        <v/>
      </c>
      <c r="P81" s="285">
        <f>K81-N81</f>
        <v/>
      </c>
      <c r="Q81" s="285">
        <f>M81+O81</f>
        <v/>
      </c>
      <c r="R81" s="285">
        <f>M81+N81+O81+P81</f>
        <v/>
      </c>
      <c r="S81" s="289">
        <f>SUM(T81:V81)</f>
        <v/>
      </c>
      <c r="T81" s="289" t="n"/>
      <c r="U81" s="289" t="n"/>
      <c r="V81" s="289" t="n"/>
      <c r="W81" s="289" t="n"/>
      <c r="X81" s="289" t="n"/>
      <c r="Y81" s="289" t="n"/>
      <c r="Z81" s="289" t="n"/>
      <c r="AA81" s="289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290">
        <f>AB24/1.17*0.17+AC24/1.16*0.16+AD24/1.11*0.11+AE24/1.1*0.1+AF24/1.09*0.09+AI24/1.03*0.03</f>
        <v/>
      </c>
      <c r="AL81" s="305" t="n"/>
    </row>
    <row r="82" ht="14" customHeight="1" s="159">
      <c r="A82" s="282" t="n"/>
      <c r="B82" s="283" t="n"/>
      <c r="C82" s="283" t="n"/>
      <c r="D82" s="285" t="inlineStr">
        <is>
          <t>（1）集中采购</t>
        </is>
      </c>
      <c r="E82" s="283" t="n"/>
      <c r="F82" s="283" t="n"/>
      <c r="G82" s="283" t="n"/>
      <c r="H82" s="285" t="n"/>
      <c r="I82" s="285" t="n"/>
      <c r="J82" s="285" t="n"/>
      <c r="K82" s="286" t="n"/>
      <c r="L82" s="287" t="n"/>
      <c r="M82" s="285" t="n"/>
      <c r="N82" s="285" t="n"/>
      <c r="O82" s="285">
        <f>L82-M82</f>
        <v/>
      </c>
      <c r="P82" s="285">
        <f>K82-N82</f>
        <v/>
      </c>
      <c r="Q82" s="285">
        <f>M82+O82</f>
        <v/>
      </c>
      <c r="R82" s="285">
        <f>M82+N82+O82+P82</f>
        <v/>
      </c>
      <c r="S82" s="289">
        <f>SUM(T82:V82)</f>
        <v/>
      </c>
      <c r="T82" s="289" t="n"/>
      <c r="U82" s="289" t="n"/>
      <c r="V82" s="289" t="n"/>
      <c r="W82" s="289" t="n"/>
      <c r="X82" s="289" t="n"/>
      <c r="Y82" s="289" t="n"/>
      <c r="Z82" s="289" t="n"/>
      <c r="AA82" s="289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290">
        <f>AB25/1.17*0.17+AC25/1.16*0.16+AD25/1.11*0.11+AE25/1.1*0.1+AF25/1.09*0.09+AI25/1.03*0.03</f>
        <v/>
      </c>
      <c r="AL82" s="305" t="n"/>
    </row>
    <row r="83" ht="14" customHeight="1" s="159">
      <c r="A83" s="33" t="n"/>
      <c r="B83" s="199" t="n"/>
      <c r="C83" s="199" t="n"/>
      <c r="D83" s="222" t="n"/>
      <c r="E83" s="213" t="n"/>
      <c r="F83" s="213" t="n"/>
      <c r="G83" s="213" t="n"/>
      <c r="H83" s="189" t="n"/>
      <c r="I83" s="189" t="n"/>
      <c r="J83" s="189" t="n"/>
      <c r="K83" s="201" t="n"/>
      <c r="L83" s="306" t="n"/>
      <c r="M83" s="189" t="n"/>
      <c r="N83" s="189" t="n"/>
      <c r="O83" s="189">
        <f>L83-M83</f>
        <v/>
      </c>
      <c r="P83" s="189">
        <f>K83-N83</f>
        <v/>
      </c>
      <c r="Q83" s="189">
        <f>M83+O83</f>
        <v/>
      </c>
      <c r="R83" s="189">
        <f>M83+N83+O83+P83</f>
        <v/>
      </c>
      <c r="S83" s="203">
        <f>SUM(T83:V83)</f>
        <v/>
      </c>
      <c r="T83" s="203" t="n"/>
      <c r="U83" s="203" t="n"/>
      <c r="V83" s="203" t="n"/>
      <c r="W83" s="203" t="n"/>
      <c r="X83" s="203" t="n"/>
      <c r="Y83" s="203" t="n"/>
      <c r="Z83" s="189">
        <f>SUM(AA26:AJ26)</f>
        <v/>
      </c>
      <c r="AA83" s="203" t="n"/>
      <c r="AB83" s="220" t="n"/>
      <c r="AC83" s="220" t="n"/>
      <c r="AD83" s="220" t="n"/>
      <c r="AE83" s="220" t="n"/>
      <c r="AF83" s="220" t="n"/>
      <c r="AG83" s="220" t="n"/>
      <c r="AH83" s="220" t="n"/>
      <c r="AI83" s="220" t="n"/>
      <c r="AJ83" s="220" t="n"/>
      <c r="AK83" s="188">
        <f>AB26/1.17*0.17+AC26/1.16*0.16+AD26/1.11*0.11+AE26/1.1*0.1+AF26/1.09*0.09+AI26/1.03*0.03</f>
        <v/>
      </c>
      <c r="AL83" s="221" t="n"/>
    </row>
    <row r="84">
      <c r="A84" s="33" t="n"/>
      <c r="B84" s="199" t="n"/>
      <c r="C84" s="199" t="n"/>
      <c r="D84" s="222" t="n"/>
      <c r="E84" s="213" t="n"/>
      <c r="F84" s="213" t="n"/>
      <c r="G84" s="213" t="n"/>
      <c r="H84" s="189" t="n"/>
      <c r="I84" s="189" t="n"/>
      <c r="J84" s="189" t="n"/>
      <c r="K84" s="201" t="n"/>
      <c r="L84" s="306" t="n"/>
      <c r="M84" s="189" t="n"/>
      <c r="N84" s="189" t="n"/>
      <c r="O84" s="189">
        <f>L84-M84</f>
        <v/>
      </c>
      <c r="P84" s="189">
        <f>K84-N84</f>
        <v/>
      </c>
      <c r="Q84" s="189">
        <f>M84+O84</f>
        <v/>
      </c>
      <c r="R84" s="189">
        <f>M84+N84+O84+P84</f>
        <v/>
      </c>
      <c r="S84" s="203">
        <f>SUM(T84:V84)</f>
        <v/>
      </c>
      <c r="T84" s="203" t="n"/>
      <c r="U84" s="203" t="n"/>
      <c r="V84" s="203" t="n"/>
      <c r="W84" s="203" t="n"/>
      <c r="X84" s="203" t="n"/>
      <c r="Y84" s="203" t="n"/>
      <c r="Z84" s="189">
        <f>SUM(AA27:AJ27)</f>
        <v/>
      </c>
      <c r="AA84" s="203" t="n"/>
      <c r="AB84" s="220" t="n"/>
      <c r="AC84" s="220" t="n"/>
      <c r="AD84" s="220" t="n"/>
      <c r="AE84" s="220" t="n"/>
      <c r="AF84" s="220" t="n"/>
      <c r="AG84" s="220" t="n"/>
      <c r="AH84" s="220" t="n"/>
      <c r="AI84" s="220" t="n"/>
      <c r="AJ84" s="220" t="n"/>
      <c r="AK84" s="188">
        <f>AB27/1.17*0.17+AC27/1.16*0.16+AD27/1.11*0.11+AE27/1.1*0.1+AF27/1.09*0.09+AI27/1.03*0.03</f>
        <v/>
      </c>
      <c r="AL84" s="221" t="n"/>
    </row>
    <row r="85">
      <c r="A85" s="33" t="n"/>
      <c r="B85" s="199" t="n"/>
      <c r="C85" s="199" t="n"/>
      <c r="D85" s="222" t="n"/>
      <c r="E85" s="213" t="n"/>
      <c r="F85" s="213" t="n"/>
      <c r="G85" s="213" t="n"/>
      <c r="H85" s="189" t="n"/>
      <c r="I85" s="189" t="n"/>
      <c r="J85" s="189" t="n"/>
      <c r="K85" s="201" t="n"/>
      <c r="L85" s="306" t="n"/>
      <c r="M85" s="189" t="n"/>
      <c r="N85" s="189" t="n"/>
      <c r="O85" s="189">
        <f>L85-M85</f>
        <v/>
      </c>
      <c r="P85" s="189">
        <f>K85-N85</f>
        <v/>
      </c>
      <c r="Q85" s="189">
        <f>M85+O85</f>
        <v/>
      </c>
      <c r="R85" s="189">
        <f>M85+N85+O85+P85</f>
        <v/>
      </c>
      <c r="S85" s="203">
        <f>SUM(T85:V85)</f>
        <v/>
      </c>
      <c r="T85" s="203" t="n"/>
      <c r="U85" s="203" t="n"/>
      <c r="V85" s="203" t="n"/>
      <c r="W85" s="203" t="n"/>
      <c r="X85" s="203" t="n"/>
      <c r="Y85" s="203" t="n"/>
      <c r="Z85" s="189">
        <f>SUM(AA28:AJ28)</f>
        <v/>
      </c>
      <c r="AA85" s="203" t="n"/>
      <c r="AB85" s="220" t="n"/>
      <c r="AC85" s="220" t="n"/>
      <c r="AD85" s="220" t="n"/>
      <c r="AE85" s="220" t="n"/>
      <c r="AF85" s="220" t="n"/>
      <c r="AG85" s="220" t="n"/>
      <c r="AH85" s="220" t="n"/>
      <c r="AI85" s="220" t="n"/>
      <c r="AJ85" s="220" t="n"/>
      <c r="AK85" s="188">
        <f>AB28/1.17*0.17+AC28/1.16*0.16+AD28/1.11*0.11+AE28/1.1*0.1+AF28/1.09*0.09+AI28/1.03*0.03</f>
        <v/>
      </c>
      <c r="AL85" s="221" t="n"/>
    </row>
    <row r="86">
      <c r="A86" s="282" t="n"/>
      <c r="B86" s="283" t="n"/>
      <c r="C86" s="283" t="n"/>
      <c r="D86" s="285" t="inlineStr">
        <is>
          <t>（2）自行采购</t>
        </is>
      </c>
      <c r="E86" s="303" t="n"/>
      <c r="F86" s="303" t="n"/>
      <c r="G86" s="303" t="n"/>
      <c r="H86" s="285" t="n"/>
      <c r="I86" s="285" t="n"/>
      <c r="J86" s="285" t="n"/>
      <c r="K86" s="286" t="n"/>
      <c r="L86" s="287" t="n"/>
      <c r="M86" s="285" t="n"/>
      <c r="N86" s="285" t="n"/>
      <c r="O86" s="285">
        <f>L86-M86</f>
        <v/>
      </c>
      <c r="P86" s="285">
        <f>K86-N86</f>
        <v/>
      </c>
      <c r="Q86" s="285">
        <f>M86+O86</f>
        <v/>
      </c>
      <c r="R86" s="285">
        <f>M86+N86+O86+P86</f>
        <v/>
      </c>
      <c r="S86" s="289">
        <f>SUM(T86:V86)</f>
        <v/>
      </c>
      <c r="T86" s="289" t="n"/>
      <c r="U86" s="289" t="n"/>
      <c r="V86" s="289" t="n"/>
      <c r="W86" s="289" t="n"/>
      <c r="X86" s="289" t="n"/>
      <c r="Y86" s="289" t="n"/>
      <c r="Z86" s="285">
        <f>SUM(AA29:AJ29)</f>
        <v/>
      </c>
      <c r="AA86" s="289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290">
        <f>AB29/1.17*0.17+AC29/1.16*0.16+AD29/1.11*0.11+AE29/1.1*0.1+AF29/1.09*0.09+AI29/1.03*0.03</f>
        <v/>
      </c>
      <c r="AL86" s="305" t="n"/>
    </row>
    <row r="87">
      <c r="A87" s="206" t="n">
        <v>1</v>
      </c>
      <c r="B87" s="206" t="inlineStr">
        <is>
          <t>100237790</t>
        </is>
      </c>
      <c r="C87" s="207" t="inlineStr">
        <is>
          <t>中建四局0200202104506006</t>
        </is>
      </c>
      <c r="D87" s="207" t="inlineStr">
        <is>
          <t>佛山唐贵五金电器有限公司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36234</v>
      </c>
      <c r="N87" s="210" t="n">
        <v>4710.42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40944.42</v>
      </c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2</v>
      </c>
      <c r="B88" s="206" t="inlineStr">
        <is>
          <t>100082646</t>
        </is>
      </c>
      <c r="C88" s="207" t="inlineStr">
        <is>
          <t>中建四局0200202104506020</t>
        </is>
      </c>
      <c r="D88" s="207" t="inlineStr">
        <is>
          <t>佛山市南海升辉水泥预制件厂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88252.49000000001</v>
      </c>
      <c r="N88" s="210" t="n">
        <v>11472.83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20000</v>
      </c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3</v>
      </c>
      <c r="B89" s="206" t="inlineStr">
        <is>
          <t>200086855</t>
        </is>
      </c>
      <c r="C89" s="207" t="inlineStr">
        <is>
          <t>中建四局0200202104506011</t>
        </is>
      </c>
      <c r="D89" s="207" t="inlineStr">
        <is>
          <t>佛山市拓海电气设备有限公司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52325.54</v>
      </c>
      <c r="N89" s="210" t="n">
        <v>6802.32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20000</v>
      </c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4</v>
      </c>
      <c r="B90" s="206" t="inlineStr">
        <is>
          <t>200571072</t>
        </is>
      </c>
      <c r="C90" s="207" t="inlineStr">
        <is>
          <t>中建四局0200202104506023</t>
        </is>
      </c>
      <c r="D90" s="207" t="inlineStr">
        <is>
          <t>佛山市益晋建筑材料销售有限公司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32235427.77</v>
      </c>
      <c r="N90" s="210" t="n">
        <v>4190605.59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21170000</v>
      </c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5</v>
      </c>
      <c r="B91" s="206" t="inlineStr">
        <is>
          <t>200162951</t>
        </is>
      </c>
      <c r="C91" s="207" t="inlineStr">
        <is>
          <t>中建四局0200202104506004</t>
        </is>
      </c>
      <c r="D91" s="207" t="inlineStr">
        <is>
          <t>佛山市翊德通新型环保科技建材有限公司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500281.97</v>
      </c>
      <c r="N91" s="210" t="n">
        <v>65036.66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470000</v>
      </c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6</v>
      </c>
      <c r="B92" s="206" t="inlineStr">
        <is>
          <t>100217517</t>
        </is>
      </c>
      <c r="C92" s="207" t="inlineStr">
        <is>
          <t>中建四局020020210045060001</t>
        </is>
      </c>
      <c r="D92" s="207" t="inlineStr">
        <is>
          <t>佛山市顺德区恒锦源贸易有限公司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203010</v>
      </c>
      <c r="N92" s="210" t="n">
        <v>26391.3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7</v>
      </c>
      <c r="B93" s="206" t="inlineStr">
        <is>
          <t>100217517</t>
        </is>
      </c>
      <c r="C93" s="207" t="inlineStr">
        <is>
          <t>中建四局0200202104506005</t>
        </is>
      </c>
      <c r="D93" s="207" t="inlineStr">
        <is>
          <t>佛山市顺德区恒锦源贸易有限公司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776841.17</v>
      </c>
      <c r="N93" s="210" t="n">
        <v>100989.34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646000</v>
      </c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8</v>
      </c>
      <c r="B94" s="206" t="inlineStr">
        <is>
          <t>100217517</t>
        </is>
      </c>
      <c r="C94" s="207" t="inlineStr">
        <is>
          <t>中建四局0200202104506009</t>
        </is>
      </c>
      <c r="D94" s="207" t="inlineStr">
        <is>
          <t>佛山市顺德区恒锦源贸易有限公司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361593.1</v>
      </c>
      <c r="N94" s="210" t="n">
        <v>47007.09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140000</v>
      </c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9</v>
      </c>
      <c r="B95" s="206" t="inlineStr">
        <is>
          <t>200417828</t>
        </is>
      </c>
      <c r="C95" s="207" t="inlineStr">
        <is>
          <t>中建四局0200202104506015</t>
        </is>
      </c>
      <c r="D95" s="207" t="inlineStr">
        <is>
          <t>佛山市顺德区联皓科技开发有限公司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2661431.4</v>
      </c>
      <c r="N95" s="210" t="n">
        <v>345986.09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2100000</v>
      </c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10</v>
      </c>
      <c r="B96" s="206" t="inlineStr">
        <is>
          <t>100006706</t>
        </is>
      </c>
      <c r="C96" s="207" t="inlineStr">
        <is>
          <t>中建四局0200202104506025</t>
        </is>
      </c>
      <c r="D96" s="207" t="inlineStr">
        <is>
          <t>品茗科技股份有限公司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38641.38</v>
      </c>
      <c r="N96" s="210" t="n">
        <v>5023.38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39000</v>
      </c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11</v>
      </c>
      <c r="B97" s="206" t="inlineStr">
        <is>
          <t>200228960</t>
        </is>
      </c>
      <c r="C97" s="207" t="inlineStr">
        <is>
          <t>中建四局0200202104506010</t>
        </is>
      </c>
      <c r="D97" s="207" t="inlineStr">
        <is>
          <t>地兴实业（广州）有限公司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152645.27</v>
      </c>
      <c r="N97" s="210" t="n">
        <v>19843.86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120000</v>
      </c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12</v>
      </c>
      <c r="B98" s="206" t="inlineStr">
        <is>
          <t>200563704</t>
        </is>
      </c>
      <c r="C98" s="207" t="inlineStr">
        <is>
          <t>中建四局0200202104506022</t>
        </is>
      </c>
      <c r="D98" s="207" t="inlineStr">
        <is>
          <t>山东晟初供应链管理有限责任公司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5302261.73</v>
      </c>
      <c r="N98" s="210" t="n">
        <v>689294.02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4743834.61</v>
      </c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13</v>
      </c>
      <c r="B99" s="206" t="inlineStr">
        <is>
          <t>200486755</t>
        </is>
      </c>
      <c r="C99" s="207" t="inlineStr">
        <is>
          <t>中建四局0200202104506024</t>
        </is>
      </c>
      <c r="D99" s="207" t="inlineStr">
        <is>
          <t>广东冠祥新型建材有限公司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608304.67</v>
      </c>
      <c r="N99" s="210" t="n">
        <v>79079.60000000001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374000</v>
      </c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14</v>
      </c>
      <c r="B100" s="206" t="inlineStr">
        <is>
          <t>100217564</t>
        </is>
      </c>
      <c r="C100" s="207" t="inlineStr">
        <is>
          <t>中建四局0200202104506002</t>
        </is>
      </c>
      <c r="D100" s="207" t="inlineStr">
        <is>
          <t>广东顺德雍强贸易有限公司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475239.69</v>
      </c>
      <c r="N100" s="210" t="n">
        <v>61781.16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120000</v>
      </c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15</v>
      </c>
      <c r="B101" s="206" t="inlineStr">
        <is>
          <t>100217350</t>
        </is>
      </c>
      <c r="C101" s="207" t="inlineStr">
        <is>
          <t>中建四局0200202104506003</t>
        </is>
      </c>
      <c r="D101" s="207" t="inlineStr">
        <is>
          <t>广州市嘉宇金属制品有限公司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5220</v>
      </c>
      <c r="N101" s="210" t="n">
        <v>678.6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5898.6</v>
      </c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16</v>
      </c>
      <c r="B102" s="206" t="inlineStr">
        <is>
          <t>100006014</t>
        </is>
      </c>
      <c r="C102" s="207" t="inlineStr">
        <is>
          <t>中建四局0200202104506013</t>
        </is>
      </c>
      <c r="D102" s="207" t="inlineStr">
        <is>
          <t>广州市番禺区石楼镇沙南建材二厂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1393544.89</v>
      </c>
      <c r="N102" s="210" t="n">
        <v>181160.83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1031000</v>
      </c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17</v>
      </c>
      <c r="B103" s="206" t="inlineStr">
        <is>
          <t>100119801</t>
        </is>
      </c>
      <c r="C103" s="207" t="inlineStr">
        <is>
          <t>中建四局0200202104506014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64927.94</v>
      </c>
      <c r="N103" s="210" t="n">
        <v>8440.610000000001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54000</v>
      </c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18</v>
      </c>
      <c r="B104" s="206" t="inlineStr">
        <is>
          <t>100237088</t>
        </is>
      </c>
      <c r="C104" s="207" t="inlineStr">
        <is>
          <t>中建四局0200202104506021</t>
        </is>
      </c>
      <c r="D104" s="207" t="inlineStr">
        <is>
          <t>无锡市恒顺金属材料有限公司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18441166.94</v>
      </c>
      <c r="N104" s="210" t="n">
        <v>2397351.73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9585000</v>
      </c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19</v>
      </c>
      <c r="B105" s="206" t="inlineStr">
        <is>
          <t>200132050</t>
        </is>
      </c>
      <c r="C105" s="207" t="inlineStr">
        <is>
          <t>中建四局0200202104506019</t>
        </is>
      </c>
      <c r="D105" s="207" t="inlineStr">
        <is>
          <t>江门市擎宏科技实业有限公司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513151.15</v>
      </c>
      <c r="N105" s="210" t="n">
        <v>66709.64999999999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396000</v>
      </c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20</v>
      </c>
      <c r="B106" s="206" t="inlineStr">
        <is>
          <t>100022585</t>
        </is>
      </c>
      <c r="C106" s="207" t="inlineStr">
        <is>
          <t>中建四局0200202104506001</t>
        </is>
      </c>
      <c r="D106" s="207" t="inlineStr">
        <is>
          <t>漳州路桥物资发展有限公司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4104767.08</v>
      </c>
      <c r="N106" s="210" t="n">
        <v>533619.72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3321130.53</v>
      </c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21</v>
      </c>
      <c r="B107" s="206" t="inlineStr">
        <is>
          <t>100199057</t>
        </is>
      </c>
      <c r="C107" s="207" t="inlineStr">
        <is>
          <t>中建四局0200202104506007</t>
        </is>
      </c>
      <c r="D107" s="207" t="inlineStr">
        <is>
          <t>福建省莆田市龙兴劳保用品有限公司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96272</v>
      </c>
      <c r="N107" s="210" t="n">
        <v>12515.36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22</v>
      </c>
      <c r="B108" s="206" t="inlineStr">
        <is>
          <t>100199057</t>
        </is>
      </c>
      <c r="C108" s="207" t="inlineStr">
        <is>
          <t>中建四局0200202104506008</t>
        </is>
      </c>
      <c r="D108" s="207" t="inlineStr">
        <is>
          <t>福建省莆田市龙兴劳保用品有限公司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87520</v>
      </c>
      <c r="N108" s="210" t="n">
        <v>11377.6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06" t="n">
        <v>23</v>
      </c>
      <c r="B109" s="206" t="n"/>
      <c r="C109" s="207" t="n"/>
      <c r="D109" s="207" t="inlineStr">
        <is>
          <t>其他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1769.91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  <c r="AI109" s="293" t="n"/>
      <c r="AJ109" s="293" t="n"/>
      <c r="AK109" s="293" t="n"/>
      <c r="AL109" s="293" t="n"/>
    </row>
    <row r="110">
      <c r="A110" s="206" t="n">
        <v>24</v>
      </c>
      <c r="B110" s="206" t="n"/>
      <c r="C110" s="207" t="n"/>
      <c r="D110" s="207" t="inlineStr">
        <is>
          <t>废旧物资处置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-202535.6</v>
      </c>
      <c r="N110" s="206" t="n"/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06" t="n"/>
      <c r="U110" s="206" t="n"/>
      <c r="V110" s="206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  <c r="AI110" s="293" t="n"/>
      <c r="AJ110" s="293" t="n"/>
      <c r="AK110" s="293" t="n"/>
      <c r="AL110" s="293" t="n"/>
    </row>
    <row r="111">
      <c r="A111" s="206" t="n">
        <v>25</v>
      </c>
      <c r="B111" s="206" t="n"/>
      <c r="C111" s="207" t="n"/>
      <c r="D111" s="207" t="inlineStr">
        <is>
          <t>研发支出-材料费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-8056947.95</v>
      </c>
      <c r="N111" s="206" t="n"/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06" t="n"/>
      <c r="U111" s="206" t="n"/>
      <c r="V111" s="206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  <c r="AI111" s="293" t="n"/>
      <c r="AJ111" s="293" t="n"/>
      <c r="AK111" s="293" t="n"/>
      <c r="AL111" s="293" t="n"/>
    </row>
    <row r="112">
      <c r="A112" s="282" t="n">
        <v>26</v>
      </c>
      <c r="B112" s="283" t="n"/>
      <c r="C112" s="283" t="n"/>
      <c r="D112" s="302" t="inlineStr">
        <is>
          <t>材料调入</t>
        </is>
      </c>
      <c r="E112" s="283" t="n"/>
      <c r="F112" s="283" t="n"/>
      <c r="G112" s="283" t="n"/>
      <c r="H112" s="285" t="n"/>
      <c r="I112" s="285" t="n"/>
      <c r="J112" s="285" t="n"/>
      <c r="K112" s="286" t="n"/>
      <c r="L112" s="287" t="n"/>
      <c r="M112" s="307" t="n">
        <v>7208164.12</v>
      </c>
      <c r="N112" s="285" t="n"/>
      <c r="O112" s="285">
        <f>L112-M112</f>
        <v/>
      </c>
      <c r="P112" s="285">
        <f>K112-N112</f>
        <v/>
      </c>
      <c r="Q112" s="285">
        <f>M112+O112</f>
        <v/>
      </c>
      <c r="R112" s="285">
        <f>M112+N112+O112+P112</f>
        <v/>
      </c>
      <c r="S112" s="289">
        <f>SUM(T112:V112)</f>
        <v/>
      </c>
      <c r="T112" s="289" t="n"/>
      <c r="U112" s="289" t="n"/>
      <c r="V112" s="289" t="n"/>
      <c r="W112" s="289" t="n"/>
      <c r="X112" s="289" t="n"/>
      <c r="Y112" s="289" t="n"/>
      <c r="Z112" s="285">
        <f>SUM(AA30:AJ30)</f>
        <v/>
      </c>
      <c r="AA112" s="289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290">
        <f>AB30/1.17*0.17+AC30/1.16*0.16+AD30/1.11*0.11+AE30/1.1*0.1+AF30/1.09*0.09+AI30/1.03*0.03</f>
        <v/>
      </c>
      <c r="AL112" s="305" t="n"/>
    </row>
    <row r="113">
      <c r="A113" s="282" t="n">
        <v>27</v>
      </c>
      <c r="B113" s="283" t="n"/>
      <c r="C113" s="283" t="n"/>
      <c r="D113" s="302" t="inlineStr">
        <is>
          <t>材料调出（注：负数填报）</t>
        </is>
      </c>
      <c r="E113" s="308" t="n"/>
      <c r="F113" s="308" t="n"/>
      <c r="G113" s="308" t="n"/>
      <c r="H113" s="309" t="n"/>
      <c r="I113" s="309" t="n"/>
      <c r="J113" s="285" t="n"/>
      <c r="K113" s="286" t="n"/>
      <c r="L113" s="287" t="n"/>
      <c r="M113" s="310" t="n">
        <v>-2516875.22</v>
      </c>
      <c r="N113" s="309" t="n"/>
      <c r="O113" s="285">
        <f>L113-M113</f>
        <v/>
      </c>
      <c r="P113" s="285">
        <f>K113-N113</f>
        <v/>
      </c>
      <c r="Q113" s="285">
        <f>M113+O113</f>
        <v/>
      </c>
      <c r="R113" s="285">
        <f>M113+N113+O113+P113</f>
        <v/>
      </c>
      <c r="S113" s="289">
        <f>SUM(T113:V113)</f>
        <v/>
      </c>
      <c r="T113" s="309" t="n"/>
      <c r="U113" s="309" t="n"/>
      <c r="V113" s="309" t="n"/>
      <c r="W113" s="309" t="n"/>
      <c r="X113" s="309" t="n"/>
      <c r="Y113" s="309" t="n"/>
      <c r="Z113" s="285">
        <f>SUM(AA31:AJ31)</f>
        <v/>
      </c>
      <c r="AA113" s="309" t="n"/>
      <c r="AB113" s="311" t="n"/>
      <c r="AC113" s="311" t="n"/>
      <c r="AD113" s="311" t="n"/>
      <c r="AE113" s="311" t="n"/>
      <c r="AF113" s="311" t="n"/>
      <c r="AG113" s="311" t="n"/>
      <c r="AH113" s="311" t="n"/>
      <c r="AI113" s="311" t="n"/>
      <c r="AJ113" s="311" t="n"/>
      <c r="AK113" s="290">
        <f>AB31/1.17*0.17+AC31/1.16*0.16+AD31/1.11*0.11+AE31/1.1*0.1+AF31/1.09*0.09+AI31/1.03*0.03</f>
        <v/>
      </c>
      <c r="AL113" s="312" t="n"/>
    </row>
    <row r="114">
      <c r="A114" s="282" t="n"/>
      <c r="B114" s="283" t="n"/>
      <c r="C114" s="283" t="n"/>
      <c r="D114" s="302" t="inlineStr">
        <is>
          <t>材料库存（注：项目已结算未使用材料冲减项目成本，负数填报）</t>
        </is>
      </c>
      <c r="E114" s="308" t="n"/>
      <c r="F114" s="308" t="n"/>
      <c r="G114" s="308" t="n"/>
      <c r="H114" s="309" t="n"/>
      <c r="I114" s="309" t="n"/>
      <c r="J114" s="285" t="n"/>
      <c r="K114" s="286" t="n"/>
      <c r="L114" s="287" t="n"/>
      <c r="M114" s="309" t="n"/>
      <c r="N114" s="309" t="n"/>
      <c r="O114" s="285" t="n"/>
      <c r="P114" s="285" t="n"/>
      <c r="Q114" s="285" t="n"/>
      <c r="R114" s="285" t="n"/>
      <c r="S114" s="289" t="n"/>
      <c r="T114" s="309" t="n"/>
      <c r="U114" s="309" t="n"/>
      <c r="V114" s="309" t="n"/>
      <c r="W114" s="309" t="n"/>
      <c r="X114" s="309" t="n"/>
      <c r="Y114" s="309" t="n"/>
      <c r="Z114" s="285" t="n"/>
      <c r="AA114" s="309" t="n"/>
      <c r="AB114" s="311" t="n"/>
      <c r="AC114" s="311" t="n"/>
      <c r="AD114" s="311" t="n"/>
      <c r="AE114" s="311" t="n"/>
      <c r="AF114" s="311" t="n"/>
      <c r="AG114" s="311" t="n"/>
      <c r="AH114" s="311" t="n"/>
      <c r="AI114" s="311" t="n"/>
      <c r="AJ114" s="311" t="n"/>
      <c r="AK114" s="290" t="n"/>
      <c r="AL114" s="312" t="n"/>
    </row>
    <row r="115">
      <c r="A115" s="282" t="n"/>
      <c r="B115" s="283" t="n"/>
      <c r="C115" s="283" t="n"/>
      <c r="D115" s="294" t="inlineStr">
        <is>
          <t>**财务未列部分需增列***</t>
        </is>
      </c>
      <c r="E115" s="303" t="n"/>
      <c r="F115" s="303" t="n"/>
      <c r="G115" s="303" t="n"/>
      <c r="H115" s="285" t="n"/>
      <c r="I115" s="285" t="n"/>
      <c r="J115" s="285" t="n"/>
      <c r="K115" s="286" t="n"/>
      <c r="L115" s="287" t="n"/>
      <c r="M115" s="285" t="n"/>
      <c r="N115" s="285" t="n"/>
      <c r="O115" s="285">
        <f>L115-M115</f>
        <v/>
      </c>
      <c r="P115" s="285">
        <f>K115-N115</f>
        <v/>
      </c>
      <c r="Q115" s="285">
        <f>M115+O115</f>
        <v/>
      </c>
      <c r="R115" s="285">
        <f>M115+N115+O115+P115</f>
        <v/>
      </c>
      <c r="S115" s="289">
        <f>SUM(T115:V115)</f>
        <v/>
      </c>
      <c r="T115" s="289" t="n"/>
      <c r="U115" s="289" t="n"/>
      <c r="V115" s="289" t="n"/>
      <c r="W115" s="289" t="n"/>
      <c r="X115" s="289" t="n"/>
      <c r="Y115" s="289" t="n"/>
      <c r="Z115" s="289" t="n"/>
      <c r="AA115" s="289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290">
        <f>AB33/1.17*0.17+AC33/1.16*0.16+AD33/1.11*0.11+AE33/1.1*0.1+AF33/1.09*0.09+AI33/1.03*0.03</f>
        <v/>
      </c>
      <c r="AL115" s="305" t="n"/>
    </row>
    <row r="116">
      <c r="A116" s="298" t="n"/>
      <c r="B116" s="299" t="n"/>
      <c r="C116" s="299" t="n"/>
      <c r="D116" s="300" t="inlineStr">
        <is>
          <t>材料费小计：</t>
        </is>
      </c>
      <c r="E116" s="301">
        <f>SUM(E81:E115)</f>
        <v/>
      </c>
      <c r="F116" s="301">
        <f>SUM(F81:F115)</f>
        <v/>
      </c>
      <c r="G116" s="301">
        <f>SUM(G81:G115)</f>
        <v/>
      </c>
      <c r="H116" s="301">
        <f>SUM(H81:H115)</f>
        <v/>
      </c>
      <c r="I116" s="301">
        <f>SUM(I81:I115)</f>
        <v/>
      </c>
      <c r="J116" s="301">
        <f>SUM(J81:J115)</f>
        <v/>
      </c>
      <c r="K116" s="301">
        <f>SUM(K81:K115)</f>
        <v/>
      </c>
      <c r="L116" s="301">
        <f>SUM(L81:L115)</f>
        <v/>
      </c>
      <c r="M116" s="301">
        <f>SUM(M81:M115)</f>
        <v/>
      </c>
      <c r="N116" s="301">
        <f>SUM(N81:N115)</f>
        <v/>
      </c>
      <c r="O116" s="301">
        <f>SUM(O81:O115)</f>
        <v/>
      </c>
      <c r="P116" s="301">
        <f>SUM(P81:P115)</f>
        <v/>
      </c>
      <c r="Q116" s="301">
        <f>SUM(Q81:Q115)</f>
        <v/>
      </c>
      <c r="R116" s="301">
        <f>SUM(R81:R115)</f>
        <v/>
      </c>
      <c r="S116" s="301">
        <f>SUM(S81:S115)</f>
        <v/>
      </c>
      <c r="T116" s="301">
        <f>SUM(T81:T115)</f>
        <v/>
      </c>
      <c r="U116" s="301">
        <f>SUM(U81:U115)</f>
        <v/>
      </c>
      <c r="V116" s="301">
        <f>SUM(V81:V115)</f>
        <v/>
      </c>
      <c r="W116" s="301">
        <f>SUM(W81:W115)</f>
        <v/>
      </c>
      <c r="X116" s="301">
        <f>SUM(X81:X115)</f>
        <v/>
      </c>
      <c r="Y116" s="301">
        <f>SUM(Y81:Y115)</f>
        <v/>
      </c>
      <c r="Z116" s="301">
        <f>SUM(Z81:Z115)</f>
        <v/>
      </c>
      <c r="AA116" s="301">
        <f>SUM(AA81:AA115)</f>
        <v/>
      </c>
      <c r="AB116" s="301">
        <f>SUM(AB81:AB115)</f>
        <v/>
      </c>
      <c r="AC116" s="301">
        <f>SUM(AC81:AC115)</f>
        <v/>
      </c>
      <c r="AD116" s="301">
        <f>SUM(AD81:AD115)</f>
        <v/>
      </c>
      <c r="AE116" s="301">
        <f>SUM(AE81:AE115)</f>
        <v/>
      </c>
      <c r="AF116" s="301">
        <f>SUM(AF81:AF115)</f>
        <v/>
      </c>
      <c r="AG116" s="301">
        <f>SUM(AG81:AG115)</f>
        <v/>
      </c>
      <c r="AH116" s="301">
        <f>SUM(AH81:AH115)</f>
        <v/>
      </c>
      <c r="AI116" s="301">
        <f>SUM(AI81:AI115)</f>
        <v/>
      </c>
      <c r="AJ116" s="301">
        <f>SUM(AJ81:AJ115)</f>
        <v/>
      </c>
      <c r="AK116" s="301">
        <f>SUM(AK81:AK115)</f>
        <v/>
      </c>
      <c r="AL116" s="291" t="n"/>
    </row>
    <row r="117">
      <c r="A117" s="282" t="n"/>
      <c r="B117" s="283" t="n"/>
      <c r="C117" s="283" t="n"/>
      <c r="D117" s="302" t="inlineStr">
        <is>
          <t>(四）机械租赁费</t>
        </is>
      </c>
      <c r="E117" s="295" t="n"/>
      <c r="F117" s="295" t="n"/>
      <c r="G117" s="295" t="n"/>
      <c r="H117" s="285" t="n"/>
      <c r="I117" s="285" t="n"/>
      <c r="J117" s="285" t="n"/>
      <c r="K117" s="286" t="n">
        <v>0</v>
      </c>
      <c r="L117" s="287">
        <f>J117-K117</f>
        <v/>
      </c>
      <c r="M117" s="288" t="n"/>
      <c r="N117" s="288" t="n"/>
      <c r="O117" s="285">
        <f>L117-M117</f>
        <v/>
      </c>
      <c r="P117" s="285">
        <f>K117-N117</f>
        <v/>
      </c>
      <c r="Q117" s="285">
        <f>M117+O117</f>
        <v/>
      </c>
      <c r="R117" s="285">
        <f>M117+N117+O117+P117</f>
        <v/>
      </c>
      <c r="S117" s="289">
        <f>SUM(T117:V117)</f>
        <v/>
      </c>
      <c r="T117" s="289" t="n"/>
      <c r="U117" s="289" t="n"/>
      <c r="V117" s="289" t="n"/>
      <c r="W117" s="289" t="n"/>
      <c r="X117" s="289" t="n"/>
      <c r="Y117" s="289" t="n"/>
      <c r="Z117" s="289" t="n"/>
      <c r="AA117" s="289" t="n"/>
      <c r="AB117" s="289" t="n"/>
      <c r="AC117" s="289" t="n"/>
      <c r="AD117" s="289" t="n"/>
      <c r="AE117" s="289" t="n"/>
      <c r="AF117" s="289" t="n"/>
      <c r="AG117" s="289" t="n"/>
      <c r="AH117" s="289" t="n"/>
      <c r="AI117" s="289" t="n"/>
      <c r="AJ117" s="289" t="n"/>
      <c r="AK117" s="290">
        <f>AB35/1.17*0.17+AC35/1.16*0.16+AD35/1.11*0.11+AE35/1.1*0.1+AF35/1.09*0.09+AI35/1.03*0.03</f>
        <v/>
      </c>
      <c r="AL117" s="291" t="n"/>
    </row>
    <row r="118">
      <c r="A118" s="206" t="n">
        <v>1</v>
      </c>
      <c r="B118" s="206" t="inlineStr">
        <is>
          <t>100051486</t>
        </is>
      </c>
      <c r="C118" s="207" t="inlineStr">
        <is>
          <t>中建四局0200202104505001</t>
        </is>
      </c>
      <c r="D118" s="207" t="inlineStr">
        <is>
          <t>佛山市赢鑫建筑机械租赁有限公司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6">
        <f>J118-K118</f>
        <v/>
      </c>
      <c r="M118" s="210" t="n">
        <v>2336488.06</v>
      </c>
      <c r="N118" s="210" t="n">
        <v>384884.26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2589487</v>
      </c>
      <c r="U118" s="206" t="n"/>
      <c r="V118" s="206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  <c r="AI118" s="293" t="n"/>
      <c r="AJ118" s="293" t="n"/>
      <c r="AK118" s="293" t="n"/>
      <c r="AL118" s="293" t="n"/>
    </row>
    <row r="119">
      <c r="A119" s="206" t="n">
        <v>2</v>
      </c>
      <c r="B119" s="206" t="inlineStr">
        <is>
          <t>100051486</t>
        </is>
      </c>
      <c r="C119" s="207" t="inlineStr">
        <is>
          <t>中建四局0200202104505006</t>
        </is>
      </c>
      <c r="D119" s="207" t="inlineStr">
        <is>
          <t>佛山市赢鑫建筑机械租赁有限公司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6">
        <f>J119-K119</f>
        <v/>
      </c>
      <c r="M119" s="210" t="n">
        <v>1611249.84</v>
      </c>
      <c r="N119" s="210" t="n">
        <v>209938.79</v>
      </c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10" t="n">
        <v>1200000</v>
      </c>
      <c r="U119" s="206" t="n"/>
      <c r="V119" s="206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  <c r="AI119" s="293" t="n"/>
      <c r="AJ119" s="293" t="n"/>
      <c r="AK119" s="293" t="n"/>
      <c r="AL119" s="293" t="n"/>
    </row>
    <row r="120">
      <c r="A120" s="206" t="n">
        <v>3</v>
      </c>
      <c r="B120" s="206" t="inlineStr">
        <is>
          <t>200210767</t>
        </is>
      </c>
      <c r="C120" s="207" t="inlineStr">
        <is>
          <t>中建四局0200202104505005</t>
        </is>
      </c>
      <c r="D120" s="207" t="inlineStr">
        <is>
          <t>佛山市格瑞卡工程机械有限公司</t>
        </is>
      </c>
      <c r="E120" s="206" t="n"/>
      <c r="F120" s="206" t="n"/>
      <c r="G120" s="206" t="n"/>
      <c r="H120" s="206" t="n"/>
      <c r="I120" s="206" t="n"/>
      <c r="J120" s="206">
        <f>H120+I120</f>
        <v/>
      </c>
      <c r="K120" s="208" t="n"/>
      <c r="L120" s="206">
        <f>J120-K120</f>
        <v/>
      </c>
      <c r="M120" s="210" t="n">
        <v>525678.79</v>
      </c>
      <c r="N120" s="210" t="n">
        <v>68338.25</v>
      </c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10" t="n">
        <v>500000</v>
      </c>
      <c r="U120" s="206" t="n"/>
      <c r="V120" s="206" t="n"/>
      <c r="W120" s="293" t="n"/>
      <c r="X120" s="293" t="n"/>
      <c r="Y120" s="293" t="n"/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  <c r="AI120" s="293" t="n"/>
      <c r="AJ120" s="293" t="n"/>
      <c r="AK120" s="293" t="n"/>
      <c r="AL120" s="293" t="n"/>
    </row>
    <row r="121">
      <c r="A121" s="206" t="n">
        <v>4</v>
      </c>
      <c r="B121" s="206" t="inlineStr">
        <is>
          <t>100117504</t>
        </is>
      </c>
      <c r="C121" s="207" t="inlineStr">
        <is>
          <t>中建四局0200202104505003</t>
        </is>
      </c>
      <c r="D121" s="207" t="inlineStr">
        <is>
          <t>广州大丰工程机械设备有限公司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6">
        <f>J121-K121</f>
        <v/>
      </c>
      <c r="M121" s="210" t="n">
        <v>74299.99000000001</v>
      </c>
      <c r="N121" s="210" t="n">
        <v>9659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83958.99000000001</v>
      </c>
      <c r="U121" s="206" t="n"/>
      <c r="V121" s="206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  <c r="AI121" s="293" t="n"/>
      <c r="AJ121" s="293" t="n"/>
      <c r="AK121" s="293" t="n"/>
      <c r="AL121" s="293" t="n"/>
    </row>
    <row r="122">
      <c r="A122" s="206" t="n">
        <v>5</v>
      </c>
      <c r="B122" s="206" t="inlineStr">
        <is>
          <t>100217502</t>
        </is>
      </c>
      <c r="C122" s="207" t="inlineStr">
        <is>
          <t>中建四局0200202104505004</t>
        </is>
      </c>
      <c r="D122" s="207" t="inlineStr">
        <is>
          <t>广州湘亿货运代理有限公司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6">
        <f>J122-K122</f>
        <v/>
      </c>
      <c r="M122" s="210" t="n">
        <v>14793</v>
      </c>
      <c r="N122" s="210" t="n">
        <v>1331.37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16124.37</v>
      </c>
      <c r="U122" s="206" t="n"/>
      <c r="V122" s="206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  <c r="AI122" s="293" t="n"/>
      <c r="AJ122" s="293" t="n"/>
      <c r="AK122" s="293" t="n"/>
      <c r="AL122" s="293" t="n"/>
    </row>
    <row r="123">
      <c r="A123" s="282" t="n"/>
      <c r="B123" s="283" t="n"/>
      <c r="C123" s="283" t="n"/>
      <c r="D123" s="294" t="inlineStr">
        <is>
          <t>**财务未列部分需增列***</t>
        </is>
      </c>
      <c r="E123" s="313" t="n"/>
      <c r="F123" s="313" t="n"/>
      <c r="G123" s="313" t="n"/>
      <c r="H123" s="285" t="n"/>
      <c r="I123" s="285" t="n"/>
      <c r="J123" s="285" t="n"/>
      <c r="K123" s="286" t="n">
        <v>0</v>
      </c>
      <c r="L123" s="287">
        <f>J123-K123</f>
        <v/>
      </c>
      <c r="M123" s="314" t="n"/>
      <c r="N123" s="314" t="n"/>
      <c r="O123" s="285">
        <f>L123-M123</f>
        <v/>
      </c>
      <c r="P123" s="285">
        <f>K123-N123</f>
        <v/>
      </c>
      <c r="Q123" s="285">
        <f>M123+O123</f>
        <v/>
      </c>
      <c r="R123" s="285">
        <f>M123+N123+O123+P123</f>
        <v/>
      </c>
      <c r="S123" s="289">
        <f>SUM(T123:V123)</f>
        <v/>
      </c>
      <c r="T123" s="314" t="n"/>
      <c r="U123" s="314" t="n"/>
      <c r="V123" s="314" t="n"/>
      <c r="W123" s="314" t="n"/>
      <c r="X123" s="314" t="n"/>
      <c r="Y123" s="314" t="n"/>
      <c r="Z123" s="314" t="n"/>
      <c r="AA123" s="289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>
        <f>AB37/1.17*0.17+AC37/1.16*0.16+AD37/1.11*0.11+AE37/1.1*0.1+AF37/1.09*0.09+AI37/1.03*0.03</f>
        <v/>
      </c>
      <c r="AL123" s="297" t="n"/>
    </row>
    <row r="124">
      <c r="A124" s="298" t="n"/>
      <c r="B124" s="299" t="n"/>
      <c r="C124" s="299" t="n"/>
      <c r="D124" s="315" t="inlineStr">
        <is>
          <t>机械费小计：</t>
        </is>
      </c>
      <c r="E124" s="316" t="n"/>
      <c r="F124" s="316" t="n"/>
      <c r="G124" s="316" t="n"/>
      <c r="H124" s="301">
        <f>SUM(H117:H123)</f>
        <v/>
      </c>
      <c r="I124" s="301">
        <f>SUM(I117:I123)</f>
        <v/>
      </c>
      <c r="J124" s="301">
        <f>SUM(J117:J123)</f>
        <v/>
      </c>
      <c r="K124" s="301">
        <f>SUM(K117:K123)</f>
        <v/>
      </c>
      <c r="L124" s="317">
        <f>SUM(L117:L123)</f>
        <v/>
      </c>
      <c r="M124" s="301">
        <f>SUM(M117:M123)</f>
        <v/>
      </c>
      <c r="N124" s="301">
        <f>SUM(N117:N123)</f>
        <v/>
      </c>
      <c r="O124" s="301">
        <f>SUM(O117:O123)</f>
        <v/>
      </c>
      <c r="P124" s="301">
        <f>SUM(P117:P123)</f>
        <v/>
      </c>
      <c r="Q124" s="301">
        <f>SUM(Q117:Q123)</f>
        <v/>
      </c>
      <c r="R124" s="301">
        <f>SUM(R117:R123)</f>
        <v/>
      </c>
      <c r="S124" s="301">
        <f>SUM(S117:S123)</f>
        <v/>
      </c>
      <c r="T124" s="301" t="n"/>
      <c r="U124" s="301" t="n"/>
      <c r="V124" s="301" t="n"/>
      <c r="W124" s="301" t="n"/>
      <c r="X124" s="301" t="n"/>
      <c r="Y124" s="301" t="n"/>
      <c r="Z124" s="301">
        <f>SUM(Z117:Z123)</f>
        <v/>
      </c>
      <c r="AA124" s="301">
        <f>SUM(AA117:AA123)</f>
        <v/>
      </c>
      <c r="AB124" s="301" t="n"/>
      <c r="AC124" s="301" t="n"/>
      <c r="AD124" s="301" t="n"/>
      <c r="AE124" s="301" t="n"/>
      <c r="AF124" s="301" t="n"/>
      <c r="AG124" s="301" t="n"/>
      <c r="AH124" s="301" t="n"/>
      <c r="AI124" s="301" t="n"/>
      <c r="AJ124" s="301" t="n"/>
      <c r="AK124" s="301" t="n"/>
      <c r="AL124" s="291" t="n"/>
    </row>
    <row r="125">
      <c r="A125" s="282" t="n"/>
      <c r="B125" s="283" t="n"/>
      <c r="C125" s="283" t="n"/>
      <c r="D125" s="302" t="inlineStr">
        <is>
          <t>（五）其他直接费</t>
        </is>
      </c>
      <c r="E125" s="295" t="n"/>
      <c r="F125" s="295" t="n"/>
      <c r="G125" s="295" t="n"/>
      <c r="H125" s="285" t="n"/>
      <c r="I125" s="285" t="n"/>
      <c r="J125" s="288" t="n">
        <v>0</v>
      </c>
      <c r="K125" s="286" t="n">
        <v>0</v>
      </c>
      <c r="L125" s="287">
        <f>J125-N125-P125</f>
        <v/>
      </c>
      <c r="M125" s="288" t="n"/>
      <c r="N125" s="288" t="n"/>
      <c r="O125" s="285">
        <f>L125-M125</f>
        <v/>
      </c>
      <c r="P125" s="285">
        <f>K125-N125</f>
        <v/>
      </c>
      <c r="Q125" s="285">
        <f>M125+O125</f>
        <v/>
      </c>
      <c r="R125" s="285">
        <f>M125+N125+O125+P125</f>
        <v/>
      </c>
      <c r="S125" s="289">
        <f>SUM(T125:V125)</f>
        <v/>
      </c>
      <c r="T125" s="289" t="n"/>
      <c r="U125" s="289" t="n"/>
      <c r="V125" s="289" t="n"/>
      <c r="W125" s="289" t="n"/>
      <c r="X125" s="289" t="n"/>
      <c r="Y125" s="289" t="n"/>
      <c r="Z125" s="289" t="n"/>
      <c r="AA125" s="289" t="n"/>
      <c r="AB125" s="289" t="n"/>
      <c r="AC125" s="289" t="n"/>
      <c r="AD125" s="289" t="n"/>
      <c r="AE125" s="289" t="n"/>
      <c r="AF125" s="289" t="n"/>
      <c r="AG125" s="289" t="n"/>
      <c r="AH125" s="289" t="n"/>
      <c r="AI125" s="289" t="n"/>
      <c r="AJ125" s="289" t="n"/>
      <c r="AK125" s="290" t="n"/>
      <c r="AL125" s="291" t="n"/>
    </row>
    <row r="126">
      <c r="A126" s="206" t="n">
        <v>1</v>
      </c>
      <c r="B126" s="206" t="n"/>
      <c r="C126" s="207" t="n"/>
      <c r="D126" s="207" t="inlineStr">
        <is>
          <t>保险费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724899.0600000001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  <c r="W126" s="293" t="n"/>
      <c r="X126" s="293" t="n"/>
      <c r="Y126" s="293" t="n"/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  <c r="AI126" s="293" t="n"/>
      <c r="AJ126" s="293" t="n"/>
      <c r="AK126" s="293" t="n"/>
      <c r="AL126" s="293" t="n"/>
    </row>
    <row r="127">
      <c r="A127" s="206" t="n">
        <v>2</v>
      </c>
      <c r="B127" s="206" t="n"/>
      <c r="C127" s="207" t="n"/>
      <c r="D127" s="207" t="inlineStr">
        <is>
          <t>其他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79235.21000000001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  <c r="AI127" s="293" t="n"/>
      <c r="AJ127" s="293" t="n"/>
      <c r="AK127" s="293" t="n"/>
      <c r="AL127" s="293" t="n"/>
    </row>
    <row r="128">
      <c r="A128" s="206" t="n">
        <v>3</v>
      </c>
      <c r="B128" s="206" t="n"/>
      <c r="C128" s="207" t="n"/>
      <c r="D128" s="207" t="inlineStr">
        <is>
          <t>咨询费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39798</v>
      </c>
      <c r="N128" s="206" t="n"/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06" t="n"/>
      <c r="U128" s="206" t="n"/>
      <c r="V128" s="206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  <c r="AI128" s="293" t="n"/>
      <c r="AJ128" s="293" t="n"/>
      <c r="AK128" s="293" t="n"/>
      <c r="AL128" s="293" t="n"/>
    </row>
    <row r="129">
      <c r="A129" s="206" t="n">
        <v>4</v>
      </c>
      <c r="B129" s="206" t="n"/>
      <c r="C129" s="207" t="n"/>
      <c r="D129" s="207" t="inlineStr">
        <is>
          <t>检验试验费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811573.96</v>
      </c>
      <c r="N129" s="206" t="n"/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06" t="n"/>
      <c r="U129" s="206" t="n"/>
      <c r="V129" s="206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  <c r="AI129" s="293" t="n"/>
      <c r="AJ129" s="293" t="n"/>
      <c r="AK129" s="293" t="n"/>
      <c r="AL129" s="293" t="n"/>
    </row>
    <row r="130">
      <c r="A130" s="206" t="n">
        <v>5</v>
      </c>
      <c r="B130" s="206" t="n"/>
      <c r="C130" s="207" t="n"/>
      <c r="D130" s="207" t="inlineStr">
        <is>
          <t>水电费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1550912.85</v>
      </c>
      <c r="N130" s="206" t="n"/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06" t="n"/>
      <c r="U130" s="206" t="n"/>
      <c r="V130" s="206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  <c r="AI130" s="293" t="n"/>
      <c r="AJ130" s="293" t="n"/>
      <c r="AK130" s="293" t="n"/>
      <c r="AL130" s="293" t="n"/>
    </row>
    <row r="131">
      <c r="A131" s="206" t="n">
        <v>6</v>
      </c>
      <c r="B131" s="206" t="n"/>
      <c r="C131" s="207" t="n"/>
      <c r="D131" s="207" t="inlineStr">
        <is>
          <t>测量费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12460.82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  <c r="AI131" s="293" t="n"/>
      <c r="AJ131" s="293" t="n"/>
      <c r="AK131" s="293" t="n"/>
      <c r="AL131" s="293" t="n"/>
    </row>
    <row r="132">
      <c r="A132" s="282" t="n"/>
      <c r="B132" s="283" t="n"/>
      <c r="C132" s="283" t="n"/>
      <c r="D132" s="294" t="inlineStr">
        <is>
          <t>**财务未列部分需增列***</t>
        </is>
      </c>
      <c r="E132" s="295" t="n"/>
      <c r="F132" s="295" t="n"/>
      <c r="G132" s="295" t="n"/>
      <c r="H132" s="285" t="n"/>
      <c r="I132" s="285" t="n"/>
      <c r="J132" s="288" t="n"/>
      <c r="K132" s="286" t="n"/>
      <c r="L132" s="287">
        <f>J132-K132</f>
        <v/>
      </c>
      <c r="M132" s="318" t="n"/>
      <c r="N132" s="318" t="n"/>
      <c r="O132" s="285">
        <f>L132-M132</f>
        <v/>
      </c>
      <c r="P132" s="285">
        <f>K132-N132</f>
        <v/>
      </c>
      <c r="Q132" s="285">
        <f>M132+O132</f>
        <v/>
      </c>
      <c r="R132" s="285">
        <f>M132+N132+O132+P132</f>
        <v/>
      </c>
      <c r="S132" s="289">
        <f>SUM(T132:V132)</f>
        <v/>
      </c>
      <c r="T132" s="318" t="n"/>
      <c r="U132" s="318" t="n"/>
      <c r="V132" s="318" t="n"/>
      <c r="W132" s="318" t="n"/>
      <c r="X132" s="318" t="n"/>
      <c r="Y132" s="318" t="n"/>
      <c r="Z132" s="285">
        <f>SUM(AA45:AJ45)</f>
        <v/>
      </c>
      <c r="AA132" s="289" t="n"/>
      <c r="AB132" s="289" t="n"/>
      <c r="AC132" s="289" t="n"/>
      <c r="AD132" s="289" t="n"/>
      <c r="AE132" s="289" t="n"/>
      <c r="AF132" s="289" t="n"/>
      <c r="AG132" s="289" t="n"/>
      <c r="AH132" s="289" t="n"/>
      <c r="AI132" s="289" t="n"/>
      <c r="AJ132" s="289" t="n"/>
      <c r="AK132" s="290" t="n"/>
      <c r="AL132" s="291" t="n"/>
    </row>
    <row r="133">
      <c r="A133" s="319" t="n"/>
      <c r="B133" s="320" t="n"/>
      <c r="C133" s="320" t="n"/>
      <c r="D133" s="315" t="inlineStr">
        <is>
          <t>其他直接费小计：</t>
        </is>
      </c>
      <c r="E133" s="321" t="n"/>
      <c r="F133" s="321" t="n"/>
      <c r="G133" s="321" t="n"/>
      <c r="H133" s="301">
        <f>SUM(H125:H132)</f>
        <v/>
      </c>
      <c r="I133" s="301">
        <f>SUM(I125:I132)</f>
        <v/>
      </c>
      <c r="J133" s="301">
        <f>SUM(J125:J132)</f>
        <v/>
      </c>
      <c r="K133" s="301">
        <f>SUM(K125:K132)</f>
        <v/>
      </c>
      <c r="L133" s="317">
        <f>SUM(L125:L132)</f>
        <v/>
      </c>
      <c r="M133" s="301">
        <f>SUM(M125:M132)</f>
        <v/>
      </c>
      <c r="N133" s="301">
        <f>SUM(N125:N132)</f>
        <v/>
      </c>
      <c r="O133" s="301">
        <f>L133-M133</f>
        <v/>
      </c>
      <c r="P133" s="301">
        <f>SUM(P125:P132)</f>
        <v/>
      </c>
      <c r="Q133" s="301">
        <f>M133+O133</f>
        <v/>
      </c>
      <c r="R133" s="301">
        <f>SUM(R125:R132)</f>
        <v/>
      </c>
      <c r="S133" s="301">
        <f>SUM(S125:S132)</f>
        <v/>
      </c>
      <c r="T133" s="301" t="n"/>
      <c r="U133" s="301" t="n"/>
      <c r="V133" s="301" t="n"/>
      <c r="W133" s="301" t="n"/>
      <c r="X133" s="301" t="n"/>
      <c r="Y133" s="301" t="n"/>
      <c r="Z133" s="301">
        <f>SUM(Z125:Z132)</f>
        <v/>
      </c>
      <c r="AA133" s="301">
        <f>SUM(AA125:AA132)</f>
        <v/>
      </c>
      <c r="AB133" s="301">
        <f>SUM(AB125:AB132)</f>
        <v/>
      </c>
      <c r="AC133" s="301">
        <f>SUM(AC125:AC132)</f>
        <v/>
      </c>
      <c r="AD133" s="301">
        <f>SUM(AD125:AD132)</f>
        <v/>
      </c>
      <c r="AE133" s="301">
        <f>SUM(AE125:AE132)</f>
        <v/>
      </c>
      <c r="AF133" s="301">
        <f>SUM(AF125:AF132)</f>
        <v/>
      </c>
      <c r="AG133" s="301" t="n"/>
      <c r="AH133" s="301" t="n"/>
      <c r="AI133" s="301">
        <f>SUM(AI125:AI132)</f>
        <v/>
      </c>
      <c r="AJ133" s="301">
        <f>SUM(AJ125:AJ132)</f>
        <v/>
      </c>
      <c r="AK133" s="301">
        <f>SUM(AK125:AK132)</f>
        <v/>
      </c>
      <c r="AL133" s="291" t="n"/>
    </row>
    <row r="134">
      <c r="A134" s="282" t="n"/>
      <c r="B134" s="283" t="n"/>
      <c r="C134" s="283" t="n"/>
      <c r="D134" s="302" t="inlineStr">
        <is>
          <t>（六）间接费</t>
        </is>
      </c>
      <c r="E134" s="295" t="n"/>
      <c r="F134" s="295" t="n"/>
      <c r="G134" s="295" t="n"/>
      <c r="H134" s="288" t="n"/>
      <c r="I134" s="285" t="n"/>
      <c r="J134" s="285" t="n">
        <v>0</v>
      </c>
      <c r="K134" s="286" t="n">
        <v>0</v>
      </c>
      <c r="L134" s="287">
        <f>J134-N134-P134</f>
        <v/>
      </c>
      <c r="M134" s="288" t="n"/>
      <c r="N134" s="288" t="n"/>
      <c r="O134" s="285">
        <f>L134-M134</f>
        <v/>
      </c>
      <c r="P134" s="285">
        <f>K134-N134</f>
        <v/>
      </c>
      <c r="Q134" s="285">
        <f>M134+O134</f>
        <v/>
      </c>
      <c r="R134" s="285">
        <f>M134+N134+O134+P134</f>
        <v/>
      </c>
      <c r="S134" s="289">
        <f>SUM(T134:V134)</f>
        <v/>
      </c>
      <c r="T134" s="289" t="n"/>
      <c r="U134" s="289" t="n"/>
      <c r="V134" s="289" t="n"/>
      <c r="W134" s="289" t="n"/>
      <c r="X134" s="289" t="n"/>
      <c r="Y134" s="289" t="n"/>
      <c r="Z134" s="289" t="n"/>
      <c r="AA134" s="289" t="n"/>
      <c r="AB134" s="289" t="n"/>
      <c r="AC134" s="289" t="n"/>
      <c r="AD134" s="289" t="n"/>
      <c r="AE134" s="289" t="n"/>
      <c r="AF134" s="289" t="n"/>
      <c r="AG134" s="289" t="n"/>
      <c r="AH134" s="289" t="n"/>
      <c r="AI134" s="289" t="n"/>
      <c r="AJ134" s="289" t="n"/>
      <c r="AK134" s="290" t="n"/>
      <c r="AL134" s="291" t="n"/>
    </row>
    <row r="135">
      <c r="A135" s="206" t="n">
        <v>1</v>
      </c>
      <c r="B135" s="206" t="n"/>
      <c r="C135" s="207" t="n"/>
      <c r="D135" s="207" t="inlineStr">
        <is>
          <t>企业年金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74494.24000000001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3" t="n"/>
      <c r="X135" s="293" t="n"/>
      <c r="Y135" s="293" t="n"/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  <c r="AI135" s="293" t="n"/>
      <c r="AJ135" s="293" t="n"/>
      <c r="AK135" s="293" t="n"/>
      <c r="AL135" s="293" t="n"/>
    </row>
    <row r="136">
      <c r="A136" s="206" t="n">
        <v>2</v>
      </c>
      <c r="B136" s="206" t="n"/>
      <c r="C136" s="207" t="n"/>
      <c r="D136" s="207" t="inlineStr">
        <is>
          <t>住房公积金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229800.98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  <c r="AI136" s="293" t="n"/>
      <c r="AJ136" s="293" t="n"/>
      <c r="AK136" s="293" t="n"/>
      <c r="AL136" s="293" t="n"/>
    </row>
    <row r="137">
      <c r="A137" s="206" t="n">
        <v>3</v>
      </c>
      <c r="B137" s="206" t="n"/>
      <c r="C137" s="207" t="n"/>
      <c r="D137" s="207" t="inlineStr">
        <is>
          <t>保安保洁费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9375.23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  <c r="AI137" s="293" t="n"/>
      <c r="AJ137" s="293" t="n"/>
      <c r="AK137" s="293" t="n"/>
      <c r="AL137" s="293" t="n"/>
    </row>
    <row r="138">
      <c r="A138" s="206" t="n">
        <v>4</v>
      </c>
      <c r="B138" s="206" t="n"/>
      <c r="C138" s="207" t="n"/>
      <c r="D138" s="207" t="inlineStr">
        <is>
          <t>修理费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35150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  <c r="AI138" s="293" t="n"/>
      <c r="AJ138" s="293" t="n"/>
      <c r="AK138" s="293" t="n"/>
      <c r="AL138" s="293" t="n"/>
    </row>
    <row r="139">
      <c r="A139" s="206" t="n">
        <v>5</v>
      </c>
      <c r="B139" s="206" t="n"/>
      <c r="C139" s="207" t="n"/>
      <c r="D139" s="207" t="inlineStr">
        <is>
          <t>其他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154505.75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  <c r="AI139" s="293" t="n"/>
      <c r="AJ139" s="293" t="n"/>
      <c r="AK139" s="293" t="n"/>
      <c r="AL139" s="293" t="n"/>
    </row>
    <row r="140">
      <c r="A140" s="206" t="n">
        <v>6</v>
      </c>
      <c r="B140" s="206" t="n"/>
      <c r="C140" s="207" t="n"/>
      <c r="D140" s="207" t="inlineStr">
        <is>
          <t>冲晒印刷费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27505.96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3" t="n"/>
      <c r="X140" s="293" t="n"/>
      <c r="Y140" s="293" t="n"/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  <c r="AI140" s="293" t="n"/>
      <c r="AJ140" s="293" t="n"/>
      <c r="AK140" s="293" t="n"/>
      <c r="AL140" s="293" t="n"/>
    </row>
    <row r="141">
      <c r="A141" s="206" t="n">
        <v>7</v>
      </c>
      <c r="B141" s="206" t="n"/>
      <c r="C141" s="207" t="n"/>
      <c r="D141" s="207" t="inlineStr">
        <is>
          <t>办公用品费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136910.72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  <c r="AI141" s="293" t="n"/>
      <c r="AJ141" s="293" t="n"/>
      <c r="AK141" s="293" t="n"/>
      <c r="AL141" s="293" t="n"/>
    </row>
    <row r="142">
      <c r="A142" s="206" t="n">
        <v>8</v>
      </c>
      <c r="B142" s="206" t="n"/>
      <c r="C142" s="207" t="n"/>
      <c r="D142" s="207" t="inlineStr">
        <is>
          <t>医疗保险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148081.94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  <c r="AI142" s="293" t="n"/>
      <c r="AJ142" s="293" t="n"/>
      <c r="AK142" s="293" t="n"/>
      <c r="AL142" s="293" t="n"/>
    </row>
    <row r="143">
      <c r="A143" s="206" t="n">
        <v>9</v>
      </c>
      <c r="B143" s="206" t="n"/>
      <c r="C143" s="207" t="n"/>
      <c r="D143" s="207" t="inlineStr">
        <is>
          <t>咨询认证费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6886.8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  <c r="AI143" s="293" t="n"/>
      <c r="AJ143" s="293" t="n"/>
      <c r="AK143" s="293" t="n"/>
      <c r="AL143" s="293" t="n"/>
    </row>
    <row r="144">
      <c r="A144" s="206" t="n">
        <v>10</v>
      </c>
      <c r="B144" s="206" t="n"/>
      <c r="C144" s="207" t="n"/>
      <c r="D144" s="207" t="inlineStr">
        <is>
          <t>基本养老保险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290914.52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3" t="n"/>
      <c r="X144" s="293" t="n"/>
      <c r="Y144" s="293" t="n"/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  <c r="AI144" s="293" t="n"/>
      <c r="AJ144" s="293" t="n"/>
      <c r="AK144" s="293" t="n"/>
      <c r="AL144" s="293" t="n"/>
    </row>
    <row r="145">
      <c r="A145" s="206" t="n">
        <v>11</v>
      </c>
      <c r="B145" s="206" t="n"/>
      <c r="C145" s="207" t="n"/>
      <c r="D145" s="207" t="inlineStr">
        <is>
          <t>境内差旅费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19963.39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3" t="n"/>
      <c r="X145" s="293" t="n"/>
      <c r="Y145" s="293" t="n"/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  <c r="AI145" s="293" t="n"/>
      <c r="AJ145" s="293" t="n"/>
      <c r="AK145" s="293" t="n"/>
      <c r="AL145" s="293" t="n"/>
    </row>
    <row r="146">
      <c r="A146" s="206" t="n">
        <v>12</v>
      </c>
      <c r="B146" s="206" t="n"/>
      <c r="C146" s="207" t="n"/>
      <c r="D146" s="207" t="inlineStr">
        <is>
          <t>失业保险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12897.21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  <c r="AI146" s="293" t="n"/>
      <c r="AJ146" s="293" t="n"/>
      <c r="AK146" s="293" t="n"/>
      <c r="AL146" s="293" t="n"/>
    </row>
    <row r="147">
      <c r="A147" s="206" t="n">
        <v>13</v>
      </c>
      <c r="B147" s="206" t="n"/>
      <c r="C147" s="207" t="n"/>
      <c r="D147" s="207" t="inlineStr">
        <is>
          <t>工伤保险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8279.34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  <c r="AI147" s="293" t="n"/>
      <c r="AJ147" s="293" t="n"/>
      <c r="AK147" s="293" t="n"/>
      <c r="AL147" s="293" t="n"/>
    </row>
    <row r="148">
      <c r="A148" s="206" t="n">
        <v>14</v>
      </c>
      <c r="B148" s="206" t="n"/>
      <c r="C148" s="207" t="n"/>
      <c r="D148" s="207" t="inlineStr">
        <is>
          <t>工资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3489863.54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3" t="n"/>
      <c r="X148" s="293" t="n"/>
      <c r="Y148" s="293" t="n"/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  <c r="AI148" s="293" t="n"/>
      <c r="AJ148" s="293" t="n"/>
      <c r="AK148" s="293" t="n"/>
      <c r="AL148" s="293" t="n"/>
    </row>
    <row r="149">
      <c r="A149" s="206" t="n">
        <v>15</v>
      </c>
      <c r="B149" s="206" t="n"/>
      <c r="C149" s="207" t="n"/>
      <c r="D149" s="207" t="inlineStr">
        <is>
          <t>市内交通费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1605.51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3" t="n"/>
      <c r="X149" s="293" t="n"/>
      <c r="Y149" s="293" t="n"/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  <c r="AI149" s="293" t="n"/>
      <c r="AJ149" s="293" t="n"/>
      <c r="AK149" s="293" t="n"/>
      <c r="AL149" s="293" t="n"/>
    </row>
    <row r="150">
      <c r="A150" s="206" t="n">
        <v>16</v>
      </c>
      <c r="B150" s="206" t="n"/>
      <c r="C150" s="207" t="n"/>
      <c r="D150" s="207" t="inlineStr">
        <is>
          <t>排污费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1700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3" t="n"/>
      <c r="X150" s="293" t="n"/>
      <c r="Y150" s="293" t="n"/>
      <c r="Z150" s="293" t="n"/>
      <c r="AA150" s="293" t="n"/>
      <c r="AB150" s="293" t="n"/>
      <c r="AC150" s="293" t="n"/>
      <c r="AD150" s="293" t="n"/>
      <c r="AE150" s="293" t="n"/>
      <c r="AF150" s="293" t="n"/>
      <c r="AG150" s="293" t="n"/>
      <c r="AH150" s="293" t="n"/>
      <c r="AI150" s="293" t="n"/>
      <c r="AJ150" s="293" t="n"/>
      <c r="AK150" s="293" t="n"/>
      <c r="AL150" s="293" t="n"/>
    </row>
    <row r="151">
      <c r="A151" s="206" t="n">
        <v>17</v>
      </c>
      <c r="B151" s="206" t="n"/>
      <c r="C151" s="207" t="n"/>
      <c r="D151" s="207" t="inlineStr">
        <is>
          <t>水电费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47486.27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3" t="n"/>
      <c r="X151" s="293" t="n"/>
      <c r="Y151" s="293" t="n"/>
      <c r="Z151" s="293" t="n"/>
      <c r="AA151" s="293" t="n"/>
      <c r="AB151" s="293" t="n"/>
      <c r="AC151" s="293" t="n"/>
      <c r="AD151" s="293" t="n"/>
      <c r="AE151" s="293" t="n"/>
      <c r="AF151" s="293" t="n"/>
      <c r="AG151" s="293" t="n"/>
      <c r="AH151" s="293" t="n"/>
      <c r="AI151" s="293" t="n"/>
      <c r="AJ151" s="293" t="n"/>
      <c r="AK151" s="293" t="n"/>
      <c r="AL151" s="293" t="n"/>
    </row>
    <row r="152">
      <c r="A152" s="206" t="n">
        <v>18</v>
      </c>
      <c r="B152" s="206" t="n"/>
      <c r="C152" s="207" t="n"/>
      <c r="D152" s="207" t="inlineStr">
        <is>
          <t>燃油费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13463.44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3" t="n"/>
      <c r="X152" s="293" t="n"/>
      <c r="Y152" s="293" t="n"/>
      <c r="Z152" s="293" t="n"/>
      <c r="AA152" s="293" t="n"/>
      <c r="AB152" s="293" t="n"/>
      <c r="AC152" s="293" t="n"/>
      <c r="AD152" s="293" t="n"/>
      <c r="AE152" s="293" t="n"/>
      <c r="AF152" s="293" t="n"/>
      <c r="AG152" s="293" t="n"/>
      <c r="AH152" s="293" t="n"/>
      <c r="AI152" s="293" t="n"/>
      <c r="AJ152" s="293" t="n"/>
      <c r="AK152" s="293" t="n"/>
      <c r="AL152" s="293" t="n"/>
    </row>
    <row r="153">
      <c r="A153" s="206" t="n">
        <v>19</v>
      </c>
      <c r="B153" s="206" t="n"/>
      <c r="C153" s="207" t="n"/>
      <c r="D153" s="207" t="inlineStr">
        <is>
          <t>物业租赁费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107763.8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3" t="n"/>
      <c r="X153" s="293" t="n"/>
      <c r="Y153" s="293" t="n"/>
      <c r="Z153" s="293" t="n"/>
      <c r="AA153" s="293" t="n"/>
      <c r="AB153" s="293" t="n"/>
      <c r="AC153" s="293" t="n"/>
      <c r="AD153" s="293" t="n"/>
      <c r="AE153" s="293" t="n"/>
      <c r="AF153" s="293" t="n"/>
      <c r="AG153" s="293" t="n"/>
      <c r="AH153" s="293" t="n"/>
      <c r="AI153" s="293" t="n"/>
      <c r="AJ153" s="293" t="n"/>
      <c r="AK153" s="293" t="n"/>
      <c r="AL153" s="293" t="n"/>
    </row>
    <row r="154">
      <c r="A154" s="206" t="n">
        <v>20</v>
      </c>
      <c r="B154" s="206" t="n"/>
      <c r="C154" s="207" t="n"/>
      <c r="D154" s="207" t="inlineStr">
        <is>
          <t>物业管理费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233637.28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3" t="n"/>
      <c r="X154" s="293" t="n"/>
      <c r="Y154" s="293" t="n"/>
      <c r="Z154" s="293" t="n"/>
      <c r="AA154" s="293" t="n"/>
      <c r="AB154" s="293" t="n"/>
      <c r="AC154" s="293" t="n"/>
      <c r="AD154" s="293" t="n"/>
      <c r="AE154" s="293" t="n"/>
      <c r="AF154" s="293" t="n"/>
      <c r="AG154" s="293" t="n"/>
      <c r="AH154" s="293" t="n"/>
      <c r="AI154" s="293" t="n"/>
      <c r="AJ154" s="293" t="n"/>
      <c r="AK154" s="293" t="n"/>
      <c r="AL154" s="293" t="n"/>
    </row>
    <row r="155">
      <c r="A155" s="206" t="n">
        <v>21</v>
      </c>
      <c r="B155" s="206" t="n"/>
      <c r="C155" s="207" t="n"/>
      <c r="D155" s="207" t="inlineStr">
        <is>
          <t>社保及公积金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107223.57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3" t="n"/>
      <c r="X155" s="293" t="n"/>
      <c r="Y155" s="293" t="n"/>
      <c r="Z155" s="293" t="n"/>
      <c r="AA155" s="293" t="n"/>
      <c r="AB155" s="293" t="n"/>
      <c r="AC155" s="293" t="n"/>
      <c r="AD155" s="293" t="n"/>
      <c r="AE155" s="293" t="n"/>
      <c r="AF155" s="293" t="n"/>
      <c r="AG155" s="293" t="n"/>
      <c r="AH155" s="293" t="n"/>
      <c r="AI155" s="293" t="n"/>
      <c r="AJ155" s="293" t="n"/>
      <c r="AK155" s="293" t="n"/>
      <c r="AL155" s="293" t="n"/>
    </row>
    <row r="156">
      <c r="A156" s="206" t="n">
        <v>22</v>
      </c>
      <c r="B156" s="206" t="n"/>
      <c r="C156" s="207" t="n"/>
      <c r="D156" s="207" t="inlineStr">
        <is>
          <t>租车费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87891.39999999999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3" t="n"/>
      <c r="X156" s="293" t="n"/>
      <c r="Y156" s="293" t="n"/>
      <c r="Z156" s="293" t="n"/>
      <c r="AA156" s="293" t="n"/>
      <c r="AB156" s="293" t="n"/>
      <c r="AC156" s="293" t="n"/>
      <c r="AD156" s="293" t="n"/>
      <c r="AE156" s="293" t="n"/>
      <c r="AF156" s="293" t="n"/>
      <c r="AG156" s="293" t="n"/>
      <c r="AH156" s="293" t="n"/>
      <c r="AI156" s="293" t="n"/>
      <c r="AJ156" s="293" t="n"/>
      <c r="AK156" s="293" t="n"/>
      <c r="AL156" s="293" t="n"/>
    </row>
    <row r="157">
      <c r="A157" s="206" t="n">
        <v>23</v>
      </c>
      <c r="B157" s="206" t="n"/>
      <c r="C157" s="207" t="n"/>
      <c r="D157" s="207" t="inlineStr">
        <is>
          <t>绿化绿植费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33744.04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3" t="n"/>
      <c r="X157" s="293" t="n"/>
      <c r="Y157" s="293" t="n"/>
      <c r="Z157" s="293" t="n"/>
      <c r="AA157" s="293" t="n"/>
      <c r="AB157" s="293" t="n"/>
      <c r="AC157" s="293" t="n"/>
      <c r="AD157" s="293" t="n"/>
      <c r="AE157" s="293" t="n"/>
      <c r="AF157" s="293" t="n"/>
      <c r="AG157" s="293" t="n"/>
      <c r="AH157" s="293" t="n"/>
      <c r="AI157" s="293" t="n"/>
      <c r="AJ157" s="293" t="n"/>
      <c r="AK157" s="293" t="n"/>
      <c r="AL157" s="293" t="n"/>
    </row>
    <row r="158">
      <c r="A158" s="206" t="n">
        <v>24</v>
      </c>
      <c r="B158" s="206" t="n"/>
      <c r="C158" s="207" t="n"/>
      <c r="D158" s="207" t="inlineStr">
        <is>
          <t>网络使用费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40931.39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3" t="n"/>
      <c r="X158" s="293" t="n"/>
      <c r="Y158" s="293" t="n"/>
      <c r="Z158" s="293" t="n"/>
      <c r="AA158" s="293" t="n"/>
      <c r="AB158" s="293" t="n"/>
      <c r="AC158" s="293" t="n"/>
      <c r="AD158" s="293" t="n"/>
      <c r="AE158" s="293" t="n"/>
      <c r="AF158" s="293" t="n"/>
      <c r="AG158" s="293" t="n"/>
      <c r="AH158" s="293" t="n"/>
      <c r="AI158" s="293" t="n"/>
      <c r="AJ158" s="293" t="n"/>
      <c r="AK158" s="293" t="n"/>
      <c r="AL158" s="293" t="n"/>
    </row>
    <row r="159">
      <c r="A159" s="206" t="n">
        <v>25</v>
      </c>
      <c r="B159" s="206" t="n"/>
      <c r="C159" s="207" t="n"/>
      <c r="D159" s="207" t="inlineStr">
        <is>
          <t>职工教育经费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10809.19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3" t="n"/>
      <c r="X159" s="293" t="n"/>
      <c r="Y159" s="293" t="n"/>
      <c r="Z159" s="293" t="n"/>
      <c r="AA159" s="293" t="n"/>
      <c r="AB159" s="293" t="n"/>
      <c r="AC159" s="293" t="n"/>
      <c r="AD159" s="293" t="n"/>
      <c r="AE159" s="293" t="n"/>
      <c r="AF159" s="293" t="n"/>
      <c r="AG159" s="293" t="n"/>
      <c r="AH159" s="293" t="n"/>
      <c r="AI159" s="293" t="n"/>
      <c r="AJ159" s="293" t="n"/>
      <c r="AK159" s="293" t="n"/>
      <c r="AL159" s="293" t="n"/>
    </row>
    <row r="160">
      <c r="A160" s="206" t="n">
        <v>26</v>
      </c>
      <c r="B160" s="206" t="n"/>
      <c r="C160" s="207" t="n"/>
      <c r="D160" s="207" t="inlineStr">
        <is>
          <t>职工福利费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654227.63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3" t="n"/>
      <c r="X160" s="293" t="n"/>
      <c r="Y160" s="293" t="n"/>
      <c r="Z160" s="293" t="n"/>
      <c r="AA160" s="293" t="n"/>
      <c r="AB160" s="293" t="n"/>
      <c r="AC160" s="293" t="n"/>
      <c r="AD160" s="293" t="n"/>
      <c r="AE160" s="293" t="n"/>
      <c r="AF160" s="293" t="n"/>
      <c r="AG160" s="293" t="n"/>
      <c r="AH160" s="293" t="n"/>
      <c r="AI160" s="293" t="n"/>
      <c r="AJ160" s="293" t="n"/>
      <c r="AK160" s="293" t="n"/>
      <c r="AL160" s="293" t="n"/>
    </row>
    <row r="161">
      <c r="A161" s="206" t="n">
        <v>27</v>
      </c>
      <c r="B161" s="206" t="n"/>
      <c r="C161" s="207" t="n"/>
      <c r="D161" s="207" t="inlineStr">
        <is>
          <t>补充医疗保险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1688.96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3" t="n"/>
      <c r="X161" s="293" t="n"/>
      <c r="Y161" s="293" t="n"/>
      <c r="Z161" s="293" t="n"/>
      <c r="AA161" s="293" t="n"/>
      <c r="AB161" s="293" t="n"/>
      <c r="AC161" s="293" t="n"/>
      <c r="AD161" s="293" t="n"/>
      <c r="AE161" s="293" t="n"/>
      <c r="AF161" s="293" t="n"/>
      <c r="AG161" s="293" t="n"/>
      <c r="AH161" s="293" t="n"/>
      <c r="AI161" s="293" t="n"/>
      <c r="AJ161" s="293" t="n"/>
      <c r="AK161" s="293" t="n"/>
      <c r="AL161" s="293" t="n"/>
    </row>
    <row r="162">
      <c r="A162" s="206" t="n">
        <v>28</v>
      </c>
      <c r="B162" s="206" t="n"/>
      <c r="C162" s="207" t="n"/>
      <c r="D162" s="207" t="inlineStr">
        <is>
          <t>路桥及停车费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22274.68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3" t="n"/>
      <c r="X162" s="293" t="n"/>
      <c r="Y162" s="293" t="n"/>
      <c r="Z162" s="293" t="n"/>
      <c r="AA162" s="293" t="n"/>
      <c r="AB162" s="293" t="n"/>
      <c r="AC162" s="293" t="n"/>
      <c r="AD162" s="293" t="n"/>
      <c r="AE162" s="293" t="n"/>
      <c r="AF162" s="293" t="n"/>
      <c r="AG162" s="293" t="n"/>
      <c r="AH162" s="293" t="n"/>
      <c r="AI162" s="293" t="n"/>
      <c r="AJ162" s="293" t="n"/>
      <c r="AK162" s="293" t="n"/>
      <c r="AL162" s="293" t="n"/>
    </row>
    <row r="163">
      <c r="A163" s="206" t="n">
        <v>29</v>
      </c>
      <c r="B163" s="206" t="n"/>
      <c r="C163" s="207" t="n"/>
      <c r="D163" s="207" t="inlineStr">
        <is>
          <t>软件费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2089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3" t="n"/>
      <c r="X163" s="293" t="n"/>
      <c r="Y163" s="293" t="n"/>
      <c r="Z163" s="293" t="n"/>
      <c r="AA163" s="293" t="n"/>
      <c r="AB163" s="293" t="n"/>
      <c r="AC163" s="293" t="n"/>
      <c r="AD163" s="293" t="n"/>
      <c r="AE163" s="293" t="n"/>
      <c r="AF163" s="293" t="n"/>
      <c r="AG163" s="293" t="n"/>
      <c r="AH163" s="293" t="n"/>
      <c r="AI163" s="293" t="n"/>
      <c r="AJ163" s="293" t="n"/>
      <c r="AK163" s="293" t="n"/>
      <c r="AL163" s="293" t="n"/>
    </row>
    <row r="164">
      <c r="A164" s="206" t="n">
        <v>30</v>
      </c>
      <c r="B164" s="206" t="n"/>
      <c r="C164" s="207" t="n"/>
      <c r="D164" s="207" t="inlineStr">
        <is>
          <t>通信费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9800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3" t="n"/>
      <c r="X164" s="293" t="n"/>
      <c r="Y164" s="293" t="n"/>
      <c r="Z164" s="293" t="n"/>
      <c r="AA164" s="293" t="n"/>
      <c r="AB164" s="293" t="n"/>
      <c r="AC164" s="293" t="n"/>
      <c r="AD164" s="293" t="n"/>
      <c r="AE164" s="293" t="n"/>
      <c r="AF164" s="293" t="n"/>
      <c r="AG164" s="293" t="n"/>
      <c r="AH164" s="293" t="n"/>
      <c r="AI164" s="293" t="n"/>
      <c r="AJ164" s="293" t="n"/>
      <c r="AK164" s="293" t="n"/>
      <c r="AL164" s="293" t="n"/>
    </row>
    <row r="165">
      <c r="A165" s="206" t="n">
        <v>31</v>
      </c>
      <c r="B165" s="206" t="n"/>
      <c r="C165" s="207" t="n"/>
      <c r="D165" s="207" t="inlineStr">
        <is>
          <t>邮寄费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3306.35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3" t="n"/>
      <c r="X165" s="293" t="n"/>
      <c r="Y165" s="293" t="n"/>
      <c r="Z165" s="293" t="n"/>
      <c r="AA165" s="293" t="n"/>
      <c r="AB165" s="293" t="n"/>
      <c r="AC165" s="293" t="n"/>
      <c r="AD165" s="293" t="n"/>
      <c r="AE165" s="293" t="n"/>
      <c r="AF165" s="293" t="n"/>
      <c r="AG165" s="293" t="n"/>
      <c r="AH165" s="293" t="n"/>
      <c r="AI165" s="293" t="n"/>
      <c r="AJ165" s="293" t="n"/>
      <c r="AK165" s="293" t="n"/>
      <c r="AL165" s="293" t="n"/>
    </row>
    <row r="166">
      <c r="A166" s="282" t="n"/>
      <c r="B166" s="283" t="n"/>
      <c r="C166" s="283" t="n"/>
      <c r="D166" s="294" t="inlineStr">
        <is>
          <t>**财务未列部分需增列***</t>
        </is>
      </c>
      <c r="E166" s="295" t="n"/>
      <c r="F166" s="295" t="n"/>
      <c r="G166" s="295" t="n"/>
      <c r="H166" s="318" t="n"/>
      <c r="I166" s="285" t="n"/>
      <c r="J166" s="318" t="n"/>
      <c r="K166" s="286" t="n"/>
      <c r="L166" s="287" t="n"/>
      <c r="M166" s="318" t="n"/>
      <c r="N166" s="285" t="n"/>
      <c r="O166" s="285">
        <f>L166-M166</f>
        <v/>
      </c>
      <c r="P166" s="285">
        <f>K166-N166</f>
        <v/>
      </c>
      <c r="Q166" s="285">
        <f>M166+O166</f>
        <v/>
      </c>
      <c r="R166" s="285">
        <f>M166+N166+O166+P166</f>
        <v/>
      </c>
      <c r="S166" s="289">
        <f>SUM(T166:V166)</f>
        <v/>
      </c>
      <c r="T166" s="318" t="n"/>
      <c r="U166" s="318" t="n"/>
      <c r="V166" s="318" t="n"/>
      <c r="W166" s="318" t="n"/>
      <c r="X166" s="318" t="n"/>
      <c r="Y166" s="318" t="n"/>
      <c r="Z166" s="318" t="n"/>
      <c r="AA166" s="289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7" t="n"/>
    </row>
    <row r="167">
      <c r="A167" s="319" t="n"/>
      <c r="B167" s="320" t="n"/>
      <c r="C167" s="320" t="n"/>
      <c r="D167" s="315" t="inlineStr">
        <is>
          <t>间接费小计：</t>
        </is>
      </c>
      <c r="E167" s="321" t="n"/>
      <c r="F167" s="321" t="n"/>
      <c r="G167" s="321" t="n"/>
      <c r="H167" s="301">
        <f>SUM(H134:H166)</f>
        <v/>
      </c>
      <c r="I167" s="301">
        <f>SUM(I134:I166)</f>
        <v/>
      </c>
      <c r="J167" s="301">
        <f>SUM(J134:J166)</f>
        <v/>
      </c>
      <c r="K167" s="301">
        <f>SUM(K134:K166)</f>
        <v/>
      </c>
      <c r="L167" s="317">
        <f>SUM(L134:L166)</f>
        <v/>
      </c>
      <c r="M167" s="317">
        <f>SUM(M134:M166)</f>
        <v/>
      </c>
      <c r="N167" s="317">
        <f>SUM(N134:N166)</f>
        <v/>
      </c>
      <c r="O167" s="317">
        <f>SUM(O134:O166)</f>
        <v/>
      </c>
      <c r="P167" s="317">
        <f>SUM(P134:P166)</f>
        <v/>
      </c>
      <c r="Q167" s="317">
        <f>SUM(Q134:Q166)</f>
        <v/>
      </c>
      <c r="R167" s="317">
        <f>SUM(R134:R166)</f>
        <v/>
      </c>
      <c r="S167" s="317">
        <f>SUM(S134:S166)</f>
        <v/>
      </c>
      <c r="T167" s="317" t="n"/>
      <c r="U167" s="317" t="n"/>
      <c r="V167" s="317" t="n"/>
      <c r="W167" s="317" t="n"/>
      <c r="X167" s="317" t="n"/>
      <c r="Y167" s="317" t="n"/>
      <c r="Z167" s="317">
        <f>SUM(Z134:Z166)</f>
        <v/>
      </c>
      <c r="AA167" s="317">
        <f>SUM(AA134:AA166)</f>
        <v/>
      </c>
      <c r="AB167" s="317">
        <f>SUM(AB134:AB166)</f>
        <v/>
      </c>
      <c r="AC167" s="317">
        <f>SUM(AC134:AC166)</f>
        <v/>
      </c>
      <c r="AD167" s="317">
        <f>SUM(AD134:AD166)</f>
        <v/>
      </c>
      <c r="AE167" s="317">
        <f>SUM(AE134:AE166)</f>
        <v/>
      </c>
      <c r="AF167" s="317">
        <f>SUM(AF134:AF166)</f>
        <v/>
      </c>
      <c r="AG167" s="317" t="n"/>
      <c r="AH167" s="317" t="n"/>
      <c r="AI167" s="317">
        <f>SUM(AI134:AI166)</f>
        <v/>
      </c>
      <c r="AJ167" s="317">
        <f>SUM(AJ134:AJ166)</f>
        <v/>
      </c>
      <c r="AK167" s="317">
        <f>SUM(AK134:AK166)</f>
        <v/>
      </c>
      <c r="AL167" s="297" t="n"/>
    </row>
    <row r="168">
      <c r="A168" s="282" t="n"/>
      <c r="B168" s="283" t="n"/>
      <c r="C168" s="283" t="n"/>
      <c r="D168" s="302" t="inlineStr">
        <is>
          <t>（七）安全费</t>
        </is>
      </c>
      <c r="E168" s="295" t="n"/>
      <c r="F168" s="295" t="n"/>
      <c r="G168" s="295" t="n"/>
      <c r="H168" s="285" t="n"/>
      <c r="I168" s="285" t="n"/>
      <c r="J168" s="288" t="n">
        <v>0</v>
      </c>
      <c r="K168" s="322" t="n"/>
      <c r="L168" s="287">
        <f>J168-N168-P168</f>
        <v/>
      </c>
      <c r="M168" s="285" t="n"/>
      <c r="N168" s="285" t="n"/>
      <c r="O168" s="285">
        <f>L168-M168</f>
        <v/>
      </c>
      <c r="P168" s="285">
        <f>K168-N168</f>
        <v/>
      </c>
      <c r="Q168" s="285">
        <f>M168+O168</f>
        <v/>
      </c>
      <c r="R168" s="285">
        <f>M168+N168+O168+P168</f>
        <v/>
      </c>
      <c r="S168" s="289">
        <f>SUM(T168:V168)</f>
        <v/>
      </c>
      <c r="T168" s="318" t="n"/>
      <c r="U168" s="318" t="n"/>
      <c r="V168" s="318" t="n"/>
      <c r="W168" s="318" t="n"/>
      <c r="X168" s="318" t="n"/>
      <c r="Y168" s="318" t="n"/>
      <c r="Z168" s="314" t="n"/>
      <c r="AA168" s="289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7" t="n"/>
    </row>
    <row r="169">
      <c r="A169" s="206" t="n">
        <v>1</v>
      </c>
      <c r="B169" s="206" t="n"/>
      <c r="C169" s="207" t="n"/>
      <c r="D169" s="207" t="inlineStr">
        <is>
          <t>安全生产-人工费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89127.17999999999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3" t="n"/>
      <c r="X169" s="293" t="n"/>
      <c r="Y169" s="293" t="n"/>
      <c r="Z169" s="293" t="n"/>
      <c r="AA169" s="293" t="n"/>
      <c r="AB169" s="293" t="n"/>
      <c r="AC169" s="293" t="n"/>
      <c r="AD169" s="293" t="n"/>
      <c r="AE169" s="293" t="n"/>
      <c r="AF169" s="293" t="n"/>
      <c r="AG169" s="293" t="n"/>
      <c r="AH169" s="293" t="n"/>
      <c r="AI169" s="293" t="n"/>
      <c r="AJ169" s="293" t="n"/>
      <c r="AK169" s="293" t="n"/>
      <c r="AL169" s="293" t="n"/>
    </row>
    <row r="170">
      <c r="A170" s="206" t="n">
        <v>2</v>
      </c>
      <c r="B170" s="206" t="n"/>
      <c r="C170" s="207" t="n"/>
      <c r="D170" s="207" t="inlineStr">
        <is>
          <t>安全生产-分包工程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1578321.3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3" t="n"/>
      <c r="X170" s="293" t="n"/>
      <c r="Y170" s="293" t="n"/>
      <c r="Z170" s="293" t="n"/>
      <c r="AA170" s="293" t="n"/>
      <c r="AB170" s="293" t="n"/>
      <c r="AC170" s="293" t="n"/>
      <c r="AD170" s="293" t="n"/>
      <c r="AE170" s="293" t="n"/>
      <c r="AF170" s="293" t="n"/>
      <c r="AG170" s="293" t="n"/>
      <c r="AH170" s="293" t="n"/>
      <c r="AI170" s="293" t="n"/>
      <c r="AJ170" s="293" t="n"/>
      <c r="AK170" s="293" t="n"/>
      <c r="AL170" s="293" t="n"/>
    </row>
    <row r="171">
      <c r="A171" s="206" t="n">
        <v>3</v>
      </c>
      <c r="B171" s="206" t="n"/>
      <c r="C171" s="207" t="n"/>
      <c r="D171" s="207" t="inlineStr">
        <is>
          <t>安全生产-机械使用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81500.96000000001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3" t="n"/>
      <c r="X171" s="293" t="n"/>
      <c r="Y171" s="293" t="n"/>
      <c r="Z171" s="293" t="n"/>
      <c r="AA171" s="293" t="n"/>
      <c r="AB171" s="293" t="n"/>
      <c r="AC171" s="293" t="n"/>
      <c r="AD171" s="293" t="n"/>
      <c r="AE171" s="293" t="n"/>
      <c r="AF171" s="293" t="n"/>
      <c r="AG171" s="293" t="n"/>
      <c r="AH171" s="293" t="n"/>
      <c r="AI171" s="293" t="n"/>
      <c r="AJ171" s="293" t="n"/>
      <c r="AK171" s="293" t="n"/>
      <c r="AL171" s="293" t="n"/>
    </row>
    <row r="172">
      <c r="A172" s="206" t="n">
        <v>4</v>
      </c>
      <c r="B172" s="206" t="n"/>
      <c r="C172" s="207" t="n"/>
      <c r="D172" s="207" t="inlineStr">
        <is>
          <t>安全生产费-报销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33278.8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3" t="n"/>
      <c r="X172" s="293" t="n"/>
      <c r="Y172" s="293" t="n"/>
      <c r="Z172" s="293" t="n"/>
      <c r="AA172" s="293" t="n"/>
      <c r="AB172" s="293" t="n"/>
      <c r="AC172" s="293" t="n"/>
      <c r="AD172" s="293" t="n"/>
      <c r="AE172" s="293" t="n"/>
      <c r="AF172" s="293" t="n"/>
      <c r="AG172" s="293" t="n"/>
      <c r="AH172" s="293" t="n"/>
      <c r="AI172" s="293" t="n"/>
      <c r="AJ172" s="293" t="n"/>
      <c r="AK172" s="293" t="n"/>
      <c r="AL172" s="293" t="n"/>
    </row>
    <row r="173">
      <c r="A173" s="319" t="n"/>
      <c r="B173" s="320" t="n"/>
      <c r="C173" s="320" t="n"/>
      <c r="D173" s="315" t="inlineStr">
        <is>
          <t>安全费小计：</t>
        </is>
      </c>
      <c r="E173" s="315" t="n"/>
      <c r="F173" s="315" t="n"/>
      <c r="G173" s="315" t="n"/>
      <c r="H173" s="301">
        <f>SUM(H168:H172)</f>
        <v/>
      </c>
      <c r="I173" s="301">
        <f>SUM(I168:I172)</f>
        <v/>
      </c>
      <c r="J173" s="301" t="n">
        <v>0</v>
      </c>
      <c r="K173" s="301" t="n">
        <v>0</v>
      </c>
      <c r="L173" s="323">
        <f>J173-K173</f>
        <v/>
      </c>
      <c r="M173" s="317">
        <f>SUM(M168:M172)</f>
        <v/>
      </c>
      <c r="N173" s="317">
        <f>SUM(N168:N172)</f>
        <v/>
      </c>
      <c r="O173" s="317">
        <f>SUM(O168:O172)</f>
        <v/>
      </c>
      <c r="P173" s="317">
        <f>SUM(P168:P172)</f>
        <v/>
      </c>
      <c r="Q173" s="317">
        <f>SUM(Q168:Q172)</f>
        <v/>
      </c>
      <c r="R173" s="317">
        <f>SUM(R168:R172)</f>
        <v/>
      </c>
      <c r="S173" s="317">
        <f>SUM(S168:S172)</f>
        <v/>
      </c>
      <c r="T173" s="324" t="n"/>
      <c r="U173" s="324" t="n"/>
      <c r="V173" s="324" t="n"/>
      <c r="W173" s="324" t="n"/>
      <c r="X173" s="324" t="n"/>
      <c r="Y173" s="324" t="n"/>
      <c r="Z173" s="324" t="n"/>
      <c r="AA173" s="324">
        <f>SUM(AA168:AA172)</f>
        <v/>
      </c>
      <c r="AB173" s="324">
        <f>SUM(AB168:AB172)</f>
        <v/>
      </c>
      <c r="AC173" s="324">
        <f>SUM(AC168:AC172)</f>
        <v/>
      </c>
      <c r="AD173" s="324">
        <f>SUM(AD168:AD172)</f>
        <v/>
      </c>
      <c r="AE173" s="324">
        <f>SUM(AE168:AE172)</f>
        <v/>
      </c>
      <c r="AF173" s="324">
        <f>SUM(AF168:AF172)</f>
        <v/>
      </c>
      <c r="AG173" s="324" t="n"/>
      <c r="AH173" s="324" t="n"/>
      <c r="AI173" s="324">
        <f>SUM(AI168:AI172)</f>
        <v/>
      </c>
      <c r="AJ173" s="324">
        <f>SUM(AJ168:AJ172)</f>
        <v/>
      </c>
      <c r="AK173" s="324">
        <f>SUM(AK168:AK172)</f>
        <v/>
      </c>
      <c r="AL173" s="325" t="n"/>
    </row>
    <row r="174">
      <c r="A174" s="319" t="n"/>
      <c r="B174" s="320" t="n"/>
      <c r="C174" s="320" t="n"/>
      <c r="D174" s="315" t="inlineStr">
        <is>
          <t>三、成本合计：</t>
        </is>
      </c>
      <c r="E174" s="321" t="n"/>
      <c r="F174" s="321" t="n"/>
      <c r="G174" s="321" t="n"/>
      <c r="H174" s="301">
        <f>H66+H80+H116+H124+H133+H167+H173</f>
        <v/>
      </c>
      <c r="I174" s="301">
        <f>I66+I80+I116+I124+I133+I167+I173</f>
        <v/>
      </c>
      <c r="J174" s="301">
        <f>J66+J80+J116+J124+J133+J167+J173</f>
        <v/>
      </c>
      <c r="K174" s="301">
        <f>K66+K80+K116+K124+K133+K167+K173</f>
        <v/>
      </c>
      <c r="L174" s="317">
        <f>L66+L80+L116+L124+L133+L167+L173</f>
        <v/>
      </c>
      <c r="M174" s="324">
        <f>M66+M80+M116+M124+M133+M167+M173</f>
        <v/>
      </c>
      <c r="N174" s="324">
        <f>N66+N80+N116+N124+N133+N167+N173</f>
        <v/>
      </c>
      <c r="O174" s="324">
        <f>O66+O80+O116+O124+O133+O167+O173</f>
        <v/>
      </c>
      <c r="P174" s="324">
        <f>P66+P80+P116+P124+P133+P167+P173</f>
        <v/>
      </c>
      <c r="Q174" s="324">
        <f>Q66+Q80+Q116+Q124+Q133+Q167+Q173</f>
        <v/>
      </c>
      <c r="R174" s="324">
        <f>R66+R80+R116+R124+R133+R167+R173</f>
        <v/>
      </c>
      <c r="S174" s="324">
        <f>S66+S80+S116+S124+S133+S167+S173</f>
        <v/>
      </c>
      <c r="T174" s="324" t="n"/>
      <c r="U174" s="324" t="n"/>
      <c r="V174" s="324" t="n"/>
      <c r="W174" s="324" t="n"/>
      <c r="X174" s="324" t="n"/>
      <c r="Y174" s="324" t="n"/>
      <c r="Z174" s="324">
        <f>Z66+Z80+Z116+Z124+Z133+Z167+Z173</f>
        <v/>
      </c>
      <c r="AA174" s="324">
        <f>AA66+AA80+AA116+AA124+AA133+AA167+AA173</f>
        <v/>
      </c>
      <c r="AB174" s="324">
        <f>AB66+AB80+AB116+AB124+AB133+AB167+AB173</f>
        <v/>
      </c>
      <c r="AC174" s="324">
        <f>AC66+AC80+AC116+AC124+AC133+AC167+AC173</f>
        <v/>
      </c>
      <c r="AD174" s="324">
        <f>AD66+AD80+AD116+AD124+AD133+AD167+AD173</f>
        <v/>
      </c>
      <c r="AE174" s="324">
        <f>AE66+AE80+AE116+AE124+AE133+AE167+AE173</f>
        <v/>
      </c>
      <c r="AF174" s="324">
        <f>AF66+AF80+AF116+AF124+AF133+AF167+AF173</f>
        <v/>
      </c>
      <c r="AG174" s="324" t="n"/>
      <c r="AH174" s="324" t="n"/>
      <c r="AI174" s="324">
        <f>AI66+AI80+AI116+AI124+AI133+AI167+AI173</f>
        <v/>
      </c>
      <c r="AJ174" s="324">
        <f>AJ66+AJ80+AJ116+AJ124+AJ133+AJ167+AJ173</f>
        <v/>
      </c>
      <c r="AK174" s="324">
        <f>AK66+AK80+AK116+AK124+AK133+AK167+AK173</f>
        <v/>
      </c>
      <c r="AL174" s="325" t="n"/>
    </row>
    <row r="175">
      <c r="A175" s="319" t="n"/>
      <c r="B175" s="320" t="n"/>
      <c r="C175" s="320" t="n"/>
      <c r="D175" s="315" t="inlineStr">
        <is>
          <t>四、计提保修金</t>
        </is>
      </c>
      <c r="E175" s="321" t="inlineStr">
        <is>
          <t>（在建：房建0.6%，其它0.4%；在保修期间的按0.3~0.5%自行确定;保修期结束为0）</t>
        </is>
      </c>
      <c r="F175" s="321" t="n"/>
      <c r="G175" s="321" t="n"/>
      <c r="H175" s="301" t="n"/>
      <c r="I175" s="301" t="n"/>
      <c r="J175" s="301">
        <f>H175+I175</f>
        <v/>
      </c>
      <c r="K175" s="301" t="n"/>
      <c r="L175" s="317">
        <f>J175-K175</f>
        <v/>
      </c>
      <c r="M175" s="324" t="n"/>
      <c r="N175" s="324" t="n"/>
      <c r="O175" s="324">
        <f>L175-M175</f>
        <v/>
      </c>
      <c r="P175" s="324">
        <f>K175-N175</f>
        <v/>
      </c>
      <c r="Q175" s="324">
        <f>M175+O175</f>
        <v/>
      </c>
      <c r="R175" s="324">
        <f>M175+N175+O175+P175</f>
        <v/>
      </c>
      <c r="S175" s="324">
        <f>SUM(T175:V175)</f>
        <v/>
      </c>
      <c r="T175" s="324" t="n"/>
      <c r="U175" s="324" t="n"/>
      <c r="V175" s="324" t="n"/>
      <c r="W175" s="324" t="n"/>
      <c r="X175" s="324" t="n"/>
      <c r="Y175" s="324" t="n"/>
      <c r="Z175" s="324" t="n"/>
      <c r="AA175" s="324">
        <f>Q69-S69</f>
        <v/>
      </c>
      <c r="AB175" s="324" t="n"/>
      <c r="AC175" s="324" t="n"/>
      <c r="AD175" s="324" t="n"/>
      <c r="AE175" s="324" t="n"/>
      <c r="AF175" s="324" t="n"/>
      <c r="AG175" s="324" t="n"/>
      <c r="AH175" s="324" t="n"/>
      <c r="AI175" s="324" t="n"/>
      <c r="AJ175" s="324" t="n"/>
      <c r="AK175" s="324" t="n"/>
      <c r="AL175" s="325" t="n"/>
    </row>
    <row r="176">
      <c r="A176" s="319" t="n"/>
      <c r="B176" s="320" t="n"/>
      <c r="C176" s="320" t="n"/>
      <c r="D176" s="315" t="inlineStr">
        <is>
          <t>五、过程节点奖金</t>
        </is>
      </c>
      <c r="E176" s="321" t="n"/>
      <c r="F176" s="321" t="n"/>
      <c r="G176" s="321" t="n"/>
      <c r="H176" s="301" t="n"/>
      <c r="I176" s="301" t="n"/>
      <c r="J176" s="301">
        <f>H176+I176</f>
        <v/>
      </c>
      <c r="K176" s="301" t="n"/>
      <c r="L176" s="317">
        <f>J176-K176</f>
        <v/>
      </c>
      <c r="M176" s="324" t="n"/>
      <c r="N176" s="324" t="n"/>
      <c r="O176" s="324">
        <f>L176-M176</f>
        <v/>
      </c>
      <c r="P176" s="324">
        <f>K176-N176</f>
        <v/>
      </c>
      <c r="Q176" s="324">
        <f>M176+O176</f>
        <v/>
      </c>
      <c r="R176" s="324">
        <f>M176+N176+O176+P176</f>
        <v/>
      </c>
      <c r="S176" s="324">
        <f>SUM(T176:V176)</f>
        <v/>
      </c>
      <c r="T176" s="324" t="n"/>
      <c r="U176" s="324" t="n"/>
      <c r="V176" s="324" t="n"/>
      <c r="W176" s="324" t="n"/>
      <c r="X176" s="324" t="n"/>
      <c r="Y176" s="324" t="n"/>
      <c r="Z176" s="324" t="n"/>
      <c r="AA176" s="324" t="n"/>
      <c r="AB176" s="324" t="n"/>
      <c r="AC176" s="324" t="n"/>
      <c r="AD176" s="324" t="n"/>
      <c r="AE176" s="324" t="n"/>
      <c r="AF176" s="324" t="n"/>
      <c r="AG176" s="324" t="n"/>
      <c r="AH176" s="324" t="n"/>
      <c r="AI176" s="324" t="n"/>
      <c r="AJ176" s="324" t="n"/>
      <c r="AK176" s="324" t="n"/>
      <c r="AL176" s="325" t="n"/>
    </row>
    <row r="177">
      <c r="A177" s="319" t="n"/>
      <c r="B177" s="320" t="n"/>
      <c r="C177" s="320" t="n"/>
      <c r="D177" s="315" t="inlineStr">
        <is>
          <t>六、资金占用费用</t>
        </is>
      </c>
      <c r="E177" s="321" t="n"/>
      <c r="F177" s="321" t="n"/>
      <c r="G177" s="321" t="n"/>
      <c r="H177" s="301" t="n"/>
      <c r="I177" s="301" t="n"/>
      <c r="J177" s="301">
        <f>H177+I177</f>
        <v/>
      </c>
      <c r="K177" s="301" t="n"/>
      <c r="L177" s="317">
        <f>J177-K177</f>
        <v/>
      </c>
      <c r="M177" s="326" t="n">
        <v>1942071.27</v>
      </c>
      <c r="N177" s="324" t="n"/>
      <c r="O177" s="324">
        <f>L177-M177</f>
        <v/>
      </c>
      <c r="P177" s="324">
        <f>K177-N177</f>
        <v/>
      </c>
      <c r="Q177" s="324">
        <f>M177+O177</f>
        <v/>
      </c>
      <c r="R177" s="324">
        <f>M177+N177+O177+P177</f>
        <v/>
      </c>
      <c r="S177" s="324">
        <f>SUM(T177:V177)</f>
        <v/>
      </c>
      <c r="T177" s="324" t="n"/>
      <c r="U177" s="324" t="n"/>
      <c r="V177" s="324" t="n"/>
      <c r="W177" s="324" t="n"/>
      <c r="X177" s="324" t="n"/>
      <c r="Y177" s="324" t="n"/>
      <c r="Z177" s="324" t="n"/>
      <c r="AA177" s="324" t="n"/>
      <c r="AB177" s="324" t="n"/>
      <c r="AC177" s="324" t="n"/>
      <c r="AD177" s="324" t="n"/>
      <c r="AE177" s="324" t="n"/>
      <c r="AF177" s="324" t="n"/>
      <c r="AG177" s="324" t="n"/>
      <c r="AH177" s="324" t="n"/>
      <c r="AI177" s="324" t="n"/>
      <c r="AJ177" s="324" t="n"/>
      <c r="AK177" s="324" t="n"/>
      <c r="AL177" s="325" t="n"/>
    </row>
    <row r="178">
      <c r="A178" s="319" t="n"/>
      <c r="B178" s="320" t="n"/>
      <c r="C178" s="320" t="n"/>
      <c r="D178" s="315" t="inlineStr">
        <is>
          <t>七、局投资收益（局投资项目选填）</t>
        </is>
      </c>
      <c r="E178" s="321" t="n"/>
      <c r="F178" s="321" t="n"/>
      <c r="G178" s="321" t="n"/>
      <c r="H178" s="301" t="n"/>
      <c r="I178" s="301" t="n"/>
      <c r="J178" s="301">
        <f>H178+I178</f>
        <v/>
      </c>
      <c r="K178" s="301" t="n"/>
      <c r="L178" s="317">
        <f>J178-K178</f>
        <v/>
      </c>
      <c r="M178" s="324" t="n"/>
      <c r="N178" s="324" t="n"/>
      <c r="O178" s="324">
        <f>L178-M178</f>
        <v/>
      </c>
      <c r="P178" s="324">
        <f>K178-N178</f>
        <v/>
      </c>
      <c r="Q178" s="324">
        <f>M178+O178</f>
        <v/>
      </c>
      <c r="R178" s="324">
        <f>M178+N178+O178+P178</f>
        <v/>
      </c>
      <c r="S178" s="324">
        <f>SUM(T178:V178)</f>
        <v/>
      </c>
      <c r="T178" s="324" t="n"/>
      <c r="U178" s="324" t="n"/>
      <c r="V178" s="324" t="n"/>
      <c r="W178" s="324" t="n"/>
      <c r="X178" s="324" t="n"/>
      <c r="Y178" s="324" t="n"/>
      <c r="Z178" s="324" t="n"/>
      <c r="AA178" s="324" t="n"/>
      <c r="AB178" s="324" t="n"/>
      <c r="AC178" s="324" t="n"/>
      <c r="AD178" s="324" t="n"/>
      <c r="AE178" s="324" t="n"/>
      <c r="AF178" s="324" t="n"/>
      <c r="AG178" s="324" t="n"/>
      <c r="AH178" s="324" t="n"/>
      <c r="AI178" s="324" t="n"/>
      <c r="AJ178" s="324" t="n"/>
      <c r="AK178" s="324" t="n"/>
      <c r="AL178" s="325" t="n"/>
    </row>
    <row r="179">
      <c r="A179" s="319" t="n"/>
      <c r="B179" s="320" t="n"/>
      <c r="C179" s="320" t="n"/>
      <c r="D179" s="315" t="inlineStr">
        <is>
          <t>八、研发费用</t>
        </is>
      </c>
      <c r="E179" s="321" t="n"/>
      <c r="F179" s="321" t="n"/>
      <c r="G179" s="321" t="n"/>
      <c r="H179" s="301" t="n"/>
      <c r="I179" s="301" t="n"/>
      <c r="J179" s="301">
        <f>H179+I179</f>
        <v/>
      </c>
      <c r="K179" s="301" t="n"/>
      <c r="L179" s="317">
        <f>J179-K179</f>
        <v/>
      </c>
      <c r="M179" s="324">
        <f>SUM(M180:M182)</f>
        <v/>
      </c>
      <c r="N179" s="324">
        <f>SUM(N180:N182)</f>
        <v/>
      </c>
      <c r="O179" s="324">
        <f>SUM(O180:O182)</f>
        <v/>
      </c>
      <c r="P179" s="324">
        <f>SUM(P180:P182)</f>
        <v/>
      </c>
      <c r="Q179" s="324">
        <f>SUM(Q180:Q182)</f>
        <v/>
      </c>
      <c r="R179" s="324">
        <f>SUM(R180:R182)</f>
        <v/>
      </c>
      <c r="S179" s="324">
        <f>SUM(S180:S182)</f>
        <v/>
      </c>
      <c r="T179" s="324">
        <f>SUM(T180:T182)</f>
        <v/>
      </c>
      <c r="U179" s="324">
        <f>SUM(U180:U182)</f>
        <v/>
      </c>
      <c r="V179" s="324">
        <f>SUM(V180:V182)</f>
        <v/>
      </c>
      <c r="W179" s="324">
        <f>SUM(W180:W182)</f>
        <v/>
      </c>
      <c r="X179" s="324">
        <f>SUM(X180:X182)</f>
        <v/>
      </c>
      <c r="Y179" s="324">
        <f>SUM(Y180:Y182)</f>
        <v/>
      </c>
      <c r="Z179" s="324">
        <f>SUM(Z180:Z182)</f>
        <v/>
      </c>
      <c r="AA179" s="324">
        <f>SUM(AA180:AA182)</f>
        <v/>
      </c>
      <c r="AB179" s="324">
        <f>SUM(AB180:AB182)</f>
        <v/>
      </c>
      <c r="AC179" s="324">
        <f>SUM(AC180:AC182)</f>
        <v/>
      </c>
      <c r="AD179" s="324">
        <f>SUM(AD180:AD182)</f>
        <v/>
      </c>
      <c r="AE179" s="324">
        <f>SUM(AE180:AE182)</f>
        <v/>
      </c>
      <c r="AF179" s="324">
        <f>SUM(AF180:AF182)</f>
        <v/>
      </c>
      <c r="AG179" s="324">
        <f>SUM(AG180:AG182)</f>
        <v/>
      </c>
      <c r="AH179" s="324">
        <f>SUM(AH180:AH182)</f>
        <v/>
      </c>
      <c r="AI179" s="324">
        <f>SUM(AI180:AI182)</f>
        <v/>
      </c>
      <c r="AJ179" s="324">
        <f>SUM(AJ180:AJ182)</f>
        <v/>
      </c>
      <c r="AK179" s="324">
        <f>SUM(AK180:AK182)</f>
        <v/>
      </c>
      <c r="AL179" s="325" t="n"/>
    </row>
    <row r="180">
      <c r="A180" s="209" t="n">
        <v>1</v>
      </c>
      <c r="B180" s="209" t="n"/>
      <c r="C180" s="207" t="n"/>
      <c r="D180" s="207" t="inlineStr">
        <is>
          <t>人工成本</t>
        </is>
      </c>
      <c r="E180" s="209" t="n"/>
      <c r="F180" s="209" t="n"/>
      <c r="G180" s="209" t="n"/>
      <c r="H180" s="209" t="n"/>
      <c r="I180" s="209" t="n"/>
      <c r="J180" s="209" t="n"/>
      <c r="K180" s="209" t="n"/>
      <c r="L180" s="209" t="n"/>
      <c r="M180" s="243" t="n">
        <v>557532.54</v>
      </c>
      <c r="N180" s="244" t="n"/>
      <c r="O180" s="244">
        <f>L180-M180</f>
        <v/>
      </c>
      <c r="P180" s="244">
        <f>K180-N180</f>
        <v/>
      </c>
      <c r="Q180" s="244">
        <f>M180+O180</f>
        <v/>
      </c>
      <c r="R180" s="244">
        <f>M180+N180+O180+P180</f>
        <v/>
      </c>
      <c r="S180" s="244" t="n"/>
      <c r="T180" s="244" t="n"/>
      <c r="U180" s="244" t="n"/>
      <c r="V180" s="244" t="n"/>
      <c r="W180" s="293" t="n"/>
      <c r="X180" s="293" t="n"/>
      <c r="Y180" s="293" t="n"/>
      <c r="Z180" s="293" t="n"/>
      <c r="AA180" s="293" t="n"/>
      <c r="AB180" s="293" t="n"/>
      <c r="AC180" s="293" t="n"/>
      <c r="AD180" s="293" t="n"/>
      <c r="AE180" s="293" t="n"/>
      <c r="AF180" s="293" t="n"/>
      <c r="AG180" s="293" t="n"/>
      <c r="AH180" s="293" t="n"/>
      <c r="AI180" s="293" t="n"/>
      <c r="AJ180" s="293" t="n"/>
      <c r="AK180" s="293" t="n"/>
      <c r="AL180" s="293" t="n"/>
    </row>
    <row r="181">
      <c r="A181" s="209" t="n">
        <v>2</v>
      </c>
      <c r="B181" s="209" t="n"/>
      <c r="C181" s="207" t="n"/>
      <c r="D181" s="207" t="inlineStr">
        <is>
          <t>机械租赁</t>
        </is>
      </c>
      <c r="E181" s="209" t="n"/>
      <c r="F181" s="209" t="n"/>
      <c r="G181" s="209" t="n"/>
      <c r="H181" s="209" t="n"/>
      <c r="I181" s="209" t="n"/>
      <c r="J181" s="209" t="n"/>
      <c r="K181" s="209" t="n"/>
      <c r="L181" s="209" t="n"/>
      <c r="M181" s="243" t="n">
        <v>284623.4</v>
      </c>
      <c r="N181" s="244" t="n"/>
      <c r="O181" s="244">
        <f>L181-M181</f>
        <v/>
      </c>
      <c r="P181" s="244">
        <f>K181-N181</f>
        <v/>
      </c>
      <c r="Q181" s="244">
        <f>M181+O181</f>
        <v/>
      </c>
      <c r="R181" s="244">
        <f>M181+N181+O181+P181</f>
        <v/>
      </c>
      <c r="S181" s="244" t="n"/>
      <c r="T181" s="244" t="n"/>
      <c r="U181" s="244" t="n"/>
      <c r="V181" s="244" t="n"/>
      <c r="W181" s="293" t="n"/>
      <c r="X181" s="293" t="n"/>
      <c r="Y181" s="293" t="n"/>
      <c r="Z181" s="293" t="n"/>
      <c r="AA181" s="293" t="n"/>
      <c r="AB181" s="293" t="n"/>
      <c r="AC181" s="293" t="n"/>
      <c r="AD181" s="293" t="n"/>
      <c r="AE181" s="293" t="n"/>
      <c r="AF181" s="293" t="n"/>
      <c r="AG181" s="293" t="n"/>
      <c r="AH181" s="293" t="n"/>
      <c r="AI181" s="293" t="n"/>
      <c r="AJ181" s="293" t="n"/>
      <c r="AK181" s="293" t="n"/>
      <c r="AL181" s="293" t="n"/>
    </row>
    <row r="182">
      <c r="A182" s="209" t="n">
        <v>3</v>
      </c>
      <c r="B182" s="209" t="n"/>
      <c r="C182" s="207" t="n"/>
      <c r="D182" s="207" t="inlineStr">
        <is>
          <t>材料费</t>
        </is>
      </c>
      <c r="E182" s="209" t="n"/>
      <c r="F182" s="209" t="n"/>
      <c r="G182" s="209" t="n"/>
      <c r="H182" s="209" t="n"/>
      <c r="I182" s="209" t="n"/>
      <c r="J182" s="209" t="n"/>
      <c r="K182" s="209" t="n"/>
      <c r="L182" s="209" t="n"/>
      <c r="M182" s="243" t="n">
        <v>8056947.95</v>
      </c>
      <c r="N182" s="244" t="n"/>
      <c r="O182" s="244">
        <f>L182-M182</f>
        <v/>
      </c>
      <c r="P182" s="244">
        <f>K182-N182</f>
        <v/>
      </c>
      <c r="Q182" s="244">
        <f>M182+O182</f>
        <v/>
      </c>
      <c r="R182" s="244">
        <f>M182+N182+O182+P182</f>
        <v/>
      </c>
      <c r="S182" s="244" t="n"/>
      <c r="T182" s="244" t="n"/>
      <c r="U182" s="244" t="n"/>
      <c r="V182" s="244" t="n"/>
      <c r="W182" s="293" t="n"/>
      <c r="X182" s="293" t="n"/>
      <c r="Y182" s="293" t="n"/>
      <c r="Z182" s="293" t="n"/>
      <c r="AA182" s="293" t="n"/>
      <c r="AB182" s="293" t="n"/>
      <c r="AC182" s="293" t="n"/>
      <c r="AD182" s="293" t="n"/>
      <c r="AE182" s="293" t="n"/>
      <c r="AF182" s="293" t="n"/>
      <c r="AG182" s="293" t="n"/>
      <c r="AH182" s="293" t="n"/>
      <c r="AI182" s="293" t="n"/>
      <c r="AJ182" s="293" t="n"/>
      <c r="AK182" s="293" t="n"/>
      <c r="AL182" s="293" t="n"/>
    </row>
    <row r="183">
      <c r="A183" s="298" t="n"/>
      <c r="B183" s="299" t="n"/>
      <c r="C183" s="299" t="n"/>
      <c r="D183" s="315" t="inlineStr">
        <is>
          <t>九、成本及费用合计（三+四+五+六+七）</t>
        </is>
      </c>
      <c r="E183" s="316" t="n"/>
      <c r="F183" s="316" t="n"/>
      <c r="G183" s="316" t="n"/>
      <c r="H183" s="301">
        <f>H174+H175+H176+H177+H178+H179</f>
        <v/>
      </c>
      <c r="I183" s="301">
        <f>I174+I175+I176+I177+I178+I179</f>
        <v/>
      </c>
      <c r="J183" s="327">
        <f>J174+J175+J176+J177+J178+J179</f>
        <v/>
      </c>
      <c r="K183" s="301">
        <f>K174+K175+K176+K177+K178+K179</f>
        <v/>
      </c>
      <c r="L183" s="328">
        <f>L174+L175+L176+L177+L178+L179</f>
        <v/>
      </c>
      <c r="M183" s="328">
        <f>M174+M175+M176+M177+M178+M179</f>
        <v/>
      </c>
      <c r="N183" s="328">
        <f>N174+N175+N176+N177+N178+N179</f>
        <v/>
      </c>
      <c r="O183" s="328">
        <f>O174+O175+O176+O177+O178+O179</f>
        <v/>
      </c>
      <c r="P183" s="328">
        <f>P174+P175+P176+P177+P178+P179</f>
        <v/>
      </c>
      <c r="Q183" s="328">
        <f>Q174+Q175+Q176+Q177+Q178+Q179</f>
        <v/>
      </c>
      <c r="R183" s="328">
        <f>R174+R175+R176+R177+R178+R179</f>
        <v/>
      </c>
      <c r="S183" s="324">
        <f>S174+S175+S176+S177+S178+S179</f>
        <v/>
      </c>
      <c r="T183" s="324" t="n"/>
      <c r="U183" s="324" t="n"/>
      <c r="V183" s="324" t="n"/>
      <c r="W183" s="324" t="n"/>
      <c r="X183" s="324" t="n"/>
      <c r="Y183" s="324" t="n"/>
      <c r="Z183" s="324">
        <f>Z174+Z175+Z176+Z177+Z178+Z179</f>
        <v/>
      </c>
      <c r="AA183" s="324">
        <f>AA174+AA175+AA176+AA177+AA178+AA179</f>
        <v/>
      </c>
      <c r="AB183" s="329" t="n"/>
      <c r="AC183" s="329" t="n"/>
      <c r="AD183" s="329" t="n"/>
      <c r="AE183" s="329" t="n"/>
      <c r="AF183" s="329" t="n"/>
      <c r="AG183" s="329" t="n"/>
      <c r="AH183" s="329" t="n"/>
      <c r="AI183" s="329" t="n"/>
      <c r="AJ183" s="329" t="n"/>
      <c r="AK183" s="330" t="n"/>
      <c r="AL183" s="331" t="n"/>
    </row>
    <row r="184">
      <c r="A184" s="298" t="n"/>
      <c r="B184" s="299" t="n"/>
      <c r="C184" s="299" t="n"/>
      <c r="D184" s="315" t="inlineStr">
        <is>
          <t>十、增值税实际税负（按财务数据）</t>
        </is>
      </c>
      <c r="E184" s="316" t="inlineStr">
        <is>
          <t>根据财务账面实际已缴纳增值税额+尚需缴纳的增值税额</t>
        </is>
      </c>
      <c r="F184" s="316" t="n"/>
      <c r="G184" s="316" t="n"/>
      <c r="H184" s="301" t="n"/>
      <c r="I184" s="301" t="n"/>
      <c r="J184" s="327">
        <f>H78+I78</f>
        <v/>
      </c>
      <c r="K184" s="301" t="inlineStr">
        <is>
          <t>/</t>
        </is>
      </c>
      <c r="L184" s="328" t="inlineStr">
        <is>
          <t>/</t>
        </is>
      </c>
      <c r="M184" s="328" t="n"/>
      <c r="N184" s="328">
        <f>N6-N77</f>
        <v/>
      </c>
      <c r="O184" s="328" t="n"/>
      <c r="P184" s="328" t="n"/>
      <c r="Q184" s="328" t="inlineStr">
        <is>
          <t>/</t>
        </is>
      </c>
      <c r="R184" s="328">
        <f>N78+P78</f>
        <v/>
      </c>
      <c r="S184" s="324" t="n"/>
      <c r="T184" s="324" t="n"/>
      <c r="U184" s="324" t="n"/>
      <c r="V184" s="324" t="n"/>
      <c r="W184" s="324" t="n"/>
      <c r="X184" s="324" t="n"/>
      <c r="Y184" s="324" t="n"/>
      <c r="Z184" s="324" t="n"/>
      <c r="AA184" s="324" t="n"/>
      <c r="AB184" s="329" t="n"/>
      <c r="AC184" s="329" t="n"/>
      <c r="AD184" s="329" t="n"/>
      <c r="AE184" s="329" t="n"/>
      <c r="AF184" s="329" t="n"/>
      <c r="AG184" s="329" t="n"/>
      <c r="AH184" s="329" t="n"/>
      <c r="AI184" s="329" t="n"/>
      <c r="AJ184" s="329" t="n"/>
      <c r="AK184" s="330" t="n"/>
      <c r="AL184" s="331" t="n"/>
    </row>
    <row r="185">
      <c r="A185" s="298" t="n"/>
      <c r="B185" s="299" t="n"/>
      <c r="C185" s="299" t="n"/>
      <c r="D185" s="315" t="inlineStr">
        <is>
          <t>十一、税金及附加（按财务数据）</t>
        </is>
      </c>
      <c r="E185" s="316" t="inlineStr">
        <is>
          <t>根据财务账面实际已缴纳税金及附加+尚需缴纳的税金及附加</t>
        </is>
      </c>
      <c r="F185" s="316" t="n"/>
      <c r="G185" s="316" t="n"/>
      <c r="H185" s="301" t="n"/>
      <c r="I185" s="301" t="n"/>
      <c r="J185" s="327">
        <f>H79+I79</f>
        <v/>
      </c>
      <c r="K185" s="301" t="n"/>
      <c r="L185" s="328">
        <f>J79</f>
        <v/>
      </c>
      <c r="M185" s="332" t="n">
        <v>385874.26</v>
      </c>
      <c r="N185" s="328" t="n"/>
      <c r="O185" s="328">
        <f>L79-M79</f>
        <v/>
      </c>
      <c r="P185" s="328" t="n"/>
      <c r="Q185" s="328">
        <f>M79+O79</f>
        <v/>
      </c>
      <c r="R185" s="328">
        <f>Q79</f>
        <v/>
      </c>
      <c r="S185" s="324" t="n"/>
      <c r="T185" s="324" t="n"/>
      <c r="U185" s="324" t="n"/>
      <c r="V185" s="324" t="n"/>
      <c r="W185" s="324" t="n"/>
      <c r="X185" s="324" t="n"/>
      <c r="Y185" s="324" t="n"/>
      <c r="Z185" s="324" t="n"/>
      <c r="AA185" s="324" t="n"/>
      <c r="AB185" s="329" t="n"/>
      <c r="AC185" s="329" t="n"/>
      <c r="AD185" s="329" t="n"/>
      <c r="AE185" s="329" t="n"/>
      <c r="AF185" s="329" t="n"/>
      <c r="AG185" s="329" t="n"/>
      <c r="AH185" s="329" t="n"/>
      <c r="AI185" s="329" t="n"/>
      <c r="AJ185" s="329" t="n"/>
      <c r="AK185" s="330" t="n"/>
      <c r="AL185" s="331" t="n"/>
    </row>
    <row r="186">
      <c r="A186" s="298" t="n"/>
      <c r="B186" s="299" t="n"/>
      <c r="C186" s="299" t="n"/>
      <c r="D186" s="315" t="inlineStr">
        <is>
          <t>十二、利润</t>
        </is>
      </c>
      <c r="E186" s="316" t="n"/>
      <c r="F186" s="316" t="n"/>
      <c r="G186" s="316" t="n"/>
      <c r="H186" s="301" t="n"/>
      <c r="I186" s="301" t="n"/>
      <c r="J186" s="327">
        <f>J6-J183-J184-J185</f>
        <v/>
      </c>
      <c r="K186" s="301" t="n"/>
      <c r="L186" s="328" t="n"/>
      <c r="M186" s="328" t="n"/>
      <c r="N186" s="328" t="n"/>
      <c r="O186" s="328" t="n"/>
      <c r="P186" s="328" t="n"/>
      <c r="Q186" s="328" t="n"/>
      <c r="R186" s="328" t="n"/>
      <c r="S186" s="324" t="n"/>
      <c r="T186" s="324" t="n"/>
      <c r="U186" s="324" t="n"/>
      <c r="V186" s="324" t="n"/>
      <c r="W186" s="324" t="n"/>
      <c r="X186" s="324" t="n"/>
      <c r="Y186" s="324" t="n"/>
      <c r="Z186" s="324" t="n"/>
      <c r="AA186" s="324" t="n"/>
      <c r="AB186" s="329" t="n"/>
      <c r="AC186" s="329" t="n"/>
      <c r="AD186" s="329" t="n"/>
      <c r="AE186" s="329" t="n"/>
      <c r="AF186" s="329" t="n"/>
      <c r="AG186" s="329" t="n"/>
      <c r="AH186" s="329" t="n"/>
      <c r="AI186" s="329" t="n"/>
      <c r="AJ186" s="329" t="n"/>
      <c r="AK186" s="330" t="n"/>
      <c r="AL186" s="331" t="n"/>
    </row>
    <row r="187">
      <c r="A187" s="333" t="n"/>
      <c r="B187" s="334" t="n"/>
      <c r="C187" s="334" t="n"/>
      <c r="D187" s="335" t="inlineStr">
        <is>
          <t>十三、利润率</t>
        </is>
      </c>
      <c r="E187" s="336" t="n"/>
      <c r="F187" s="336" t="n"/>
      <c r="G187" s="336" t="n"/>
      <c r="H187" s="337" t="n"/>
      <c r="I187" s="337" t="n"/>
      <c r="J187" s="337">
        <f>J186/J6</f>
        <v/>
      </c>
      <c r="K187" s="337" t="n"/>
      <c r="L187" s="338">
        <f>L186/L6</f>
        <v/>
      </c>
      <c r="M187" s="338">
        <f>M186/M6</f>
        <v/>
      </c>
      <c r="N187" s="338" t="n"/>
      <c r="O187" s="338" t="n"/>
      <c r="P187" s="338" t="n"/>
      <c r="Q187" s="338">
        <f>Q186/Q6</f>
        <v/>
      </c>
      <c r="R187" s="338">
        <f>R186/R6</f>
        <v/>
      </c>
      <c r="S187" s="339" t="n"/>
      <c r="T187" s="339" t="n"/>
      <c r="U187" s="339" t="n"/>
      <c r="V187" s="339" t="n"/>
      <c r="W187" s="339" t="n"/>
      <c r="X187" s="339" t="n"/>
      <c r="Y187" s="339" t="n"/>
      <c r="Z187" s="339" t="n"/>
      <c r="AA187" s="339" t="n"/>
      <c r="AB187" s="340" t="n"/>
      <c r="AC187" s="340" t="n"/>
      <c r="AD187" s="340" t="n"/>
      <c r="AE187" s="340" t="n"/>
      <c r="AF187" s="340" t="n"/>
      <c r="AG187" s="340" t="n"/>
      <c r="AH187" s="340" t="n"/>
      <c r="AI187" s="340" t="n"/>
      <c r="AJ187" s="340" t="n"/>
      <c r="AK187" s="341" t="n"/>
      <c r="AL187" s="342" t="n"/>
    </row>
    <row r="188">
      <c r="A188" s="111" t="n"/>
      <c r="B188" s="111" t="n"/>
      <c r="C188" s="111" t="n"/>
      <c r="D188" s="112" t="n"/>
      <c r="E188" s="113" t="n"/>
      <c r="F188" s="113" t="n"/>
      <c r="G188" s="113" t="n"/>
      <c r="H188" s="251" t="n"/>
      <c r="I188" s="251" t="n"/>
      <c r="J188" s="252" t="inlineStr">
        <is>
          <t>含税利润率</t>
        </is>
      </c>
      <c r="K188" s="253" t="n"/>
      <c r="L188" s="254" t="inlineStr">
        <is>
          <t>不含税利润率</t>
        </is>
      </c>
      <c r="M188" s="255" t="n"/>
      <c r="N188" s="255" t="n"/>
      <c r="O188" s="255" t="n"/>
      <c r="P188" s="255" t="n"/>
      <c r="Q188" s="255" t="n"/>
      <c r="R188" s="255" t="n"/>
      <c r="S188" s="255" t="n"/>
      <c r="T188" s="255" t="n"/>
      <c r="U188" s="255" t="n"/>
      <c r="V188" s="255" t="n"/>
      <c r="W188" s="255" t="n"/>
      <c r="X188" s="255" t="n"/>
      <c r="Y188" s="255" t="n"/>
      <c r="Z188" s="256" t="n"/>
      <c r="AA188" s="162" t="n"/>
      <c r="AB188" s="257" t="n"/>
      <c r="AC188" s="257" t="n"/>
      <c r="AD188" s="257" t="n"/>
      <c r="AE188" s="257" t="n"/>
      <c r="AF188" s="257" t="n"/>
      <c r="AG188" s="257" t="n"/>
      <c r="AH188" s="257" t="n"/>
      <c r="AI188" s="257" t="n"/>
      <c r="AJ188" s="257" t="n"/>
      <c r="AK188" s="257" t="n"/>
      <c r="AL188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2026-04-21T15:43:22Z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