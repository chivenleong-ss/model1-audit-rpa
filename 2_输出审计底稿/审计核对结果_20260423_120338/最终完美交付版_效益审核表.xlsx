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77" authorId="1" shapeId="0">
      <text>
        <t xml:space="preserve">**同财务账面合同履约成本/工程施工成本/机械租赁费数据一致**
</t>
      </text>
    </comment>
    <comment ref="M86" authorId="0" shapeId="0">
      <text>
        <t>于:
**同财务账面合同履约成本/工程施工成本其他直接费数据一致**</t>
      </text>
    </comment>
    <comment ref="M121" authorId="1" shapeId="0">
      <text>
        <t>**同财务账面合同履约成本/工程施工成本/间接费数据一致**</t>
      </text>
    </comment>
    <comment ref="D129" authorId="2" shapeId="0">
      <text>
        <t>（在建：房建0.6%，其它0.4%；在保修期间的按0.3~0.5%自行确定;保修期结束为0）</t>
      </text>
    </comment>
    <comment ref="E13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4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3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ZGD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80558.22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79" t="n"/>
      <c r="B17" s="280" t="n"/>
      <c r="C17" s="280" t="n"/>
      <c r="D17" s="291" t="inlineStr">
        <is>
          <t>**财务未列部分需增列***</t>
        </is>
      </c>
      <c r="E17" s="292" t="n"/>
      <c r="F17" s="292" t="n"/>
      <c r="G17" s="292" t="n"/>
      <c r="H17" s="282" t="n"/>
      <c r="I17" s="282" t="n"/>
      <c r="J17" s="282" t="n"/>
      <c r="K17" s="283" t="n"/>
      <c r="L17" s="284" t="n"/>
      <c r="M17" s="282" t="n"/>
      <c r="N17" s="282" t="n"/>
      <c r="O17" s="282">
        <f>L17-M17</f>
        <v/>
      </c>
      <c r="P17" s="282">
        <f>K17-N17</f>
        <v/>
      </c>
      <c r="Q17" s="282">
        <f>M17+O17</f>
        <v/>
      </c>
      <c r="R17" s="282">
        <f>M17+N17+O17+P17</f>
        <v/>
      </c>
      <c r="S17" s="286">
        <f>SUM(T17:V17)</f>
        <v/>
      </c>
      <c r="T17" s="282" t="n"/>
      <c r="U17" s="282" t="n"/>
      <c r="V17" s="282" t="n"/>
      <c r="W17" s="282" t="n"/>
      <c r="X17" s="282" t="n"/>
      <c r="Y17" s="282" t="n"/>
      <c r="Z17" s="282">
        <f>SUM(AA16:AJ16)</f>
        <v/>
      </c>
      <c r="AA17" s="293" t="n"/>
      <c r="AB17" s="287" t="n"/>
      <c r="AC17" s="287" t="n"/>
      <c r="AD17" s="287" t="n"/>
      <c r="AE17" s="287" t="n"/>
      <c r="AF17" s="287" t="n"/>
      <c r="AG17" s="287" t="n"/>
      <c r="AH17" s="287" t="n"/>
      <c r="AI17" s="287" t="n"/>
      <c r="AJ17" s="287" t="n"/>
      <c r="AK17" s="287">
        <f>AB16/1.17*0.17+AC16/1.16*0.16+AD16/1.11*0.11+AE16/1.1*0.1+AF16/1.09*0.09+AI16/1.03*0.03</f>
        <v/>
      </c>
      <c r="AL17" s="294" t="n"/>
    </row>
    <row r="18" ht="14" customFormat="1" customHeight="1" s="180">
      <c r="A18" s="295" t="n"/>
      <c r="B18" s="296" t="n"/>
      <c r="C18" s="296" t="n"/>
      <c r="D18" s="297" t="inlineStr">
        <is>
          <t>人工费小计：</t>
        </is>
      </c>
      <c r="E18" s="298">
        <f>SUM(E12:E17)</f>
        <v/>
      </c>
      <c r="F18" s="298">
        <f>SUM(F12:F17)</f>
        <v/>
      </c>
      <c r="G18" s="298">
        <f>SUM(G12:G17)</f>
        <v/>
      </c>
      <c r="H18" s="298">
        <f>SUM(H12:H17)</f>
        <v/>
      </c>
      <c r="I18" s="298">
        <f>SUM(I12:I17)</f>
        <v/>
      </c>
      <c r="J18" s="298">
        <f>SUM(J12:J17)</f>
        <v/>
      </c>
      <c r="K18" s="298">
        <f>SUM(K12:K17)</f>
        <v/>
      </c>
      <c r="L18" s="298">
        <f>SUM(L12:L17)</f>
        <v/>
      </c>
      <c r="M18" s="298">
        <f>SUM(M12:M17)</f>
        <v/>
      </c>
      <c r="N18" s="298">
        <f>SUM(N12:N17)</f>
        <v/>
      </c>
      <c r="O18" s="298">
        <f>SUM(O12:O17)</f>
        <v/>
      </c>
      <c r="P18" s="298">
        <f>SUM(P12:P17)</f>
        <v/>
      </c>
      <c r="Q18" s="298">
        <f>SUM(Q12:Q17)</f>
        <v/>
      </c>
      <c r="R18" s="298">
        <f>SUM(R12:R17)</f>
        <v/>
      </c>
      <c r="S18" s="298">
        <f>SUM(S12:S17)</f>
        <v/>
      </c>
      <c r="T18" s="298">
        <f>SUM(T12:T17)</f>
        <v/>
      </c>
      <c r="U18" s="298">
        <f>SUM(U12:U17)</f>
        <v/>
      </c>
      <c r="V18" s="298">
        <f>SUM(V12:V17)</f>
        <v/>
      </c>
      <c r="W18" s="298">
        <f>SUM(W12:W17)</f>
        <v/>
      </c>
      <c r="X18" s="298">
        <f>SUM(X12:X17)</f>
        <v/>
      </c>
      <c r="Y18" s="298">
        <f>SUM(Y12:Y17)</f>
        <v/>
      </c>
      <c r="Z18" s="298">
        <f>SUM(Z12:Z17)</f>
        <v/>
      </c>
      <c r="AA18" s="298">
        <f>SUM(AA12:AA17)</f>
        <v/>
      </c>
      <c r="AB18" s="298">
        <f>SUM(AB12:AB17)</f>
        <v/>
      </c>
      <c r="AC18" s="298">
        <f>SUM(AC12:AC17)</f>
        <v/>
      </c>
      <c r="AD18" s="298">
        <f>SUM(AD12:AD17)</f>
        <v/>
      </c>
      <c r="AE18" s="298">
        <f>SUM(AE12:AE17)</f>
        <v/>
      </c>
      <c r="AF18" s="298">
        <f>SUM(AF12:AF17)</f>
        <v/>
      </c>
      <c r="AG18" s="298">
        <f>SUM(AG12:AG17)</f>
        <v/>
      </c>
      <c r="AH18" s="298">
        <f>SUM(AH12:AH17)</f>
        <v/>
      </c>
      <c r="AI18" s="298">
        <f>SUM(AI12:AI17)</f>
        <v/>
      </c>
      <c r="AJ18" s="298">
        <f>SUM(AJ12:AJ17)</f>
        <v/>
      </c>
      <c r="AK18" s="298">
        <f>SUM(AK12:AK17)</f>
        <v/>
      </c>
      <c r="AL18" s="288" t="n"/>
    </row>
    <row r="19" ht="14" customFormat="1" customHeight="1" s="180">
      <c r="A19" s="279" t="n"/>
      <c r="B19" s="280" t="n"/>
      <c r="C19" s="280" t="n"/>
      <c r="D19" s="299" t="inlineStr">
        <is>
          <t>（二）分包工程</t>
        </is>
      </c>
      <c r="E19" s="280" t="n"/>
      <c r="F19" s="280" t="n"/>
      <c r="G19" s="280" t="n"/>
      <c r="H19" s="282" t="n"/>
      <c r="I19" s="282" t="n"/>
      <c r="J19" s="282" t="n"/>
      <c r="K19" s="283" t="n"/>
      <c r="L19" s="284" t="n"/>
      <c r="M19" s="282" t="n"/>
      <c r="N19" s="282" t="n"/>
      <c r="O19" s="282">
        <f>L19-M19</f>
        <v/>
      </c>
      <c r="P19" s="282">
        <f>K19-N19</f>
        <v/>
      </c>
      <c r="Q19" s="282">
        <f>M19+O19</f>
        <v/>
      </c>
      <c r="R19" s="282">
        <f>M19+N19+O19+P19</f>
        <v/>
      </c>
      <c r="S19" s="286">
        <f>SUM(T19:V19)</f>
        <v/>
      </c>
      <c r="T19" s="286" t="n"/>
      <c r="U19" s="286" t="n"/>
      <c r="V19" s="286" t="n"/>
      <c r="W19" s="286" t="n"/>
      <c r="X19" s="286" t="n"/>
      <c r="Y19" s="286" t="n"/>
      <c r="Z19" s="286" t="n"/>
      <c r="AA19" s="286" t="n"/>
      <c r="AB19" s="286" t="n"/>
      <c r="AC19" s="286" t="n"/>
      <c r="AD19" s="286" t="n"/>
      <c r="AE19" s="286" t="n"/>
      <c r="AF19" s="286" t="n"/>
      <c r="AG19" s="286" t="n"/>
      <c r="AH19" s="286" t="n"/>
      <c r="AI19" s="286" t="n"/>
      <c r="AJ19" s="286" t="n"/>
      <c r="AK19" s="287">
        <f>AB18/1.17*0.17+AC18/1.16*0.16+AD18/1.11*0.11+AE18/1.1*0.1+AF18/1.09*0.09+AI18/1.03*0.03</f>
        <v/>
      </c>
      <c r="AL19" s="288" t="n"/>
    </row>
    <row r="20" ht="14" customFormat="1" customHeight="1" s="180">
      <c r="A20" s="206" t="n">
        <v>1</v>
      </c>
      <c r="B20" s="206" t="inlineStr">
        <is>
          <t>200147390</t>
        </is>
      </c>
      <c r="C20" s="207" t="inlineStr">
        <is>
          <t>中建四局0200202104503001</t>
        </is>
      </c>
      <c r="D20" s="207" t="inlineStr">
        <is>
          <t>佛山市劲辉鑫业建筑工程有限公司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2817692.82</v>
      </c>
      <c r="N20" s="210" t="n">
        <v>375692.37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1905250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2</v>
      </c>
      <c r="B21" s="206" t="inlineStr">
        <is>
          <t>200199796</t>
        </is>
      </c>
      <c r="C21" s="207" t="inlineStr">
        <is>
          <t>中建四局0200202104503005</t>
        </is>
      </c>
      <c r="D21" s="207" t="inlineStr">
        <is>
          <t>佛山市喜润鑫建筑工程有限公司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778756.29</v>
      </c>
      <c r="N21" s="210" t="n">
        <v>23961.74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575800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3</v>
      </c>
      <c r="B22" s="206" t="inlineStr">
        <is>
          <t>100217528</t>
        </is>
      </c>
      <c r="C22" s="207" t="inlineStr">
        <is>
          <t>中建四局0200202104503006</t>
        </is>
      </c>
      <c r="D22" s="207" t="inlineStr">
        <is>
          <t>佛山市耀盈活动房屋有限公司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271587.58</v>
      </c>
      <c r="N22" s="210" t="n">
        <v>36211.68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215000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4</v>
      </c>
      <c r="B23" s="206" t="inlineStr">
        <is>
          <t>100174525</t>
        </is>
      </c>
      <c r="C23" s="207" t="inlineStr">
        <is>
          <t>中建四局0200202104503004</t>
        </is>
      </c>
      <c r="D23" s="207" t="inlineStr">
        <is>
          <t>四川湘盛建筑工程有限公司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2618349.91</v>
      </c>
      <c r="N23" s="210" t="n">
        <v>241571.53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1895600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5</v>
      </c>
      <c r="B24" s="206" t="inlineStr">
        <is>
          <t>200540519</t>
        </is>
      </c>
      <c r="C24" s="207" t="inlineStr">
        <is>
          <t>中建四局0200202104503002</t>
        </is>
      </c>
      <c r="D24" s="207" t="inlineStr">
        <is>
          <t>广东湘庆建筑工程有限公司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1047869.29</v>
      </c>
      <c r="N24" s="210" t="n">
        <v>96726.39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819800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6</v>
      </c>
      <c r="B25" s="206" t="inlineStr">
        <is>
          <t>200053581</t>
        </is>
      </c>
      <c r="C25" s="207" t="inlineStr">
        <is>
          <t>中建四局020020210045030002</t>
        </is>
      </c>
      <c r="D25" s="207" t="inlineStr">
        <is>
          <t>广东粤忠晟保安服务有限公司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546358.62</v>
      </c>
      <c r="N25" s="210" t="n">
        <v>28018.39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394070.52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7</v>
      </c>
      <c r="B26" s="206" t="inlineStr">
        <is>
          <t>200436105</t>
        </is>
      </c>
      <c r="C26" s="207" t="inlineStr">
        <is>
          <t>中建四局0200202104503003</t>
        </is>
      </c>
      <c r="D26" s="207" t="inlineStr">
        <is>
          <t>广东纬地建筑劳务有限公司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46719399.14</v>
      </c>
      <c r="N26" s="210" t="n">
        <v>1437441.88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41605917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8</v>
      </c>
      <c r="B27" s="206" t="inlineStr">
        <is>
          <t>100217071</t>
        </is>
      </c>
      <c r="C27" s="207" t="inlineStr">
        <is>
          <t>中建四局0200202104503007</t>
        </is>
      </c>
      <c r="D27" s="207" t="inlineStr">
        <is>
          <t>广东邵宇建筑安装工程有限公司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6451674.06</v>
      </c>
      <c r="N27" s="210" t="n">
        <v>595534.53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5353700</v>
      </c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9</v>
      </c>
      <c r="B28" s="206" t="inlineStr">
        <is>
          <t>100187703</t>
        </is>
      </c>
      <c r="C28" s="207" t="inlineStr">
        <is>
          <t>中建四局0200202104503008</t>
        </is>
      </c>
      <c r="D28" s="207" t="inlineStr">
        <is>
          <t>广州市金式广告有限公司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303433.81</v>
      </c>
      <c r="N28" s="210" t="n">
        <v>9336.42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100000</v>
      </c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10</v>
      </c>
      <c r="B29" s="206" t="inlineStr">
        <is>
          <t>200056273</t>
        </is>
      </c>
      <c r="C29" s="207" t="inlineStr">
        <is>
          <t>中建四局020020210045030001</t>
        </is>
      </c>
      <c r="D29" s="207" t="inlineStr">
        <is>
          <t>广州金的建设有限公司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95182.23</v>
      </c>
      <c r="N29" s="210" t="n">
        <v>8786.049999999999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74400</v>
      </c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79" t="n"/>
      <c r="B30" s="280" t="n"/>
      <c r="C30" s="280" t="n"/>
      <c r="D30" s="291" t="inlineStr">
        <is>
          <t>**财务未列部分需增列***</t>
        </is>
      </c>
      <c r="E30" s="300" t="n"/>
      <c r="F30" s="300" t="n"/>
      <c r="G30" s="300" t="n"/>
      <c r="H30" s="282" t="n"/>
      <c r="I30" s="282" t="n"/>
      <c r="J30" s="282" t="n"/>
      <c r="K30" s="283" t="n"/>
      <c r="L30" s="284" t="n"/>
      <c r="M30" s="282" t="n"/>
      <c r="N30" s="282" t="n"/>
      <c r="O30" s="282">
        <f>L30-M30</f>
        <v/>
      </c>
      <c r="P30" s="282">
        <f>K30-N30</f>
        <v/>
      </c>
      <c r="Q30" s="282">
        <f>M30+O30</f>
        <v/>
      </c>
      <c r="R30" s="282">
        <f>M30+N30+O30+P30</f>
        <v/>
      </c>
      <c r="S30" s="286">
        <f>SUM(T30:V30)</f>
        <v/>
      </c>
      <c r="T30" s="282" t="n"/>
      <c r="U30" s="282" t="n"/>
      <c r="V30" s="282" t="n"/>
      <c r="W30" s="282" t="n"/>
      <c r="X30" s="282" t="n"/>
      <c r="Y30" s="282" t="n"/>
      <c r="Z30" s="286" t="n"/>
      <c r="AA30" s="286" t="n"/>
      <c r="AB30" s="287" t="n"/>
      <c r="AC30" s="287" t="n"/>
      <c r="AD30" s="287" t="n"/>
      <c r="AE30" s="287" t="n"/>
      <c r="AF30" s="287" t="n"/>
      <c r="AG30" s="287" t="n"/>
      <c r="AH30" s="287" t="n"/>
      <c r="AI30" s="287" t="n"/>
      <c r="AJ30" s="287" t="n"/>
      <c r="AK30" s="287">
        <f>AB22/1.17*0.17+AC22/1.16*0.16+AD22/1.11*0.11+AE22/1.1*0.1+AF22/1.09*0.09+AI22/1.03*0.03</f>
        <v/>
      </c>
      <c r="AL30" s="294" t="n"/>
    </row>
    <row r="31" ht="14" customFormat="1" customHeight="1" s="180">
      <c r="A31" s="295" t="n"/>
      <c r="B31" s="296" t="n"/>
      <c r="C31" s="296" t="n"/>
      <c r="D31" s="297" t="inlineStr">
        <is>
          <t>分包工程小计：</t>
        </is>
      </c>
      <c r="E31" s="298">
        <f>SUM(E19:E30)</f>
        <v/>
      </c>
      <c r="F31" s="298">
        <f>SUM(F19:F30)</f>
        <v/>
      </c>
      <c r="G31" s="298">
        <f>SUM(G19:G30)</f>
        <v/>
      </c>
      <c r="H31" s="298">
        <f>SUM(H19:H30)</f>
        <v/>
      </c>
      <c r="I31" s="298">
        <f>SUM(I19:I30)</f>
        <v/>
      </c>
      <c r="J31" s="298">
        <f>SUM(J19:J30)</f>
        <v/>
      </c>
      <c r="K31" s="298">
        <f>SUM(K19:K30)</f>
        <v/>
      </c>
      <c r="L31" s="298">
        <f>SUM(L19:L30)</f>
        <v/>
      </c>
      <c r="M31" s="298">
        <f>SUM(M19:M30)</f>
        <v/>
      </c>
      <c r="N31" s="298">
        <f>SUM(N19:N30)</f>
        <v/>
      </c>
      <c r="O31" s="298">
        <f>SUM(O19:O30)</f>
        <v/>
      </c>
      <c r="P31" s="298">
        <f>SUM(P19:P30)</f>
        <v/>
      </c>
      <c r="Q31" s="298">
        <f>SUM(Q19:Q30)</f>
        <v/>
      </c>
      <c r="R31" s="298">
        <f>SUM(R19:R30)</f>
        <v/>
      </c>
      <c r="S31" s="298">
        <f>SUM(S19:S30)</f>
        <v/>
      </c>
      <c r="T31" s="298">
        <f>SUM(T19:T30)</f>
        <v/>
      </c>
      <c r="U31" s="298">
        <f>SUM(U19:U30)</f>
        <v/>
      </c>
      <c r="V31" s="298">
        <f>SUM(V19:V30)</f>
        <v/>
      </c>
      <c r="W31" s="298">
        <f>SUM(W19:W30)</f>
        <v/>
      </c>
      <c r="X31" s="298">
        <f>SUM(X19:X30)</f>
        <v/>
      </c>
      <c r="Y31" s="298">
        <f>SUM(Y19:Y30)</f>
        <v/>
      </c>
      <c r="Z31" s="298">
        <f>SUM(Z19:Z30)</f>
        <v/>
      </c>
      <c r="AA31" s="298">
        <f>SUM(AA19:AA30)</f>
        <v/>
      </c>
      <c r="AB31" s="298">
        <f>SUM(AB19:AB30)</f>
        <v/>
      </c>
      <c r="AC31" s="298">
        <f>SUM(AC19:AC30)</f>
        <v/>
      </c>
      <c r="AD31" s="298">
        <f>SUM(AD19:AD30)</f>
        <v/>
      </c>
      <c r="AE31" s="298">
        <f>SUM(AE19:AE30)</f>
        <v/>
      </c>
      <c r="AF31" s="298">
        <f>SUM(AF19:AF30)</f>
        <v/>
      </c>
      <c r="AG31" s="298">
        <f>SUM(AG19:AG30)</f>
        <v/>
      </c>
      <c r="AH31" s="298">
        <f>SUM(AH19:AH30)</f>
        <v/>
      </c>
      <c r="AI31" s="298">
        <f>SUM(AI19:AI30)</f>
        <v/>
      </c>
      <c r="AJ31" s="298">
        <f>SUM(AJ19:AJ30)</f>
        <v/>
      </c>
      <c r="AK31" s="298">
        <f>SUM(AK19:AK30)</f>
        <v/>
      </c>
      <c r="AL31" s="288" t="n"/>
    </row>
    <row r="32" ht="26" customFormat="1" customHeight="1" s="180">
      <c r="A32" s="279" t="n"/>
      <c r="B32" s="280" t="n"/>
      <c r="C32" s="280" t="n"/>
      <c r="D32" s="299" t="inlineStr">
        <is>
          <t>(三)材料费</t>
        </is>
      </c>
      <c r="E32" s="280" t="n"/>
      <c r="F32" s="280" t="n"/>
      <c r="G32" s="280" t="n"/>
      <c r="H32" s="282" t="n"/>
      <c r="I32" s="282" t="n"/>
      <c r="J32" s="282" t="n"/>
      <c r="K32" s="283" t="n"/>
      <c r="L32" s="284" t="n"/>
      <c r="M32" s="282" t="n"/>
      <c r="N32" s="282" t="n"/>
      <c r="O32" s="282">
        <f>L32-M32</f>
        <v/>
      </c>
      <c r="P32" s="282">
        <f>K32-N32</f>
        <v/>
      </c>
      <c r="Q32" s="282">
        <f>M32+O32</f>
        <v/>
      </c>
      <c r="R32" s="282">
        <f>M32+N32+O32+P32</f>
        <v/>
      </c>
      <c r="S32" s="286">
        <f>SUM(T32:V32)</f>
        <v/>
      </c>
      <c r="T32" s="286" t="n"/>
      <c r="U32" s="286" t="n"/>
      <c r="V32" s="286" t="n"/>
      <c r="W32" s="286" t="n"/>
      <c r="X32" s="286" t="n"/>
      <c r="Y32" s="286" t="n"/>
      <c r="Z32" s="286" t="n"/>
      <c r="AA32" s="286" t="n"/>
      <c r="AB32" s="301" t="n"/>
      <c r="AC32" s="301" t="n"/>
      <c r="AD32" s="301" t="n"/>
      <c r="AE32" s="301" t="n"/>
      <c r="AF32" s="301" t="n"/>
      <c r="AG32" s="301" t="n"/>
      <c r="AH32" s="301" t="n"/>
      <c r="AI32" s="301" t="n"/>
      <c r="AJ32" s="301" t="n"/>
      <c r="AK32" s="287">
        <f>AB24/1.17*0.17+AC24/1.16*0.16+AD24/1.11*0.11+AE24/1.1*0.1+AF24/1.09*0.09+AI24/1.03*0.03</f>
        <v/>
      </c>
      <c r="AL32" s="302" t="n"/>
    </row>
    <row r="33" ht="14" customFormat="1" customHeight="1" s="180">
      <c r="A33" s="279" t="n"/>
      <c r="B33" s="280" t="n"/>
      <c r="C33" s="280" t="n"/>
      <c r="D33" s="282" t="inlineStr">
        <is>
          <t>（1）集中采购</t>
        </is>
      </c>
      <c r="E33" s="280" t="n"/>
      <c r="F33" s="280" t="n"/>
      <c r="G33" s="280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6" t="n"/>
      <c r="U33" s="286" t="n"/>
      <c r="V33" s="286" t="n"/>
      <c r="W33" s="286" t="n"/>
      <c r="X33" s="286" t="n"/>
      <c r="Y33" s="286" t="n"/>
      <c r="Z33" s="286" t="n"/>
      <c r="AA33" s="286" t="n"/>
      <c r="AB33" s="301" t="n"/>
      <c r="AC33" s="301" t="n"/>
      <c r="AD33" s="301" t="n"/>
      <c r="AE33" s="301" t="n"/>
      <c r="AF33" s="301" t="n"/>
      <c r="AG33" s="301" t="n"/>
      <c r="AH33" s="301" t="n"/>
      <c r="AI33" s="301" t="n"/>
      <c r="AJ33" s="301" t="n"/>
      <c r="AK33" s="287">
        <f>AB25/1.17*0.17+AC25/1.16*0.16+AD25/1.11*0.11+AE25/1.1*0.1+AF25/1.09*0.09+AI25/1.03*0.03</f>
        <v/>
      </c>
      <c r="AL33" s="302" t="n"/>
    </row>
    <row r="34" ht="14" customFormat="1" customHeight="1" s="180">
      <c r="A34" s="33" t="n"/>
      <c r="B34" s="199" t="n"/>
      <c r="C34" s="199" t="n"/>
      <c r="D34" s="222" t="n"/>
      <c r="E34" s="213" t="n"/>
      <c r="F34" s="213" t="n"/>
      <c r="G34" s="213" t="n"/>
      <c r="H34" s="189" t="n"/>
      <c r="I34" s="189" t="n"/>
      <c r="J34" s="189" t="n"/>
      <c r="K34" s="201" t="n"/>
      <c r="L34" s="303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189">
        <f>SUM(AA26:AJ26)</f>
        <v/>
      </c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AB26/1.17*0.17+AC26/1.16*0.16+AD26/1.11*0.11+AE26/1.1*0.1+AF26/1.09*0.09+AI26/1.03*0.03</f>
        <v/>
      </c>
      <c r="AL34" s="221" t="n"/>
    </row>
    <row r="35" ht="14" customFormat="1" customHeight="1" s="180">
      <c r="A35" s="33" t="n"/>
      <c r="B35" s="199" t="n"/>
      <c r="C35" s="199" t="n"/>
      <c r="D35" s="222" t="n"/>
      <c r="E35" s="213" t="n"/>
      <c r="F35" s="213" t="n"/>
      <c r="G35" s="213" t="n"/>
      <c r="H35" s="189" t="n"/>
      <c r="I35" s="189" t="n"/>
      <c r="J35" s="189" t="n"/>
      <c r="K35" s="201" t="n"/>
      <c r="L35" s="303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189">
        <f>SUM(AA27:AJ27)</f>
        <v/>
      </c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AB27/1.17*0.17+AC27/1.16*0.16+AD27/1.11*0.11+AE27/1.1*0.1+AF27/1.09*0.09+AI27/1.03*0.03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303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SUM(AA28:AJ28)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AB28/1.17*0.17+AC28/1.16*0.16+AD28/1.11*0.11+AE28/1.1*0.1+AF28/1.09*0.09+AI28/1.03*0.03</f>
        <v/>
      </c>
      <c r="AL36" s="221" t="n"/>
    </row>
    <row r="37" ht="14" customFormat="1" customHeight="1" s="180">
      <c r="A37" s="279" t="n"/>
      <c r="B37" s="280" t="n"/>
      <c r="C37" s="280" t="n"/>
      <c r="D37" s="282" t="inlineStr">
        <is>
          <t>（2）自行采购</t>
        </is>
      </c>
      <c r="E37" s="300" t="n"/>
      <c r="F37" s="300" t="n"/>
      <c r="G37" s="300" t="n"/>
      <c r="H37" s="282" t="n"/>
      <c r="I37" s="282" t="n"/>
      <c r="J37" s="282" t="n"/>
      <c r="K37" s="283" t="n"/>
      <c r="L37" s="284" t="n"/>
      <c r="M37" s="282" t="n"/>
      <c r="N37" s="282" t="n"/>
      <c r="O37" s="282">
        <f>L37-M37</f>
        <v/>
      </c>
      <c r="P37" s="282">
        <f>K37-N37</f>
        <v/>
      </c>
      <c r="Q37" s="282">
        <f>M37+O37</f>
        <v/>
      </c>
      <c r="R37" s="282">
        <f>M37+N37+O37+P37</f>
        <v/>
      </c>
      <c r="S37" s="286">
        <f>SUM(T37:V37)</f>
        <v/>
      </c>
      <c r="T37" s="286" t="n"/>
      <c r="U37" s="286" t="n"/>
      <c r="V37" s="286" t="n"/>
      <c r="W37" s="286" t="n"/>
      <c r="X37" s="286" t="n"/>
      <c r="Y37" s="286" t="n"/>
      <c r="Z37" s="282">
        <f>SUM(AA29:AJ29)</f>
        <v/>
      </c>
      <c r="AA37" s="286" t="n"/>
      <c r="AB37" s="301" t="n"/>
      <c r="AC37" s="301" t="n"/>
      <c r="AD37" s="301" t="n"/>
      <c r="AE37" s="301" t="n"/>
      <c r="AF37" s="301" t="n"/>
      <c r="AG37" s="301" t="n"/>
      <c r="AH37" s="301" t="n"/>
      <c r="AI37" s="301" t="n"/>
      <c r="AJ37" s="301" t="n"/>
      <c r="AK37" s="287">
        <f>AB29/1.17*0.17+AC29/1.16*0.16+AD29/1.11*0.11+AE29/1.1*0.1+AF29/1.09*0.09+AI29/1.03*0.03</f>
        <v/>
      </c>
      <c r="AL37" s="302" t="n"/>
    </row>
    <row r="38" ht="14" customFormat="1" customHeight="1" s="180">
      <c r="A38" s="206" t="n">
        <v>1</v>
      </c>
      <c r="B38" s="206" t="inlineStr">
        <is>
          <t>100237790</t>
        </is>
      </c>
      <c r="C38" s="207" t="inlineStr">
        <is>
          <t>中建四局0200202104506006</t>
        </is>
      </c>
      <c r="D38" s="207" t="inlineStr">
        <is>
          <t>佛山唐贵五金电器有限公司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36234</v>
      </c>
      <c r="N38" s="210" t="n">
        <v>4710.42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40944.42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2</v>
      </c>
      <c r="B39" s="206" t="inlineStr">
        <is>
          <t>100082646</t>
        </is>
      </c>
      <c r="C39" s="207" t="inlineStr">
        <is>
          <t>中建四局0200202104506020</t>
        </is>
      </c>
      <c r="D39" s="207" t="inlineStr">
        <is>
          <t>佛山市南海升辉水泥预制件厂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88252.49000000001</v>
      </c>
      <c r="N39" s="210" t="n">
        <v>11472.83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3</v>
      </c>
      <c r="B40" s="206" t="inlineStr">
        <is>
          <t>200086855</t>
        </is>
      </c>
      <c r="C40" s="207" t="inlineStr">
        <is>
          <t>中建四局0200202104506011</t>
        </is>
      </c>
      <c r="D40" s="207" t="inlineStr">
        <is>
          <t>佛山市拓海电气设备有限公司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52325.54</v>
      </c>
      <c r="N40" s="210" t="n">
        <v>6802.32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20000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4</v>
      </c>
      <c r="B41" s="206" t="inlineStr">
        <is>
          <t>200571072</t>
        </is>
      </c>
      <c r="C41" s="207" t="inlineStr">
        <is>
          <t>中建四局0200202104506023</t>
        </is>
      </c>
      <c r="D41" s="207" t="inlineStr">
        <is>
          <t>佛山市益晋建筑材料销售有限公司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32235427.77</v>
      </c>
      <c r="N41" s="210" t="n">
        <v>4190605.59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21170000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5</v>
      </c>
      <c r="B42" s="206" t="inlineStr">
        <is>
          <t>200162951</t>
        </is>
      </c>
      <c r="C42" s="207" t="inlineStr">
        <is>
          <t>中建四局0200202104506004</t>
        </is>
      </c>
      <c r="D42" s="207" t="inlineStr">
        <is>
          <t>佛山市翊德通新型环保科技建材有限公司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500281.97</v>
      </c>
      <c r="N42" s="210" t="n">
        <v>65036.66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470000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6</v>
      </c>
      <c r="B43" s="206" t="inlineStr">
        <is>
          <t>100217517</t>
        </is>
      </c>
      <c r="C43" s="207" t="inlineStr">
        <is>
          <t>中建四局020020210045060001</t>
        </is>
      </c>
      <c r="D43" s="207" t="inlineStr">
        <is>
          <t>佛山市顺德区恒锦源贸易有限公司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203010</v>
      </c>
      <c r="N43" s="210" t="n">
        <v>26391.3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7</v>
      </c>
      <c r="B44" s="206" t="inlineStr">
        <is>
          <t>100217517</t>
        </is>
      </c>
      <c r="C44" s="207" t="inlineStr">
        <is>
          <t>中建四局0200202104506005</t>
        </is>
      </c>
      <c r="D44" s="207" t="inlineStr">
        <is>
          <t>佛山市顺德区恒锦源贸易有限公司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776841.17</v>
      </c>
      <c r="N44" s="210" t="n">
        <v>100989.34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646000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8</v>
      </c>
      <c r="B45" s="206" t="inlineStr">
        <is>
          <t>100217517</t>
        </is>
      </c>
      <c r="C45" s="207" t="inlineStr">
        <is>
          <t>中建四局0200202104506009</t>
        </is>
      </c>
      <c r="D45" s="207" t="inlineStr">
        <is>
          <t>佛山市顺德区恒锦源贸易有限公司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361593.1</v>
      </c>
      <c r="N45" s="210" t="n">
        <v>47007.09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140000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9</v>
      </c>
      <c r="B46" s="206" t="inlineStr">
        <is>
          <t>200417828</t>
        </is>
      </c>
      <c r="C46" s="207" t="inlineStr">
        <is>
          <t>中建四局0200202104506015</t>
        </is>
      </c>
      <c r="D46" s="207" t="inlineStr">
        <is>
          <t>佛山市顺德区联皓科技开发有限公司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2661431.4</v>
      </c>
      <c r="N46" s="210" t="n">
        <v>345986.09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2100000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10</v>
      </c>
      <c r="B47" s="206" t="inlineStr">
        <is>
          <t>100006706</t>
        </is>
      </c>
      <c r="C47" s="207" t="inlineStr">
        <is>
          <t>中建四局0200202104506025</t>
        </is>
      </c>
      <c r="D47" s="207" t="inlineStr">
        <is>
          <t>品茗科技股份有限公司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38641.38</v>
      </c>
      <c r="N47" s="210" t="n">
        <v>5023.38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39000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11</v>
      </c>
      <c r="B48" s="206" t="inlineStr">
        <is>
          <t>200228960</t>
        </is>
      </c>
      <c r="C48" s="207" t="inlineStr">
        <is>
          <t>中建四局0200202104506010</t>
        </is>
      </c>
      <c r="D48" s="207" t="inlineStr">
        <is>
          <t>地兴实业（广州）有限公司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152645.27</v>
      </c>
      <c r="N48" s="210" t="n">
        <v>19843.86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120000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12</v>
      </c>
      <c r="B49" s="206" t="inlineStr">
        <is>
          <t>200563704</t>
        </is>
      </c>
      <c r="C49" s="207" t="inlineStr">
        <is>
          <t>中建四局0200202104506022</t>
        </is>
      </c>
      <c r="D49" s="207" t="inlineStr">
        <is>
          <t>山东晟初供应链管理有限责任公司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5302261.73</v>
      </c>
      <c r="N49" s="210" t="n">
        <v>689294.02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4743834.61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13</v>
      </c>
      <c r="B50" s="206" t="inlineStr">
        <is>
          <t>200486755</t>
        </is>
      </c>
      <c r="C50" s="207" t="inlineStr">
        <is>
          <t>中建四局0200202104506024</t>
        </is>
      </c>
      <c r="D50" s="207" t="inlineStr">
        <is>
          <t>广东冠祥新型建材有限公司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608304.67</v>
      </c>
      <c r="N50" s="210" t="n">
        <v>79079.60000000001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374000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14</v>
      </c>
      <c r="B51" s="206" t="inlineStr">
        <is>
          <t>100217564</t>
        </is>
      </c>
      <c r="C51" s="207" t="inlineStr">
        <is>
          <t>中建四局0200202104506002</t>
        </is>
      </c>
      <c r="D51" s="207" t="inlineStr">
        <is>
          <t>广东顺德雍强贸易有限公司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475239.69</v>
      </c>
      <c r="N51" s="210" t="n">
        <v>61781.16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120000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15</v>
      </c>
      <c r="B52" s="206" t="inlineStr">
        <is>
          <t>100217350</t>
        </is>
      </c>
      <c r="C52" s="207" t="inlineStr">
        <is>
          <t>中建四局0200202104506003</t>
        </is>
      </c>
      <c r="D52" s="207" t="inlineStr">
        <is>
          <t>广州市嘉宇金属制品有限公司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5220</v>
      </c>
      <c r="N52" s="210" t="n">
        <v>678.6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5898.6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16</v>
      </c>
      <c r="B53" s="206" t="inlineStr">
        <is>
          <t>100006014</t>
        </is>
      </c>
      <c r="C53" s="207" t="inlineStr">
        <is>
          <t>中建四局0200202104506013</t>
        </is>
      </c>
      <c r="D53" s="207" t="inlineStr">
        <is>
          <t>广州市番禺区石楼镇沙南建材二厂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1393544.89</v>
      </c>
      <c r="N53" s="210" t="n">
        <v>181160.83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1031000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17</v>
      </c>
      <c r="B54" s="206" t="inlineStr">
        <is>
          <t>100119801</t>
        </is>
      </c>
      <c r="C54" s="207" t="inlineStr">
        <is>
          <t>中建四局0200202104506014</t>
        </is>
      </c>
      <c r="D54" s="207" t="inlineStr">
        <is>
          <t>广州禄臻贸易有限公司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64927.94</v>
      </c>
      <c r="N54" s="210" t="n">
        <v>8440.610000000001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54000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18</v>
      </c>
      <c r="B55" s="206" t="inlineStr">
        <is>
          <t>100237088</t>
        </is>
      </c>
      <c r="C55" s="207" t="inlineStr">
        <is>
          <t>中建四局0200202104506021</t>
        </is>
      </c>
      <c r="D55" s="207" t="inlineStr">
        <is>
          <t>无锡市恒顺金属材料有限公司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18441166.94</v>
      </c>
      <c r="N55" s="210" t="n">
        <v>2397351.73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9585000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19</v>
      </c>
      <c r="B56" s="206" t="inlineStr">
        <is>
          <t>200132050</t>
        </is>
      </c>
      <c r="C56" s="207" t="inlineStr">
        <is>
          <t>中建四局0200202104506019</t>
        </is>
      </c>
      <c r="D56" s="207" t="inlineStr">
        <is>
          <t>江门市擎宏科技实业有限公司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513151.15</v>
      </c>
      <c r="N56" s="210" t="n">
        <v>66709.64999999999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396000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20</v>
      </c>
      <c r="B57" s="206" t="inlineStr">
        <is>
          <t>100022585</t>
        </is>
      </c>
      <c r="C57" s="207" t="inlineStr">
        <is>
          <t>中建四局0200202104506001</t>
        </is>
      </c>
      <c r="D57" s="207" t="inlineStr">
        <is>
          <t>漳州路桥物资发展有限公司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4104767.08</v>
      </c>
      <c r="N57" s="210" t="n">
        <v>533619.72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3321130.53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21</v>
      </c>
      <c r="B58" s="206" t="inlineStr">
        <is>
          <t>100199057</t>
        </is>
      </c>
      <c r="C58" s="207" t="inlineStr">
        <is>
          <t>中建四局0200202104506007</t>
        </is>
      </c>
      <c r="D58" s="207" t="inlineStr">
        <is>
          <t>福建省莆田市龙兴劳保用品有限公司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96272</v>
      </c>
      <c r="N58" s="210" t="n">
        <v>12515.36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22</v>
      </c>
      <c r="B59" s="206" t="inlineStr">
        <is>
          <t>100199057</t>
        </is>
      </c>
      <c r="C59" s="207" t="inlineStr">
        <is>
          <t>中建四局0200202104506008</t>
        </is>
      </c>
      <c r="D59" s="207" t="inlineStr">
        <is>
          <t>福建省莆田市龙兴劳保用品有限公司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87520</v>
      </c>
      <c r="N59" s="210" t="n">
        <v>11377.6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23</v>
      </c>
      <c r="B60" s="206" t="n"/>
      <c r="C60" s="207" t="n"/>
      <c r="D60" s="207" t="inlineStr">
        <is>
          <t>其他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1769.91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24</v>
      </c>
      <c r="B61" s="206" t="n"/>
      <c r="C61" s="207" t="n"/>
      <c r="D61" s="207" t="inlineStr">
        <is>
          <t>废旧物资处置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-202535.6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25</v>
      </c>
      <c r="B62" s="206" t="n"/>
      <c r="C62" s="207" t="n"/>
      <c r="D62" s="207" t="inlineStr">
        <is>
          <t>研发支出-材料费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-8056947.95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79" t="n">
        <v>26</v>
      </c>
      <c r="B63" s="280" t="n"/>
      <c r="C63" s="280" t="n"/>
      <c r="D63" s="299" t="inlineStr">
        <is>
          <t>材料调入</t>
        </is>
      </c>
      <c r="E63" s="280" t="n"/>
      <c r="F63" s="280" t="n"/>
      <c r="G63" s="280" t="n"/>
      <c r="H63" s="282" t="n"/>
      <c r="I63" s="282" t="n"/>
      <c r="J63" s="282" t="n"/>
      <c r="K63" s="283" t="n"/>
      <c r="L63" s="284" t="n"/>
      <c r="M63" s="304" t="n">
        <v>7208164.12</v>
      </c>
      <c r="N63" s="282" t="n"/>
      <c r="O63" s="282">
        <f>L63-M63</f>
        <v/>
      </c>
      <c r="P63" s="282">
        <f>K63-N63</f>
        <v/>
      </c>
      <c r="Q63" s="282">
        <f>M63+O63</f>
        <v/>
      </c>
      <c r="R63" s="282">
        <f>M63+N63+O63+P63</f>
        <v/>
      </c>
      <c r="S63" s="286">
        <f>SUM(T63:V63)</f>
        <v/>
      </c>
      <c r="T63" s="286" t="n"/>
      <c r="U63" s="286" t="n"/>
      <c r="V63" s="286" t="n"/>
      <c r="W63" s="286" t="n"/>
      <c r="X63" s="286" t="n"/>
      <c r="Y63" s="286" t="n"/>
      <c r="Z63" s="282">
        <f>SUM(AA30:AJ30)</f>
        <v/>
      </c>
      <c r="AA63" s="286" t="n"/>
      <c r="AB63" s="301" t="n"/>
      <c r="AC63" s="301" t="n"/>
      <c r="AD63" s="301" t="n"/>
      <c r="AE63" s="301" t="n"/>
      <c r="AF63" s="301" t="n"/>
      <c r="AG63" s="301" t="n"/>
      <c r="AH63" s="301" t="n"/>
      <c r="AI63" s="301" t="n"/>
      <c r="AJ63" s="301" t="n"/>
      <c r="AK63" s="287">
        <f>AB30/1.17*0.17+AC30/1.16*0.16+AD30/1.11*0.11+AE30/1.1*0.1+AF30/1.09*0.09+AI30/1.03*0.03</f>
        <v/>
      </c>
      <c r="AL63" s="302" t="n"/>
    </row>
    <row r="64" ht="14" customFormat="1" customHeight="1" s="180">
      <c r="A64" s="279" t="n">
        <v>27</v>
      </c>
      <c r="B64" s="280" t="n"/>
      <c r="C64" s="280" t="n"/>
      <c r="D64" s="299" t="inlineStr">
        <is>
          <t>材料调出（注：负数填报）</t>
        </is>
      </c>
      <c r="E64" s="305" t="n"/>
      <c r="F64" s="305" t="n"/>
      <c r="G64" s="305" t="n"/>
      <c r="H64" s="306" t="n"/>
      <c r="I64" s="306" t="n"/>
      <c r="J64" s="282" t="n"/>
      <c r="K64" s="283" t="n"/>
      <c r="L64" s="284" t="n"/>
      <c r="M64" s="307" t="n">
        <v>-2516875.22</v>
      </c>
      <c r="N64" s="306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306" t="n"/>
      <c r="U64" s="306" t="n"/>
      <c r="V64" s="306" t="n"/>
      <c r="W64" s="306" t="n"/>
      <c r="X64" s="306" t="n"/>
      <c r="Y64" s="306" t="n"/>
      <c r="Z64" s="282">
        <f>SUM(AA31:AJ31)</f>
        <v/>
      </c>
      <c r="AA64" s="306" t="n"/>
      <c r="AB64" s="308" t="n"/>
      <c r="AC64" s="308" t="n"/>
      <c r="AD64" s="308" t="n"/>
      <c r="AE64" s="308" t="n"/>
      <c r="AF64" s="308" t="n"/>
      <c r="AG64" s="308" t="n"/>
      <c r="AH64" s="308" t="n"/>
      <c r="AI64" s="308" t="n"/>
      <c r="AJ64" s="308" t="n"/>
      <c r="AK64" s="287">
        <f>AB31/1.17*0.17+AC31/1.16*0.16+AD31/1.11*0.11+AE31/1.1*0.1+AF31/1.09*0.09+AI31/1.03*0.03</f>
        <v/>
      </c>
      <c r="AL64" s="309" t="n"/>
    </row>
    <row r="65" ht="14" customFormat="1" customHeight="1" s="180">
      <c r="A65" s="279" t="n"/>
      <c r="B65" s="280" t="n"/>
      <c r="C65" s="280" t="n"/>
      <c r="D65" s="299" t="inlineStr">
        <is>
          <t>材料库存（注：项目已结算未使用材料冲减项目成本，负数填报）</t>
        </is>
      </c>
      <c r="E65" s="305" t="n"/>
      <c r="F65" s="305" t="n"/>
      <c r="G65" s="305" t="n"/>
      <c r="H65" s="306" t="n"/>
      <c r="I65" s="306" t="n"/>
      <c r="J65" s="282" t="n"/>
      <c r="K65" s="283" t="n"/>
      <c r="L65" s="284" t="n"/>
      <c r="M65" s="306" t="n"/>
      <c r="N65" s="306" t="n"/>
      <c r="O65" s="282" t="n"/>
      <c r="P65" s="282" t="n"/>
      <c r="Q65" s="282" t="n"/>
      <c r="R65" s="282" t="n"/>
      <c r="S65" s="286" t="n"/>
      <c r="T65" s="306" t="n"/>
      <c r="U65" s="306" t="n"/>
      <c r="V65" s="306" t="n"/>
      <c r="W65" s="306" t="n"/>
      <c r="X65" s="306" t="n"/>
      <c r="Y65" s="306" t="n"/>
      <c r="Z65" s="282" t="n"/>
      <c r="AA65" s="306" t="n"/>
      <c r="AB65" s="308" t="n"/>
      <c r="AC65" s="308" t="n"/>
      <c r="AD65" s="308" t="n"/>
      <c r="AE65" s="308" t="n"/>
      <c r="AF65" s="308" t="n"/>
      <c r="AG65" s="308" t="n"/>
      <c r="AH65" s="308" t="n"/>
      <c r="AI65" s="308" t="n"/>
      <c r="AJ65" s="308" t="n"/>
      <c r="AK65" s="287" t="n"/>
      <c r="AL65" s="309" t="n"/>
    </row>
    <row r="66" ht="14" customFormat="1" customHeight="1" s="180">
      <c r="A66" s="279" t="n"/>
      <c r="B66" s="280" t="n"/>
      <c r="C66" s="280" t="n"/>
      <c r="D66" s="291" t="inlineStr">
        <is>
          <t>**财务未列部分需增列***</t>
        </is>
      </c>
      <c r="E66" s="300" t="n"/>
      <c r="F66" s="300" t="n"/>
      <c r="G66" s="30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AB33/1.17*0.17+AC33/1.16*0.16+AD33/1.11*0.11+AE33/1.1*0.1+AF33/1.09*0.09+AI33/1.03*0.03</f>
        <v/>
      </c>
      <c r="AL66" s="302" t="n"/>
    </row>
    <row r="67" ht="14" customFormat="1" customHeight="1" s="180">
      <c r="A67" s="295" t="n"/>
      <c r="B67" s="296" t="n"/>
      <c r="C67" s="296" t="n"/>
      <c r="D67" s="297" t="inlineStr">
        <is>
          <t>材料费小计：</t>
        </is>
      </c>
      <c r="E67" s="298">
        <f>SUM(E32:E66)</f>
        <v/>
      </c>
      <c r="F67" s="298">
        <f>SUM(F32:F66)</f>
        <v/>
      </c>
      <c r="G67" s="298">
        <f>SUM(G32:G66)</f>
        <v/>
      </c>
      <c r="H67" s="298">
        <f>SUM(H32:H66)</f>
        <v/>
      </c>
      <c r="I67" s="298">
        <f>SUM(I32:I66)</f>
        <v/>
      </c>
      <c r="J67" s="298">
        <f>SUM(J32:J66)</f>
        <v/>
      </c>
      <c r="K67" s="298">
        <f>SUM(K32:K66)</f>
        <v/>
      </c>
      <c r="L67" s="298">
        <f>SUM(L32:L66)</f>
        <v/>
      </c>
      <c r="M67" s="298">
        <f>SUM(M32:M66)</f>
        <v/>
      </c>
      <c r="N67" s="298">
        <f>SUM(N32:N66)</f>
        <v/>
      </c>
      <c r="O67" s="298">
        <f>SUM(O32:O66)</f>
        <v/>
      </c>
      <c r="P67" s="298">
        <f>SUM(P32:P66)</f>
        <v/>
      </c>
      <c r="Q67" s="298">
        <f>SUM(Q32:Q66)</f>
        <v/>
      </c>
      <c r="R67" s="298">
        <f>SUM(R32:R66)</f>
        <v/>
      </c>
      <c r="S67" s="298">
        <f>SUM(S32:S66)</f>
        <v/>
      </c>
      <c r="T67" s="298">
        <f>SUM(T32:T66)</f>
        <v/>
      </c>
      <c r="U67" s="298">
        <f>SUM(U32:U66)</f>
        <v/>
      </c>
      <c r="V67" s="298">
        <f>SUM(V32:V66)</f>
        <v/>
      </c>
      <c r="W67" s="298">
        <f>SUM(W32:W66)</f>
        <v/>
      </c>
      <c r="X67" s="298">
        <f>SUM(X32:X66)</f>
        <v/>
      </c>
      <c r="Y67" s="298">
        <f>SUM(Y32:Y66)</f>
        <v/>
      </c>
      <c r="Z67" s="298">
        <f>SUM(Z32:Z66)</f>
        <v/>
      </c>
      <c r="AA67" s="298">
        <f>SUM(AA32:AA66)</f>
        <v/>
      </c>
      <c r="AB67" s="298">
        <f>SUM(AB32:AB66)</f>
        <v/>
      </c>
      <c r="AC67" s="298">
        <f>SUM(AC32:AC66)</f>
        <v/>
      </c>
      <c r="AD67" s="298">
        <f>SUM(AD32:AD66)</f>
        <v/>
      </c>
      <c r="AE67" s="298">
        <f>SUM(AE32:AE66)</f>
        <v/>
      </c>
      <c r="AF67" s="298">
        <f>SUM(AF32:AF66)</f>
        <v/>
      </c>
      <c r="AG67" s="298">
        <f>SUM(AG32:AG66)</f>
        <v/>
      </c>
      <c r="AH67" s="298">
        <f>SUM(AH32:AH66)</f>
        <v/>
      </c>
      <c r="AI67" s="298">
        <f>SUM(AI32:AI66)</f>
        <v/>
      </c>
      <c r="AJ67" s="298">
        <f>SUM(AJ32:AJ66)</f>
        <v/>
      </c>
      <c r="AK67" s="298">
        <f>SUM(AK32:AK66)</f>
        <v/>
      </c>
      <c r="AL67" s="288" t="n"/>
    </row>
    <row r="68" ht="14" customFormat="1" customHeight="1" s="180">
      <c r="A68" s="279" t="n"/>
      <c r="B68" s="280" t="n"/>
      <c r="C68" s="280" t="n"/>
      <c r="D68" s="299" t="inlineStr">
        <is>
          <t>(四）机械租赁费</t>
        </is>
      </c>
      <c r="E68" s="292" t="n"/>
      <c r="F68" s="292" t="n"/>
      <c r="G68" s="292" t="n"/>
      <c r="H68" s="282" t="n"/>
      <c r="I68" s="282" t="n"/>
      <c r="J68" s="282" t="n"/>
      <c r="K68" s="283" t="n">
        <v>0</v>
      </c>
      <c r="L68" s="284">
        <f>J68-K68</f>
        <v/>
      </c>
      <c r="M68" s="285" t="n"/>
      <c r="N68" s="285" t="n"/>
      <c r="O68" s="282">
        <f>L68-M68</f>
        <v/>
      </c>
      <c r="P68" s="282">
        <f>K68-N68</f>
        <v/>
      </c>
      <c r="Q68" s="282">
        <f>M68+O68</f>
        <v/>
      </c>
      <c r="R68" s="282">
        <f>M68+N68+O68+P68</f>
        <v/>
      </c>
      <c r="S68" s="286">
        <f>SUM(T68:V68)</f>
        <v/>
      </c>
      <c r="T68" s="286" t="n"/>
      <c r="U68" s="286" t="n"/>
      <c r="V68" s="286" t="n"/>
      <c r="W68" s="286" t="n"/>
      <c r="X68" s="286" t="n"/>
      <c r="Y68" s="286" t="n"/>
      <c r="Z68" s="286" t="n"/>
      <c r="AA68" s="286" t="n"/>
      <c r="AB68" s="286" t="n"/>
      <c r="AC68" s="286" t="n"/>
      <c r="AD68" s="286" t="n"/>
      <c r="AE68" s="286" t="n"/>
      <c r="AF68" s="286" t="n"/>
      <c r="AG68" s="286" t="n"/>
      <c r="AH68" s="286" t="n"/>
      <c r="AI68" s="286" t="n"/>
      <c r="AJ68" s="286" t="n"/>
      <c r="AK68" s="287">
        <f>AB35/1.17*0.17+AC35/1.16*0.16+AD35/1.11*0.11+AE35/1.1*0.1+AF35/1.09*0.09+AI35/1.03*0.03</f>
        <v/>
      </c>
      <c r="AL68" s="288" t="n"/>
    </row>
    <row r="69" ht="39" customFormat="1" customHeight="1" s="180">
      <c r="A69" s="206" t="n">
        <v>1</v>
      </c>
      <c r="B69" s="206" t="n"/>
      <c r="C69" s="207" t="inlineStr">
        <is>
          <t>中建四局0200202104505001</t>
        </is>
      </c>
      <c r="D69" s="207" t="inlineStr">
        <is>
          <t>研发支出-机械租赁</t>
        </is>
      </c>
      <c r="E69" s="206" t="n"/>
      <c r="F69" s="206" t="n"/>
      <c r="G69" s="206" t="n"/>
      <c r="H69" s="206" t="n"/>
      <c r="I69" s="206" t="n"/>
      <c r="J69" s="206">
        <f>H69+I69</f>
        <v/>
      </c>
      <c r="K69" s="208" t="n"/>
      <c r="L69" s="206">
        <f>J69-K69</f>
        <v/>
      </c>
      <c r="M69" s="210" t="n">
        <v>-246406.75</v>
      </c>
      <c r="N69" s="206" t="n"/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06" t="n"/>
      <c r="U69" s="206" t="n"/>
      <c r="V69" s="206" t="n"/>
      <c r="W69" s="290" t="n"/>
      <c r="X69" s="290" t="n"/>
      <c r="Y69" s="290" t="n"/>
      <c r="Z69" s="290" t="n"/>
      <c r="AA69" s="290" t="n"/>
      <c r="AB69" s="290" t="n"/>
      <c r="AC69" s="290" t="n"/>
      <c r="AD69" s="290" t="n"/>
      <c r="AE69" s="290" t="n"/>
      <c r="AF69" s="290" t="n"/>
      <c r="AG69" s="290" t="n"/>
      <c r="AH69" s="290" t="n"/>
      <c r="AI69" s="290" t="n"/>
      <c r="AJ69" s="290" t="n"/>
      <c r="AK69" s="290" t="n"/>
      <c r="AL69" s="290" t="n"/>
    </row>
    <row r="70" ht="14" customFormat="1" customHeight="1" s="180">
      <c r="A70" s="206" t="n">
        <v>2</v>
      </c>
      <c r="B70" s="206" t="n"/>
      <c r="C70" s="207" t="inlineStr">
        <is>
          <t>中建四局0200202104505006</t>
        </is>
      </c>
      <c r="D70" s="207" t="inlineStr">
        <is>
          <t>研发支出-机械租赁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6">
        <f>J70-K70</f>
        <v/>
      </c>
      <c r="M70" s="210" t="n">
        <v>-38216.65</v>
      </c>
      <c r="N70" s="206" t="n"/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06" t="n"/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3</v>
      </c>
      <c r="B71" s="206" t="inlineStr">
        <is>
          <t>200210767</t>
        </is>
      </c>
      <c r="C71" s="207" t="inlineStr">
        <is>
          <t>中建四局0200202104505005</t>
        </is>
      </c>
      <c r="D71" s="207" t="inlineStr">
        <is>
          <t>佛山市格瑞卡工程机械有限公司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525678.79</v>
      </c>
      <c r="N71" s="210" t="n">
        <v>68338.25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500000</v>
      </c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206" t="n">
        <v>4</v>
      </c>
      <c r="B72" s="206" t="inlineStr">
        <is>
          <t>100051486</t>
        </is>
      </c>
      <c r="C72" s="207" t="inlineStr">
        <is>
          <t>中建四局0200202104505001</t>
        </is>
      </c>
      <c r="D72" s="207" t="inlineStr">
        <is>
          <t>佛山市赢鑫建筑机械租赁有限公司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6">
        <f>J72-K72</f>
        <v/>
      </c>
      <c r="M72" s="210" t="n">
        <v>2664395.77</v>
      </c>
      <c r="N72" s="210" t="n">
        <v>384884.26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2589487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5</v>
      </c>
      <c r="B73" s="206" t="inlineStr">
        <is>
          <t>100051486</t>
        </is>
      </c>
      <c r="C73" s="207" t="inlineStr">
        <is>
          <t>中建四局0200202104505006</t>
        </is>
      </c>
      <c r="D73" s="207" t="inlineStr">
        <is>
          <t>佛山市赢鑫建筑机械租赁有限公司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6">
        <f>J73-K73</f>
        <v/>
      </c>
      <c r="M73" s="210" t="n">
        <v>1649466.49</v>
      </c>
      <c r="N73" s="210" t="n">
        <v>209938.79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1200000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6</v>
      </c>
      <c r="B74" s="206" t="inlineStr">
        <is>
          <t>100117504</t>
        </is>
      </c>
      <c r="C74" s="207" t="inlineStr">
        <is>
          <t>中建四局0200202104505003</t>
        </is>
      </c>
      <c r="D74" s="207" t="inlineStr">
        <is>
          <t>广州大丰工程机械设备有限公司</t>
        </is>
      </c>
      <c r="E74" s="206" t="n"/>
      <c r="F74" s="206" t="n"/>
      <c r="G74" s="206" t="n"/>
      <c r="H74" s="206" t="n"/>
      <c r="I74" s="206" t="n"/>
      <c r="J74" s="206">
        <f>H74+I74</f>
        <v/>
      </c>
      <c r="K74" s="208" t="n"/>
      <c r="L74" s="206">
        <f>J74-K74</f>
        <v/>
      </c>
      <c r="M74" s="210" t="n">
        <v>74299.99000000001</v>
      </c>
      <c r="N74" s="210" t="n">
        <v>9659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83958.99000000001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7</v>
      </c>
      <c r="B75" s="206" t="inlineStr">
        <is>
          <t>100217502</t>
        </is>
      </c>
      <c r="C75" s="207" t="inlineStr">
        <is>
          <t>中建四局0200202104505004</t>
        </is>
      </c>
      <c r="D75" s="207" t="inlineStr">
        <is>
          <t>广州湘亿货运代理有限公司</t>
        </is>
      </c>
      <c r="E75" s="206" t="n"/>
      <c r="F75" s="206" t="n"/>
      <c r="G75" s="206" t="n"/>
      <c r="H75" s="206" t="n"/>
      <c r="I75" s="206" t="n"/>
      <c r="J75" s="206">
        <f>H75+I75</f>
        <v/>
      </c>
      <c r="K75" s="208" t="n"/>
      <c r="L75" s="206">
        <f>J75-K75</f>
        <v/>
      </c>
      <c r="M75" s="210" t="n">
        <v>14793</v>
      </c>
      <c r="N75" s="210" t="n">
        <v>1331.37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16124.37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79" t="n"/>
      <c r="B76" s="280" t="n"/>
      <c r="C76" s="280" t="n"/>
      <c r="D76" s="291" t="inlineStr">
        <is>
          <t>**财务未列部分需增列***</t>
        </is>
      </c>
      <c r="E76" s="310" t="n"/>
      <c r="F76" s="310" t="n"/>
      <c r="G76" s="310" t="n"/>
      <c r="H76" s="282" t="n"/>
      <c r="I76" s="282" t="n"/>
      <c r="J76" s="282" t="n"/>
      <c r="K76" s="283" t="n">
        <v>0</v>
      </c>
      <c r="L76" s="284">
        <f>J76-K76</f>
        <v/>
      </c>
      <c r="M76" s="311" t="n"/>
      <c r="N76" s="311" t="n"/>
      <c r="O76" s="282">
        <f>L76-M76</f>
        <v/>
      </c>
      <c r="P76" s="282">
        <f>K76-N76</f>
        <v/>
      </c>
      <c r="Q76" s="282">
        <f>M76+O76</f>
        <v/>
      </c>
      <c r="R76" s="282">
        <f>M76+N76+O76+P76</f>
        <v/>
      </c>
      <c r="S76" s="286">
        <f>SUM(T76:V76)</f>
        <v/>
      </c>
      <c r="T76" s="311" t="n"/>
      <c r="U76" s="311" t="n"/>
      <c r="V76" s="311" t="n"/>
      <c r="W76" s="311" t="n"/>
      <c r="X76" s="311" t="n"/>
      <c r="Y76" s="311" t="n"/>
      <c r="Z76" s="311" t="n"/>
      <c r="AA76" s="286" t="n"/>
      <c r="AB76" s="287" t="n"/>
      <c r="AC76" s="287" t="n"/>
      <c r="AD76" s="287" t="n"/>
      <c r="AE76" s="287" t="n"/>
      <c r="AF76" s="287" t="n"/>
      <c r="AG76" s="287" t="n"/>
      <c r="AH76" s="287" t="n"/>
      <c r="AI76" s="287" t="n"/>
      <c r="AJ76" s="287" t="n"/>
      <c r="AK76" s="287">
        <f>AB37/1.17*0.17+AC37/1.16*0.16+AD37/1.11*0.11+AE37/1.1*0.1+AF37/1.09*0.09+AI37/1.03*0.03</f>
        <v/>
      </c>
      <c r="AL76" s="294" t="n"/>
    </row>
    <row r="77" ht="14" customFormat="1" customHeight="1" s="180">
      <c r="A77" s="295" t="n"/>
      <c r="B77" s="296" t="n"/>
      <c r="C77" s="296" t="n"/>
      <c r="D77" s="312" t="inlineStr">
        <is>
          <t>机械费小计：</t>
        </is>
      </c>
      <c r="E77" s="313" t="n"/>
      <c r="F77" s="313" t="n"/>
      <c r="G77" s="313" t="n"/>
      <c r="H77" s="298">
        <f>SUM(H68:H76)</f>
        <v/>
      </c>
      <c r="I77" s="298">
        <f>SUM(I68:I76)</f>
        <v/>
      </c>
      <c r="J77" s="298">
        <f>SUM(J68:J76)</f>
        <v/>
      </c>
      <c r="K77" s="298">
        <f>SUM(K68:K76)</f>
        <v/>
      </c>
      <c r="L77" s="314">
        <f>SUM(L68:L76)</f>
        <v/>
      </c>
      <c r="M77" s="298">
        <f>SUM(M68:M76)</f>
        <v/>
      </c>
      <c r="N77" s="298">
        <f>SUM(N68:N76)</f>
        <v/>
      </c>
      <c r="O77" s="298">
        <f>SUM(O68:O76)</f>
        <v/>
      </c>
      <c r="P77" s="298">
        <f>SUM(P68:P76)</f>
        <v/>
      </c>
      <c r="Q77" s="298">
        <f>SUM(Q68:Q76)</f>
        <v/>
      </c>
      <c r="R77" s="298">
        <f>SUM(R68:R76)</f>
        <v/>
      </c>
      <c r="S77" s="298">
        <f>SUM(S68:S76)</f>
        <v/>
      </c>
      <c r="T77" s="298" t="n"/>
      <c r="U77" s="298" t="n"/>
      <c r="V77" s="298" t="n"/>
      <c r="W77" s="298" t="n"/>
      <c r="X77" s="298" t="n"/>
      <c r="Y77" s="298" t="n"/>
      <c r="Z77" s="298">
        <f>SUM(Z68:Z76)</f>
        <v/>
      </c>
      <c r="AA77" s="298">
        <f>SUM(AA68:AA76)</f>
        <v/>
      </c>
      <c r="AB77" s="298" t="n"/>
      <c r="AC77" s="298" t="n"/>
      <c r="AD77" s="298" t="n"/>
      <c r="AE77" s="298" t="n"/>
      <c r="AF77" s="298" t="n"/>
      <c r="AG77" s="298" t="n"/>
      <c r="AH77" s="298" t="n"/>
      <c r="AI77" s="298" t="n"/>
      <c r="AJ77" s="298" t="n"/>
      <c r="AK77" s="298" t="n"/>
      <c r="AL77" s="288" t="n"/>
    </row>
    <row r="78" ht="26" customFormat="1" customHeight="1" s="180">
      <c r="A78" s="279" t="n"/>
      <c r="B78" s="280" t="n"/>
      <c r="C78" s="280" t="n"/>
      <c r="D78" s="299" t="inlineStr">
        <is>
          <t>（五）其他直接费</t>
        </is>
      </c>
      <c r="E78" s="292" t="n"/>
      <c r="F78" s="292" t="n"/>
      <c r="G78" s="292" t="n"/>
      <c r="H78" s="282" t="n"/>
      <c r="I78" s="282" t="n"/>
      <c r="J78" s="285" t="n">
        <v>0</v>
      </c>
      <c r="K78" s="283" t="n">
        <v>0</v>
      </c>
      <c r="L78" s="284">
        <f>J78-N78-P78</f>
        <v/>
      </c>
      <c r="M78" s="285" t="n"/>
      <c r="N78" s="285" t="n"/>
      <c r="O78" s="282">
        <f>L78-M78</f>
        <v/>
      </c>
      <c r="P78" s="282">
        <f>K78-N78</f>
        <v/>
      </c>
      <c r="Q78" s="282">
        <f>M78+O78</f>
        <v/>
      </c>
      <c r="R78" s="282">
        <f>M78+N78+O78+P78</f>
        <v/>
      </c>
      <c r="S78" s="286">
        <f>SUM(T78:V78)</f>
        <v/>
      </c>
      <c r="T78" s="286" t="n"/>
      <c r="U78" s="286" t="n"/>
      <c r="V78" s="286" t="n"/>
      <c r="W78" s="286" t="n"/>
      <c r="X78" s="286" t="n"/>
      <c r="Y78" s="286" t="n"/>
      <c r="Z78" s="286" t="n"/>
      <c r="AA78" s="286" t="n"/>
      <c r="AB78" s="286" t="n"/>
      <c r="AC78" s="286" t="n"/>
      <c r="AD78" s="286" t="n"/>
      <c r="AE78" s="286" t="n"/>
      <c r="AF78" s="286" t="n"/>
      <c r="AG78" s="286" t="n"/>
      <c r="AH78" s="286" t="n"/>
      <c r="AI78" s="286" t="n"/>
      <c r="AJ78" s="286" t="n"/>
      <c r="AK78" s="287" t="n"/>
      <c r="AL78" s="288" t="n"/>
    </row>
    <row r="79" ht="26" customFormat="1" customHeight="1" s="180">
      <c r="A79" s="206" t="n">
        <v>1</v>
      </c>
      <c r="B79" s="206" t="n"/>
      <c r="C79" s="207" t="n"/>
      <c r="D79" s="207" t="inlineStr">
        <is>
          <t>保险费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724899.0600000001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2</v>
      </c>
      <c r="B80" s="206" t="n"/>
      <c r="C80" s="207" t="n"/>
      <c r="D80" s="207" t="inlineStr">
        <is>
          <t>其他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79235.21000000001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3</v>
      </c>
      <c r="B81" s="206" t="n"/>
      <c r="C81" s="207" t="n"/>
      <c r="D81" s="207" t="inlineStr">
        <is>
          <t>咨询费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6">
        <f>J81-K81</f>
        <v/>
      </c>
      <c r="M81" s="210" t="n">
        <v>39798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4</v>
      </c>
      <c r="B82" s="206" t="n"/>
      <c r="C82" s="207" t="n"/>
      <c r="D82" s="207" t="inlineStr">
        <is>
          <t>检验试验费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6">
        <f>J82-K82</f>
        <v/>
      </c>
      <c r="M82" s="210" t="n">
        <v>811573.96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5</v>
      </c>
      <c r="B83" s="206" t="n"/>
      <c r="C83" s="207" t="n"/>
      <c r="D83" s="207" t="inlineStr">
        <is>
          <t>水电费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6">
        <f>J83-K83</f>
        <v/>
      </c>
      <c r="M83" s="210" t="n">
        <v>1550912.85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6</v>
      </c>
      <c r="B84" s="206" t="n"/>
      <c r="C84" s="207" t="n"/>
      <c r="D84" s="207" t="inlineStr">
        <is>
          <t>测量费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12460.82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79" t="n"/>
      <c r="B85" s="280" t="n"/>
      <c r="C85" s="280" t="n"/>
      <c r="D85" s="291" t="inlineStr">
        <is>
          <t>**财务未列部分需增列***</t>
        </is>
      </c>
      <c r="E85" s="292" t="n"/>
      <c r="F85" s="292" t="n"/>
      <c r="G85" s="292" t="n"/>
      <c r="H85" s="282" t="n"/>
      <c r="I85" s="282" t="n"/>
      <c r="J85" s="285" t="n"/>
      <c r="K85" s="283" t="n"/>
      <c r="L85" s="284">
        <f>J85-K85</f>
        <v/>
      </c>
      <c r="M85" s="315" t="n"/>
      <c r="N85" s="315" t="n"/>
      <c r="O85" s="282">
        <f>L85-M85</f>
        <v/>
      </c>
      <c r="P85" s="282">
        <f>K85-N85</f>
        <v/>
      </c>
      <c r="Q85" s="282">
        <f>M85+O85</f>
        <v/>
      </c>
      <c r="R85" s="282">
        <f>M85+N85+O85+P85</f>
        <v/>
      </c>
      <c r="S85" s="286">
        <f>SUM(T85:V85)</f>
        <v/>
      </c>
      <c r="T85" s="315" t="n"/>
      <c r="U85" s="315" t="n"/>
      <c r="V85" s="315" t="n"/>
      <c r="W85" s="315" t="n"/>
      <c r="X85" s="315" t="n"/>
      <c r="Y85" s="315" t="n"/>
      <c r="Z85" s="282">
        <f>SUM(AA45:AJ45)</f>
        <v/>
      </c>
      <c r="AA85" s="286" t="n"/>
      <c r="AB85" s="286" t="n"/>
      <c r="AC85" s="286" t="n"/>
      <c r="AD85" s="286" t="n"/>
      <c r="AE85" s="286" t="n"/>
      <c r="AF85" s="286" t="n"/>
      <c r="AG85" s="286" t="n"/>
      <c r="AH85" s="286" t="n"/>
      <c r="AI85" s="286" t="n"/>
      <c r="AJ85" s="286" t="n"/>
      <c r="AK85" s="287" t="n"/>
      <c r="AL85" s="288" t="n"/>
    </row>
    <row r="86">
      <c r="A86" s="316" t="n"/>
      <c r="B86" s="317" t="n"/>
      <c r="C86" s="317" t="n"/>
      <c r="D86" s="312" t="inlineStr">
        <is>
          <t>其他直接费小计：</t>
        </is>
      </c>
      <c r="E86" s="318" t="n"/>
      <c r="F86" s="318" t="n"/>
      <c r="G86" s="318" t="n"/>
      <c r="H86" s="298">
        <f>SUM(H78:H85)</f>
        <v/>
      </c>
      <c r="I86" s="298">
        <f>SUM(I78:I85)</f>
        <v/>
      </c>
      <c r="J86" s="298">
        <f>SUM(J78:J85)</f>
        <v/>
      </c>
      <c r="K86" s="298">
        <f>SUM(K78:K85)</f>
        <v/>
      </c>
      <c r="L86" s="314">
        <f>SUM(L78:L85)</f>
        <v/>
      </c>
      <c r="M86" s="298">
        <f>SUM(M78:M85)</f>
        <v/>
      </c>
      <c r="N86" s="298">
        <f>SUM(N78:N85)</f>
        <v/>
      </c>
      <c r="O86" s="298">
        <f>L86-M86</f>
        <v/>
      </c>
      <c r="P86" s="298">
        <f>SUM(P78:P85)</f>
        <v/>
      </c>
      <c r="Q86" s="298">
        <f>M86+O86</f>
        <v/>
      </c>
      <c r="R86" s="298">
        <f>SUM(R78:R85)</f>
        <v/>
      </c>
      <c r="S86" s="298">
        <f>SUM(S78:S85)</f>
        <v/>
      </c>
      <c r="T86" s="298" t="n"/>
      <c r="U86" s="298" t="n"/>
      <c r="V86" s="298" t="n"/>
      <c r="W86" s="298" t="n"/>
      <c r="X86" s="298" t="n"/>
      <c r="Y86" s="298" t="n"/>
      <c r="Z86" s="298">
        <f>SUM(Z78:Z85)</f>
        <v/>
      </c>
      <c r="AA86" s="298">
        <f>SUM(AA78:AA85)</f>
        <v/>
      </c>
      <c r="AB86" s="298">
        <f>SUM(AB78:AB85)</f>
        <v/>
      </c>
      <c r="AC86" s="298">
        <f>SUM(AC78:AC85)</f>
        <v/>
      </c>
      <c r="AD86" s="298">
        <f>SUM(AD78:AD85)</f>
        <v/>
      </c>
      <c r="AE86" s="298">
        <f>SUM(AE78:AE85)</f>
        <v/>
      </c>
      <c r="AF86" s="298">
        <f>SUM(AF78:AF85)</f>
        <v/>
      </c>
      <c r="AG86" s="298" t="n"/>
      <c r="AH86" s="298" t="n"/>
      <c r="AI86" s="298">
        <f>SUM(AI78:AI85)</f>
        <v/>
      </c>
      <c r="AJ86" s="298">
        <f>SUM(AJ78:AJ85)</f>
        <v/>
      </c>
      <c r="AK86" s="298">
        <f>SUM(AK78:AK85)</f>
        <v/>
      </c>
      <c r="AL86" s="288" t="n"/>
    </row>
    <row r="87">
      <c r="A87" s="279" t="n"/>
      <c r="B87" s="280" t="n"/>
      <c r="C87" s="280" t="n"/>
      <c r="D87" s="299" t="inlineStr">
        <is>
          <t>（六）间接费</t>
        </is>
      </c>
      <c r="E87" s="292" t="n"/>
      <c r="F87" s="292" t="n"/>
      <c r="G87" s="292" t="n"/>
      <c r="H87" s="285" t="n"/>
      <c r="I87" s="282" t="n"/>
      <c r="J87" s="282" t="n">
        <v>0</v>
      </c>
      <c r="K87" s="283" t="n">
        <v>0</v>
      </c>
      <c r="L87" s="284">
        <f>J87-N87-P87</f>
        <v/>
      </c>
      <c r="M87" s="285" t="n"/>
      <c r="N87" s="285" t="n"/>
      <c r="O87" s="282">
        <f>L87-M87</f>
        <v/>
      </c>
      <c r="P87" s="282">
        <f>K87-N87</f>
        <v/>
      </c>
      <c r="Q87" s="282">
        <f>M87+O87</f>
        <v/>
      </c>
      <c r="R87" s="282">
        <f>M87+N87+O87+P87</f>
        <v/>
      </c>
      <c r="S87" s="286">
        <f>SUM(T87:V87)</f>
        <v/>
      </c>
      <c r="T87" s="286" t="n"/>
      <c r="U87" s="286" t="n"/>
      <c r="V87" s="286" t="n"/>
      <c r="W87" s="286" t="n"/>
      <c r="X87" s="286" t="n"/>
      <c r="Y87" s="286" t="n"/>
      <c r="Z87" s="286" t="n"/>
      <c r="AA87" s="286" t="n"/>
      <c r="AB87" s="286" t="n"/>
      <c r="AC87" s="286" t="n"/>
      <c r="AD87" s="286" t="n"/>
      <c r="AE87" s="286" t="n"/>
      <c r="AF87" s="286" t="n"/>
      <c r="AG87" s="286" t="n"/>
      <c r="AH87" s="286" t="n"/>
      <c r="AI87" s="286" t="n"/>
      <c r="AJ87" s="286" t="n"/>
      <c r="AK87" s="287" t="n"/>
      <c r="AL87" s="288" t="n"/>
    </row>
    <row r="88">
      <c r="A88" s="206" t="n">
        <v>1</v>
      </c>
      <c r="B88" s="206" t="n"/>
      <c r="C88" s="207" t="n"/>
      <c r="D88" s="207" t="inlineStr">
        <is>
          <t>ZGD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49349.87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2</v>
      </c>
      <c r="B89" s="206" t="n"/>
      <c r="C89" s="207" t="n"/>
      <c r="D89" s="207" t="inlineStr">
        <is>
          <t>企业年金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74494.24000000001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3</v>
      </c>
      <c r="B90" s="206" t="n"/>
      <c r="C90" s="207" t="n"/>
      <c r="D90" s="207" t="inlineStr">
        <is>
          <t>住房公积金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221838.06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4</v>
      </c>
      <c r="B91" s="206" t="n"/>
      <c r="C91" s="207" t="n"/>
      <c r="D91" s="207" t="inlineStr">
        <is>
          <t>保安保洁费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9375.23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5</v>
      </c>
      <c r="B92" s="206" t="n"/>
      <c r="C92" s="207" t="n"/>
      <c r="D92" s="207" t="inlineStr">
        <is>
          <t>修理费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35150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6</v>
      </c>
      <c r="B93" s="206" t="n"/>
      <c r="C93" s="207" t="n"/>
      <c r="D93" s="207" t="inlineStr">
        <is>
          <t>其他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154505.75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7</v>
      </c>
      <c r="B94" s="206" t="n"/>
      <c r="C94" s="207" t="n"/>
      <c r="D94" s="207" t="inlineStr">
        <is>
          <t>冲晒印刷费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27505.96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8</v>
      </c>
      <c r="B95" s="206" t="n"/>
      <c r="C95" s="207" t="n"/>
      <c r="D95" s="207" t="inlineStr">
        <is>
          <t>办公用品费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136910.72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9</v>
      </c>
      <c r="B96" s="206" t="n"/>
      <c r="C96" s="207" t="n"/>
      <c r="D96" s="207" t="inlineStr">
        <is>
          <t>医疗保险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141031.37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10</v>
      </c>
      <c r="B97" s="206" t="n"/>
      <c r="C97" s="207" t="n"/>
      <c r="D97" s="207" t="inlineStr">
        <is>
          <t>咨询认证费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6886.8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11</v>
      </c>
      <c r="B98" s="206" t="n"/>
      <c r="C98" s="207" t="n"/>
      <c r="D98" s="207" t="inlineStr">
        <is>
          <t>基本养老保险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278130.95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12</v>
      </c>
      <c r="B99" s="206" t="n"/>
      <c r="C99" s="207" t="n"/>
      <c r="D99" s="207" t="inlineStr">
        <is>
          <t>境内差旅费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19963.39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13</v>
      </c>
      <c r="B100" s="206" t="n"/>
      <c r="C100" s="207" t="n"/>
      <c r="D100" s="207" t="inlineStr">
        <is>
          <t>失业保险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12392.32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14</v>
      </c>
      <c r="B101" s="206" t="n"/>
      <c r="C101" s="207" t="n"/>
      <c r="D101" s="207" t="inlineStr">
        <is>
          <t>工伤保险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7990.81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15</v>
      </c>
      <c r="B102" s="206" t="n"/>
      <c r="C102" s="207" t="n"/>
      <c r="D102" s="207" t="inlineStr">
        <is>
          <t>工资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3449526.47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16</v>
      </c>
      <c r="B103" s="206" t="n"/>
      <c r="C103" s="207" t="n"/>
      <c r="D103" s="207" t="inlineStr">
        <is>
          <t>市内交通费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1605.51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17</v>
      </c>
      <c r="B104" s="206" t="n"/>
      <c r="C104" s="207" t="n"/>
      <c r="D104" s="207" t="inlineStr">
        <is>
          <t>排污费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1700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18</v>
      </c>
      <c r="B105" s="206" t="n"/>
      <c r="C105" s="207" t="n"/>
      <c r="D105" s="207" t="inlineStr">
        <is>
          <t>水电费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47486.27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19</v>
      </c>
      <c r="B106" s="206" t="n"/>
      <c r="C106" s="207" t="n"/>
      <c r="D106" s="207" t="inlineStr">
        <is>
          <t>燃油费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13463.44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20</v>
      </c>
      <c r="B107" s="206" t="n"/>
      <c r="C107" s="207" t="n"/>
      <c r="D107" s="207" t="inlineStr">
        <is>
          <t>物业租赁费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107763.8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21</v>
      </c>
      <c r="B108" s="206" t="n"/>
      <c r="C108" s="207" t="n"/>
      <c r="D108" s="207" t="inlineStr">
        <is>
          <t>物业管理费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233637.28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22</v>
      </c>
      <c r="B109" s="206" t="n"/>
      <c r="C109" s="207" t="n"/>
      <c r="D109" s="207" t="inlineStr">
        <is>
          <t>社保及公积金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6">
        <f>J109-K109</f>
        <v/>
      </c>
      <c r="M109" s="210" t="n">
        <v>126801.25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23</v>
      </c>
      <c r="B110" s="206" t="n"/>
      <c r="C110" s="207" t="n"/>
      <c r="D110" s="207" t="inlineStr">
        <is>
          <t>租车费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6">
        <f>J110-K110</f>
        <v/>
      </c>
      <c r="M110" s="210" t="n">
        <v>87891.39999999999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24</v>
      </c>
      <c r="B111" s="206" t="n"/>
      <c r="C111" s="207" t="n"/>
      <c r="D111" s="207" t="inlineStr">
        <is>
          <t>绿化绿植费</t>
        </is>
      </c>
      <c r="E111" s="206" t="n"/>
      <c r="F111" s="206" t="n"/>
      <c r="G111" s="206" t="n"/>
      <c r="H111" s="206" t="n"/>
      <c r="I111" s="206" t="n"/>
      <c r="J111" s="206">
        <f>H111+I111</f>
        <v/>
      </c>
      <c r="K111" s="208" t="n"/>
      <c r="L111" s="206">
        <f>J111-K111</f>
        <v/>
      </c>
      <c r="M111" s="210" t="n">
        <v>33744.04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25</v>
      </c>
      <c r="B112" s="206" t="n"/>
      <c r="C112" s="207" t="n"/>
      <c r="D112" s="207" t="inlineStr">
        <is>
          <t>网络使用费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6">
        <f>J112-K112</f>
        <v/>
      </c>
      <c r="M112" s="210" t="n">
        <v>40931.39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26</v>
      </c>
      <c r="B113" s="206" t="n"/>
      <c r="C113" s="207" t="n"/>
      <c r="D113" s="207" t="inlineStr">
        <is>
          <t>职工教育经费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6">
        <f>J113-K113</f>
        <v/>
      </c>
      <c r="M113" s="210" t="n">
        <v>10809.19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27</v>
      </c>
      <c r="B114" s="206" t="n"/>
      <c r="C114" s="207" t="n"/>
      <c r="D114" s="207" t="inlineStr">
        <is>
          <t>职工福利费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654227.63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28</v>
      </c>
      <c r="B115" s="206" t="n"/>
      <c r="C115" s="207" t="n"/>
      <c r="D115" s="207" t="inlineStr">
        <is>
          <t>补充医疗保险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1688.96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29</v>
      </c>
      <c r="B116" s="206" t="n"/>
      <c r="C116" s="207" t="n"/>
      <c r="D116" s="207" t="inlineStr">
        <is>
          <t>路桥及停车费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22274.68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06" t="n">
        <v>30</v>
      </c>
      <c r="B117" s="206" t="n"/>
      <c r="C117" s="207" t="n"/>
      <c r="D117" s="207" t="inlineStr">
        <is>
          <t>软件费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2089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90" t="n"/>
      <c r="X117" s="290" t="n"/>
      <c r="Y117" s="290" t="n"/>
      <c r="Z117" s="290" t="n"/>
      <c r="AA117" s="290" t="n"/>
      <c r="AB117" s="290" t="n"/>
      <c r="AC117" s="290" t="n"/>
      <c r="AD117" s="290" t="n"/>
      <c r="AE117" s="290" t="n"/>
      <c r="AF117" s="290" t="n"/>
      <c r="AG117" s="290" t="n"/>
      <c r="AH117" s="290" t="n"/>
      <c r="AI117" s="290" t="n"/>
      <c r="AJ117" s="290" t="n"/>
      <c r="AK117" s="290" t="n"/>
      <c r="AL117" s="290" t="n"/>
    </row>
    <row r="118">
      <c r="A118" s="206" t="n">
        <v>31</v>
      </c>
      <c r="B118" s="206" t="n"/>
      <c r="C118" s="207" t="n"/>
      <c r="D118" s="207" t="inlineStr">
        <is>
          <t>通信费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9800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</row>
    <row r="119">
      <c r="A119" s="206" t="n">
        <v>32</v>
      </c>
      <c r="B119" s="206" t="n"/>
      <c r="C119" s="207" t="n"/>
      <c r="D119" s="207" t="inlineStr">
        <is>
          <t>邮寄费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6">
        <f>J119-K119</f>
        <v/>
      </c>
      <c r="M119" s="210" t="n">
        <v>3306.35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90" t="n"/>
      <c r="X119" s="290" t="n"/>
      <c r="Y119" s="290" t="n"/>
      <c r="Z119" s="290" t="n"/>
      <c r="AA119" s="290" t="n"/>
      <c r="AB119" s="290" t="n"/>
      <c r="AC119" s="290" t="n"/>
      <c r="AD119" s="290" t="n"/>
      <c r="AE119" s="290" t="n"/>
      <c r="AF119" s="290" t="n"/>
      <c r="AG119" s="290" t="n"/>
      <c r="AH119" s="290" t="n"/>
      <c r="AI119" s="290" t="n"/>
      <c r="AJ119" s="290" t="n"/>
      <c r="AK119" s="290" t="n"/>
      <c r="AL119" s="290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292" t="n"/>
      <c r="F120" s="292" t="n"/>
      <c r="G120" s="292" t="n"/>
      <c r="H120" s="315" t="n"/>
      <c r="I120" s="282" t="n"/>
      <c r="J120" s="315" t="n"/>
      <c r="K120" s="283" t="n"/>
      <c r="L120" s="284" t="n"/>
      <c r="M120" s="315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315" t="n"/>
      <c r="U120" s="315" t="n"/>
      <c r="V120" s="315" t="n"/>
      <c r="W120" s="315" t="n"/>
      <c r="X120" s="315" t="n"/>
      <c r="Y120" s="315" t="n"/>
      <c r="Z120" s="315" t="n"/>
      <c r="AA120" s="286" t="n"/>
      <c r="AB120" s="287" t="n"/>
      <c r="AC120" s="287" t="n"/>
      <c r="AD120" s="287" t="n"/>
      <c r="AE120" s="287" t="n"/>
      <c r="AF120" s="287" t="n"/>
      <c r="AG120" s="287" t="n"/>
      <c r="AH120" s="287" t="n"/>
      <c r="AI120" s="287" t="n"/>
      <c r="AJ120" s="287" t="n"/>
      <c r="AK120" s="287" t="n"/>
      <c r="AL120" s="294" t="n"/>
    </row>
    <row r="121">
      <c r="A121" s="316" t="n"/>
      <c r="B121" s="317" t="n"/>
      <c r="C121" s="317" t="n"/>
      <c r="D121" s="312" t="inlineStr">
        <is>
          <t>间接费小计：</t>
        </is>
      </c>
      <c r="E121" s="318" t="n"/>
      <c r="F121" s="318" t="n"/>
      <c r="G121" s="318" t="n"/>
      <c r="H121" s="298">
        <f>SUM(H87:H120)</f>
        <v/>
      </c>
      <c r="I121" s="298">
        <f>SUM(I87:I120)</f>
        <v/>
      </c>
      <c r="J121" s="298">
        <f>SUM(J87:J120)</f>
        <v/>
      </c>
      <c r="K121" s="298">
        <f>SUM(K87:K120)</f>
        <v/>
      </c>
      <c r="L121" s="314">
        <f>SUM(L87:L120)</f>
        <v/>
      </c>
      <c r="M121" s="314">
        <f>SUM(M87:M120)</f>
        <v/>
      </c>
      <c r="N121" s="314">
        <f>SUM(N87:N120)</f>
        <v/>
      </c>
      <c r="O121" s="314">
        <f>SUM(O87:O120)</f>
        <v/>
      </c>
      <c r="P121" s="314">
        <f>SUM(P87:P120)</f>
        <v/>
      </c>
      <c r="Q121" s="314">
        <f>SUM(Q87:Q120)</f>
        <v/>
      </c>
      <c r="R121" s="314">
        <f>SUM(R87:R120)</f>
        <v/>
      </c>
      <c r="S121" s="314">
        <f>SUM(S87:S120)</f>
        <v/>
      </c>
      <c r="T121" s="314" t="n"/>
      <c r="U121" s="314" t="n"/>
      <c r="V121" s="314" t="n"/>
      <c r="W121" s="314" t="n"/>
      <c r="X121" s="314" t="n"/>
      <c r="Y121" s="314" t="n"/>
      <c r="Z121" s="314">
        <f>SUM(Z87:Z120)</f>
        <v/>
      </c>
      <c r="AA121" s="314">
        <f>SUM(AA87:AA120)</f>
        <v/>
      </c>
      <c r="AB121" s="314">
        <f>SUM(AB87:AB120)</f>
        <v/>
      </c>
      <c r="AC121" s="314">
        <f>SUM(AC87:AC120)</f>
        <v/>
      </c>
      <c r="AD121" s="314">
        <f>SUM(AD87:AD120)</f>
        <v/>
      </c>
      <c r="AE121" s="314">
        <f>SUM(AE87:AE120)</f>
        <v/>
      </c>
      <c r="AF121" s="314">
        <f>SUM(AF87:AF120)</f>
        <v/>
      </c>
      <c r="AG121" s="314" t="n"/>
      <c r="AH121" s="314" t="n"/>
      <c r="AI121" s="314">
        <f>SUM(AI87:AI120)</f>
        <v/>
      </c>
      <c r="AJ121" s="314">
        <f>SUM(AJ87:AJ120)</f>
        <v/>
      </c>
      <c r="AK121" s="314">
        <f>SUM(AK87:AK120)</f>
        <v/>
      </c>
      <c r="AL121" s="294" t="n"/>
    </row>
    <row r="122">
      <c r="A122" s="279" t="n"/>
      <c r="B122" s="280" t="n"/>
      <c r="C122" s="280" t="n"/>
      <c r="D122" s="299" t="inlineStr">
        <is>
          <t>（七）安全费</t>
        </is>
      </c>
      <c r="E122" s="292" t="n"/>
      <c r="F122" s="292" t="n"/>
      <c r="G122" s="292" t="n"/>
      <c r="H122" s="282" t="n"/>
      <c r="I122" s="282" t="n"/>
      <c r="J122" s="285" t="n">
        <v>0</v>
      </c>
      <c r="K122" s="319" t="n"/>
      <c r="L122" s="284">
        <f>J122-N122-P122</f>
        <v/>
      </c>
      <c r="M122" s="282" t="n"/>
      <c r="N122" s="282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315" t="n"/>
      <c r="U122" s="315" t="n"/>
      <c r="V122" s="315" t="n"/>
      <c r="W122" s="315" t="n"/>
      <c r="X122" s="315" t="n"/>
      <c r="Y122" s="315" t="n"/>
      <c r="Z122" s="311" t="n"/>
      <c r="AA122" s="286" t="n"/>
      <c r="AB122" s="287" t="n"/>
      <c r="AC122" s="287" t="n"/>
      <c r="AD122" s="287" t="n"/>
      <c r="AE122" s="287" t="n"/>
      <c r="AF122" s="287" t="n"/>
      <c r="AG122" s="287" t="n"/>
      <c r="AH122" s="287" t="n"/>
      <c r="AI122" s="287" t="n"/>
      <c r="AJ122" s="287" t="n"/>
      <c r="AK122" s="287" t="n"/>
      <c r="AL122" s="294" t="n"/>
    </row>
    <row r="123">
      <c r="A123" s="206" t="n">
        <v>1</v>
      </c>
      <c r="B123" s="206" t="n"/>
      <c r="C123" s="207" t="n"/>
      <c r="D123" s="207" t="inlineStr">
        <is>
          <t>安全生产-人工费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90683.96000000001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n"/>
      <c r="C124" s="207" t="n"/>
      <c r="D124" s="207" t="inlineStr">
        <is>
          <t>安全生产-分包工程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1576764.52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n"/>
      <c r="C125" s="207" t="n"/>
      <c r="D125" s="207" t="inlineStr">
        <is>
          <t>安全生产-机械使用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81500.96000000001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n"/>
      <c r="C126" s="207" t="n"/>
      <c r="D126" s="207" t="inlineStr">
        <is>
          <t>安全生产费-报销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33278.8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316" t="n"/>
      <c r="B127" s="317" t="n"/>
      <c r="C127" s="317" t="n"/>
      <c r="D127" s="312" t="inlineStr">
        <is>
          <t>安全费小计：</t>
        </is>
      </c>
      <c r="E127" s="312" t="n"/>
      <c r="F127" s="312" t="n"/>
      <c r="G127" s="312" t="n"/>
      <c r="H127" s="298">
        <f>SUM(H122:H126)</f>
        <v/>
      </c>
      <c r="I127" s="298">
        <f>SUM(I122:I126)</f>
        <v/>
      </c>
      <c r="J127" s="298" t="n">
        <v>0</v>
      </c>
      <c r="K127" s="298" t="n">
        <v>0</v>
      </c>
      <c r="L127" s="320">
        <f>J127-K127</f>
        <v/>
      </c>
      <c r="M127" s="314">
        <f>SUM(M122:M126)</f>
        <v/>
      </c>
      <c r="N127" s="314">
        <f>SUM(N122:N126)</f>
        <v/>
      </c>
      <c r="O127" s="314">
        <f>SUM(O122:O126)</f>
        <v/>
      </c>
      <c r="P127" s="314">
        <f>SUM(P122:P126)</f>
        <v/>
      </c>
      <c r="Q127" s="314">
        <f>SUM(Q122:Q126)</f>
        <v/>
      </c>
      <c r="R127" s="314">
        <f>SUM(R122:R126)</f>
        <v/>
      </c>
      <c r="S127" s="314">
        <f>SUM(S122:S126)</f>
        <v/>
      </c>
      <c r="T127" s="321" t="n"/>
      <c r="U127" s="321" t="n"/>
      <c r="V127" s="321" t="n"/>
      <c r="W127" s="321" t="n"/>
      <c r="X127" s="321" t="n"/>
      <c r="Y127" s="321" t="n"/>
      <c r="Z127" s="321" t="n"/>
      <c r="AA127" s="321">
        <f>SUM(AA122:AA126)</f>
        <v/>
      </c>
      <c r="AB127" s="321">
        <f>SUM(AB122:AB126)</f>
        <v/>
      </c>
      <c r="AC127" s="321">
        <f>SUM(AC122:AC126)</f>
        <v/>
      </c>
      <c r="AD127" s="321">
        <f>SUM(AD122:AD126)</f>
        <v/>
      </c>
      <c r="AE127" s="321">
        <f>SUM(AE122:AE126)</f>
        <v/>
      </c>
      <c r="AF127" s="321">
        <f>SUM(AF122:AF126)</f>
        <v/>
      </c>
      <c r="AG127" s="321" t="n"/>
      <c r="AH127" s="321" t="n"/>
      <c r="AI127" s="321">
        <f>SUM(AI122:AI126)</f>
        <v/>
      </c>
      <c r="AJ127" s="321">
        <f>SUM(AJ122:AJ126)</f>
        <v/>
      </c>
      <c r="AK127" s="321">
        <f>SUM(AK122:AK126)</f>
        <v/>
      </c>
      <c r="AL127" s="322" t="n"/>
    </row>
    <row r="128">
      <c r="A128" s="316" t="n"/>
      <c r="B128" s="317" t="n"/>
      <c r="C128" s="317" t="n"/>
      <c r="D128" s="312" t="inlineStr">
        <is>
          <t>三、成本合计：</t>
        </is>
      </c>
      <c r="E128" s="318" t="n"/>
      <c r="F128" s="318" t="n"/>
      <c r="G128" s="318" t="n"/>
      <c r="H128" s="298">
        <f>H18+H31+H67+H77+H86+H121+H127</f>
        <v/>
      </c>
      <c r="I128" s="298">
        <f>I18+I31+I67+I77+I86+I121+I127</f>
        <v/>
      </c>
      <c r="J128" s="298">
        <f>J18+J31+J67+J77+J86+J121+J127</f>
        <v/>
      </c>
      <c r="K128" s="298">
        <f>K18+K31+K67+K77+K86+K121+K127</f>
        <v/>
      </c>
      <c r="L128" s="314">
        <f>L18+L31+L67+L77+L86+L121+L127</f>
        <v/>
      </c>
      <c r="M128" s="321">
        <f>M18+M31+M67+M77+M86+M121+M127</f>
        <v/>
      </c>
      <c r="N128" s="321">
        <f>N18+N31+N67+N77+N86+N121+N127</f>
        <v/>
      </c>
      <c r="O128" s="321">
        <f>O18+O31+O67+O77+O86+O121+O127</f>
        <v/>
      </c>
      <c r="P128" s="321">
        <f>P18+P31+P67+P77+P86+P121+P127</f>
        <v/>
      </c>
      <c r="Q128" s="321">
        <f>Q18+Q31+Q67+Q77+Q86+Q121+Q127</f>
        <v/>
      </c>
      <c r="R128" s="321">
        <f>R18+R31+R67+R77+R86+R121+R127</f>
        <v/>
      </c>
      <c r="S128" s="321">
        <f>S18+S31+S67+S77+S86+S121+S127</f>
        <v/>
      </c>
      <c r="T128" s="321" t="n"/>
      <c r="U128" s="321" t="n"/>
      <c r="V128" s="321" t="n"/>
      <c r="W128" s="321" t="n"/>
      <c r="X128" s="321" t="n"/>
      <c r="Y128" s="321" t="n"/>
      <c r="Z128" s="321">
        <f>Z18+Z31+Z67+Z77+Z86+Z121+Z127</f>
        <v/>
      </c>
      <c r="AA128" s="321">
        <f>AA18+AA31+AA67+AA77+AA86+AA121+AA127</f>
        <v/>
      </c>
      <c r="AB128" s="321">
        <f>AB18+AB31+AB67+AB77+AB86+AB121+AB127</f>
        <v/>
      </c>
      <c r="AC128" s="321">
        <f>AC18+AC31+AC67+AC77+AC86+AC121+AC127</f>
        <v/>
      </c>
      <c r="AD128" s="321">
        <f>AD18+AD31+AD67+AD77+AD86+AD121+AD127</f>
        <v/>
      </c>
      <c r="AE128" s="321">
        <f>AE18+AE31+AE67+AE77+AE86+AE121+AE127</f>
        <v/>
      </c>
      <c r="AF128" s="321">
        <f>AF18+AF31+AF67+AF77+AF86+AF121+AF127</f>
        <v/>
      </c>
      <c r="AG128" s="321" t="n"/>
      <c r="AH128" s="321" t="n"/>
      <c r="AI128" s="321">
        <f>AI18+AI31+AI67+AI77+AI86+AI121+AI127</f>
        <v/>
      </c>
      <c r="AJ128" s="321">
        <f>AJ18+AJ31+AJ67+AJ77+AJ86+AJ121+AJ127</f>
        <v/>
      </c>
      <c r="AK128" s="321">
        <f>AK18+AK31+AK67+AK77+AK86+AK121+AK127</f>
        <v/>
      </c>
      <c r="AL128" s="322" t="n"/>
    </row>
    <row r="129">
      <c r="A129" s="316" t="n"/>
      <c r="B129" s="317" t="n"/>
      <c r="C129" s="317" t="n"/>
      <c r="D129" s="312" t="inlineStr">
        <is>
          <t>四、计提保修金</t>
        </is>
      </c>
      <c r="E129" s="318" t="inlineStr">
        <is>
          <t>（在建：房建0.6%，其它0.4%；在保修期间的按0.3~0.5%自行确定;保修期结束为0）</t>
        </is>
      </c>
      <c r="F129" s="318" t="n"/>
      <c r="G129" s="318" t="n"/>
      <c r="H129" s="298" t="n"/>
      <c r="I129" s="298" t="n"/>
      <c r="J129" s="298">
        <f>H129+I129</f>
        <v/>
      </c>
      <c r="K129" s="298" t="n"/>
      <c r="L129" s="314">
        <f>J129-K129</f>
        <v/>
      </c>
      <c r="M129" s="321" t="n"/>
      <c r="N129" s="321" t="n"/>
      <c r="O129" s="321">
        <f>L129-M129</f>
        <v/>
      </c>
      <c r="P129" s="321">
        <f>K129-N129</f>
        <v/>
      </c>
      <c r="Q129" s="321">
        <f>M129+O129</f>
        <v/>
      </c>
      <c r="R129" s="321">
        <f>M129+N129+O129+P129</f>
        <v/>
      </c>
      <c r="S129" s="321">
        <f>SUM(T129:V129)</f>
        <v/>
      </c>
      <c r="T129" s="321" t="n"/>
      <c r="U129" s="321" t="n"/>
      <c r="V129" s="321" t="n"/>
      <c r="W129" s="321" t="n"/>
      <c r="X129" s="321" t="n"/>
      <c r="Y129" s="321" t="n"/>
      <c r="Z129" s="321" t="n"/>
      <c r="AA129" s="321">
        <f>Q69-S69</f>
        <v/>
      </c>
      <c r="AB129" s="321" t="n"/>
      <c r="AC129" s="321" t="n"/>
      <c r="AD129" s="321" t="n"/>
      <c r="AE129" s="321" t="n"/>
      <c r="AF129" s="321" t="n"/>
      <c r="AG129" s="321" t="n"/>
      <c r="AH129" s="321" t="n"/>
      <c r="AI129" s="321" t="n"/>
      <c r="AJ129" s="321" t="n"/>
      <c r="AK129" s="321" t="n"/>
      <c r="AL129" s="322" t="n"/>
    </row>
    <row r="130">
      <c r="A130" s="316" t="n"/>
      <c r="B130" s="317" t="n"/>
      <c r="C130" s="317" t="n"/>
      <c r="D130" s="312" t="inlineStr">
        <is>
          <t>五、过程节点奖金</t>
        </is>
      </c>
      <c r="E130" s="318" t="n"/>
      <c r="F130" s="318" t="n"/>
      <c r="G130" s="318" t="n"/>
      <c r="H130" s="298" t="n"/>
      <c r="I130" s="298" t="n"/>
      <c r="J130" s="298">
        <f>H130+I130</f>
        <v/>
      </c>
      <c r="K130" s="298" t="n"/>
      <c r="L130" s="314">
        <f>J130-K130</f>
        <v/>
      </c>
      <c r="M130" s="321" t="n"/>
      <c r="N130" s="321" t="n"/>
      <c r="O130" s="321">
        <f>L130-M130</f>
        <v/>
      </c>
      <c r="P130" s="321">
        <f>K130-N130</f>
        <v/>
      </c>
      <c r="Q130" s="321">
        <f>M130+O130</f>
        <v/>
      </c>
      <c r="R130" s="321">
        <f>M130+N130+O130+P130</f>
        <v/>
      </c>
      <c r="S130" s="321">
        <f>SUM(T130:V130)</f>
        <v/>
      </c>
      <c r="T130" s="321" t="n"/>
      <c r="U130" s="321" t="n"/>
      <c r="V130" s="321" t="n"/>
      <c r="W130" s="321" t="n"/>
      <c r="X130" s="321" t="n"/>
      <c r="Y130" s="321" t="n"/>
      <c r="Z130" s="321" t="n"/>
      <c r="AA130" s="321" t="n"/>
      <c r="AB130" s="321" t="n"/>
      <c r="AC130" s="321" t="n"/>
      <c r="AD130" s="321" t="n"/>
      <c r="AE130" s="321" t="n"/>
      <c r="AF130" s="321" t="n"/>
      <c r="AG130" s="321" t="n"/>
      <c r="AH130" s="321" t="n"/>
      <c r="AI130" s="321" t="n"/>
      <c r="AJ130" s="321" t="n"/>
      <c r="AK130" s="321" t="n"/>
      <c r="AL130" s="322" t="n"/>
    </row>
    <row r="131">
      <c r="A131" s="316" t="n"/>
      <c r="B131" s="317" t="n"/>
      <c r="C131" s="317" t="n"/>
      <c r="D131" s="312" t="inlineStr">
        <is>
          <t>六、资金占用费用</t>
        </is>
      </c>
      <c r="E131" s="318" t="n"/>
      <c r="F131" s="318" t="n"/>
      <c r="G131" s="318" t="n"/>
      <c r="H131" s="298" t="n"/>
      <c r="I131" s="298" t="n"/>
      <c r="J131" s="298">
        <f>H131+I131</f>
        <v/>
      </c>
      <c r="K131" s="298" t="n"/>
      <c r="L131" s="314">
        <f>J131-K131</f>
        <v/>
      </c>
      <c r="M131" s="323" t="n">
        <v>1942071.27</v>
      </c>
      <c r="N131" s="321" t="n"/>
      <c r="O131" s="321">
        <f>L131-M131</f>
        <v/>
      </c>
      <c r="P131" s="321">
        <f>K131-N131</f>
        <v/>
      </c>
      <c r="Q131" s="321">
        <f>M131+O131</f>
        <v/>
      </c>
      <c r="R131" s="321">
        <f>M131+N131+O131+P131</f>
        <v/>
      </c>
      <c r="S131" s="321">
        <f>SUM(T131:V131)</f>
        <v/>
      </c>
      <c r="T131" s="321" t="n"/>
      <c r="U131" s="321" t="n"/>
      <c r="V131" s="321" t="n"/>
      <c r="W131" s="321" t="n"/>
      <c r="X131" s="321" t="n"/>
      <c r="Y131" s="321" t="n"/>
      <c r="Z131" s="321" t="n"/>
      <c r="AA131" s="321" t="n"/>
      <c r="AB131" s="321" t="n"/>
      <c r="AC131" s="321" t="n"/>
      <c r="AD131" s="321" t="n"/>
      <c r="AE131" s="321" t="n"/>
      <c r="AF131" s="321" t="n"/>
      <c r="AG131" s="321" t="n"/>
      <c r="AH131" s="321" t="n"/>
      <c r="AI131" s="321" t="n"/>
      <c r="AJ131" s="321" t="n"/>
      <c r="AK131" s="321" t="n"/>
      <c r="AL131" s="322" t="n"/>
    </row>
    <row r="132">
      <c r="A132" s="316" t="n"/>
      <c r="B132" s="317" t="n"/>
      <c r="C132" s="317" t="n"/>
      <c r="D132" s="312" t="inlineStr">
        <is>
          <t>七、局投资收益（局投资项目选填）</t>
        </is>
      </c>
      <c r="E132" s="318" t="n"/>
      <c r="F132" s="318" t="n"/>
      <c r="G132" s="318" t="n"/>
      <c r="H132" s="298" t="n"/>
      <c r="I132" s="298" t="n"/>
      <c r="J132" s="298">
        <f>H132+I132</f>
        <v/>
      </c>
      <c r="K132" s="298" t="n"/>
      <c r="L132" s="314">
        <f>J132-K132</f>
        <v/>
      </c>
      <c r="M132" s="321" t="n"/>
      <c r="N132" s="321" t="n"/>
      <c r="O132" s="321">
        <f>L132-M132</f>
        <v/>
      </c>
      <c r="P132" s="321">
        <f>K132-N132</f>
        <v/>
      </c>
      <c r="Q132" s="321">
        <f>M132+O132</f>
        <v/>
      </c>
      <c r="R132" s="321">
        <f>M132+N132+O132+P132</f>
        <v/>
      </c>
      <c r="S132" s="321">
        <f>SUM(T132:V132)</f>
        <v/>
      </c>
      <c r="T132" s="321" t="n"/>
      <c r="U132" s="321" t="n"/>
      <c r="V132" s="321" t="n"/>
      <c r="W132" s="321" t="n"/>
      <c r="X132" s="321" t="n"/>
      <c r="Y132" s="321" t="n"/>
      <c r="Z132" s="321" t="n"/>
      <c r="AA132" s="321" t="n"/>
      <c r="AB132" s="321" t="n"/>
      <c r="AC132" s="321" t="n"/>
      <c r="AD132" s="321" t="n"/>
      <c r="AE132" s="321" t="n"/>
      <c r="AF132" s="321" t="n"/>
      <c r="AG132" s="321" t="n"/>
      <c r="AH132" s="321" t="n"/>
      <c r="AI132" s="321" t="n"/>
      <c r="AJ132" s="321" t="n"/>
      <c r="AK132" s="321" t="n"/>
      <c r="AL132" s="322" t="n"/>
    </row>
    <row r="133">
      <c r="A133" s="316" t="n"/>
      <c r="B133" s="317" t="n"/>
      <c r="C133" s="317" t="n"/>
      <c r="D133" s="312" t="inlineStr">
        <is>
          <t>八、研发费用</t>
        </is>
      </c>
      <c r="E133" s="318" t="n"/>
      <c r="F133" s="318" t="n"/>
      <c r="G133" s="318" t="n"/>
      <c r="H133" s="298" t="n"/>
      <c r="I133" s="298" t="n"/>
      <c r="J133" s="298">
        <f>H133+I133</f>
        <v/>
      </c>
      <c r="K133" s="298" t="n"/>
      <c r="L133" s="314">
        <f>J133-K133</f>
        <v/>
      </c>
      <c r="M133" s="321">
        <f>SUM(M134:M137)</f>
        <v/>
      </c>
      <c r="N133" s="321">
        <f>SUM(N134:N137)</f>
        <v/>
      </c>
      <c r="O133" s="321">
        <f>SUM(O134:O137)</f>
        <v/>
      </c>
      <c r="P133" s="321">
        <f>SUM(P134:P137)</f>
        <v/>
      </c>
      <c r="Q133" s="321">
        <f>SUM(Q134:Q137)</f>
        <v/>
      </c>
      <c r="R133" s="321">
        <f>SUM(R134:R137)</f>
        <v/>
      </c>
      <c r="S133" s="321">
        <f>SUM(S134:S137)</f>
        <v/>
      </c>
      <c r="T133" s="321">
        <f>SUM(T134:T137)</f>
        <v/>
      </c>
      <c r="U133" s="321">
        <f>SUM(U134:U137)</f>
        <v/>
      </c>
      <c r="V133" s="321">
        <f>SUM(V134:V137)</f>
        <v/>
      </c>
      <c r="W133" s="321">
        <f>SUM(W134:W137)</f>
        <v/>
      </c>
      <c r="X133" s="321">
        <f>SUM(X134:X137)</f>
        <v/>
      </c>
      <c r="Y133" s="321">
        <f>SUM(Y134:Y137)</f>
        <v/>
      </c>
      <c r="Z133" s="321">
        <f>SUM(Z134:Z137)</f>
        <v/>
      </c>
      <c r="AA133" s="321">
        <f>SUM(AA134:AA137)</f>
        <v/>
      </c>
      <c r="AB133" s="321">
        <f>SUM(AB134:AB137)</f>
        <v/>
      </c>
      <c r="AC133" s="321">
        <f>SUM(AC134:AC137)</f>
        <v/>
      </c>
      <c r="AD133" s="321">
        <f>SUM(AD134:AD137)</f>
        <v/>
      </c>
      <c r="AE133" s="321">
        <f>SUM(AE134:AE137)</f>
        <v/>
      </c>
      <c r="AF133" s="321">
        <f>SUM(AF134:AF137)</f>
        <v/>
      </c>
      <c r="AG133" s="321">
        <f>SUM(AG134:AG137)</f>
        <v/>
      </c>
      <c r="AH133" s="321">
        <f>SUM(AH134:AH137)</f>
        <v/>
      </c>
      <c r="AI133" s="321">
        <f>SUM(AI134:AI137)</f>
        <v/>
      </c>
      <c r="AJ133" s="321">
        <f>SUM(AJ134:AJ137)</f>
        <v/>
      </c>
      <c r="AK133" s="321">
        <f>SUM(AK134:AK137)</f>
        <v/>
      </c>
      <c r="AL133" s="322" t="n"/>
    </row>
    <row r="134">
      <c r="A134" s="206" t="n">
        <v>1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 t="n"/>
      <c r="K134" s="206" t="n"/>
      <c r="L134" s="206" t="n"/>
      <c r="M134" s="210" t="n">
        <v>-4412325.31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2</v>
      </c>
      <c r="B135" s="206" t="n"/>
      <c r="C135" s="207" t="n"/>
      <c r="D135" s="207" t="inlineStr">
        <is>
          <t>研发费用-人工成本</t>
        </is>
      </c>
      <c r="E135" s="206" t="n"/>
      <c r="F135" s="206" t="n"/>
      <c r="G135" s="206" t="n"/>
      <c r="H135" s="206" t="n"/>
      <c r="I135" s="206" t="n"/>
      <c r="J135" s="206" t="n"/>
      <c r="K135" s="206" t="n"/>
      <c r="L135" s="206" t="n"/>
      <c r="M135" s="210" t="n">
        <v>687440.63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3</v>
      </c>
      <c r="B136" s="206" t="n"/>
      <c r="C136" s="207" t="n"/>
      <c r="D136" s="207" t="inlineStr">
        <is>
          <t>研发费用-机械租赁</t>
        </is>
      </c>
      <c r="E136" s="206" t="n"/>
      <c r="F136" s="206" t="n"/>
      <c r="G136" s="206" t="n"/>
      <c r="H136" s="206" t="n"/>
      <c r="I136" s="206" t="n"/>
      <c r="J136" s="206" t="n"/>
      <c r="K136" s="206" t="n"/>
      <c r="L136" s="206" t="n"/>
      <c r="M136" s="210" t="n">
        <v>284623.4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06" t="n">
        <v>4</v>
      </c>
      <c r="B137" s="206" t="n"/>
      <c r="C137" s="207" t="n"/>
      <c r="D137" s="207" t="inlineStr">
        <is>
          <t>研发费用-材料费</t>
        </is>
      </c>
      <c r="E137" s="206" t="n"/>
      <c r="F137" s="206" t="n"/>
      <c r="G137" s="206" t="n"/>
      <c r="H137" s="206" t="n"/>
      <c r="I137" s="206" t="n"/>
      <c r="J137" s="206" t="n"/>
      <c r="K137" s="206" t="n"/>
      <c r="L137" s="206" t="n"/>
      <c r="M137" s="210" t="n">
        <v>12339365.17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95" t="n"/>
      <c r="B138" s="296" t="n"/>
      <c r="C138" s="296" t="n"/>
      <c r="D138" s="312" t="inlineStr">
        <is>
          <t>九、成本及费用合计（三+四+五+六+七）</t>
        </is>
      </c>
      <c r="E138" s="313" t="n"/>
      <c r="F138" s="313" t="n"/>
      <c r="G138" s="313" t="n"/>
      <c r="H138" s="298">
        <f>H128+H129+H130+H131+H132+H133</f>
        <v/>
      </c>
      <c r="I138" s="298">
        <f>I128+I129+I130+I131+I132+I133</f>
        <v/>
      </c>
      <c r="J138" s="324">
        <f>J128+J129+J130+J131+J132+J133</f>
        <v/>
      </c>
      <c r="K138" s="298">
        <f>K128+K129+K130+K131+K132+K133</f>
        <v/>
      </c>
      <c r="L138" s="325">
        <f>L128+L129+L130+L131+L132+L133</f>
        <v/>
      </c>
      <c r="M138" s="325">
        <f>M128+M129+M130+M131+M132+M133</f>
        <v/>
      </c>
      <c r="N138" s="325">
        <f>N128+N129+N130+N131+N132+N133</f>
        <v/>
      </c>
      <c r="O138" s="325">
        <f>O128+O129+O130+O131+O132+O133</f>
        <v/>
      </c>
      <c r="P138" s="325">
        <f>P128+P129+P130+P131+P132+P133</f>
        <v/>
      </c>
      <c r="Q138" s="325">
        <f>Q128+Q129+Q130+Q131+Q132+Q133</f>
        <v/>
      </c>
      <c r="R138" s="325">
        <f>R128+R129+R130+R131+R132+R133</f>
        <v/>
      </c>
      <c r="S138" s="321">
        <f>S128+S129+S130+S131+S132+S133</f>
        <v/>
      </c>
      <c r="T138" s="321" t="n"/>
      <c r="U138" s="321" t="n"/>
      <c r="V138" s="321" t="n"/>
      <c r="W138" s="321" t="n"/>
      <c r="X138" s="321" t="n"/>
      <c r="Y138" s="321" t="n"/>
      <c r="Z138" s="321">
        <f>Z128+Z129+Z130+Z131+Z132+Z133</f>
        <v/>
      </c>
      <c r="AA138" s="321">
        <f>AA128+AA129+AA130+AA131+AA132+AA133</f>
        <v/>
      </c>
      <c r="AB138" s="326" t="n"/>
      <c r="AC138" s="326" t="n"/>
      <c r="AD138" s="326" t="n"/>
      <c r="AE138" s="326" t="n"/>
      <c r="AF138" s="326" t="n"/>
      <c r="AG138" s="326" t="n"/>
      <c r="AH138" s="326" t="n"/>
      <c r="AI138" s="326" t="n"/>
      <c r="AJ138" s="326" t="n"/>
      <c r="AK138" s="327" t="n"/>
      <c r="AL138" s="328" t="n"/>
    </row>
    <row r="139">
      <c r="A139" s="295" t="n"/>
      <c r="B139" s="296" t="n"/>
      <c r="C139" s="296" t="n"/>
      <c r="D139" s="312" t="inlineStr">
        <is>
          <t>十、增值税实际税负（按财务数据）</t>
        </is>
      </c>
      <c r="E139" s="313" t="inlineStr">
        <is>
          <t>根据财务账面实际已缴纳增值税额+尚需缴纳的增值税额</t>
        </is>
      </c>
      <c r="F139" s="313" t="n"/>
      <c r="G139" s="313" t="n"/>
      <c r="H139" s="298" t="n"/>
      <c r="I139" s="298" t="n"/>
      <c r="J139" s="324">
        <f>H78+I78</f>
        <v/>
      </c>
      <c r="K139" s="298" t="inlineStr">
        <is>
          <t>/</t>
        </is>
      </c>
      <c r="L139" s="325" t="inlineStr">
        <is>
          <t>/</t>
        </is>
      </c>
      <c r="M139" s="325" t="n"/>
      <c r="N139" s="325">
        <f>N6-N77</f>
        <v/>
      </c>
      <c r="O139" s="325" t="n"/>
      <c r="P139" s="325" t="n"/>
      <c r="Q139" s="325" t="inlineStr">
        <is>
          <t>/</t>
        </is>
      </c>
      <c r="R139" s="325">
        <f>N78+P78</f>
        <v/>
      </c>
      <c r="S139" s="321" t="n"/>
      <c r="T139" s="321" t="n"/>
      <c r="U139" s="321" t="n"/>
      <c r="V139" s="321" t="n"/>
      <c r="W139" s="321" t="n"/>
      <c r="X139" s="321" t="n"/>
      <c r="Y139" s="321" t="n"/>
      <c r="Z139" s="321" t="n"/>
      <c r="AA139" s="321" t="n"/>
      <c r="AB139" s="326" t="n"/>
      <c r="AC139" s="326" t="n"/>
      <c r="AD139" s="326" t="n"/>
      <c r="AE139" s="326" t="n"/>
      <c r="AF139" s="326" t="n"/>
      <c r="AG139" s="326" t="n"/>
      <c r="AH139" s="326" t="n"/>
      <c r="AI139" s="326" t="n"/>
      <c r="AJ139" s="326" t="n"/>
      <c r="AK139" s="327" t="n"/>
      <c r="AL139" s="328" t="n"/>
    </row>
    <row r="140">
      <c r="A140" s="295" t="n"/>
      <c r="B140" s="296" t="n"/>
      <c r="C140" s="296" t="n"/>
      <c r="D140" s="312" t="inlineStr">
        <is>
          <t>十一、税金及附加（按财务数据）</t>
        </is>
      </c>
      <c r="E140" s="313" t="inlineStr">
        <is>
          <t>根据财务账面实际已缴纳税金及附加+尚需缴纳的税金及附加</t>
        </is>
      </c>
      <c r="F140" s="313" t="n"/>
      <c r="G140" s="313" t="n"/>
      <c r="H140" s="298" t="n"/>
      <c r="I140" s="298" t="n"/>
      <c r="J140" s="324">
        <f>H79+I79</f>
        <v/>
      </c>
      <c r="K140" s="298" t="n"/>
      <c r="L140" s="325">
        <f>J79</f>
        <v/>
      </c>
      <c r="M140" s="329" t="n">
        <v>385874.26</v>
      </c>
      <c r="N140" s="325" t="n"/>
      <c r="O140" s="325">
        <f>L79-M79</f>
        <v/>
      </c>
      <c r="P140" s="325" t="n"/>
      <c r="Q140" s="325">
        <f>M79+O79</f>
        <v/>
      </c>
      <c r="R140" s="325">
        <f>Q79</f>
        <v/>
      </c>
      <c r="S140" s="321" t="n"/>
      <c r="T140" s="321" t="n"/>
      <c r="U140" s="321" t="n"/>
      <c r="V140" s="321" t="n"/>
      <c r="W140" s="321" t="n"/>
      <c r="X140" s="321" t="n"/>
      <c r="Y140" s="321" t="n"/>
      <c r="Z140" s="321" t="n"/>
      <c r="AA140" s="321" t="n"/>
      <c r="AB140" s="326" t="n"/>
      <c r="AC140" s="326" t="n"/>
      <c r="AD140" s="326" t="n"/>
      <c r="AE140" s="326" t="n"/>
      <c r="AF140" s="326" t="n"/>
      <c r="AG140" s="326" t="n"/>
      <c r="AH140" s="326" t="n"/>
      <c r="AI140" s="326" t="n"/>
      <c r="AJ140" s="326" t="n"/>
      <c r="AK140" s="327" t="n"/>
      <c r="AL140" s="328" t="n"/>
    </row>
    <row r="141">
      <c r="A141" s="295" t="n"/>
      <c r="B141" s="296" t="n"/>
      <c r="C141" s="296" t="n"/>
      <c r="D141" s="312" t="inlineStr">
        <is>
          <t>十二、利润</t>
        </is>
      </c>
      <c r="E141" s="313" t="n"/>
      <c r="F141" s="313" t="n"/>
      <c r="G141" s="313" t="n"/>
      <c r="H141" s="298" t="n"/>
      <c r="I141" s="298" t="n"/>
      <c r="J141" s="324">
        <f>J6-J138-J139-J140</f>
        <v/>
      </c>
      <c r="K141" s="298" t="n"/>
      <c r="L141" s="325" t="n"/>
      <c r="M141" s="325" t="n"/>
      <c r="N141" s="325" t="n"/>
      <c r="O141" s="325" t="n"/>
      <c r="P141" s="325" t="n"/>
      <c r="Q141" s="325" t="n"/>
      <c r="R141" s="325" t="n"/>
      <c r="S141" s="321" t="n"/>
      <c r="T141" s="321" t="n"/>
      <c r="U141" s="321" t="n"/>
      <c r="V141" s="321" t="n"/>
      <c r="W141" s="321" t="n"/>
      <c r="X141" s="321" t="n"/>
      <c r="Y141" s="321" t="n"/>
      <c r="Z141" s="321" t="n"/>
      <c r="AA141" s="321" t="n"/>
      <c r="AB141" s="326" t="n"/>
      <c r="AC141" s="326" t="n"/>
      <c r="AD141" s="326" t="n"/>
      <c r="AE141" s="326" t="n"/>
      <c r="AF141" s="326" t="n"/>
      <c r="AG141" s="326" t="n"/>
      <c r="AH141" s="326" t="n"/>
      <c r="AI141" s="326" t="n"/>
      <c r="AJ141" s="326" t="n"/>
      <c r="AK141" s="327" t="n"/>
      <c r="AL141" s="328" t="n"/>
    </row>
    <row r="142">
      <c r="A142" s="330" t="n"/>
      <c r="B142" s="331" t="n"/>
      <c r="C142" s="331" t="n"/>
      <c r="D142" s="332" t="inlineStr">
        <is>
          <t>十三、利润率</t>
        </is>
      </c>
      <c r="E142" s="333" t="n"/>
      <c r="F142" s="333" t="n"/>
      <c r="G142" s="333" t="n"/>
      <c r="H142" s="334" t="n"/>
      <c r="I142" s="334" t="n"/>
      <c r="J142" s="334">
        <f>J141/J6</f>
        <v/>
      </c>
      <c r="K142" s="334" t="n"/>
      <c r="L142" s="335">
        <f>L141/L6</f>
        <v/>
      </c>
      <c r="M142" s="335">
        <f>M141/M6</f>
        <v/>
      </c>
      <c r="N142" s="335" t="n"/>
      <c r="O142" s="335" t="n"/>
      <c r="P142" s="335" t="n"/>
      <c r="Q142" s="335">
        <f>Q141/Q6</f>
        <v/>
      </c>
      <c r="R142" s="335">
        <f>R141/R6</f>
        <v/>
      </c>
      <c r="S142" s="336" t="n"/>
      <c r="T142" s="336" t="n"/>
      <c r="U142" s="336" t="n"/>
      <c r="V142" s="336" t="n"/>
      <c r="W142" s="336" t="n"/>
      <c r="X142" s="336" t="n"/>
      <c r="Y142" s="336" t="n"/>
      <c r="Z142" s="336" t="n"/>
      <c r="AA142" s="336" t="n"/>
      <c r="AB142" s="337" t="n"/>
      <c r="AC142" s="337" t="n"/>
      <c r="AD142" s="337" t="n"/>
      <c r="AE142" s="337" t="n"/>
      <c r="AF142" s="337" t="n"/>
      <c r="AG142" s="337" t="n"/>
      <c r="AH142" s="337" t="n"/>
      <c r="AI142" s="337" t="n"/>
      <c r="AJ142" s="337" t="n"/>
      <c r="AK142" s="338" t="n"/>
      <c r="AL142" s="339" t="n"/>
    </row>
    <row r="143">
      <c r="A143" s="111" t="n"/>
      <c r="B143" s="111" t="n"/>
      <c r="C143" s="111" t="n"/>
      <c r="D143" s="112" t="n"/>
      <c r="E143" s="113" t="n"/>
      <c r="F143" s="113" t="n"/>
      <c r="G143" s="113" t="n"/>
      <c r="H143" s="248" t="n"/>
      <c r="I143" s="248" t="n"/>
      <c r="J143" s="249" t="inlineStr">
        <is>
          <t>含税利润率</t>
        </is>
      </c>
      <c r="K143" s="250" t="n"/>
      <c r="L143" s="251" t="inlineStr">
        <is>
          <t>不含税利润率</t>
        </is>
      </c>
      <c r="M143" s="252" t="n"/>
      <c r="N143" s="252" t="n"/>
      <c r="O143" s="252" t="n"/>
      <c r="P143" s="252" t="n"/>
      <c r="Q143" s="252" t="n"/>
      <c r="R143" s="252" t="n"/>
      <c r="S143" s="252" t="n"/>
      <c r="T143" s="252" t="n"/>
      <c r="U143" s="252" t="n"/>
      <c r="V143" s="252" t="n"/>
      <c r="W143" s="252" t="n"/>
      <c r="X143" s="252" t="n"/>
      <c r="Y143" s="252" t="n"/>
      <c r="Z143" s="253" t="n"/>
      <c r="AA143" s="162" t="n"/>
      <c r="AB143" s="254" t="n"/>
      <c r="AC143" s="254" t="n"/>
      <c r="AD143" s="254" t="n"/>
      <c r="AE143" s="254" t="n"/>
      <c r="AF143" s="254" t="n"/>
      <c r="AG143" s="254" t="n"/>
      <c r="AH143" s="254" t="n"/>
      <c r="AI143" s="254" t="n"/>
      <c r="AJ143" s="254" t="n"/>
      <c r="AK143" s="254" t="n"/>
      <c r="AL143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2026-04-23T04:04:14Z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