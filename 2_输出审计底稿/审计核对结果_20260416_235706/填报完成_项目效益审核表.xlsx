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4750" windowHeight="12080" tabRatio="600" firstSheet="0" activeTab="0" autoFilterDateGrouping="1"/>
  </bookViews>
  <sheets>
    <sheet name="RPA汇总数据源" sheetId="1" state="visible" r:id="rId1"/>
    <sheet name="附表3项目效益审核表" sheetId="2" state="visible" r:id="rId2"/>
  </sheets>
  <externalReferences>
    <externalReference r:id="rId3"/>
    <externalReference r:id="rId4"/>
    <externalReference r:id="rId5"/>
  </externalReferences>
  <definedNames>
    <definedName name="hideComboData0">[1]数据集!$A$1:$A$6212</definedName>
    <definedName name="hideComboData1">[1]数据集!$B$1:$B$118</definedName>
    <definedName name="hideComboData19">[1]数据集!$T$1:$T$4</definedName>
    <definedName name="hideComboData2">[1]数据集!$C$1:$C$6212</definedName>
    <definedName name="hideComboData20">[1]数据集!$U$1:$U$7</definedName>
    <definedName name="hideComboData22">[1]数据集!$W$1:$W$3</definedName>
    <definedName name="hideComboData23">[1]数据集!$X$1:$X$2</definedName>
    <definedName name="hideComboData24">[1]数据集!$Y$1:$Y$2</definedName>
    <definedName name="hideComboData25">[1]数据集!$Z$1:$Z$3</definedName>
    <definedName name="hideComboData3">[1]数据集!$D$1:$D$14</definedName>
    <definedName name="hideComboData4">[1]数据集!$E$1:$E$21</definedName>
    <definedName name="hideComboData5">[1]数据集!$F$1:$F$1038</definedName>
    <definedName name="hideComboData13">[2]数据集!$N$1:$N$8</definedName>
    <definedName name="hideComboData14">[2]数据集!$O$1:$O$6</definedName>
    <definedName name="hideComboData15">[2]数据集!$P$1:$P$3</definedName>
    <definedName name="hideComboData18">[2]数据集!$S$1:$S$2</definedName>
    <definedName name="hideComboData17">[2]数据集!$R$1:$R$2</definedName>
  </definedNames>
  <calcPr calcId="191029" fullCalcOnLoad="1"/>
</workbook>
</file>

<file path=xl/styles.xml><?xml version="1.0" encoding="utf-8"?>
<styleSheet xmlns="http://schemas.openxmlformats.org/spreadsheetml/2006/main">
  <numFmts count="4">
    <numFmt numFmtId="164" formatCode="0.00_);[Red]\(0.00\)"/>
    <numFmt numFmtId="165" formatCode="_ * #,##0.00_ ;_ * \-#,##0.00_ ;_ * &quot;-&quot;??_ ;_ @_ "/>
    <numFmt numFmtId="166" formatCode="_ &quot;￥&quot;* #,##0.00_ ;_ &quot;￥&quot;* \-#,##0.00_ ;_ &quot;￥&quot;* &quot;-&quot;??_ ;_ @_ "/>
    <numFmt numFmtId="167" formatCode="_ * #,##0.00_ ;_ * \-#,##0.00_ ;_ * &quot;-&quot;??.00_ ;_ @_ "/>
  </numFmts>
  <fonts count="39">
    <font>
      <name val="宋体"/>
      <charset val="134"/>
      <color theme="1"/>
      <sz val="11"/>
      <scheme val="minor"/>
    </font>
    <font>
      <name val="宋体"/>
      <charset val="134"/>
      <color indexed="8"/>
      <sz val="10"/>
    </font>
    <font>
      <name val="宋体"/>
      <charset val="134"/>
      <b val="1"/>
      <color indexed="8"/>
      <sz val="10"/>
    </font>
    <font>
      <name val="宋体"/>
      <charset val="134"/>
      <color rgb="FFFF0000"/>
      <sz val="10"/>
    </font>
    <font>
      <name val="宋体"/>
      <charset val="134"/>
      <b val="1"/>
      <color indexed="10"/>
      <sz val="10"/>
    </font>
    <font>
      <name val="宋体"/>
      <charset val="134"/>
      <sz val="12"/>
    </font>
    <font>
      <name val="宋体"/>
      <charset val="134"/>
      <color indexed="8"/>
      <sz val="11"/>
    </font>
    <font>
      <name val="宋体"/>
      <charset val="134"/>
      <b val="1"/>
      <color rgb="FF000000"/>
      <sz val="20"/>
    </font>
    <font>
      <name val="宋体"/>
      <charset val="134"/>
      <b val="1"/>
      <color indexed="8"/>
      <sz val="20"/>
    </font>
    <font>
      <name val="宋体"/>
      <charset val="134"/>
      <b val="1"/>
      <color theme="1"/>
      <sz val="10"/>
    </font>
    <font>
      <name val="宋体"/>
      <charset val="134"/>
      <b val="1"/>
      <color indexed="8"/>
      <sz val="11"/>
    </font>
    <font>
      <name val="宋体"/>
      <charset val="134"/>
      <b val="1"/>
      <sz val="10"/>
    </font>
    <font>
      <name val="宋体"/>
      <charset val="134"/>
      <sz val="10"/>
    </font>
    <font>
      <name val="宋体"/>
      <charset val="134"/>
      <color indexed="0"/>
      <sz val="10"/>
    </font>
    <font>
      <name val="宋体"/>
      <charset val="134"/>
      <b val="1"/>
      <color rgb="FFFF0000"/>
      <sz val="10"/>
    </font>
    <font>
      <name val="宋体"/>
      <charset val="134"/>
      <b val="1"/>
      <color rgb="FF000000"/>
      <sz val="10"/>
    </font>
    <font>
      <name val="Times New Roman"/>
      <charset val="0"/>
      <b val="1"/>
      <sz val="10"/>
    </font>
    <font>
      <name val="宋体"/>
      <charset val="134"/>
      <color indexed="8"/>
      <sz val="12"/>
    </font>
    <font>
      <name val="宋体"/>
      <charset val="134"/>
      <b val="1"/>
      <sz val="12"/>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9"/>
    </font>
  </fonts>
  <fills count="42">
    <fill>
      <patternFill/>
    </fill>
    <fill>
      <patternFill patternType="gray125"/>
    </fill>
    <fill>
      <patternFill patternType="solid">
        <fgColor theme="0"/>
        <bgColor indexed="64"/>
      </patternFill>
    </fill>
    <fill>
      <patternFill patternType="solid">
        <fgColor theme="8" tint="0.6"/>
        <bgColor indexed="64"/>
      </patternFill>
    </fill>
    <fill>
      <patternFill patternType="solid">
        <fgColor rgb="FF92D050"/>
        <bgColor indexed="64"/>
      </patternFill>
    </fill>
    <fill>
      <patternFill patternType="solid">
        <fgColor rgb="FFFFFF00"/>
        <bgColor indexed="64"/>
      </patternFill>
    </fill>
    <fill>
      <patternFill patternType="solid">
        <fgColor theme="0" tint="-0.249977111117893"/>
        <bgColor indexed="64"/>
      </patternFill>
    </fill>
    <fill>
      <patternFill patternType="solid">
        <fgColor theme="0" tint="-0.25"/>
        <bgColor indexed="64"/>
      </patternFill>
    </fill>
    <fill>
      <patternFill patternType="solid">
        <fgColor rgb="FF00B0F0"/>
        <bgColor indexed="64"/>
      </patternFill>
    </fill>
    <fill>
      <patternFill patternType="solid">
        <fgColor theme="7" tint="0.4"/>
        <bgColor indexed="64"/>
      </patternFill>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50">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9" fillId="0" borderId="0" applyAlignment="1">
      <alignment vertical="center"/>
    </xf>
    <xf numFmtId="0" fontId="20" fillId="0" borderId="0" applyAlignment="1">
      <alignment vertical="center"/>
    </xf>
    <xf numFmtId="0" fontId="0" fillId="11" borderId="3" applyAlignment="1">
      <alignment vertical="center"/>
    </xf>
    <xf numFmtId="0" fontId="21" fillId="0" borderId="0" applyAlignment="1">
      <alignment vertical="center"/>
    </xf>
    <xf numFmtId="0" fontId="22" fillId="0" borderId="0" applyAlignment="1">
      <alignment vertical="center"/>
    </xf>
    <xf numFmtId="0" fontId="23" fillId="0" borderId="0" applyAlignment="1">
      <alignment vertical="center"/>
    </xf>
    <xf numFmtId="0" fontId="24" fillId="0" borderId="4" applyAlignment="1">
      <alignment vertical="center"/>
    </xf>
    <xf numFmtId="0" fontId="25" fillId="0" borderId="4" applyAlignment="1">
      <alignment vertical="center"/>
    </xf>
    <xf numFmtId="0" fontId="26" fillId="0" borderId="5" applyAlignment="1">
      <alignment vertical="center"/>
    </xf>
    <xf numFmtId="0" fontId="26" fillId="0" borderId="0" applyAlignment="1">
      <alignment vertical="center"/>
    </xf>
    <xf numFmtId="0" fontId="27" fillId="12" borderId="6" applyAlignment="1">
      <alignment vertical="center"/>
    </xf>
    <xf numFmtId="0" fontId="28" fillId="13" borderId="7" applyAlignment="1">
      <alignment vertical="center"/>
    </xf>
    <xf numFmtId="0" fontId="29" fillId="13" borderId="6" applyAlignment="1">
      <alignment vertical="center"/>
    </xf>
    <xf numFmtId="0" fontId="30" fillId="14" borderId="8" applyAlignment="1">
      <alignment vertical="center"/>
    </xf>
    <xf numFmtId="0" fontId="31" fillId="0" borderId="9" applyAlignment="1">
      <alignment vertical="center"/>
    </xf>
    <xf numFmtId="0" fontId="32" fillId="0" borderId="10" applyAlignment="1">
      <alignment vertical="center"/>
    </xf>
    <xf numFmtId="0" fontId="33" fillId="15" borderId="0" applyAlignment="1">
      <alignment vertical="center"/>
    </xf>
    <xf numFmtId="0" fontId="34" fillId="16" borderId="0" applyAlignment="1">
      <alignment vertical="center"/>
    </xf>
    <xf numFmtId="0" fontId="35" fillId="17" borderId="0" applyAlignment="1">
      <alignment vertical="center"/>
    </xf>
    <xf numFmtId="0" fontId="36" fillId="18" borderId="0" applyAlignment="1">
      <alignment vertical="center"/>
    </xf>
    <xf numFmtId="0" fontId="37" fillId="19" borderId="0" applyAlignment="1">
      <alignment vertical="center"/>
    </xf>
    <xf numFmtId="0" fontId="37" fillId="20" borderId="0" applyAlignment="1">
      <alignment vertical="center"/>
    </xf>
    <xf numFmtId="0" fontId="36" fillId="21" borderId="0" applyAlignment="1">
      <alignment vertical="center"/>
    </xf>
    <xf numFmtId="0" fontId="36" fillId="22" borderId="0" applyAlignment="1">
      <alignment vertical="center"/>
    </xf>
    <xf numFmtId="0" fontId="37" fillId="23" borderId="0" applyAlignment="1">
      <alignment vertical="center"/>
    </xf>
    <xf numFmtId="0" fontId="37" fillId="24" borderId="0" applyAlignment="1">
      <alignment vertical="center"/>
    </xf>
    <xf numFmtId="0" fontId="36" fillId="25" borderId="0" applyAlignment="1">
      <alignment vertical="center"/>
    </xf>
    <xf numFmtId="0" fontId="36" fillId="26" borderId="0" applyAlignment="1">
      <alignment vertical="center"/>
    </xf>
    <xf numFmtId="0" fontId="37" fillId="27" borderId="0" applyAlignment="1">
      <alignment vertical="center"/>
    </xf>
    <xf numFmtId="0" fontId="37" fillId="28" borderId="0" applyAlignment="1">
      <alignment vertical="center"/>
    </xf>
    <xf numFmtId="0" fontId="36" fillId="29" borderId="0" applyAlignment="1">
      <alignment vertical="center"/>
    </xf>
    <xf numFmtId="0" fontId="36" fillId="30" borderId="0" applyAlignment="1">
      <alignment vertical="center"/>
    </xf>
    <xf numFmtId="0" fontId="37" fillId="31" borderId="0" applyAlignment="1">
      <alignment vertical="center"/>
    </xf>
    <xf numFmtId="0" fontId="37" fillId="32" borderId="0" applyAlignment="1">
      <alignment vertical="center"/>
    </xf>
    <xf numFmtId="0" fontId="36" fillId="33" borderId="0" applyAlignment="1">
      <alignment vertical="center"/>
    </xf>
    <xf numFmtId="0" fontId="36" fillId="34" borderId="0" applyAlignment="1">
      <alignment vertical="center"/>
    </xf>
    <xf numFmtId="0" fontId="37" fillId="35" borderId="0" applyAlignment="1">
      <alignment vertical="center"/>
    </xf>
    <xf numFmtId="0" fontId="37" fillId="36" borderId="0" applyAlignment="1">
      <alignment vertical="center"/>
    </xf>
    <xf numFmtId="0" fontId="36" fillId="37" borderId="0" applyAlignment="1">
      <alignment vertical="center"/>
    </xf>
    <xf numFmtId="0" fontId="36" fillId="38" borderId="0" applyAlignment="1">
      <alignment vertical="center"/>
    </xf>
    <xf numFmtId="0" fontId="37" fillId="39" borderId="0" applyAlignment="1">
      <alignment vertical="center"/>
    </xf>
    <xf numFmtId="0" fontId="37" fillId="40" borderId="0" applyAlignment="1">
      <alignment vertical="center"/>
    </xf>
    <xf numFmtId="0" fontId="36" fillId="41" borderId="0" applyAlignment="1">
      <alignment vertical="center"/>
    </xf>
    <xf numFmtId="0" fontId="5" fillId="0" borderId="0" applyAlignment="1">
      <alignment vertical="center"/>
    </xf>
  </cellStyleXfs>
  <cellXfs count="203">
    <xf numFmtId="0" fontId="0" fillId="0" borderId="0" pivotButton="0" quotePrefix="0" xfId="0"/>
    <xf numFmtId="0" fontId="1" fillId="0" borderId="0" applyAlignment="1" applyProtection="1" pivotButton="0" quotePrefix="0" xfId="0">
      <alignment vertical="center"/>
      <protection locked="0" hidden="0"/>
    </xf>
    <xf numFmtId="0" fontId="2" fillId="0" borderId="0" applyAlignment="1" applyProtection="1" pivotButton="0" quotePrefix="0" xfId="0">
      <alignment vertical="center"/>
      <protection locked="0" hidden="0"/>
    </xf>
    <xf numFmtId="0" fontId="1" fillId="0" borderId="0" applyProtection="1" pivotButton="0" quotePrefix="0" xfId="0">
      <protection locked="0" hidden="0"/>
    </xf>
    <xf numFmtId="0" fontId="3" fillId="0" borderId="0" applyProtection="1" pivotButton="0" quotePrefix="0" xfId="0">
      <protection locked="0" hidden="0"/>
    </xf>
    <xf numFmtId="0" fontId="2" fillId="0" borderId="0" applyProtection="1" pivotButton="0" quotePrefix="0" xfId="0">
      <protection locked="0" hidden="0"/>
    </xf>
    <xf numFmtId="0" fontId="4" fillId="0" borderId="0" applyAlignment="1" applyProtection="1" pivotButton="0" quotePrefix="0" xfId="0">
      <alignment vertical="center"/>
      <protection locked="0" hidden="0"/>
    </xf>
    <xf numFmtId="0" fontId="5" fillId="2" borderId="0" applyAlignment="1" pivotButton="0" quotePrefix="0" xfId="0">
      <alignment horizontal="center" vertical="center"/>
    </xf>
    <xf numFmtId="0" fontId="5" fillId="0" borderId="0" applyAlignment="1" applyProtection="1" pivotButton="0" quotePrefix="0" xfId="0">
      <alignment vertical="center"/>
      <protection locked="0" hidden="0"/>
    </xf>
    <xf numFmtId="164" fontId="5" fillId="0" borderId="0" applyAlignment="1" pivotButton="0" quotePrefix="0" xfId="0">
      <alignment vertical="center"/>
    </xf>
    <xf numFmtId="0" fontId="6" fillId="0" borderId="0" applyAlignment="1" applyProtection="1" pivotButton="0" quotePrefix="0" xfId="0">
      <alignment vertical="center"/>
      <protection locked="0" hidden="0"/>
    </xf>
    <xf numFmtId="0" fontId="7"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wrapText="1"/>
      <protection locked="0" hidden="0"/>
    </xf>
    <xf numFmtId="0" fontId="10" fillId="0" borderId="0" applyAlignment="1" applyProtection="1" pivotButton="0" quotePrefix="0" xfId="0">
      <alignment horizontal="left" vertical="center"/>
      <protection locked="0" hidden="0"/>
    </xf>
    <xf numFmtId="0" fontId="9" fillId="0" borderId="2" applyAlignment="1" applyProtection="1" pivotButton="0" quotePrefix="0" xfId="0">
      <alignment horizontal="center" vertical="center" wrapText="1"/>
      <protection locked="0" hidden="0"/>
    </xf>
    <xf numFmtId="0" fontId="9" fillId="3" borderId="2" applyAlignment="1" applyProtection="1" pivotButton="0" quotePrefix="0" xfId="0">
      <alignment horizontal="center" vertical="center" wrapText="1"/>
      <protection locked="0" hidden="0"/>
    </xf>
    <xf numFmtId="0" fontId="9" fillId="4" borderId="2" applyAlignment="1" applyProtection="1" pivotButton="0" quotePrefix="0" xfId="0">
      <alignment horizontal="center" vertical="center"/>
      <protection locked="0" hidden="0"/>
    </xf>
    <xf numFmtId="0" fontId="11" fillId="4" borderId="2" applyAlignment="1" applyProtection="1" pivotButton="0" quotePrefix="0" xfId="0">
      <alignment horizontal="center" vertical="center" wrapText="1"/>
      <protection locked="0" hidden="0"/>
    </xf>
    <xf numFmtId="0" fontId="9" fillId="4" borderId="2" applyAlignment="1" applyProtection="1" pivotButton="0" quotePrefix="0" xfId="0">
      <alignment horizontal="center" vertical="center" wrapText="1"/>
      <protection locked="0" hidden="0"/>
    </xf>
    <xf numFmtId="0" fontId="9" fillId="5" borderId="2" applyAlignment="1" applyProtection="1" pivotButton="0" quotePrefix="0" xfId="0">
      <alignment horizontal="center" vertical="center" wrapText="1"/>
      <protection locked="0" hidden="0"/>
    </xf>
    <xf numFmtId="165" fontId="11" fillId="4" borderId="2" applyAlignment="1" applyProtection="1" pivotButton="0" quotePrefix="0" xfId="1">
      <alignment horizontal="center" vertical="center" wrapText="1"/>
      <protection locked="0" hidden="0"/>
    </xf>
    <xf numFmtId="0" fontId="2" fillId="0" borderId="2" applyAlignment="1" applyProtection="1" pivotButton="0" quotePrefix="0" xfId="0">
      <alignment horizontal="center" vertical="center"/>
      <protection locked="0" hidden="0"/>
    </xf>
    <xf numFmtId="165" fontId="11" fillId="0" borderId="2" applyAlignment="1" applyProtection="1" pivotButton="0" quotePrefix="0" xfId="1">
      <alignment horizontal="center" vertical="center" wrapText="1" shrinkToFit="1"/>
      <protection locked="0" hidden="0"/>
    </xf>
    <xf numFmtId="165" fontId="9" fillId="4" borderId="2" applyAlignment="1" applyProtection="1" pivotButton="0" quotePrefix="0" xfId="1">
      <alignment horizontal="center" vertical="center" wrapText="1"/>
      <protection locked="0" hidden="0"/>
    </xf>
    <xf numFmtId="0" fontId="9" fillId="6" borderId="2"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wrapText="1"/>
      <protection locked="0" hidden="0"/>
    </xf>
    <xf numFmtId="0" fontId="1" fillId="0" borderId="2" applyAlignment="1" applyProtection="1" pivotButton="0" quotePrefix="0" xfId="0">
      <alignment horizontal="center" vertical="center"/>
      <protection locked="0" hidden="0"/>
    </xf>
    <xf numFmtId="0" fontId="11" fillId="0" borderId="2" applyAlignment="1" applyProtection="1" pivotButton="0" quotePrefix="0" xfId="0">
      <alignment horizontal="left" vertical="center"/>
      <protection locked="0" hidden="0"/>
    </xf>
    <xf numFmtId="165" fontId="12" fillId="0" borderId="2" applyAlignment="1" applyProtection="1" pivotButton="0" quotePrefix="0" xfId="1">
      <alignment vertical="center"/>
      <protection locked="0" hidden="0"/>
    </xf>
    <xf numFmtId="0" fontId="2" fillId="0" borderId="2" applyAlignment="1" applyProtection="1" pivotButton="0" quotePrefix="0" xfId="0">
      <alignment horizontal="left" vertical="center" wrapText="1"/>
      <protection locked="0" hidden="0"/>
    </xf>
    <xf numFmtId="166" fontId="1" fillId="0" borderId="2" applyAlignment="1" pivotButton="0" quotePrefix="0" xfId="49">
      <alignment horizontal="left" vertical="center"/>
    </xf>
    <xf numFmtId="49" fontId="1" fillId="5" borderId="2" applyAlignment="1" applyProtection="1" pivotButton="0" quotePrefix="0" xfId="0">
      <alignment horizontal="left" vertical="center" wrapText="1"/>
      <protection locked="0" hidden="0"/>
    </xf>
    <xf numFmtId="0" fontId="13" fillId="0" borderId="2" applyAlignment="1" applyProtection="1" pivotButton="0" quotePrefix="0" xfId="0">
      <alignment horizontal="center" vertical="center" wrapText="1"/>
      <protection locked="0" hidden="0"/>
    </xf>
    <xf numFmtId="0" fontId="2" fillId="6" borderId="2" applyAlignment="1" applyProtection="1" pivotButton="0" quotePrefix="0" xfId="0">
      <alignment horizontal="center" vertical="center"/>
      <protection locked="0" hidden="0"/>
    </xf>
    <xf numFmtId="0" fontId="2" fillId="6" borderId="2" applyAlignment="1" applyProtection="1" pivotButton="0" quotePrefix="0" xfId="0">
      <alignment horizontal="left" vertical="center" wrapText="1"/>
      <protection locked="0" hidden="0"/>
    </xf>
    <xf numFmtId="165" fontId="11" fillId="6" borderId="2" applyAlignment="1" applyProtection="1" pivotButton="0" quotePrefix="0" xfId="1">
      <alignment vertical="center"/>
      <protection locked="0" hidden="0"/>
    </xf>
    <xf numFmtId="0" fontId="11" fillId="0" borderId="2" applyAlignment="1" applyProtection="1" pivotButton="0" quotePrefix="0" xfId="0">
      <alignment horizontal="left" vertical="center" wrapText="1"/>
      <protection locked="0" hidden="0"/>
    </xf>
    <xf numFmtId="4" fontId="1" fillId="0" borderId="2" applyAlignment="1" applyProtection="1" pivotButton="0" quotePrefix="0" xfId="0">
      <alignment horizontal="center" vertical="center" wrapText="1" shrinkToFit="1"/>
      <protection locked="0" hidden="0"/>
    </xf>
    <xf numFmtId="165" fontId="1" fillId="0" borderId="2" applyAlignment="1" applyProtection="1" pivotButton="0" quotePrefix="0" xfId="1">
      <alignment horizontal="center" vertical="center"/>
      <protection locked="0" hidden="0"/>
    </xf>
    <xf numFmtId="165" fontId="1" fillId="0" borderId="2" applyAlignment="1" applyProtection="1" pivotButton="0" quotePrefix="0" xfId="1">
      <alignment horizontal="center" vertical="center" wrapText="1"/>
      <protection locked="0" hidden="0"/>
    </xf>
    <xf numFmtId="0" fontId="11" fillId="6" borderId="2" applyAlignment="1" applyProtection="1" pivotButton="0" quotePrefix="0" xfId="0">
      <alignment horizontal="left" vertical="center" wrapText="1"/>
      <protection locked="0" hidden="0"/>
    </xf>
    <xf numFmtId="165" fontId="12" fillId="0" borderId="2" applyAlignment="1" applyProtection="1" pivotButton="0" quotePrefix="0" xfId="1">
      <alignment vertical="center"/>
      <protection locked="0" hidden="0"/>
    </xf>
    <xf numFmtId="0" fontId="14" fillId="0" borderId="2" applyAlignment="1" applyProtection="1" pivotButton="0" quotePrefix="0" xfId="0">
      <alignment horizontal="left" vertical="center" wrapText="1"/>
      <protection locked="0" hidden="0"/>
    </xf>
    <xf numFmtId="0" fontId="3" fillId="0" borderId="2" applyAlignment="1" applyProtection="1" pivotButton="0" quotePrefix="0" xfId="0">
      <alignment horizontal="center" vertical="center"/>
      <protection locked="0" hidden="0"/>
    </xf>
    <xf numFmtId="165" fontId="3" fillId="0" borderId="2" applyAlignment="1" applyProtection="1" pivotButton="0" quotePrefix="0" xfId="1">
      <alignment vertical="center"/>
      <protection locked="0" hidden="0"/>
    </xf>
    <xf numFmtId="0" fontId="2" fillId="6" borderId="2" applyAlignment="1" applyProtection="1" pivotButton="0" quotePrefix="0" xfId="0">
      <alignment horizontal="center" vertical="center" wrapText="1"/>
      <protection locked="0" hidden="0"/>
    </xf>
    <xf numFmtId="0" fontId="1" fillId="0" borderId="2" applyAlignment="1" applyProtection="1" pivotButton="0" quotePrefix="0" xfId="0">
      <alignment horizontal="center" vertical="center" wrapText="1"/>
      <protection locked="0" hidden="0"/>
    </xf>
    <xf numFmtId="49" fontId="1" fillId="0" borderId="2" applyAlignment="1" applyProtection="1" pivotButton="0" quotePrefix="0" xfId="0">
      <alignment horizontal="left" vertical="center" wrapText="1"/>
      <protection locked="0" hidden="0"/>
    </xf>
    <xf numFmtId="4" fontId="1" fillId="0" borderId="2" applyAlignment="1" applyProtection="1" pivotButton="0" quotePrefix="0" xfId="0">
      <alignment horizontal="center" vertical="center" wrapText="1"/>
      <protection locked="0" hidden="0"/>
    </xf>
    <xf numFmtId="0" fontId="12" fillId="0" borderId="2" applyAlignment="1" applyProtection="1" pivotButton="0" quotePrefix="0" xfId="0">
      <alignment horizontal="center" vertical="center"/>
      <protection locked="0" hidden="0"/>
    </xf>
    <xf numFmtId="0" fontId="1" fillId="6" borderId="2" applyAlignment="1" applyProtection="1" pivotButton="0" quotePrefix="0" xfId="0">
      <alignment horizontal="center" vertical="center"/>
      <protection locked="0" hidden="0"/>
    </xf>
    <xf numFmtId="0" fontId="1" fillId="6" borderId="2" applyAlignment="1" applyProtection="1" pivotButton="0" quotePrefix="0" xfId="0">
      <alignment horizontal="center" vertical="center" wrapText="1"/>
      <protection locked="0" hidden="0"/>
    </xf>
    <xf numFmtId="165" fontId="11" fillId="0" borderId="2" applyAlignment="1" applyProtection="1" pivotButton="0" quotePrefix="0" xfId="1">
      <alignment vertical="center"/>
      <protection locked="0" hidden="0"/>
    </xf>
    <xf numFmtId="165" fontId="12" fillId="0" borderId="2" applyAlignment="1" applyProtection="1" pivotButton="0" quotePrefix="0" xfId="1">
      <alignment horizontal="right" vertical="center" wrapText="1"/>
      <protection locked="0" hidden="0"/>
    </xf>
    <xf numFmtId="10" fontId="8" fillId="0" borderId="0" applyAlignment="1" pivotButton="0" quotePrefix="0" xfId="0">
      <alignment horizontal="center" vertical="center"/>
    </xf>
    <xf numFmtId="10" fontId="11" fillId="4" borderId="2" applyAlignment="1" pivotButton="0" quotePrefix="0" xfId="1">
      <alignment horizontal="center" vertical="center" wrapText="1"/>
    </xf>
    <xf numFmtId="165" fontId="11" fillId="8" borderId="2" applyAlignment="1" applyProtection="1" pivotButton="0" quotePrefix="0" xfId="1">
      <alignment horizontal="center" vertical="center" wrapText="1" shrinkToFit="1"/>
      <protection locked="0" hidden="0"/>
    </xf>
    <xf numFmtId="164" fontId="11" fillId="4" borderId="2" applyAlignment="1" applyProtection="1" pivotButton="0" quotePrefix="0" xfId="0">
      <alignment horizontal="center" vertical="center" wrapText="1"/>
      <protection locked="0" hidden="0"/>
    </xf>
    <xf numFmtId="164" fontId="11" fillId="4" borderId="2" applyAlignment="1" pivotButton="0" quotePrefix="0" xfId="0">
      <alignment horizontal="center" vertical="center" wrapText="1"/>
    </xf>
    <xf numFmtId="165" fontId="11" fillId="8" borderId="2" applyAlignment="1" applyProtection="1" pivotButton="0" quotePrefix="0" xfId="1">
      <alignment horizontal="center" vertical="center" wrapText="1"/>
      <protection locked="0" hidden="0"/>
    </xf>
    <xf numFmtId="165" fontId="11" fillId="0" borderId="2" applyAlignment="1" applyProtection="1" pivotButton="0" quotePrefix="0" xfId="1">
      <alignment vertical="center"/>
      <protection locked="0" hidden="0"/>
    </xf>
    <xf numFmtId="165" fontId="11" fillId="0" borderId="2" applyAlignment="1" pivotButton="0" quotePrefix="0" xfId="1">
      <alignment vertical="center"/>
    </xf>
    <xf numFmtId="165" fontId="11" fillId="0" borderId="2" applyAlignment="1" applyProtection="1" pivotButton="0" quotePrefix="0" xfId="1">
      <alignment horizontal="center" vertical="center" wrapText="1"/>
      <protection locked="0" hidden="0"/>
    </xf>
    <xf numFmtId="165" fontId="9" fillId="4" borderId="2" applyAlignment="1" pivotButton="0" quotePrefix="0" xfId="1">
      <alignment horizontal="center" vertical="center" wrapText="1"/>
    </xf>
    <xf numFmtId="165" fontId="15" fillId="4" borderId="2" applyAlignment="1" applyProtection="1" pivotButton="0" quotePrefix="0" xfId="0">
      <alignment horizontal="center" vertical="center" wrapText="1"/>
      <protection locked="0" hidden="0"/>
    </xf>
    <xf numFmtId="164" fontId="15" fillId="4" borderId="2" applyAlignment="1" applyProtection="1" pivotButton="0" quotePrefix="0" xfId="0">
      <alignment horizontal="center" vertical="center" wrapText="1"/>
      <protection locked="0" hidden="0"/>
    </xf>
    <xf numFmtId="165" fontId="16" fillId="8" borderId="2" applyAlignment="1" applyProtection="1" pivotButton="0" quotePrefix="0" xfId="1">
      <alignment horizontal="center" vertical="center" wrapText="1"/>
      <protection locked="0" hidden="0"/>
    </xf>
    <xf numFmtId="0" fontId="2" fillId="7" borderId="2" applyAlignment="1" applyProtection="1" pivotButton="0" quotePrefix="0" xfId="0">
      <alignment horizontal="center" vertical="center" wrapText="1"/>
      <protection locked="0" hidden="0"/>
    </xf>
    <xf numFmtId="165" fontId="12" fillId="2" borderId="2" applyAlignment="1" applyProtection="1" pivotButton="0" quotePrefix="0" xfId="1">
      <alignment vertical="center"/>
      <protection locked="0" hidden="0"/>
    </xf>
    <xf numFmtId="164" fontId="11" fillId="6" borderId="2" applyAlignment="1" pivotButton="0" quotePrefix="0" xfId="1">
      <alignment horizontal="center" vertical="center" wrapText="1"/>
    </xf>
    <xf numFmtId="165" fontId="11" fillId="6" borderId="2" applyAlignment="1" pivotButton="0" quotePrefix="0" xfId="1">
      <alignment horizontal="center" vertical="center" wrapText="1"/>
    </xf>
    <xf numFmtId="165" fontId="12" fillId="2" borderId="2" applyAlignment="1" applyProtection="1" pivotButton="0" quotePrefix="0" xfId="1">
      <alignment vertical="center"/>
      <protection locked="0" hidden="0"/>
    </xf>
    <xf numFmtId="0" fontId="12" fillId="0" borderId="2" applyAlignment="1" applyProtection="1" pivotButton="0" quotePrefix="0" xfId="1">
      <alignment vertical="center"/>
      <protection locked="0" hidden="0"/>
    </xf>
    <xf numFmtId="165" fontId="12" fillId="0" borderId="2" applyAlignment="1" applyProtection="1" pivotButton="0" quotePrefix="0" xfId="1">
      <alignment vertical="center" wrapText="1"/>
      <protection locked="0" hidden="0"/>
    </xf>
    <xf numFmtId="165" fontId="11" fillId="6" borderId="2" applyAlignment="1" pivotButton="0" quotePrefix="0" xfId="1">
      <alignment vertical="center"/>
    </xf>
    <xf numFmtId="4" fontId="1" fillId="0" borderId="2" applyAlignment="1" applyProtection="1" pivotButton="0" quotePrefix="0" xfId="0">
      <alignment horizontal="right" vertical="center" wrapText="1"/>
      <protection locked="0" hidden="0"/>
    </xf>
    <xf numFmtId="165" fontId="12" fillId="0" borderId="2" applyAlignment="1" applyProtection="1" pivotButton="0" quotePrefix="0" xfId="1">
      <alignment horizontal="center" vertical="center"/>
      <protection locked="0" hidden="0"/>
    </xf>
    <xf numFmtId="165" fontId="11" fillId="2" borderId="2" applyAlignment="1" applyProtection="1" pivotButton="0" quotePrefix="0" xfId="1">
      <alignment vertical="center"/>
      <protection locked="0" hidden="0"/>
    </xf>
    <xf numFmtId="0" fontId="8" fillId="0" borderId="0" applyAlignment="1" applyProtection="1" pivotButton="0" quotePrefix="0" xfId="0">
      <alignment vertical="center"/>
      <protection locked="0" hidden="0"/>
    </xf>
    <xf numFmtId="165" fontId="11" fillId="9" borderId="2" applyAlignment="1" applyProtection="1" pivotButton="0" quotePrefix="0" xfId="1">
      <alignment horizontal="center" vertical="center" wrapText="1" shrinkToFit="1"/>
      <protection locked="0" hidden="0"/>
    </xf>
    <xf numFmtId="165" fontId="2" fillId="9" borderId="2" applyAlignment="1" applyProtection="1" pivotButton="0" quotePrefix="0" xfId="1">
      <alignment horizontal="center" vertical="center" wrapText="1"/>
      <protection locked="0" hidden="0"/>
    </xf>
    <xf numFmtId="165" fontId="11" fillId="0" borderId="2" applyAlignment="1" applyProtection="1" pivotButton="0" quotePrefix="0" xfId="0">
      <alignment horizontal="center" vertical="center" wrapText="1" shrinkToFit="1"/>
      <protection locked="0" hidden="0"/>
    </xf>
    <xf numFmtId="167" fontId="2" fillId="0" borderId="2" applyAlignment="1" applyProtection="1" pivotButton="0" quotePrefix="0" xfId="1">
      <alignment vertical="center"/>
      <protection locked="0" hidden="0"/>
    </xf>
    <xf numFmtId="165" fontId="1" fillId="0" borderId="2" applyAlignment="1" applyProtection="1" pivotButton="0" quotePrefix="0" xfId="1">
      <alignment vertical="center"/>
      <protection locked="0" hidden="0"/>
    </xf>
    <xf numFmtId="165" fontId="2" fillId="0" borderId="2" applyAlignment="1" applyProtection="1" pivotButton="0" quotePrefix="0" xfId="1">
      <alignment vertical="center"/>
      <protection locked="0" hidden="0"/>
    </xf>
    <xf numFmtId="165" fontId="1" fillId="0" borderId="0" applyAlignment="1" applyProtection="1" pivotButton="0" quotePrefix="0" xfId="1">
      <alignment vertical="center"/>
      <protection locked="0" hidden="0"/>
    </xf>
    <xf numFmtId="165" fontId="1" fillId="0" borderId="0" applyAlignment="1" applyProtection="1" pivotButton="0" quotePrefix="0" xfId="1">
      <alignment horizontal="right" vertical="center"/>
      <protection locked="0" hidden="0"/>
    </xf>
    <xf numFmtId="165" fontId="1" fillId="0" borderId="0" applyAlignment="1" applyProtection="1" pivotButton="0" quotePrefix="0" xfId="1">
      <alignment horizontal="right" vertical="center"/>
      <protection locked="0" hidden="0"/>
    </xf>
    <xf numFmtId="165" fontId="2" fillId="5" borderId="2" applyAlignment="1" applyProtection="1" pivotButton="0" quotePrefix="0" xfId="1">
      <alignment horizontal="center" vertical="center"/>
      <protection locked="0" hidden="0"/>
    </xf>
    <xf numFmtId="165" fontId="15" fillId="9" borderId="2" applyAlignment="1" applyProtection="1" pivotButton="0" quotePrefix="0" xfId="1">
      <alignment horizontal="center" vertical="center" wrapText="1"/>
      <protection locked="0" hidden="0"/>
    </xf>
    <xf numFmtId="165" fontId="2" fillId="5" borderId="2" applyAlignment="1" applyProtection="1" pivotButton="0" quotePrefix="0" xfId="1">
      <alignment horizontal="center" vertical="center" wrapText="1"/>
      <protection locked="0" hidden="0"/>
    </xf>
    <xf numFmtId="165" fontId="1" fillId="0" borderId="2" applyProtection="1" pivotButton="0" quotePrefix="0" xfId="1">
      <protection locked="0" hidden="0"/>
    </xf>
    <xf numFmtId="165" fontId="3" fillId="0" borderId="2" applyProtection="1" pivotButton="0" quotePrefix="0" xfId="1">
      <protection locked="0" hidden="0"/>
    </xf>
    <xf numFmtId="165" fontId="2" fillId="0" borderId="2" applyAlignment="1" applyProtection="1" pivotButton="0" quotePrefix="0" xfId="1">
      <alignment horizontal="center" vertical="center"/>
      <protection locked="0" hidden="0"/>
    </xf>
    <xf numFmtId="0" fontId="1" fillId="0" borderId="2" applyAlignment="1" applyProtection="1" pivotButton="0" quotePrefix="0" xfId="0">
      <alignment vertical="center"/>
      <protection locked="0" hidden="0"/>
    </xf>
    <xf numFmtId="0" fontId="2" fillId="0" borderId="2" applyAlignment="1" applyProtection="1" pivotButton="0" quotePrefix="0" xfId="0">
      <alignment vertical="center"/>
      <protection locked="0" hidden="0"/>
    </xf>
    <xf numFmtId="0" fontId="1" fillId="0" borderId="2" applyProtection="1" pivotButton="0" quotePrefix="0" xfId="0">
      <protection locked="0" hidden="0"/>
    </xf>
    <xf numFmtId="0" fontId="3" fillId="0" borderId="2" applyProtection="1" pivotButton="0" quotePrefix="0" xfId="0">
      <protection locked="0" hidden="0"/>
    </xf>
    <xf numFmtId="0" fontId="14" fillId="0" borderId="2" applyAlignment="1" applyProtection="1" pivotButton="0" quotePrefix="0" xfId="0">
      <alignment horizontal="center" vertical="center" wrapText="1"/>
      <protection locked="0" hidden="0"/>
    </xf>
    <xf numFmtId="0" fontId="2" fillId="0" borderId="0" applyAlignment="1" applyProtection="1" pivotButton="0" quotePrefix="0" xfId="0">
      <alignment horizontal="center" vertical="center"/>
      <protection locked="0" hidden="0"/>
    </xf>
    <xf numFmtId="0" fontId="2"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wrapText="1"/>
      <protection locked="0" hidden="0"/>
    </xf>
    <xf numFmtId="164" fontId="11" fillId="0" borderId="0" applyAlignment="1" applyProtection="1" pivotButton="0" quotePrefix="0" xfId="1">
      <alignment vertical="center" wrapText="1"/>
      <protection locked="0" hidden="0"/>
    </xf>
    <xf numFmtId="0" fontId="17" fillId="0" borderId="0" applyAlignment="1" applyProtection="1" pivotButton="0" quotePrefix="0" xfId="0">
      <alignment horizontal="center" vertical="center"/>
      <protection locked="0" hidden="0"/>
    </xf>
    <xf numFmtId="0" fontId="17" fillId="0" borderId="0" applyAlignment="1" applyProtection="1" pivotButton="0" quotePrefix="0" xfId="0">
      <alignment horizontal="center" vertical="center"/>
      <protection locked="0" hidden="0"/>
    </xf>
    <xf numFmtId="0" fontId="18" fillId="0" borderId="0" applyAlignment="1" applyProtection="1" pivotButton="0" quotePrefix="0" xfId="0">
      <alignment horizontal="left" vertical="center"/>
      <protection locked="0" hidden="0"/>
    </xf>
    <xf numFmtId="0" fontId="18" fillId="0" borderId="0" applyAlignment="1" applyProtection="1" pivotButton="0" quotePrefix="0" xfId="0">
      <alignment horizontal="left" vertical="center"/>
      <protection locked="0" hidden="0"/>
    </xf>
    <xf numFmtId="0" fontId="5" fillId="2" borderId="0" applyAlignment="1" pivotButton="0" quotePrefix="0" xfId="0">
      <alignment horizontal="left" vertical="center"/>
    </xf>
    <xf numFmtId="0" fontId="17" fillId="0" borderId="0" applyAlignment="1" applyProtection="1" pivotButton="0" quotePrefix="0" xfId="0">
      <alignment vertical="center"/>
      <protection locked="0" hidden="0"/>
    </xf>
    <xf numFmtId="0" fontId="17" fillId="0" borderId="0" applyAlignment="1" applyProtection="1" pivotButton="0" quotePrefix="0" xfId="0">
      <alignment horizontal="left" vertical="center"/>
      <protection locked="0" hidden="0"/>
    </xf>
    <xf numFmtId="0" fontId="18" fillId="0" borderId="0" applyAlignment="1" pivotButton="0" quotePrefix="0" xfId="0">
      <alignment horizontal="left" vertical="center"/>
    </xf>
    <xf numFmtId="165" fontId="11" fillId="10" borderId="2" applyAlignment="1" applyProtection="1" pivotButton="0" quotePrefix="0" xfId="1">
      <alignment vertical="center"/>
      <protection locked="0" hidden="0"/>
    </xf>
    <xf numFmtId="165" fontId="11" fillId="6" borderId="2" applyAlignment="1" applyProtection="1" pivotButton="0" quotePrefix="0" xfId="1">
      <alignment horizontal="center" vertical="center"/>
      <protection locked="0" hidden="0"/>
    </xf>
    <xf numFmtId="165" fontId="11" fillId="6" borderId="2" applyAlignment="1" applyProtection="1" pivotButton="0" quotePrefix="0" xfId="1">
      <alignment vertical="center" wrapText="1"/>
      <protection locked="0" hidden="0"/>
    </xf>
    <xf numFmtId="10" fontId="11" fillId="6" borderId="2" applyAlignment="1" applyProtection="1" pivotButton="0" quotePrefix="0" xfId="3">
      <alignment vertical="center"/>
      <protection locked="0" hidden="0"/>
    </xf>
    <xf numFmtId="10" fontId="11" fillId="6" borderId="2" applyAlignment="1" pivotButton="0" quotePrefix="0" xfId="3">
      <alignment vertical="center"/>
    </xf>
    <xf numFmtId="164" fontId="9" fillId="4" borderId="0" applyAlignment="1" applyProtection="1" pivotButton="0" quotePrefix="0" xfId="0">
      <alignment horizontal="center" vertical="center" wrapText="1"/>
      <protection locked="0" hidden="0"/>
    </xf>
    <xf numFmtId="164" fontId="9" fillId="0" borderId="0" applyAlignment="1" applyProtection="1" pivotButton="0" quotePrefix="0" xfId="1">
      <alignment horizontal="center" vertical="center" wrapText="1"/>
      <protection locked="0" hidden="0"/>
    </xf>
    <xf numFmtId="164" fontId="9" fillId="4" borderId="0" applyAlignment="1" pivotButton="0" quotePrefix="0" xfId="1">
      <alignment horizontal="center" vertical="center" wrapText="1"/>
    </xf>
    <xf numFmtId="165" fontId="11" fillId="0" borderId="0" applyAlignment="1" applyProtection="1" pivotButton="0" quotePrefix="0" xfId="1">
      <alignment vertical="center"/>
      <protection locked="0" hidden="0"/>
    </xf>
    <xf numFmtId="164" fontId="4" fillId="0" borderId="0" applyAlignment="1" applyProtection="1" pivotButton="0" quotePrefix="0" xfId="0">
      <alignment vertical="center" wrapText="1"/>
      <protection locked="0" hidden="0"/>
    </xf>
    <xf numFmtId="164" fontId="11" fillId="0" borderId="0" applyAlignment="1" pivotButton="0" quotePrefix="0" xfId="1">
      <alignment vertical="center" wrapText="1"/>
    </xf>
    <xf numFmtId="165" fontId="11" fillId="0" borderId="0" applyAlignment="1" applyProtection="1" pivotButton="0" quotePrefix="0" xfId="1">
      <alignment vertical="center"/>
      <protection locked="0" hidden="0"/>
    </xf>
    <xf numFmtId="0" fontId="5" fillId="0" borderId="0" applyAlignment="1" applyProtection="1" pivotButton="0" quotePrefix="0" xfId="0">
      <alignment horizontal="left" vertical="center"/>
      <protection locked="0" hidden="0"/>
    </xf>
    <xf numFmtId="165" fontId="18" fillId="0" borderId="0" applyAlignment="1" applyProtection="1" pivotButton="0" quotePrefix="0" xfId="1">
      <alignment horizontal="left" vertical="center"/>
      <protection locked="0" hidden="0"/>
    </xf>
    <xf numFmtId="164" fontId="5" fillId="0" borderId="0" applyAlignment="1" applyProtection="1" pivotButton="0" quotePrefix="0" xfId="0">
      <alignment horizontal="left" vertical="center"/>
      <protection locked="0" hidden="0"/>
    </xf>
    <xf numFmtId="165" fontId="5" fillId="0" borderId="0" applyAlignment="1" applyProtection="1" pivotButton="0" quotePrefix="0" xfId="1">
      <alignment horizontal="left" vertical="center"/>
      <protection locked="0" hidden="0"/>
    </xf>
    <xf numFmtId="164" fontId="17" fillId="0" borderId="0" applyAlignment="1" applyProtection="1" pivotButton="0" quotePrefix="0" xfId="0">
      <alignment horizontal="left" vertical="center"/>
      <protection locked="0" hidden="0"/>
    </xf>
    <xf numFmtId="165" fontId="2" fillId="0" borderId="2" applyProtection="1" pivotButton="0" quotePrefix="0" xfId="1">
      <protection locked="0" hidden="0"/>
    </xf>
    <xf numFmtId="165" fontId="4" fillId="6" borderId="2" applyAlignment="1" applyProtection="1" pivotButton="0" quotePrefix="0" xfId="1">
      <alignment vertical="center"/>
      <protection locked="0" hidden="0"/>
    </xf>
    <xf numFmtId="165" fontId="2" fillId="0" borderId="0" applyAlignment="1" applyProtection="1" pivotButton="0" quotePrefix="0" xfId="1">
      <alignment vertical="center"/>
      <protection locked="0" hidden="0"/>
    </xf>
    <xf numFmtId="165" fontId="1" fillId="0" borderId="0" applyAlignment="1" applyProtection="1" pivotButton="0" quotePrefix="0" xfId="1">
      <alignment vertical="center"/>
      <protection locked="0" hidden="0"/>
    </xf>
    <xf numFmtId="165" fontId="2" fillId="0" borderId="0" applyAlignment="1" applyProtection="1" pivotButton="0" quotePrefix="0" xfId="1">
      <alignment vertical="center"/>
      <protection locked="0" hidden="0"/>
    </xf>
    <xf numFmtId="165" fontId="17" fillId="0" borderId="0" applyAlignment="1" applyProtection="1" pivotButton="0" quotePrefix="0" xfId="1">
      <alignment vertical="center"/>
      <protection locked="0" hidden="0"/>
    </xf>
    <xf numFmtId="0" fontId="2" fillId="0" borderId="2" applyProtection="1" pivotButton="0" quotePrefix="0" xfId="0">
      <protection locked="0" hidden="0"/>
    </xf>
    <xf numFmtId="165" fontId="2" fillId="6" borderId="2" applyAlignment="1" applyProtection="1" pivotButton="0" quotePrefix="0" xfId="1">
      <alignment vertical="center"/>
      <protection locked="0" hidden="0"/>
    </xf>
    <xf numFmtId="0" fontId="4" fillId="0" borderId="2" applyAlignment="1" applyProtection="1" pivotButton="0" quotePrefix="0" xfId="0">
      <alignment vertical="center"/>
      <protection locked="0" hidden="0"/>
    </xf>
    <xf numFmtId="164" fontId="5" fillId="0" borderId="0" applyAlignment="1" pivotButton="0" quotePrefix="0" xfId="0">
      <alignment vertical="center"/>
    </xf>
    <xf numFmtId="0" fontId="0" fillId="0" borderId="0" applyProtection="1" pivotButton="0" quotePrefix="0" xfId="0">
      <protection locked="0" hidden="0"/>
    </xf>
    <xf numFmtId="165" fontId="1" fillId="0" borderId="0" applyAlignment="1" applyProtection="1" pivotButton="0" quotePrefix="0" xfId="1">
      <alignment vertical="center"/>
      <protection locked="0" hidden="0"/>
    </xf>
    <xf numFmtId="165" fontId="1" fillId="0" borderId="0" applyAlignment="1" applyProtection="1" pivotButton="0" quotePrefix="0" xfId="1">
      <alignment horizontal="right" vertical="center"/>
      <protection locked="0" hidden="0"/>
    </xf>
    <xf numFmtId="0" fontId="0" fillId="0" borderId="16" applyProtection="1" pivotButton="0" quotePrefix="0" xfId="0">
      <protection locked="0" hidden="0"/>
    </xf>
    <xf numFmtId="165" fontId="11" fillId="4" borderId="2" applyAlignment="1" applyProtection="1" pivotButton="0" quotePrefix="0" xfId="1">
      <alignment horizontal="center" vertical="center" wrapText="1"/>
      <protection locked="0" hidden="0"/>
    </xf>
    <xf numFmtId="0" fontId="0" fillId="0" borderId="13" applyProtection="1" pivotButton="0" quotePrefix="0" xfId="0">
      <protection locked="0" hidden="0"/>
    </xf>
    <xf numFmtId="0" fontId="0" fillId="0" borderId="14" applyProtection="1" pivotButton="0" quotePrefix="0" xfId="0">
      <protection locked="0" hidden="0"/>
    </xf>
    <xf numFmtId="165" fontId="11" fillId="8" borderId="2" applyAlignment="1" applyProtection="1" pivotButton="0" quotePrefix="0" xfId="1">
      <alignment horizontal="center" vertical="center" wrapText="1" shrinkToFit="1"/>
      <protection locked="0" hidden="0"/>
    </xf>
    <xf numFmtId="165" fontId="11" fillId="9" borderId="2" applyAlignment="1" applyProtection="1" pivotButton="0" quotePrefix="0" xfId="1">
      <alignment horizontal="center" vertical="center" wrapText="1" shrinkToFit="1"/>
      <protection locked="0" hidden="0"/>
    </xf>
    <xf numFmtId="165" fontId="2" fillId="5" borderId="2" applyAlignment="1" applyProtection="1" pivotButton="0" quotePrefix="0" xfId="1">
      <alignment horizontal="center" vertical="center"/>
      <protection locked="0" hidden="0"/>
    </xf>
    <xf numFmtId="165" fontId="2" fillId="0" borderId="2" applyAlignment="1" applyProtection="1" pivotButton="0" quotePrefix="0" xfId="1">
      <alignment horizontal="center" vertical="center"/>
      <protection locked="0" hidden="0"/>
    </xf>
    <xf numFmtId="0" fontId="0" fillId="0" borderId="17" applyProtection="1" pivotButton="0" quotePrefix="0" xfId="0">
      <protection locked="0" hidden="0"/>
    </xf>
    <xf numFmtId="164" fontId="11" fillId="4" borderId="2" applyAlignment="1" applyProtection="1" pivotButton="0" quotePrefix="0" xfId="0">
      <alignment horizontal="center" vertical="center" wrapText="1"/>
      <protection locked="0" hidden="0"/>
    </xf>
    <xf numFmtId="164" fontId="11" fillId="4" borderId="2" applyAlignment="1" pivotButton="0" quotePrefix="0" xfId="0">
      <alignment horizontal="center" vertical="center" wrapText="1"/>
    </xf>
    <xf numFmtId="165" fontId="11" fillId="8" borderId="2" applyAlignment="1" applyProtection="1" pivotButton="0" quotePrefix="0" xfId="1">
      <alignment horizontal="center" vertical="center" wrapText="1"/>
      <protection locked="0" hidden="0"/>
    </xf>
    <xf numFmtId="165" fontId="2" fillId="9" borderId="2" applyAlignment="1" applyProtection="1" pivotButton="0" quotePrefix="0" xfId="1">
      <alignment horizontal="center" vertical="center" wrapText="1"/>
      <protection locked="0" hidden="0"/>
    </xf>
    <xf numFmtId="165" fontId="15" fillId="9" borderId="2" applyAlignment="1" applyProtection="1" pivotButton="0" quotePrefix="0" xfId="1">
      <alignment horizontal="center" vertical="center" wrapText="1"/>
      <protection locked="0" hidden="0"/>
    </xf>
    <xf numFmtId="165" fontId="2" fillId="5" borderId="2" applyAlignment="1" applyProtection="1" pivotButton="0" quotePrefix="0" xfId="1">
      <alignment horizontal="center" vertical="center" wrapText="1"/>
      <protection locked="0" hidden="0"/>
    </xf>
    <xf numFmtId="165" fontId="11" fillId="0" borderId="2" applyAlignment="1" applyProtection="1" pivotButton="0" quotePrefix="0" xfId="1">
      <alignment horizontal="center" vertical="center" wrapText="1" shrinkToFit="1"/>
      <protection locked="0" hidden="0"/>
    </xf>
    <xf numFmtId="165" fontId="11" fillId="0" borderId="2" applyAlignment="1" applyProtection="1" pivotButton="0" quotePrefix="0" xfId="1">
      <alignment vertical="center"/>
      <protection locked="0" hidden="0"/>
    </xf>
    <xf numFmtId="165" fontId="11" fillId="0" borderId="2" applyAlignment="1" pivotButton="0" quotePrefix="0" xfId="1">
      <alignment vertical="center"/>
    </xf>
    <xf numFmtId="165" fontId="11" fillId="0" borderId="2" applyAlignment="1" applyProtection="1" pivotButton="0" quotePrefix="0" xfId="1">
      <alignment horizontal="center" vertical="center" wrapText="1"/>
      <protection locked="0" hidden="0"/>
    </xf>
    <xf numFmtId="165" fontId="11" fillId="0" borderId="2" applyAlignment="1" applyProtection="1" pivotButton="0" quotePrefix="0" xfId="0">
      <alignment horizontal="center" vertical="center" wrapText="1" shrinkToFit="1"/>
      <protection locked="0" hidden="0"/>
    </xf>
    <xf numFmtId="167" fontId="2" fillId="0" borderId="2" applyAlignment="1" applyProtection="1" pivotButton="0" quotePrefix="0" xfId="1">
      <alignment vertical="center"/>
      <protection locked="0" hidden="0"/>
    </xf>
    <xf numFmtId="165" fontId="12" fillId="0" borderId="2" applyAlignment="1" applyProtection="1" pivotButton="0" quotePrefix="0" xfId="1">
      <alignment vertical="center"/>
      <protection locked="0" hidden="0"/>
    </xf>
    <xf numFmtId="165" fontId="2" fillId="0" borderId="2" applyAlignment="1" applyProtection="1" pivotButton="0" quotePrefix="0" xfId="1">
      <alignment vertical="center"/>
      <protection locked="0" hidden="0"/>
    </xf>
    <xf numFmtId="165" fontId="9" fillId="4" borderId="2" applyAlignment="1" applyProtection="1" pivotButton="0" quotePrefix="0" xfId="1">
      <alignment horizontal="center" vertical="center" wrapText="1"/>
      <protection locked="0" hidden="0"/>
    </xf>
    <xf numFmtId="165" fontId="15" fillId="4" borderId="2" applyAlignment="1" applyProtection="1" pivotButton="0" quotePrefix="0" xfId="0">
      <alignment horizontal="center" vertical="center" wrapText="1"/>
      <protection locked="0" hidden="0"/>
    </xf>
    <xf numFmtId="164" fontId="15" fillId="4" borderId="2" applyAlignment="1" applyProtection="1" pivotButton="0" quotePrefix="0" xfId="0">
      <alignment horizontal="center" vertical="center" wrapText="1"/>
      <protection locked="0" hidden="0"/>
    </xf>
    <xf numFmtId="165" fontId="12" fillId="2" borderId="2" applyAlignment="1" applyProtection="1" pivotButton="0" quotePrefix="0" xfId="1">
      <alignment vertical="center"/>
      <protection locked="0" hidden="0"/>
    </xf>
    <xf numFmtId="164" fontId="11" fillId="6" borderId="2" applyAlignment="1" pivotButton="0" quotePrefix="0" xfId="1">
      <alignment horizontal="center" vertical="center" wrapText="1"/>
    </xf>
    <xf numFmtId="165" fontId="1" fillId="0" borderId="2" applyAlignment="1" applyProtection="1" pivotButton="0" quotePrefix="0" xfId="1">
      <alignment vertical="center"/>
      <protection locked="0" hidden="0"/>
    </xf>
    <xf numFmtId="166" fontId="1" fillId="0" borderId="2" applyAlignment="1" pivotButton="0" quotePrefix="0" xfId="49">
      <alignment horizontal="left" vertical="center"/>
    </xf>
    <xf numFmtId="165" fontId="11" fillId="6" borderId="2" applyAlignment="1" pivotButton="0" quotePrefix="0" xfId="1">
      <alignment horizontal="center" vertical="center" wrapText="1"/>
    </xf>
    <xf numFmtId="165" fontId="1" fillId="0" borderId="2" applyAlignment="1" applyProtection="1" pivotButton="0" quotePrefix="0" xfId="1">
      <alignment horizontal="center" vertical="center"/>
      <protection locked="0" hidden="0"/>
    </xf>
    <xf numFmtId="165" fontId="11" fillId="6" borderId="2" applyAlignment="1" applyProtection="1" pivotButton="0" quotePrefix="0" xfId="1">
      <alignment vertical="center"/>
      <protection locked="0" hidden="0"/>
    </xf>
    <xf numFmtId="165" fontId="1" fillId="0" borderId="2" applyAlignment="1" applyProtection="1" pivotButton="0" quotePrefix="0" xfId="1">
      <alignment horizontal="center" vertical="center" wrapText="1"/>
      <protection locked="0" hidden="0"/>
    </xf>
    <xf numFmtId="165" fontId="12" fillId="0" borderId="2" applyAlignment="1" applyProtection="1" pivotButton="0" quotePrefix="0" xfId="1">
      <alignment vertical="center" wrapText="1"/>
      <protection locked="0" hidden="0"/>
    </xf>
    <xf numFmtId="165" fontId="11" fillId="6" borderId="2" applyAlignment="1" pivotButton="0" quotePrefix="0" xfId="1">
      <alignment vertical="center"/>
    </xf>
    <xf numFmtId="165" fontId="1" fillId="0" borderId="2" applyProtection="1" pivotButton="0" quotePrefix="0" xfId="1">
      <protection locked="0" hidden="0"/>
    </xf>
    <xf numFmtId="165" fontId="3" fillId="0" borderId="2" applyAlignment="1" applyProtection="1" pivotButton="0" quotePrefix="0" xfId="1">
      <alignment vertical="center"/>
      <protection locked="0" hidden="0"/>
    </xf>
    <xf numFmtId="165" fontId="3" fillId="0" borderId="2" applyProtection="1" pivotButton="0" quotePrefix="0" xfId="1">
      <protection locked="0" hidden="0"/>
    </xf>
    <xf numFmtId="165" fontId="12" fillId="0" borderId="2" applyAlignment="1" applyProtection="1" pivotButton="0" quotePrefix="0" xfId="1">
      <alignment horizontal="center" vertical="center"/>
      <protection locked="0" hidden="0"/>
    </xf>
    <xf numFmtId="165" fontId="12" fillId="0" borderId="2" applyAlignment="1" applyProtection="1" pivotButton="0" quotePrefix="0" xfId="1">
      <alignment horizontal="right" vertical="center" wrapText="1"/>
      <protection locked="0" hidden="0"/>
    </xf>
    <xf numFmtId="165" fontId="11" fillId="2" borderId="2" applyAlignment="1" applyProtection="1" pivotButton="0" quotePrefix="0" xfId="1">
      <alignment vertical="center"/>
      <protection locked="0" hidden="0"/>
    </xf>
    <xf numFmtId="165" fontId="11" fillId="10" borderId="2" applyAlignment="1" applyProtection="1" pivotButton="0" quotePrefix="0" xfId="1">
      <alignment vertical="center"/>
      <protection locked="0" hidden="0"/>
    </xf>
    <xf numFmtId="165" fontId="2" fillId="0" borderId="2" applyProtection="1" pivotButton="0" quotePrefix="0" xfId="1">
      <protection locked="0" hidden="0"/>
    </xf>
    <xf numFmtId="165" fontId="4" fillId="6" borderId="2" applyAlignment="1" applyProtection="1" pivotButton="0" quotePrefix="0" xfId="1">
      <alignment vertical="center"/>
      <protection locked="0" hidden="0"/>
    </xf>
    <xf numFmtId="165" fontId="2" fillId="6" borderId="2" applyAlignment="1" applyProtection="1" pivotButton="0" quotePrefix="0" xfId="1">
      <alignment vertical="center"/>
      <protection locked="0" hidden="0"/>
    </xf>
    <xf numFmtId="165" fontId="11" fillId="6" borderId="2" applyAlignment="1" applyProtection="1" pivotButton="0" quotePrefix="0" xfId="1">
      <alignment horizontal="center" vertical="center"/>
      <protection locked="0" hidden="0"/>
    </xf>
    <xf numFmtId="165" fontId="11" fillId="6" borderId="2" applyAlignment="1" applyProtection="1" pivotButton="0" quotePrefix="0" xfId="1">
      <alignment vertical="center" wrapText="1"/>
      <protection locked="0" hidden="0"/>
    </xf>
    <xf numFmtId="164" fontId="11" fillId="0" borderId="0" applyAlignment="1" applyProtection="1" pivotButton="0" quotePrefix="0" xfId="1">
      <alignment vertical="center" wrapText="1"/>
      <protection locked="0" hidden="0"/>
    </xf>
    <xf numFmtId="164" fontId="9" fillId="4" borderId="0" applyAlignment="1" applyProtection="1" pivotButton="0" quotePrefix="0" xfId="0">
      <alignment horizontal="center" vertical="center" wrapText="1"/>
      <protection locked="0" hidden="0"/>
    </xf>
    <xf numFmtId="164" fontId="9" fillId="0" borderId="0" applyAlignment="1" applyProtection="1" pivotButton="0" quotePrefix="0" xfId="1">
      <alignment horizontal="center" vertical="center" wrapText="1"/>
      <protection locked="0" hidden="0"/>
    </xf>
    <xf numFmtId="164" fontId="9" fillId="4" borderId="0" applyAlignment="1" pivotButton="0" quotePrefix="0" xfId="1">
      <alignment horizontal="center" vertical="center" wrapText="1"/>
    </xf>
    <xf numFmtId="165" fontId="11" fillId="0" borderId="0" applyAlignment="1" applyProtection="1" pivotButton="0" quotePrefix="0" xfId="1">
      <alignment vertical="center"/>
      <protection locked="0" hidden="0"/>
    </xf>
    <xf numFmtId="165" fontId="2" fillId="0" borderId="0" applyAlignment="1" applyProtection="1" pivotButton="0" quotePrefix="0" xfId="1">
      <alignment vertical="center"/>
      <protection locked="0" hidden="0"/>
    </xf>
    <xf numFmtId="164" fontId="4" fillId="0" borderId="0" applyAlignment="1" applyProtection="1" pivotButton="0" quotePrefix="0" xfId="0">
      <alignment vertical="center" wrapText="1"/>
      <protection locked="0" hidden="0"/>
    </xf>
    <xf numFmtId="164" fontId="11" fillId="0" borderId="0" applyAlignment="1" pivotButton="0" quotePrefix="0" xfId="1">
      <alignment vertical="center" wrapText="1"/>
    </xf>
    <xf numFmtId="165" fontId="18" fillId="0" borderId="0" applyAlignment="1" applyProtection="1" pivotButton="0" quotePrefix="0" xfId="1">
      <alignment horizontal="left" vertical="center"/>
      <protection locked="0" hidden="0"/>
    </xf>
    <xf numFmtId="164" fontId="5" fillId="0" borderId="0" applyAlignment="1" applyProtection="1" pivotButton="0" quotePrefix="0" xfId="0">
      <alignment horizontal="left" vertical="center"/>
      <protection locked="0" hidden="0"/>
    </xf>
    <xf numFmtId="165" fontId="5" fillId="0" borderId="0" applyAlignment="1" applyProtection="1" pivotButton="0" quotePrefix="0" xfId="1">
      <alignment horizontal="left" vertical="center"/>
      <protection locked="0" hidden="0"/>
    </xf>
    <xf numFmtId="165" fontId="17" fillId="0" borderId="0" applyAlignment="1" applyProtection="1" pivotButton="0" quotePrefix="0" xfId="1">
      <alignment vertical="center"/>
      <protection locked="0" hidden="0"/>
    </xf>
    <xf numFmtId="164" fontId="17" fillId="0" borderId="0" applyAlignment="1" applyProtection="1" pivotButton="0" quotePrefix="0" xfId="0">
      <alignment horizontal="left" vertical="center"/>
      <protection locked="0" hidden="0"/>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externalLink" Target="/xl/externalLinks/externalLink1.xml" Id="rId3" /><Relationship Type="http://schemas.openxmlformats.org/officeDocument/2006/relationships/externalLink" Target="/xl/externalLinks/externalLink2.xml" Id="rId4" /><Relationship Type="http://schemas.openxmlformats.org/officeDocument/2006/relationships/externalLink" Target="/xl/externalLinks/externalLink3.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于</author>
    <author>Administrator</author>
    <author>51458</author>
    <author>Admin</author>
  </authors>
  <commentList>
    <comment ref="M52" authorId="0" shapeId="0">
      <text>
        <t>于:
**同财务账面合同履约成本/工程施工成本/直接人工费数据一致**</t>
      </text>
    </comment>
    <comment ref="M58" authorId="0" shapeId="0">
      <text>
        <t>于:
**同财务账面合同履约成本/工程施工成本/分包工程支出数据一致**</t>
      </text>
    </comment>
    <comment ref="M90" authorId="1" shapeId="0">
      <text>
        <t>**同财务账面合同履约成本/工程施工成本/直接材料费数据一致**</t>
      </text>
    </comment>
    <comment ref="M94" authorId="1" shapeId="0">
      <text>
        <t xml:space="preserve">**同财务账面合同履约成本/工程施工成本/机械租赁费数据一致**
</t>
      </text>
    </comment>
    <comment ref="M108" authorId="0" shapeId="0">
      <text>
        <t>于:
**同财务账面合同履约成本/工程施工成本其他直接费数据一致**</t>
      </text>
    </comment>
    <comment ref="M379" authorId="1" shapeId="0">
      <text>
        <t>**同财务账面合同履约成本/工程施工成本/间接费数据一致**</t>
      </text>
    </comment>
    <comment ref="D383" authorId="2" shapeId="0">
      <text>
        <t>（在建：房建0.6%，其它0.4%；在保修期间的按0.3~0.5%自行确定;保修期结束为0）</t>
      </text>
    </comment>
    <comment ref="E388" authorId="3" shapeId="0">
      <text>
        <t>Admin:
尚需缴纳的增值税额=尚需向业主开票（累计实际完成工程量-累计已开票金额）金额对应的销项税额-分包分供尚可抵扣的进项税额</t>
      </text>
    </comment>
    <comment ref="E389" authorId="3" shapeId="0">
      <text>
        <t>Admin:
尚需缴纳的税金及附加=尚需缴纳的增值税*税金及附加税率</t>
      </text>
    </comment>
  </commentList>
</comments>
</file>

<file path=xl/externalLinks/_rels/externalLink1.xml.rels><Relationships xmlns="http://schemas.openxmlformats.org/package/2006/relationships"><Relationship Type="http://schemas.microsoft.com/office/2006/relationships/xlExternalLinkPath/xlPathMissing" Target="file:///C:\Users\liuxuesong\Downloads\&#22806;&#37096;&#23548;&#20837;&#38382;&#39064;&#27169;&#26495;&#65288;&#33258;&#21160;&#29983;&#25104;&#65289;(092947617).xlsx" TargetMode="External" Id="rId1" /></Relationships>
</file>

<file path=xl/externalLinks/_rels/externalLink2.xml.rels><Relationships xmlns="http://schemas.openxmlformats.org/package/2006/relationships"><Relationship Type="http://schemas.microsoft.com/office/2006/relationships/xlExternalLinkPath/xlPathMissing" Target="file:///C:\Users\feitian\Desktop\&#22806;&#37096;&#23548;&#20837;&#38382;&#39064;&#27169;&#26495;&#65288;&#33258;&#21160;&#29983;&#25104;&#65289;(101656259).xlsx" TargetMode="External" Id="rId1" /></Relationships>
</file>

<file path=xl/externalLinks/_rels/externalLink3.xml.rels><Relationships xmlns="http://schemas.openxmlformats.org/package/2006/relationships"><Relationship Type="http://schemas.openxmlformats.org/officeDocument/2006/relationships/externalLinkPath" Target="\Users\sasa\AppData\Local\Temp\360zip$Temp\360$4\8.2&#31459;&#24037;&#39033;&#30446;&#23457;&#35745;&#26631;&#20934;&#22871;&#34920;.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导入模板"/>
      <sheetName val="数据集"/>
    </sheetNames>
    <sheetDataSet>
      <sheetData sheetId="0" refreshError="1"/>
      <sheetData sheetId="1"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导入模板"/>
      <sheetName val="数据集"/>
    </sheetNames>
    <sheetDataSet>
      <sheetData sheetId="0" refreshError="1"/>
      <sheetData sheetId="1" refreshError="1"/>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附表1项目目标责任完成情况表 "/>
      <sheetName val="附表2项目损益情况表"/>
      <sheetName val="附表3项目效益审核表"/>
    </sheetNames>
    <sheetDataSet>
      <sheetData sheetId="0"/>
      <sheetData sheetId="1"/>
      <sheetData sheetId="2"/>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596"/>
  <sheetViews>
    <sheetView workbookViewId="0">
      <selection activeCell="A1" sqref="A1"/>
    </sheetView>
  </sheetViews>
  <sheetFormatPr baseColWidth="8" defaultRowHeight="15"/>
  <sheetData>
    <row r="1">
      <c r="A1" t="inlineStr">
        <is>
          <t>成本分类</t>
        </is>
      </c>
      <c r="B1" t="inlineStr">
        <is>
          <t>客商</t>
        </is>
      </c>
      <c r="C1" t="inlineStr">
        <is>
          <t>合同</t>
        </is>
      </c>
      <c r="D1" t="inlineStr">
        <is>
          <t>净发生额</t>
        </is>
      </c>
    </row>
    <row r="2">
      <c r="A2" t="inlineStr">
        <is>
          <t>人工费</t>
        </is>
      </c>
      <c r="B2" t="inlineStr">
        <is>
          <t>无客商-劳务费</t>
        </is>
      </c>
      <c r="D2" t="n">
        <v>39456446.11</v>
      </c>
    </row>
    <row r="3">
      <c r="A3" t="inlineStr">
        <is>
          <t>人工费</t>
        </is>
      </c>
      <c r="B3" t="inlineStr">
        <is>
          <t>无客商-应付汤村旧改项目复建</t>
        </is>
      </c>
      <c r="D3" t="n">
        <v>27591468.22</v>
      </c>
    </row>
    <row r="4">
      <c r="A4" t="inlineStr">
        <is>
          <t>人工费</t>
        </is>
      </c>
      <c r="B4" t="inlineStr">
        <is>
          <t>无客商-应付汤村项目复一广东</t>
        </is>
      </c>
      <c r="D4" t="n">
        <v>1429064.55</v>
      </c>
    </row>
    <row r="5">
      <c r="A5" t="inlineStr">
        <is>
          <t>人工费</t>
        </is>
      </c>
      <c r="B5" t="inlineStr">
        <is>
          <t>无客商-应付汤村项目复建地块</t>
        </is>
      </c>
      <c r="D5" t="n">
        <v>6342638.57</v>
      </c>
    </row>
    <row r="6">
      <c r="A6" t="inlineStr">
        <is>
          <t>人工费</t>
        </is>
      </c>
      <c r="B6" t="inlineStr">
        <is>
          <t>无客商-结算分包工程款-广东</t>
        </is>
      </c>
      <c r="D6" t="n">
        <v>568828.21</v>
      </c>
    </row>
    <row r="7">
      <c r="A7" t="inlineStr">
        <is>
          <t>人工费</t>
        </is>
      </c>
      <c r="B7" t="inlineStr">
        <is>
          <t>无客商-计提汤村复1地块安全</t>
        </is>
      </c>
      <c r="D7" t="n">
        <v>-5809818.35</v>
      </c>
    </row>
    <row r="8">
      <c r="A8" t="inlineStr">
        <is>
          <t>其他直接费</t>
        </is>
      </c>
      <c r="B8" t="inlineStr">
        <is>
          <t>无客商-应付汤村复一项目佛山</t>
        </is>
      </c>
      <c r="D8" t="n">
        <v>3140750.01</v>
      </c>
    </row>
    <row r="9">
      <c r="A9" t="inlineStr">
        <is>
          <t>其他直接费</t>
        </is>
      </c>
      <c r="B9" t="inlineStr">
        <is>
          <t>无客商-应付汤村复一项目广东</t>
        </is>
      </c>
      <c r="D9" t="n">
        <v>394403.33</v>
      </c>
    </row>
    <row r="10">
      <c r="A10" t="inlineStr">
        <is>
          <t>其他直接费</t>
        </is>
      </c>
      <c r="B10" t="inlineStr">
        <is>
          <t>无客商-应付汤村复一项目广州</t>
        </is>
      </c>
      <c r="D10" t="n">
        <v>7248949.96</v>
      </c>
    </row>
    <row r="11">
      <c r="A11" t="inlineStr">
        <is>
          <t>其他直接费</t>
        </is>
      </c>
      <c r="B11" t="inlineStr">
        <is>
          <t>无客商-应付汤村复一项目深圳</t>
        </is>
      </c>
      <c r="D11" t="n">
        <v>260430</v>
      </c>
    </row>
    <row r="12">
      <c r="A12" t="inlineStr">
        <is>
          <t>其他直接费</t>
        </is>
      </c>
      <c r="B12" t="inlineStr">
        <is>
          <t>无客商-应付汤村项目复建区1</t>
        </is>
      </c>
      <c r="D12" t="n">
        <v>1132740.61</v>
      </c>
    </row>
    <row r="13">
      <c r="A13" t="inlineStr">
        <is>
          <t>分包工程</t>
        </is>
      </c>
      <c r="B13" t="inlineStr">
        <is>
          <t>无客商-2025年二季度大型</t>
        </is>
      </c>
      <c r="D13" t="n">
        <v>6509.43</v>
      </c>
    </row>
    <row r="14">
      <c r="A14" t="inlineStr">
        <is>
          <t>分包工程</t>
        </is>
      </c>
      <c r="B14" t="inlineStr">
        <is>
          <t>无客商-2025年四季度大型</t>
        </is>
      </c>
      <c r="D14" t="n">
        <v>2830.19</v>
      </c>
    </row>
    <row r="15">
      <c r="A15" t="inlineStr">
        <is>
          <t>分包工程</t>
        </is>
      </c>
      <c r="B15" t="inlineStr">
        <is>
          <t>无客商-付广州市黄埔区汤村村</t>
        </is>
      </c>
      <c r="D15" t="n">
        <v>20035</v>
      </c>
    </row>
    <row r="16">
      <c r="A16" t="inlineStr">
        <is>
          <t>分包工程</t>
        </is>
      </c>
      <c r="B16" t="inlineStr">
        <is>
          <t>无客商-付广州市黄埔区汤村项</t>
        </is>
      </c>
      <c r="D16" t="n">
        <v>31612.26</v>
      </c>
    </row>
    <row r="17">
      <c r="A17" t="inlineStr">
        <is>
          <t>分包工程</t>
        </is>
      </c>
      <c r="B17" t="inlineStr">
        <is>
          <t>无客商-支付中国大地财产保险</t>
        </is>
      </c>
      <c r="D17" t="n">
        <v>432696.64</v>
      </c>
    </row>
    <row r="18">
      <c r="A18" t="inlineStr">
        <is>
          <t>分包工程</t>
        </is>
      </c>
      <c r="B18" t="inlineStr">
        <is>
          <t>无客商-支付凤凰路西二地块项</t>
        </is>
      </c>
      <c r="D18" t="n">
        <v>381512.1</v>
      </c>
    </row>
    <row r="19">
      <c r="A19" t="inlineStr">
        <is>
          <t>分包工程</t>
        </is>
      </c>
      <c r="B19" t="inlineStr">
        <is>
          <t>无客商-支付汤村复1地块大型</t>
        </is>
      </c>
      <c r="D19" t="n">
        <v>7169.81</v>
      </c>
    </row>
    <row r="20">
      <c r="A20" t="inlineStr">
        <is>
          <t>分包工程</t>
        </is>
      </c>
      <c r="B20" t="inlineStr">
        <is>
          <t>无客商-支付汤村复一项目简显</t>
        </is>
      </c>
      <c r="D20" t="n">
        <v>22831.03</v>
      </c>
    </row>
    <row r="21">
      <c r="A21" t="inlineStr">
        <is>
          <t>分包工程</t>
        </is>
      </c>
      <c r="B21" t="inlineStr">
        <is>
          <t>无客商-支付汤村旧改复建地块</t>
        </is>
      </c>
      <c r="D21" t="n">
        <v>610735.84</v>
      </c>
    </row>
    <row r="22">
      <c r="A22" t="inlineStr">
        <is>
          <t>分包工程</t>
        </is>
      </c>
      <c r="B22" t="inlineStr">
        <is>
          <t>无客商-支付汤村旧改项目复建</t>
        </is>
      </c>
      <c r="D22" t="n">
        <v>29886.79</v>
      </c>
    </row>
    <row r="23">
      <c r="A23" t="inlineStr">
        <is>
          <t>分包工程</t>
        </is>
      </c>
      <c r="B23" t="inlineStr">
        <is>
          <t>无客商-汤村复1地块2025</t>
        </is>
      </c>
      <c r="D23" t="n">
        <v>4528.3</v>
      </c>
    </row>
    <row r="24">
      <c r="A24" t="inlineStr">
        <is>
          <t>分包工程</t>
        </is>
      </c>
      <c r="B24" t="inlineStr">
        <is>
          <t>无客商-汤村旧改项目复建一地</t>
        </is>
      </c>
      <c r="D24" t="n">
        <v>73729.73</v>
      </c>
    </row>
    <row r="25">
      <c r="A25" t="inlineStr">
        <is>
          <t>分包工程</t>
        </is>
      </c>
      <c r="B25" t="inlineStr">
        <is>
          <t>无客商-汤村旧改项目对外支付</t>
        </is>
      </c>
      <c r="D25" t="n">
        <v>56182.08</v>
      </c>
    </row>
    <row r="26">
      <c r="A26" t="inlineStr">
        <is>
          <t>分包工程</t>
        </is>
      </c>
      <c r="B26" t="inlineStr">
        <is>
          <t>无客商-汤村旧村改造项目对外</t>
        </is>
      </c>
      <c r="D26" t="n">
        <v>564616.53</v>
      </c>
    </row>
    <row r="27">
      <c r="A27" t="inlineStr">
        <is>
          <t>分包工程</t>
        </is>
      </c>
      <c r="B27" t="inlineStr">
        <is>
          <t>无客商-汤村项目付广州市中洁</t>
        </is>
      </c>
      <c r="D27" t="n">
        <v>45742.58</v>
      </c>
    </row>
    <row r="28">
      <c r="A28" t="inlineStr">
        <is>
          <t>分包工程</t>
        </is>
      </c>
      <c r="B28" t="inlineStr">
        <is>
          <t>无客商-汤村项目付广州陇飞广</t>
        </is>
      </c>
      <c r="D28" t="n">
        <v>1000</v>
      </c>
    </row>
    <row r="29">
      <c r="A29" t="inlineStr">
        <is>
          <t>安全生产费</t>
        </is>
      </c>
      <c r="B29" t="inlineStr">
        <is>
          <t>无客商-计提广州市黄埔区汤村</t>
        </is>
      </c>
      <c r="D29" t="n">
        <v>8518630.220000001</v>
      </c>
    </row>
    <row r="30">
      <c r="A30" t="inlineStr">
        <is>
          <t>未分类</t>
        </is>
      </c>
      <c r="B30" t="inlineStr">
        <is>
          <t>东莞市广拓建材贸易有限公司</t>
        </is>
      </c>
      <c r="C30" t="inlineStr">
        <is>
          <t>中建四局02002021036060015</t>
        </is>
      </c>
      <c r="D30" t="n">
        <v>5127230.72</v>
      </c>
    </row>
    <row r="31">
      <c r="A31" t="inlineStr">
        <is>
          <t>未分类</t>
        </is>
      </c>
      <c r="B31" t="inlineStr">
        <is>
          <t>东莞市广拓建材贸易有限公司</t>
        </is>
      </c>
      <c r="D31" t="n">
        <v>642890.7</v>
      </c>
    </row>
    <row r="32">
      <c r="A32" t="inlineStr">
        <is>
          <t>未分类</t>
        </is>
      </c>
      <c r="B32" t="inlineStr">
        <is>
          <t>中信银行股份有限公司</t>
        </is>
      </c>
      <c r="D32" t="n">
        <v>16801020.69</v>
      </c>
    </row>
    <row r="33">
      <c r="A33" t="inlineStr">
        <is>
          <t>未分类</t>
        </is>
      </c>
      <c r="B33" t="inlineStr">
        <is>
          <t>中励供应链管理（浙江）有限公司</t>
        </is>
      </c>
      <c r="C33" t="inlineStr">
        <is>
          <t>中建四局0200202103606012</t>
        </is>
      </c>
      <c r="D33" t="n">
        <v>53365603</v>
      </c>
    </row>
    <row r="34">
      <c r="A34" t="inlineStr">
        <is>
          <t>未分类</t>
        </is>
      </c>
      <c r="B34" t="inlineStr">
        <is>
          <t>中励供应链管理（浙江）有限公司</t>
        </is>
      </c>
      <c r="D34" t="n">
        <v>6139406.01</v>
      </c>
    </row>
    <row r="35">
      <c r="A35" t="inlineStr">
        <is>
          <t>未分类</t>
        </is>
      </c>
      <c r="B35" t="inlineStr">
        <is>
          <t>中国农业银行股份有限公司</t>
        </is>
      </c>
      <c r="D35" t="n">
        <v>8768911.26</v>
      </c>
    </row>
    <row r="36">
      <c r="A36" t="inlineStr">
        <is>
          <t>未分类</t>
        </is>
      </c>
      <c r="B36" t="inlineStr">
        <is>
          <t>中国大地财产保险股份有限公司广东分公司营业部</t>
        </is>
      </c>
      <c r="D36" t="n">
        <v>917316.88</v>
      </c>
    </row>
    <row r="37">
      <c r="A37" t="inlineStr">
        <is>
          <t>未分类</t>
        </is>
      </c>
      <c r="B37" t="inlineStr">
        <is>
          <t>中国建筑第四工程局有限公司</t>
        </is>
      </c>
      <c r="D37" t="n">
        <v>1392337.87</v>
      </c>
    </row>
    <row r="38">
      <c r="A38" t="inlineStr">
        <is>
          <t>未分类</t>
        </is>
      </c>
      <c r="B38" t="inlineStr">
        <is>
          <t>中国建筑第四工程局有限公司直营项目（四）</t>
        </is>
      </c>
      <c r="D38" t="n">
        <v>375816585.36</v>
      </c>
    </row>
    <row r="39">
      <c r="A39" t="inlineStr">
        <is>
          <t>未分类</t>
        </is>
      </c>
      <c r="B39" t="inlineStr">
        <is>
          <t>中国建设银行股份有限公司</t>
        </is>
      </c>
      <c r="D39" t="n">
        <v>7101840.8</v>
      </c>
    </row>
    <row r="40">
      <c r="A40" t="inlineStr">
        <is>
          <t>未分类</t>
        </is>
      </c>
      <c r="B40" t="inlineStr">
        <is>
          <t>中山万科金域中央工程5-9标段</t>
        </is>
      </c>
      <c r="D40" t="n">
        <v>12000000</v>
      </c>
    </row>
    <row r="41">
      <c r="A41" t="inlineStr">
        <is>
          <t>未分类</t>
        </is>
      </c>
      <c r="B41" t="inlineStr">
        <is>
          <t>中建四局一公司广州分公司以局名义项目</t>
        </is>
      </c>
      <c r="D41" t="n">
        <v>400839584.88</v>
      </c>
    </row>
    <row r="42">
      <c r="A42" t="inlineStr">
        <is>
          <t>未分类</t>
        </is>
      </c>
      <c r="B42" t="inlineStr">
        <is>
          <t>中建四局第一建设有限公司</t>
        </is>
      </c>
      <c r="D42" t="n">
        <v>300000</v>
      </c>
    </row>
    <row r="43">
      <c r="A43" t="inlineStr">
        <is>
          <t>未分类</t>
        </is>
      </c>
      <c r="B43" t="inlineStr">
        <is>
          <t>中建四局第一建设有限公司广州分公司</t>
        </is>
      </c>
      <c r="D43" t="n">
        <v>14688279.06</v>
      </c>
    </row>
    <row r="44">
      <c r="A44" t="inlineStr">
        <is>
          <t>未分类</t>
        </is>
      </c>
      <c r="B44" t="inlineStr">
        <is>
          <t>交通银行股份有限公司</t>
        </is>
      </c>
      <c r="D44" t="n">
        <v>28052800.86</v>
      </c>
    </row>
    <row r="45">
      <c r="A45" t="inlineStr">
        <is>
          <t>未分类</t>
        </is>
      </c>
      <c r="B45" t="inlineStr">
        <is>
          <t>佛山唐贵五金电器有限公司</t>
        </is>
      </c>
      <c r="C45" t="inlineStr">
        <is>
          <t>中建四局0200202103606002</t>
        </is>
      </c>
      <c r="D45" t="n">
        <v>3595528.46</v>
      </c>
    </row>
    <row r="46">
      <c r="A46" t="inlineStr">
        <is>
          <t>未分类</t>
        </is>
      </c>
      <c r="B46" t="inlineStr">
        <is>
          <t>佛山唐贵五金电器有限公司</t>
        </is>
      </c>
      <c r="C46" t="inlineStr">
        <is>
          <t>中建四局0200202103606010</t>
        </is>
      </c>
      <c r="D46" t="n">
        <v>138408.52</v>
      </c>
    </row>
    <row r="47">
      <c r="A47" t="inlineStr">
        <is>
          <t>未分类</t>
        </is>
      </c>
      <c r="B47" t="inlineStr">
        <is>
          <t>佛山唐贵五金电器有限公司</t>
        </is>
      </c>
      <c r="D47" t="n">
        <v>430059.14</v>
      </c>
    </row>
    <row r="48">
      <c r="A48" t="inlineStr">
        <is>
          <t>未分类</t>
        </is>
      </c>
      <c r="B48" t="inlineStr">
        <is>
          <t>佛山市众万油品贸易有限公司</t>
        </is>
      </c>
      <c r="C48" t="inlineStr">
        <is>
          <t>中建四局0200202103606004</t>
        </is>
      </c>
      <c r="D48" t="n">
        <v>360683.4</v>
      </c>
    </row>
    <row r="49">
      <c r="A49" t="inlineStr">
        <is>
          <t>未分类</t>
        </is>
      </c>
      <c r="B49" t="inlineStr">
        <is>
          <t>佛山市众万油品贸易有限公司</t>
        </is>
      </c>
      <c r="D49" t="n">
        <v>41435.96</v>
      </c>
    </row>
    <row r="50">
      <c r="A50" t="inlineStr">
        <is>
          <t>未分类</t>
        </is>
      </c>
      <c r="B50" t="inlineStr">
        <is>
          <t>佛山市南海鼎赞机械设备有限公司</t>
        </is>
      </c>
      <c r="C50" t="inlineStr">
        <is>
          <t>中建四局020020210036050002</t>
        </is>
      </c>
      <c r="D50" t="n">
        <v>6002614.01</v>
      </c>
    </row>
    <row r="51">
      <c r="A51" t="inlineStr">
        <is>
          <t>未分类</t>
        </is>
      </c>
      <c r="B51" t="inlineStr">
        <is>
          <t>佛山市南海鼎赞机械设备有限公司</t>
        </is>
      </c>
      <c r="D51" t="n">
        <v>718916.97</v>
      </c>
    </row>
    <row r="52">
      <c r="A52" t="inlineStr">
        <is>
          <t>未分类</t>
        </is>
      </c>
      <c r="B52" t="inlineStr">
        <is>
          <t>佛山市翊德通新型环保科技建材有限公司</t>
        </is>
      </c>
      <c r="C52" t="inlineStr">
        <is>
          <t>中建四局0200202103606013</t>
        </is>
      </c>
      <c r="D52" t="n">
        <v>8241034.86</v>
      </c>
    </row>
    <row r="53">
      <c r="A53" t="inlineStr">
        <is>
          <t>未分类</t>
        </is>
      </c>
      <c r="B53" t="inlineStr">
        <is>
          <t>佛山市翊德通新型环保科技建材有限公司</t>
        </is>
      </c>
      <c r="D53" t="n">
        <v>1006365.86</v>
      </c>
    </row>
    <row r="54">
      <c r="A54" t="inlineStr">
        <is>
          <t>未分类</t>
        </is>
      </c>
      <c r="B54" t="inlineStr">
        <is>
          <t>华工国际学校东北角地块项目施工总承包及总承包管理配合服务</t>
        </is>
      </c>
      <c r="D54" t="n">
        <v>661186.35</v>
      </c>
    </row>
    <row r="55">
      <c r="A55" t="inlineStr">
        <is>
          <t>未分类</t>
        </is>
      </c>
      <c r="B55" t="inlineStr">
        <is>
          <t>南沙滨海花园十二期二区项目</t>
        </is>
      </c>
      <c r="D55" t="n">
        <v>739338.8</v>
      </c>
    </row>
    <row r="56">
      <c r="A56" t="inlineStr">
        <is>
          <t>未分类</t>
        </is>
      </c>
      <c r="B56" t="inlineStr">
        <is>
          <t>博实乐海南碧桂园学校（中学）项目</t>
        </is>
      </c>
      <c r="D56" t="n">
        <v>549545.91</v>
      </c>
    </row>
    <row r="57">
      <c r="A57" t="inlineStr">
        <is>
          <t>未分类</t>
        </is>
      </c>
      <c r="B57" t="inlineStr">
        <is>
          <t>天下行（广东）食品饮料有限公司</t>
        </is>
      </c>
      <c r="D57" t="n">
        <v>42000</v>
      </c>
    </row>
    <row r="58">
      <c r="A58" t="inlineStr">
        <is>
          <t>未分类</t>
        </is>
      </c>
      <c r="B58" t="inlineStr">
        <is>
          <t>天河区黄云路AT1003011、AT1003072地块项目施工总承包及总承包管理配合服务工程</t>
        </is>
      </c>
      <c r="D58" t="n">
        <v>11207.4</v>
      </c>
    </row>
    <row r="59">
      <c r="A59" t="inlineStr">
        <is>
          <t>未分类</t>
        </is>
      </c>
      <c r="B59" t="inlineStr">
        <is>
          <t>姚建霞-封存</t>
        </is>
      </c>
      <c r="D59" t="n">
        <v>295343.58</v>
      </c>
    </row>
    <row r="60">
      <c r="A60" t="inlineStr">
        <is>
          <t>未分类</t>
        </is>
      </c>
      <c r="B60" t="inlineStr">
        <is>
          <t>小新塘融资区I1、I2、I3地块</t>
        </is>
      </c>
      <c r="D60" t="n">
        <v>188962.71</v>
      </c>
    </row>
    <row r="61">
      <c r="A61" t="inlineStr">
        <is>
          <t>未分类</t>
        </is>
      </c>
      <c r="B61" t="inlineStr">
        <is>
          <t>广东君晖建筑工程有限公司</t>
        </is>
      </c>
      <c r="C61" t="inlineStr">
        <is>
          <t>中建四局020020210036050001</t>
        </is>
      </c>
      <c r="D61" t="n">
        <v>735675.76</v>
      </c>
    </row>
    <row r="62">
      <c r="A62" t="inlineStr">
        <is>
          <t>未分类</t>
        </is>
      </c>
      <c r="B62" t="inlineStr">
        <is>
          <t>广东君晖建筑工程有限公司</t>
        </is>
      </c>
      <c r="D62" t="n">
        <v>103042.32</v>
      </c>
    </row>
    <row r="63">
      <c r="A63" t="inlineStr">
        <is>
          <t>未分类</t>
        </is>
      </c>
      <c r="B63" t="inlineStr">
        <is>
          <t>广东广物物资有限公司</t>
        </is>
      </c>
      <c r="C63" t="inlineStr">
        <is>
          <t>中建四局0200202103606003</t>
        </is>
      </c>
      <c r="D63" t="n">
        <v>25813361.54</v>
      </c>
    </row>
    <row r="64">
      <c r="A64" t="inlineStr">
        <is>
          <t>未分类</t>
        </is>
      </c>
      <c r="B64" t="inlineStr">
        <is>
          <t>广东广物物资有限公司</t>
        </is>
      </c>
      <c r="D64" t="n">
        <v>3071642.84</v>
      </c>
    </row>
    <row r="65">
      <c r="A65" t="inlineStr">
        <is>
          <t>未分类</t>
        </is>
      </c>
      <c r="B65" t="inlineStr">
        <is>
          <t>广东新添美安防技术有限公司</t>
        </is>
      </c>
      <c r="C65" t="inlineStr">
        <is>
          <t>中建四局0200202103603003</t>
        </is>
      </c>
      <c r="D65" t="n">
        <v>14277612.97</v>
      </c>
    </row>
    <row r="66">
      <c r="A66" t="inlineStr">
        <is>
          <t>未分类</t>
        </is>
      </c>
      <c r="B66" t="inlineStr">
        <is>
          <t>广东新添美安防技术有限公司</t>
        </is>
      </c>
      <c r="D66" t="n">
        <v>1364048.18</v>
      </c>
    </row>
    <row r="67">
      <c r="A67" t="inlineStr">
        <is>
          <t>未分类</t>
        </is>
      </c>
      <c r="B67" t="inlineStr">
        <is>
          <t>广东爱加医疗科技有限公司</t>
        </is>
      </c>
      <c r="D67" t="n">
        <v>1122605.7</v>
      </c>
    </row>
    <row r="68">
      <c r="A68" t="inlineStr">
        <is>
          <t>未分类</t>
        </is>
      </c>
      <c r="B68" t="inlineStr">
        <is>
          <t>广东穗建工程检测有限公司</t>
        </is>
      </c>
      <c r="D68" t="n">
        <v>50410</v>
      </c>
    </row>
    <row r="69">
      <c r="A69" t="inlineStr">
        <is>
          <t>未分类</t>
        </is>
      </c>
      <c r="B69" t="inlineStr">
        <is>
          <t>广东粤忠晟保安服务有限公司</t>
        </is>
      </c>
      <c r="C69" t="inlineStr">
        <is>
          <t>中建四局020020210036030002</t>
        </is>
      </c>
      <c r="D69" t="n">
        <v>2958864.38</v>
      </c>
    </row>
    <row r="70">
      <c r="A70" t="inlineStr">
        <is>
          <t>未分类</t>
        </is>
      </c>
      <c r="B70" t="inlineStr">
        <is>
          <t>广东粤忠晟保安服务有限公司</t>
        </is>
      </c>
      <c r="D70" t="n">
        <v>16840.76</v>
      </c>
    </row>
    <row r="71">
      <c r="A71" t="inlineStr">
        <is>
          <t>未分类</t>
        </is>
      </c>
      <c r="B71" t="inlineStr">
        <is>
          <t>广东金辩律师事务所</t>
        </is>
      </c>
      <c r="D71" t="n">
        <v>3773.58</v>
      </c>
    </row>
    <row r="72">
      <c r="A72" t="inlineStr">
        <is>
          <t>未分类</t>
        </is>
      </c>
      <c r="B72" t="inlineStr">
        <is>
          <t>广州东龙混凝土有限公司</t>
        </is>
      </c>
      <c r="C72" t="inlineStr">
        <is>
          <t>中建四局02002021036060014</t>
        </is>
      </c>
      <c r="D72" t="n">
        <v>43181550.91</v>
      </c>
    </row>
    <row r="73">
      <c r="A73" t="inlineStr">
        <is>
          <t>未分类</t>
        </is>
      </c>
      <c r="B73" t="inlineStr">
        <is>
          <t>广州东龙混凝土有限公司</t>
        </is>
      </c>
      <c r="D73" t="n">
        <v>1264819.86</v>
      </c>
    </row>
    <row r="74">
      <c r="A74" t="inlineStr">
        <is>
          <t>未分类</t>
        </is>
      </c>
      <c r="B74" t="inlineStr">
        <is>
          <t>广州升龙锦盛置业有限公司</t>
        </is>
      </c>
      <c r="C74" t="inlineStr">
        <is>
          <t>中建四局0200202103602001</t>
        </is>
      </c>
      <c r="D74" t="n">
        <v>1361091472.32</v>
      </c>
    </row>
    <row r="75">
      <c r="A75" t="inlineStr">
        <is>
          <t>未分类</t>
        </is>
      </c>
      <c r="B75" t="inlineStr">
        <is>
          <t>广州升龙锦盛置业有限公司</t>
        </is>
      </c>
      <c r="D75" t="n">
        <v>12445874.4</v>
      </c>
    </row>
    <row r="76">
      <c r="A76" t="inlineStr">
        <is>
          <t>未分类</t>
        </is>
      </c>
      <c r="B76" t="inlineStr">
        <is>
          <t>广州嘉特电子科技有限公司</t>
        </is>
      </c>
      <c r="D76" t="n">
        <v>264732.9</v>
      </c>
    </row>
    <row r="77">
      <c r="A77" t="inlineStr">
        <is>
          <t>未分类</t>
        </is>
      </c>
      <c r="B77" t="inlineStr">
        <is>
          <t>广州国盛医学检验所有限公司</t>
        </is>
      </c>
      <c r="D77" t="n">
        <v>303000</v>
      </c>
    </row>
    <row r="78">
      <c r="A78" t="inlineStr">
        <is>
          <t>未分类</t>
        </is>
      </c>
      <c r="B78" t="inlineStr">
        <is>
          <t>广州国际创新城一期C居住地块项目施工总承包及总承包管理配合服务</t>
        </is>
      </c>
      <c r="D78" t="n">
        <v>394628.84</v>
      </c>
    </row>
    <row r="79">
      <c r="A79" t="inlineStr">
        <is>
          <t>未分类</t>
        </is>
      </c>
      <c r="B79" t="inlineStr">
        <is>
          <t>广州富莱盛家具有限公司</t>
        </is>
      </c>
      <c r="C79" t="inlineStr">
        <is>
          <t>ZZZZ</t>
        </is>
      </c>
      <c r="D79" t="n">
        <v>121500</v>
      </c>
    </row>
    <row r="80">
      <c r="A80" t="inlineStr">
        <is>
          <t>未分类</t>
        </is>
      </c>
      <c r="B80" t="inlineStr">
        <is>
          <t>广州富莱盛家具有限公司</t>
        </is>
      </c>
      <c r="D80" t="n">
        <v>430230</v>
      </c>
    </row>
    <row r="81">
      <c r="A81" t="inlineStr">
        <is>
          <t>未分类</t>
        </is>
      </c>
      <c r="B81" t="inlineStr">
        <is>
          <t>广州小老虎建筑机械租赁有限公司</t>
        </is>
      </c>
      <c r="C81" t="inlineStr">
        <is>
          <t>中建四局0200202103605001</t>
        </is>
      </c>
      <c r="D81" t="n">
        <v>17923151.27</v>
      </c>
    </row>
    <row r="82">
      <c r="A82" t="inlineStr">
        <is>
          <t>未分类</t>
        </is>
      </c>
      <c r="B82" t="inlineStr">
        <is>
          <t>广州小老虎建筑机械租赁有限公司</t>
        </is>
      </c>
      <c r="D82" t="n">
        <v>1423809.25</v>
      </c>
    </row>
    <row r="83">
      <c r="A83" t="inlineStr">
        <is>
          <t>未分类</t>
        </is>
      </c>
      <c r="B83" t="inlineStr">
        <is>
          <t>广州市万有达建筑工程有限公司</t>
        </is>
      </c>
      <c r="C83" t="inlineStr">
        <is>
          <t>中建四局0200202103604002</t>
        </is>
      </c>
      <c r="D83" t="n">
        <v>85828408.33</v>
      </c>
    </row>
    <row r="84">
      <c r="A84" t="inlineStr">
        <is>
          <t>未分类</t>
        </is>
      </c>
      <c r="B84" t="inlineStr">
        <is>
          <t>广州市万有达建筑工程有限公司</t>
        </is>
      </c>
      <c r="D84" t="n">
        <v>9248979.4</v>
      </c>
    </row>
    <row r="85">
      <c r="A85" t="inlineStr">
        <is>
          <t>未分类</t>
        </is>
      </c>
      <c r="B85" t="inlineStr">
        <is>
          <t>广州市万竣混凝土有限公司</t>
        </is>
      </c>
      <c r="C85" t="inlineStr">
        <is>
          <t>中建四局0200202103606001</t>
        </is>
      </c>
      <c r="D85" t="n">
        <v>37408736.19</v>
      </c>
    </row>
    <row r="86">
      <c r="A86" t="inlineStr">
        <is>
          <t>未分类</t>
        </is>
      </c>
      <c r="B86" t="inlineStr">
        <is>
          <t>广州市万竣混凝土有限公司</t>
        </is>
      </c>
      <c r="D86" t="n">
        <v>1088194.2</v>
      </c>
    </row>
    <row r="87">
      <c r="A87" t="inlineStr">
        <is>
          <t>未分类</t>
        </is>
      </c>
      <c r="B87" t="inlineStr">
        <is>
          <t>广州市中洁环境工程有限公司花都分公司</t>
        </is>
      </c>
      <c r="D87" t="n">
        <v>92400</v>
      </c>
    </row>
    <row r="88">
      <c r="A88" t="inlineStr">
        <is>
          <t>未分类</t>
        </is>
      </c>
      <c r="B88" t="inlineStr">
        <is>
          <t>广州市国防教育训练基地一期工程施工总承包</t>
        </is>
      </c>
      <c r="D88" t="n">
        <v>219339.69</v>
      </c>
    </row>
    <row r="89">
      <c r="A89" t="inlineStr">
        <is>
          <t>未分类</t>
        </is>
      </c>
      <c r="B89" t="inlineStr">
        <is>
          <t>广州市增城区群星项目复建区6号地块施工总承包及总承包管理配合服务工程</t>
        </is>
      </c>
      <c r="D89" t="n">
        <v>1000000</v>
      </c>
    </row>
    <row r="90">
      <c r="A90" t="inlineStr">
        <is>
          <t>未分类</t>
        </is>
      </c>
      <c r="B90" t="inlineStr">
        <is>
          <t>广州市洪康通办公设备有限公司</t>
        </is>
      </c>
      <c r="D90" t="n">
        <v>83645.5</v>
      </c>
    </row>
    <row r="91">
      <c r="A91" t="inlineStr">
        <is>
          <t>未分类</t>
        </is>
      </c>
      <c r="B91" t="inlineStr">
        <is>
          <t>广州市番禺区石楼镇沙南建材二厂</t>
        </is>
      </c>
      <c r="C91" t="inlineStr">
        <is>
          <t>中建四局0200202103606005</t>
        </is>
      </c>
      <c r="D91" t="n">
        <v>2761840.8</v>
      </c>
    </row>
    <row r="92">
      <c r="A92" t="inlineStr">
        <is>
          <t>未分类</t>
        </is>
      </c>
      <c r="B92" t="inlineStr">
        <is>
          <t>广州市番禺区石楼镇沙南建材二厂</t>
        </is>
      </c>
      <c r="D92" t="n">
        <v>317743.06</v>
      </c>
    </row>
    <row r="93">
      <c r="A93" t="inlineStr">
        <is>
          <t>未分类</t>
        </is>
      </c>
      <c r="B93" t="inlineStr">
        <is>
          <t>广州市盈园绿化清洁管理有限公司</t>
        </is>
      </c>
      <c r="D93" t="n">
        <v>214665</v>
      </c>
    </row>
    <row r="94">
      <c r="A94" t="inlineStr">
        <is>
          <t>未分类</t>
        </is>
      </c>
      <c r="B94" t="inlineStr">
        <is>
          <t>广州市立成建筑工程咨询有限公司</t>
        </is>
      </c>
      <c r="D94" t="n">
        <v>18000</v>
      </c>
    </row>
    <row r="95">
      <c r="A95" t="inlineStr">
        <is>
          <t>未分类</t>
        </is>
      </c>
      <c r="B95" t="inlineStr">
        <is>
          <t>广州市耀泽贸易有限公司</t>
        </is>
      </c>
      <c r="D95" t="n">
        <v>52500</v>
      </c>
    </row>
    <row r="96">
      <c r="A96" t="inlineStr">
        <is>
          <t>未分类</t>
        </is>
      </c>
      <c r="B96" t="inlineStr">
        <is>
          <t>广州市花都区凤凰路西二地块项目设计施工（EPC）总承包</t>
        </is>
      </c>
      <c r="D96" t="n">
        <v>1293325.98</v>
      </c>
    </row>
    <row r="97">
      <c r="A97" t="inlineStr">
        <is>
          <t>未分类</t>
        </is>
      </c>
      <c r="B97" t="inlineStr">
        <is>
          <t>广州市萝岗区佳优图文广告服务部</t>
        </is>
      </c>
      <c r="D97" t="n">
        <v>285928</v>
      </c>
    </row>
    <row r="98">
      <c r="A98" t="inlineStr">
        <is>
          <t>未分类</t>
        </is>
      </c>
      <c r="B98" t="inlineStr">
        <is>
          <t>广州市黄埔区文人文具店</t>
        </is>
      </c>
      <c r="D98" t="n">
        <v>60301</v>
      </c>
    </row>
    <row r="99">
      <c r="A99" t="inlineStr">
        <is>
          <t>未分类</t>
        </is>
      </c>
      <c r="B99" t="inlineStr">
        <is>
          <t>广州市黄埔区水世纪经营部</t>
        </is>
      </c>
      <c r="D99" t="n">
        <v>27104</v>
      </c>
    </row>
    <row r="100">
      <c r="A100" t="inlineStr">
        <is>
          <t>未分类</t>
        </is>
      </c>
      <c r="B100" t="inlineStr">
        <is>
          <t>广州市黄埔区汤村村旧村改造项目融资商业区一期施工总承包及总承包管理配合服务工程</t>
        </is>
      </c>
      <c r="D100" t="n">
        <v>39470765.82</v>
      </c>
    </row>
    <row r="101">
      <c r="A101" t="inlineStr">
        <is>
          <t>未分类</t>
        </is>
      </c>
      <c r="B101" t="inlineStr">
        <is>
          <t>广州市黄埔区汤村项目九年一贯制学校（融资地块四）施工总承包及总承包管理配合服务</t>
        </is>
      </c>
      <c r="D101" t="n">
        <v>9902672.67</v>
      </c>
    </row>
    <row r="102">
      <c r="A102" t="inlineStr">
        <is>
          <t>未分类</t>
        </is>
      </c>
      <c r="B102" t="inlineStr">
        <is>
          <t>广州易达运输有限公司</t>
        </is>
      </c>
      <c r="C102" t="inlineStr">
        <is>
          <t>中建四局0200202103605002</t>
        </is>
      </c>
      <c r="D102" t="n">
        <v>121365.74</v>
      </c>
    </row>
    <row r="103">
      <c r="A103" t="inlineStr">
        <is>
          <t>未分类</t>
        </is>
      </c>
      <c r="B103" t="inlineStr">
        <is>
          <t>广州易达运输有限公司</t>
        </is>
      </c>
      <c r="D103" t="n">
        <v>3535.15</v>
      </c>
    </row>
    <row r="104">
      <c r="A104" t="inlineStr">
        <is>
          <t>未分类</t>
        </is>
      </c>
      <c r="B104" t="inlineStr">
        <is>
          <t>广州稔华建材有限公司</t>
        </is>
      </c>
      <c r="C104" t="inlineStr">
        <is>
          <t>中建四局0200202103606009</t>
        </is>
      </c>
      <c r="D104" t="n">
        <v>1575103.81</v>
      </c>
    </row>
    <row r="105">
      <c r="A105" t="inlineStr">
        <is>
          <t>未分类</t>
        </is>
      </c>
      <c r="B105" t="inlineStr">
        <is>
          <t>广州稔华建材有限公司</t>
        </is>
      </c>
      <c r="D105" t="n">
        <v>194448.77</v>
      </c>
    </row>
    <row r="106">
      <c r="A106" t="inlineStr">
        <is>
          <t>未分类</t>
        </is>
      </c>
      <c r="B106" t="inlineStr">
        <is>
          <t>广州穗镓工程技术有限公司</t>
        </is>
      </c>
      <c r="D106" t="n">
        <v>1425138</v>
      </c>
    </row>
    <row r="107">
      <c r="A107" t="inlineStr">
        <is>
          <t>未分类</t>
        </is>
      </c>
      <c r="B107" t="inlineStr">
        <is>
          <t>广州辰辰建材租赁有限公司</t>
        </is>
      </c>
      <c r="C107" t="inlineStr">
        <is>
          <t>中建四局0200202103606007</t>
        </is>
      </c>
      <c r="D107" t="n">
        <v>1008095.6</v>
      </c>
    </row>
    <row r="108">
      <c r="A108" t="inlineStr">
        <is>
          <t>未分类</t>
        </is>
      </c>
      <c r="B108" t="inlineStr">
        <is>
          <t>广州辰辰建材租赁有限公司</t>
        </is>
      </c>
      <c r="D108" t="n">
        <v>115975.6</v>
      </c>
    </row>
    <row r="109">
      <c r="A109" t="inlineStr">
        <is>
          <t>未分类</t>
        </is>
      </c>
      <c r="B109" t="inlineStr">
        <is>
          <t>广州银行股份有限公司</t>
        </is>
      </c>
      <c r="D109" t="n">
        <v>1139216</v>
      </c>
    </row>
    <row r="110">
      <c r="A110" t="inlineStr">
        <is>
          <t>未分类</t>
        </is>
      </c>
      <c r="B110" t="inlineStr">
        <is>
          <t>广州陇飞广告有限公司</t>
        </is>
      </c>
      <c r="D110" t="n">
        <v>2060</v>
      </c>
    </row>
    <row r="111">
      <c r="A111" t="inlineStr">
        <is>
          <t>未分类</t>
        </is>
      </c>
      <c r="B111" t="inlineStr">
        <is>
          <t>广清城际轨道交通项目(花都段)安置区工程（新华街三华安置区)施工总承包</t>
        </is>
      </c>
      <c r="D111" t="n">
        <v>181408.23</v>
      </c>
    </row>
    <row r="112">
      <c r="A112" t="inlineStr">
        <is>
          <t>未分类</t>
        </is>
      </c>
      <c r="B112" t="inlineStr">
        <is>
          <t>无客商-2021年12月增值</t>
        </is>
      </c>
      <c r="D112" t="n">
        <v>7100917.44</v>
      </c>
    </row>
    <row r="113">
      <c r="A113" t="inlineStr">
        <is>
          <t>未分类</t>
        </is>
      </c>
      <c r="B113" t="inlineStr">
        <is>
          <t>无客商-2022年02月增值</t>
        </is>
      </c>
      <c r="D113" t="n">
        <v>-350991.72</v>
      </c>
    </row>
    <row r="114">
      <c r="A114" t="inlineStr">
        <is>
          <t>未分类</t>
        </is>
      </c>
      <c r="B114" t="inlineStr">
        <is>
          <t>无客商-2022年03月增值</t>
        </is>
      </c>
      <c r="D114" t="n">
        <v>-203488.18</v>
      </c>
    </row>
    <row r="115">
      <c r="A115" t="inlineStr">
        <is>
          <t>未分类</t>
        </is>
      </c>
      <c r="B115" t="inlineStr">
        <is>
          <t>无客商-2022年04月增值</t>
        </is>
      </c>
      <c r="D115" t="n">
        <v>-313295.52</v>
      </c>
    </row>
    <row r="116">
      <c r="A116" t="inlineStr">
        <is>
          <t>未分类</t>
        </is>
      </c>
      <c r="B116" t="inlineStr">
        <is>
          <t>无客商-2022年05月增值</t>
        </is>
      </c>
      <c r="D116" t="n">
        <v>4058306.54</v>
      </c>
    </row>
    <row r="117">
      <c r="A117" t="inlineStr">
        <is>
          <t>未分类</t>
        </is>
      </c>
      <c r="B117" t="inlineStr">
        <is>
          <t>无客商-2022年06月增值</t>
        </is>
      </c>
      <c r="D117" t="n">
        <v>-1324235.28</v>
      </c>
    </row>
    <row r="118">
      <c r="A118" t="inlineStr">
        <is>
          <t>未分类</t>
        </is>
      </c>
      <c r="B118" t="inlineStr">
        <is>
          <t>无客商-2022年07月增值</t>
        </is>
      </c>
      <c r="D118" t="n">
        <v>1933283</v>
      </c>
    </row>
    <row r="119">
      <c r="A119" t="inlineStr">
        <is>
          <t>未分类</t>
        </is>
      </c>
      <c r="B119" t="inlineStr">
        <is>
          <t>无客商-2022年08月增值</t>
        </is>
      </c>
      <c r="D119" t="n">
        <v>3315112.4</v>
      </c>
    </row>
    <row r="120">
      <c r="A120" t="inlineStr">
        <is>
          <t>未分类</t>
        </is>
      </c>
      <c r="B120" t="inlineStr">
        <is>
          <t>无客商-2022年09月增值</t>
        </is>
      </c>
      <c r="D120" t="n">
        <v>-1865172.72</v>
      </c>
    </row>
    <row r="121">
      <c r="A121" t="inlineStr">
        <is>
          <t>未分类</t>
        </is>
      </c>
      <c r="B121" t="inlineStr">
        <is>
          <t>无客商-2022年10月增值</t>
        </is>
      </c>
      <c r="D121" t="n">
        <v>-1202292.34</v>
      </c>
    </row>
    <row r="122">
      <c r="A122" t="inlineStr">
        <is>
          <t>未分类</t>
        </is>
      </c>
      <c r="B122" t="inlineStr">
        <is>
          <t>无客商-2022年11月印花</t>
        </is>
      </c>
      <c r="D122" t="n">
        <v>54610.74</v>
      </c>
    </row>
    <row r="123">
      <c r="A123" t="inlineStr">
        <is>
          <t>未分类</t>
        </is>
      </c>
      <c r="B123" t="inlineStr">
        <is>
          <t>无客商-2022年11月增值</t>
        </is>
      </c>
      <c r="D123" t="n">
        <v>-4498758.94</v>
      </c>
    </row>
    <row r="124">
      <c r="A124" t="inlineStr">
        <is>
          <t>未分类</t>
        </is>
      </c>
      <c r="B124" t="inlineStr">
        <is>
          <t>无客商-2022年12月增值</t>
        </is>
      </c>
      <c r="D124" t="n">
        <v>7600460.8</v>
      </c>
    </row>
    <row r="125">
      <c r="A125" t="inlineStr">
        <is>
          <t>未分类</t>
        </is>
      </c>
      <c r="B125" t="inlineStr">
        <is>
          <t>无客商-2023年01月增值</t>
        </is>
      </c>
      <c r="D125" t="n">
        <v>-4084890.78</v>
      </c>
    </row>
    <row r="126">
      <c r="A126" t="inlineStr">
        <is>
          <t>未分类</t>
        </is>
      </c>
      <c r="B126" t="inlineStr">
        <is>
          <t>无客商-2023年02月增值</t>
        </is>
      </c>
      <c r="D126" t="n">
        <v>-179419.58</v>
      </c>
    </row>
    <row r="127">
      <c r="A127" t="inlineStr">
        <is>
          <t>未分类</t>
        </is>
      </c>
      <c r="B127" t="inlineStr">
        <is>
          <t>无客商-2023年03月增值</t>
        </is>
      </c>
      <c r="D127" t="n">
        <v>-82433.84</v>
      </c>
    </row>
    <row r="128">
      <c r="A128" t="inlineStr">
        <is>
          <t>未分类</t>
        </is>
      </c>
      <c r="B128" t="inlineStr">
        <is>
          <t>无客商-2023年05月增值</t>
        </is>
      </c>
      <c r="D128" t="n">
        <v>-275619.6</v>
      </c>
    </row>
    <row r="129">
      <c r="A129" t="inlineStr">
        <is>
          <t>未分类</t>
        </is>
      </c>
      <c r="B129" t="inlineStr">
        <is>
          <t>无客商-2024年07月增值</t>
        </is>
      </c>
      <c r="D129" t="n">
        <v>-0.02</v>
      </c>
    </row>
    <row r="130">
      <c r="A130" t="inlineStr">
        <is>
          <t>未分类</t>
        </is>
      </c>
      <c r="B130" t="inlineStr">
        <is>
          <t>无客商-2025年01月增值</t>
        </is>
      </c>
      <c r="D130" t="n">
        <v>-874404.92</v>
      </c>
    </row>
    <row r="131">
      <c r="A131" t="inlineStr">
        <is>
          <t>未分类</t>
        </is>
      </c>
      <c r="B131" t="inlineStr">
        <is>
          <t>无客商-2025年岗位证书新</t>
        </is>
      </c>
      <c r="D131" t="n">
        <v>3214.8</v>
      </c>
    </row>
    <row r="132">
      <c r="A132" t="inlineStr">
        <is>
          <t>未分类</t>
        </is>
      </c>
      <c r="B132" t="inlineStr">
        <is>
          <t>无客商-AFB/01/202</t>
        </is>
      </c>
      <c r="D132" t="n">
        <v>8068.7</v>
      </c>
    </row>
    <row r="133">
      <c r="A133" t="inlineStr">
        <is>
          <t>未分类</t>
        </is>
      </c>
      <c r="B133" t="inlineStr">
        <is>
          <t>无客商-「广州市黄埔区汤村项</t>
        </is>
      </c>
      <c r="C133" t="inlineStr">
        <is>
          <t>中建四局0200202103602001</t>
        </is>
      </c>
      <c r="D133" t="n">
        <v>172796305.38</v>
      </c>
    </row>
    <row r="134">
      <c r="A134" t="inlineStr">
        <is>
          <t>未分类</t>
        </is>
      </c>
      <c r="B134" t="inlineStr">
        <is>
          <t>无客商-「广州市黄埔区汤村项</t>
        </is>
      </c>
      <c r="D134" t="n">
        <v>389445582.06</v>
      </c>
    </row>
    <row r="135">
      <c r="A135" t="inlineStr">
        <is>
          <t>未分类</t>
        </is>
      </c>
      <c r="B135" t="inlineStr">
        <is>
          <t>无客商-上缴凭证</t>
        </is>
      </c>
      <c r="D135" t="n">
        <v>6905342.34</v>
      </c>
    </row>
    <row r="136">
      <c r="A136" t="inlineStr">
        <is>
          <t>未分类</t>
        </is>
      </c>
      <c r="B136" t="inlineStr">
        <is>
          <t>无客商-付广州市黄埔区汤村村</t>
        </is>
      </c>
      <c r="D136" t="n">
        <v>2604.55</v>
      </c>
    </row>
    <row r="137">
      <c r="A137" t="inlineStr">
        <is>
          <t>未分类</t>
        </is>
      </c>
      <c r="B137" t="inlineStr">
        <is>
          <t>无客商-付广州市黄埔区汤村项</t>
        </is>
      </c>
      <c r="D137" t="n">
        <v>1896.74</v>
      </c>
    </row>
    <row r="138">
      <c r="A138" t="inlineStr">
        <is>
          <t>未分类</t>
        </is>
      </c>
      <c r="B138" t="inlineStr">
        <is>
          <t>无客商-付款失败重新支付-湖</t>
        </is>
      </c>
      <c r="D138" t="n">
        <v>2000000</v>
      </c>
    </row>
    <row r="139">
      <c r="A139" t="inlineStr">
        <is>
          <t>未分类</t>
        </is>
      </c>
      <c r="B139" t="inlineStr">
        <is>
          <t>无客商-劳务费</t>
        </is>
      </c>
      <c r="D139" t="n">
        <v>5148656.49</v>
      </c>
    </row>
    <row r="140">
      <c r="A140" t="inlineStr">
        <is>
          <t>未分类</t>
        </is>
      </c>
      <c r="B140" t="inlineStr">
        <is>
          <t>无客商-发放汤村复1地块8月</t>
        </is>
      </c>
      <c r="D140" t="n">
        <v>81041.85000000001</v>
      </c>
    </row>
    <row r="141">
      <c r="A141" t="inlineStr">
        <is>
          <t>未分类</t>
        </is>
      </c>
      <c r="B141" t="inlineStr">
        <is>
          <t>无客商-发放汤村旧改复建区1</t>
        </is>
      </c>
      <c r="D141" t="n">
        <v>44520</v>
      </c>
    </row>
    <row r="142">
      <c r="A142" t="inlineStr">
        <is>
          <t>未分类</t>
        </is>
      </c>
      <c r="B142" t="inlineStr">
        <is>
          <t>无客商-增值税期末结转</t>
        </is>
      </c>
      <c r="D142" t="n">
        <v>27654852.02</v>
      </c>
    </row>
    <row r="143">
      <c r="A143" t="inlineStr">
        <is>
          <t>未分类</t>
        </is>
      </c>
      <c r="B143" t="inlineStr">
        <is>
          <t>无客商-复1收广东新添美安防</t>
        </is>
      </c>
      <c r="D143" t="n">
        <v>24770.64</v>
      </c>
    </row>
    <row r="144">
      <c r="A144" t="inlineStr">
        <is>
          <t>未分类</t>
        </is>
      </c>
      <c r="B144" t="inlineStr">
        <is>
          <t>无客商-复建地块一海南碧桂园</t>
        </is>
      </c>
      <c r="D144" t="n">
        <v>183181.97</v>
      </c>
    </row>
    <row r="145">
      <c r="A145" t="inlineStr">
        <is>
          <t>未分类</t>
        </is>
      </c>
      <c r="B145" t="inlineStr">
        <is>
          <t>无客商-广州东龙混凝土有限公</t>
        </is>
      </c>
      <c r="D145" t="n">
        <v>5302833</v>
      </c>
    </row>
    <row r="146">
      <c r="A146" t="inlineStr">
        <is>
          <t>未分类</t>
        </is>
      </c>
      <c r="B146" t="inlineStr">
        <is>
          <t>无客商-应付汤村复一广州市万</t>
        </is>
      </c>
      <c r="D146" t="n">
        <v>4201941.38</v>
      </c>
    </row>
    <row r="147">
      <c r="A147" t="inlineStr">
        <is>
          <t>未分类</t>
        </is>
      </c>
      <c r="B147" t="inlineStr">
        <is>
          <t>无客商-应付汤村复一项目东莞</t>
        </is>
      </c>
      <c r="D147" t="n">
        <v>2678965.24</v>
      </c>
    </row>
    <row r="148">
      <c r="A148" t="inlineStr">
        <is>
          <t>未分类</t>
        </is>
      </c>
      <c r="B148" t="inlineStr">
        <is>
          <t>无客商-应付汤村复一项目中励</t>
        </is>
      </c>
      <c r="D148" t="n">
        <v>23889974.12</v>
      </c>
    </row>
    <row r="149">
      <c r="A149" t="inlineStr">
        <is>
          <t>未分类</t>
        </is>
      </c>
      <c r="B149" t="inlineStr">
        <is>
          <t>无客商-应付汤村复一项目佛山</t>
        </is>
      </c>
      <c r="D149" t="n">
        <v>5420361.37</v>
      </c>
    </row>
    <row r="150">
      <c r="A150" t="inlineStr">
        <is>
          <t>未分类</t>
        </is>
      </c>
      <c r="B150" t="inlineStr">
        <is>
          <t>无客商-应付汤村复一项目广东</t>
        </is>
      </c>
      <c r="D150" t="n">
        <v>11516250.3</v>
      </c>
    </row>
    <row r="151">
      <c r="A151" t="inlineStr">
        <is>
          <t>未分类</t>
        </is>
      </c>
      <c r="B151" t="inlineStr">
        <is>
          <t>无客商-应付汤村复一项目广州</t>
        </is>
      </c>
      <c r="D151" t="n">
        <v>30372276.23</v>
      </c>
    </row>
    <row r="152">
      <c r="A152" t="inlineStr">
        <is>
          <t>未分类</t>
        </is>
      </c>
      <c r="B152" t="inlineStr">
        <is>
          <t>无客商-应付汤村复一项目清远</t>
        </is>
      </c>
      <c r="D152" t="n">
        <v>888546.15</v>
      </c>
    </row>
    <row r="153">
      <c r="A153" t="inlineStr">
        <is>
          <t>未分类</t>
        </is>
      </c>
      <c r="B153" t="inlineStr">
        <is>
          <t>无客商-应付汤村复一项目湖南</t>
        </is>
      </c>
      <c r="D153" t="n">
        <v>22027631.26</v>
      </c>
    </row>
    <row r="154">
      <c r="A154" t="inlineStr">
        <is>
          <t>未分类</t>
        </is>
      </c>
      <c r="B154" t="inlineStr">
        <is>
          <t>无客商-应付汤村复建地块一项</t>
        </is>
      </c>
      <c r="D154" t="n">
        <v>516260.19</v>
      </c>
    </row>
    <row r="155">
      <c r="A155" t="inlineStr">
        <is>
          <t>未分类</t>
        </is>
      </c>
      <c r="B155" t="inlineStr">
        <is>
          <t>无客商-应付汤村旧改项目复建</t>
        </is>
      </c>
      <c r="D155" t="n">
        <v>616699.21</v>
      </c>
    </row>
    <row r="156">
      <c r="A156" t="inlineStr">
        <is>
          <t>未分类</t>
        </is>
      </c>
      <c r="B156" t="inlineStr">
        <is>
          <t>无客商-应付汤村项目复一广东</t>
        </is>
      </c>
      <c r="D156" t="n">
        <v>44197.87</v>
      </c>
    </row>
    <row r="157">
      <c r="A157" t="inlineStr">
        <is>
          <t>未分类</t>
        </is>
      </c>
      <c r="B157" t="inlineStr">
        <is>
          <t>无客商-应付汤村项目复建区1</t>
        </is>
      </c>
      <c r="D157" t="n">
        <v>4513782.22</v>
      </c>
    </row>
    <row r="158">
      <c r="A158" t="inlineStr">
        <is>
          <t>未分类</t>
        </is>
      </c>
      <c r="B158" t="inlineStr">
        <is>
          <t>无客商-应付汤村项目复建地块</t>
        </is>
      </c>
      <c r="D158" t="n">
        <v>335549.09</v>
      </c>
    </row>
    <row r="159">
      <c r="A159" t="inlineStr">
        <is>
          <t>未分类</t>
        </is>
      </c>
      <c r="B159" t="inlineStr">
        <is>
          <t>无客商-应付黄埔区汤村项目复</t>
        </is>
      </c>
      <c r="D159" t="n">
        <v>10016495.5</v>
      </c>
    </row>
    <row r="160">
      <c r="A160" t="inlineStr">
        <is>
          <t>未分类</t>
        </is>
      </c>
      <c r="B160" t="inlineStr">
        <is>
          <t>无客商-废旧物资处置-广州市</t>
        </is>
      </c>
      <c r="D160" t="n">
        <v>1976.01</v>
      </c>
    </row>
    <row r="161">
      <c r="A161" t="inlineStr">
        <is>
          <t>未分类</t>
        </is>
      </c>
      <c r="B161" t="inlineStr">
        <is>
          <t>无客商-报销汤村项目2024</t>
        </is>
      </c>
      <c r="D161" t="n">
        <v>18.03</v>
      </c>
    </row>
    <row r="162">
      <c r="A162" t="inlineStr">
        <is>
          <t>未分类</t>
        </is>
      </c>
      <c r="B162" t="inlineStr">
        <is>
          <t>无客商-报销汤村项目贺栋邮寄</t>
        </is>
      </c>
      <c r="D162" t="n">
        <v>7.23</v>
      </c>
    </row>
    <row r="163">
      <c r="A163" t="inlineStr">
        <is>
          <t>未分类</t>
        </is>
      </c>
      <c r="B163" t="inlineStr">
        <is>
          <t>无客商-支付2023年6月一</t>
        </is>
      </c>
      <c r="D163" t="n">
        <v>31357</v>
      </c>
    </row>
    <row r="164">
      <c r="A164" t="inlineStr">
        <is>
          <t>未分类</t>
        </is>
      </c>
      <c r="B164" t="inlineStr">
        <is>
          <t>无客商-支付2023年6月局</t>
        </is>
      </c>
      <c r="D164" t="n">
        <v>17025.12</v>
      </c>
    </row>
    <row r="165">
      <c r="A165" t="inlineStr">
        <is>
          <t>未分类</t>
        </is>
      </c>
      <c r="B165" t="inlineStr">
        <is>
          <t>无客商-支付2023年度广州</t>
        </is>
      </c>
      <c r="D165" t="n">
        <v>29630.92</v>
      </c>
    </row>
    <row r="166">
      <c r="A166" t="inlineStr">
        <is>
          <t>未分类</t>
        </is>
      </c>
      <c r="B166" t="inlineStr">
        <is>
          <t>无客商-支付中国大地财产保险</t>
        </is>
      </c>
      <c r="D166" t="n">
        <v>25961.8</v>
      </c>
    </row>
    <row r="167">
      <c r="A167" t="inlineStr">
        <is>
          <t>未分类</t>
        </is>
      </c>
      <c r="B167" t="inlineStr">
        <is>
          <t>无客商-支付凤凰路西二地块项</t>
        </is>
      </c>
      <c r="D167" t="n">
        <v>49596.56</v>
      </c>
    </row>
    <row r="168">
      <c r="A168" t="inlineStr">
        <is>
          <t>未分类</t>
        </is>
      </c>
      <c r="B168" t="inlineStr">
        <is>
          <t>无客商-支付复建区1号地块深</t>
        </is>
      </c>
      <c r="D168" t="n">
        <v>90600</v>
      </c>
    </row>
    <row r="169">
      <c r="A169" t="inlineStr">
        <is>
          <t>未分类</t>
        </is>
      </c>
      <c r="B169" t="inlineStr">
        <is>
          <t>无客商-支付天下行（广州）贸</t>
        </is>
      </c>
      <c r="D169" t="n">
        <v>148.5</v>
      </c>
    </row>
    <row r="170">
      <c r="A170" t="inlineStr">
        <is>
          <t>未分类</t>
        </is>
      </c>
      <c r="B170" t="inlineStr">
        <is>
          <t>无客商-支付局代付汤村复建区</t>
        </is>
      </c>
      <c r="D170" t="n">
        <v>13893.66</v>
      </c>
    </row>
    <row r="171">
      <c r="A171" t="inlineStr">
        <is>
          <t>未分类</t>
        </is>
      </c>
      <c r="B171" t="inlineStr">
        <is>
          <t>无客商-支付广州分公司代付汤</t>
        </is>
      </c>
      <c r="D171" t="n">
        <v>36498.99</v>
      </c>
    </row>
    <row r="172">
      <c r="A172" t="inlineStr">
        <is>
          <t>未分类</t>
        </is>
      </c>
      <c r="B172" t="inlineStr">
        <is>
          <t>无客商-支付广州国盛医学检验</t>
        </is>
      </c>
      <c r="D172" t="n">
        <v>87474</v>
      </c>
    </row>
    <row r="173">
      <c r="A173" t="inlineStr">
        <is>
          <t>未分类</t>
        </is>
      </c>
      <c r="B173" t="inlineStr">
        <is>
          <t>无客商-支付广州市盈园绿化清</t>
        </is>
      </c>
      <c r="D173" t="n">
        <v>6131.63</v>
      </c>
    </row>
    <row r="174">
      <c r="A174" t="inlineStr">
        <is>
          <t>未分类</t>
        </is>
      </c>
      <c r="B174" t="inlineStr">
        <is>
          <t>无客商-支付广州市黄埔区文人</t>
        </is>
      </c>
      <c r="D174" t="n">
        <v>298.52</v>
      </c>
    </row>
    <row r="175">
      <c r="A175" t="inlineStr">
        <is>
          <t>未分类</t>
        </is>
      </c>
      <c r="B175" t="inlineStr">
        <is>
          <t>无客商-支付广州市黄埔区水世</t>
        </is>
      </c>
      <c r="D175" t="n">
        <v>79.51000000000001</v>
      </c>
    </row>
    <row r="176">
      <c r="A176" t="inlineStr">
        <is>
          <t>未分类</t>
        </is>
      </c>
      <c r="B176" t="inlineStr">
        <is>
          <t>无客商-支付广州市黄埔区汤村</t>
        </is>
      </c>
      <c r="D176" t="n">
        <v>7449.16</v>
      </c>
    </row>
    <row r="177">
      <c r="A177" t="inlineStr">
        <is>
          <t>未分类</t>
        </is>
      </c>
      <c r="B177" t="inlineStr">
        <is>
          <t>无客商-支付机关代付汤村复建</t>
        </is>
      </c>
      <c r="D177" t="n">
        <v>58974</v>
      </c>
    </row>
    <row r="178">
      <c r="A178" t="inlineStr">
        <is>
          <t>未分类</t>
        </is>
      </c>
      <c r="B178" t="inlineStr">
        <is>
          <t>无客商-支付林桂生报销汤村旧</t>
        </is>
      </c>
      <c r="D178" t="n">
        <v>107.68</v>
      </c>
    </row>
    <row r="179">
      <c r="A179" t="inlineStr">
        <is>
          <t>未分类</t>
        </is>
      </c>
      <c r="B179" t="inlineStr">
        <is>
          <t>无客商-支付正工模块化建筑科</t>
        </is>
      </c>
      <c r="D179" t="n">
        <v>203449.92</v>
      </c>
    </row>
    <row r="180">
      <c r="A180" t="inlineStr">
        <is>
          <t>未分类</t>
        </is>
      </c>
      <c r="B180" t="inlineStr">
        <is>
          <t>无客商-支付汤村复1地块20</t>
        </is>
      </c>
      <c r="D180" t="n">
        <v>1328860.43</v>
      </c>
    </row>
    <row r="181">
      <c r="A181" t="inlineStr">
        <is>
          <t>未分类</t>
        </is>
      </c>
      <c r="B181" t="inlineStr">
        <is>
          <t>无客商-支付汤村复1地块工会</t>
        </is>
      </c>
      <c r="D181" t="n">
        <v>14158.44</v>
      </c>
    </row>
    <row r="182">
      <c r="A182" t="inlineStr">
        <is>
          <t>未分类</t>
        </is>
      </c>
      <c r="B182" t="inlineStr">
        <is>
          <t>无客商-支付汤村复1项目20</t>
        </is>
      </c>
      <c r="D182" t="n">
        <v>55204.17</v>
      </c>
    </row>
    <row r="183">
      <c r="A183" t="inlineStr">
        <is>
          <t>未分类</t>
        </is>
      </c>
      <c r="B183" t="inlineStr">
        <is>
          <t>无客商-支付汤村复一项目清远</t>
        </is>
      </c>
      <c r="D183" t="n">
        <v>10693.46</v>
      </c>
    </row>
    <row r="184">
      <c r="A184" t="inlineStr">
        <is>
          <t>未分类</t>
        </is>
      </c>
      <c r="B184" t="inlineStr">
        <is>
          <t>无客商-支付汤村复一项目简显</t>
        </is>
      </c>
      <c r="D184" t="n">
        <v>584.37</v>
      </c>
    </row>
    <row r="185">
      <c r="A185" t="inlineStr">
        <is>
          <t>未分类</t>
        </is>
      </c>
      <c r="B185" t="inlineStr">
        <is>
          <t>无客商-支付汤村复建区1号地</t>
        </is>
      </c>
      <c r="D185" t="n">
        <v>1252719.34</v>
      </c>
    </row>
    <row r="186">
      <c r="A186" t="inlineStr">
        <is>
          <t>未分类</t>
        </is>
      </c>
      <c r="B186" t="inlineStr">
        <is>
          <t>无客商-支付汤村旧改复建1号</t>
        </is>
      </c>
      <c r="D186" t="n">
        <v>24747.75</v>
      </c>
    </row>
    <row r="187">
      <c r="A187" t="inlineStr">
        <is>
          <t>未分类</t>
        </is>
      </c>
      <c r="B187" t="inlineStr">
        <is>
          <t>无客商-支付汤村旧改复建区1</t>
        </is>
      </c>
      <c r="D187" t="n">
        <v>4400.44</v>
      </c>
    </row>
    <row r="188">
      <c r="A188" t="inlineStr">
        <is>
          <t>未分类</t>
        </is>
      </c>
      <c r="B188" t="inlineStr">
        <is>
          <t>无客商-支付汤村旧改复建地块</t>
        </is>
      </c>
      <c r="D188" t="n">
        <v>36644.16</v>
      </c>
    </row>
    <row r="189">
      <c r="A189" t="inlineStr">
        <is>
          <t>未分类</t>
        </is>
      </c>
      <c r="B189" t="inlineStr">
        <is>
          <t>无客商-支付汤村旧改项目复建</t>
        </is>
      </c>
      <c r="D189" t="n">
        <v>65819.21000000001</v>
      </c>
    </row>
    <row r="190">
      <c r="A190" t="inlineStr">
        <is>
          <t>未分类</t>
        </is>
      </c>
      <c r="B190" t="inlineStr">
        <is>
          <t>无客商-支付汤村旧村改造复建</t>
        </is>
      </c>
      <c r="D190" t="n">
        <v>179.6</v>
      </c>
    </row>
    <row r="191">
      <c r="A191" t="inlineStr">
        <is>
          <t>未分类</t>
        </is>
      </c>
      <c r="B191" t="inlineStr">
        <is>
          <t>无客商-支付汤村项目复建区1</t>
        </is>
      </c>
      <c r="D191" t="n">
        <v>9303.620000000001</v>
      </c>
    </row>
    <row r="192">
      <c r="A192" t="inlineStr">
        <is>
          <t>未分类</t>
        </is>
      </c>
      <c r="B192" t="inlineStr">
        <is>
          <t>无客商-支付汤村项目复建地块</t>
        </is>
      </c>
      <c r="D192" t="n">
        <v>71.13</v>
      </c>
    </row>
    <row r="193">
      <c r="A193" t="inlineStr">
        <is>
          <t>未分类</t>
        </is>
      </c>
      <c r="B193" t="inlineStr">
        <is>
          <t>无客商-支付汤村项目广州富莱</t>
        </is>
      </c>
      <c r="D193" t="n">
        <v>6988.94</v>
      </c>
    </row>
    <row r="194">
      <c r="A194" t="inlineStr">
        <is>
          <t>未分类</t>
        </is>
      </c>
      <c r="B194" t="inlineStr">
        <is>
          <t>无客商-支付汤项目九年一贯制</t>
        </is>
      </c>
      <c r="D194" t="n">
        <v>44.76</v>
      </c>
    </row>
    <row r="195">
      <c r="A195" t="inlineStr">
        <is>
          <t>未分类</t>
        </is>
      </c>
      <c r="B195" t="inlineStr">
        <is>
          <t>无客商-支付财务资金部陈乐报</t>
        </is>
      </c>
      <c r="D195" t="n">
        <v>6307.58</v>
      </c>
    </row>
    <row r="196">
      <c r="A196" t="inlineStr">
        <is>
          <t>未分类</t>
        </is>
      </c>
      <c r="B196" t="inlineStr">
        <is>
          <t>无客商-收到东莞市广拓建材贸</t>
        </is>
      </c>
      <c r="D196" t="n">
        <v>294625.22</v>
      </c>
    </row>
    <row r="197">
      <c r="A197" t="inlineStr">
        <is>
          <t>未分类</t>
        </is>
      </c>
      <c r="B197" t="inlineStr">
        <is>
          <t>无客商-收到中励供应链管理（</t>
        </is>
      </c>
      <c r="D197" t="n">
        <v>3033709.08</v>
      </c>
    </row>
    <row r="198">
      <c r="A198" t="inlineStr">
        <is>
          <t>未分类</t>
        </is>
      </c>
      <c r="B198" t="inlineStr">
        <is>
          <t>无客商-收到佛山唐贵五金电器</t>
        </is>
      </c>
      <c r="D198" t="n">
        <v>205269.85</v>
      </c>
    </row>
    <row r="199">
      <c r="A199" t="inlineStr">
        <is>
          <t>未分类</t>
        </is>
      </c>
      <c r="B199" t="inlineStr">
        <is>
          <t>无客商-收到佛山市众万油品贸</t>
        </is>
      </c>
      <c r="D199" t="n">
        <v>20747.28</v>
      </c>
    </row>
    <row r="200">
      <c r="A200" t="inlineStr">
        <is>
          <t>未分类</t>
        </is>
      </c>
      <c r="B200" t="inlineStr">
        <is>
          <t>无客商-收到佛山市南海鼎赞机</t>
        </is>
      </c>
      <c r="D200" t="n">
        <v>310619.47</v>
      </c>
    </row>
    <row r="201">
      <c r="A201" t="inlineStr">
        <is>
          <t>未分类</t>
        </is>
      </c>
      <c r="B201" t="inlineStr">
        <is>
          <t>无客商-收到佛山市翊德通新型</t>
        </is>
      </c>
      <c r="D201" t="n">
        <v>503182.88</v>
      </c>
    </row>
    <row r="202">
      <c r="A202" t="inlineStr">
        <is>
          <t>未分类</t>
        </is>
      </c>
      <c r="B202" t="inlineStr">
        <is>
          <t>无客商-收到广东君晖建筑工程</t>
        </is>
      </c>
      <c r="D202" t="n">
        <v>51769.89</v>
      </c>
    </row>
    <row r="203">
      <c r="A203" t="inlineStr">
        <is>
          <t>未分类</t>
        </is>
      </c>
      <c r="B203" t="inlineStr">
        <is>
          <t>无客商-收到广东广物物资有限</t>
        </is>
      </c>
      <c r="D203" t="n">
        <v>1574531.6</v>
      </c>
    </row>
    <row r="204">
      <c r="A204" t="inlineStr">
        <is>
          <t>未分类</t>
        </is>
      </c>
      <c r="B204" t="inlineStr">
        <is>
          <t>无客商-收到广州东龙混凝土有</t>
        </is>
      </c>
      <c r="D204" t="n">
        <v>614831.4300000001</v>
      </c>
    </row>
    <row r="205">
      <c r="A205" t="inlineStr">
        <is>
          <t>未分类</t>
        </is>
      </c>
      <c r="B205" t="inlineStr">
        <is>
          <t>无客商-收到广州小老虎建筑机</t>
        </is>
      </c>
      <c r="D205" t="n">
        <v>674759.48</v>
      </c>
    </row>
    <row r="206">
      <c r="A206" t="inlineStr">
        <is>
          <t>未分类</t>
        </is>
      </c>
      <c r="B206" t="inlineStr">
        <is>
          <t>无客商-收到广州市万竣混凝土</t>
        </is>
      </c>
      <c r="D206" t="n">
        <v>543390.83</v>
      </c>
    </row>
    <row r="207">
      <c r="A207" t="inlineStr">
        <is>
          <t>未分类</t>
        </is>
      </c>
      <c r="B207" t="inlineStr">
        <is>
          <t>无客商-收到广州市番禺区石楼</t>
        </is>
      </c>
      <c r="D207" t="n">
        <v>158866.93</v>
      </c>
    </row>
    <row r="208">
      <c r="A208" t="inlineStr">
        <is>
          <t>未分类</t>
        </is>
      </c>
      <c r="B208" t="inlineStr">
        <is>
          <t>无客商-收到广州易达运输有限</t>
        </is>
      </c>
      <c r="D208" t="n">
        <v>1767.68</v>
      </c>
    </row>
    <row r="209">
      <c r="A209" t="inlineStr">
        <is>
          <t>未分类</t>
        </is>
      </c>
      <c r="B209" t="inlineStr">
        <is>
          <t>无客商-收到广州稔华建材有限</t>
        </is>
      </c>
      <c r="D209" t="n">
        <v>97224.37</v>
      </c>
    </row>
    <row r="210">
      <c r="A210" t="inlineStr">
        <is>
          <t>未分类</t>
        </is>
      </c>
      <c r="B210" t="inlineStr">
        <is>
          <t>无客商-收到广州辰辰建材租赁</t>
        </is>
      </c>
      <c r="D210" t="n">
        <v>57987.8</v>
      </c>
    </row>
    <row r="211">
      <c r="A211" t="inlineStr">
        <is>
          <t>未分类</t>
        </is>
      </c>
      <c r="B211" t="inlineStr">
        <is>
          <t>无客商-收到支付湖南轨道退回</t>
        </is>
      </c>
      <c r="D211" t="n">
        <v>2000000</v>
      </c>
    </row>
    <row r="212">
      <c r="A212" t="inlineStr">
        <is>
          <t>未分类</t>
        </is>
      </c>
      <c r="B212" t="inlineStr">
        <is>
          <t>无客商-收到深圳市鑫俊辉机械</t>
        </is>
      </c>
      <c r="D212" t="n">
        <v>23438.7</v>
      </c>
    </row>
    <row r="213">
      <c r="A213" t="inlineStr">
        <is>
          <t>未分类</t>
        </is>
      </c>
      <c r="B213" t="inlineStr">
        <is>
          <t>无客商-收到清远市榕兴新型环</t>
        </is>
      </c>
      <c r="D213" t="n">
        <v>144233.88</v>
      </c>
    </row>
    <row r="214">
      <c r="A214" t="inlineStr">
        <is>
          <t>未分类</t>
        </is>
      </c>
      <c r="B214" t="inlineStr">
        <is>
          <t>无客商-收到湖南轨道物流发展</t>
        </is>
      </c>
      <c r="D214" t="n">
        <v>1393532.93</v>
      </c>
    </row>
    <row r="215">
      <c r="A215" t="inlineStr">
        <is>
          <t>未分类</t>
        </is>
      </c>
      <c r="B215" t="inlineStr">
        <is>
          <t>无客商-收到湖南铁投商贸物流</t>
        </is>
      </c>
      <c r="D215" t="n">
        <v>2366920.65</v>
      </c>
    </row>
    <row r="216">
      <c r="A216" t="inlineStr">
        <is>
          <t>未分类</t>
        </is>
      </c>
      <c r="B216" t="inlineStr">
        <is>
          <t>无客商-收广东新添美安防技术</t>
        </is>
      </c>
      <c r="D216" t="n">
        <v>55832.6</v>
      </c>
    </row>
    <row r="217">
      <c r="A217" t="inlineStr">
        <is>
          <t>未分类</t>
        </is>
      </c>
      <c r="B217" t="inlineStr">
        <is>
          <t>无客商-收广州市万有达建筑工</t>
        </is>
      </c>
      <c r="D217" t="n">
        <v>746991.28</v>
      </c>
    </row>
    <row r="218">
      <c r="A218" t="inlineStr">
        <is>
          <t>未分类</t>
        </is>
      </c>
      <c r="B218" t="inlineStr">
        <is>
          <t>无客商-收江西志特新材料股份</t>
        </is>
      </c>
      <c r="D218" t="n">
        <v>320531.24</v>
      </c>
    </row>
    <row r="219">
      <c r="A219" t="inlineStr">
        <is>
          <t>未分类</t>
        </is>
      </c>
      <c r="B219" t="inlineStr">
        <is>
          <t>无客商-收汤村 项目复建地块</t>
        </is>
      </c>
      <c r="D219" t="n">
        <v>198165.14</v>
      </c>
    </row>
    <row r="220">
      <c r="A220" t="inlineStr">
        <is>
          <t>未分类</t>
        </is>
      </c>
      <c r="B220" t="inlineStr">
        <is>
          <t>无客商-收汤村复1地块湖南阳</t>
        </is>
      </c>
      <c r="D220" t="n">
        <v>4365</v>
      </c>
    </row>
    <row r="221">
      <c r="A221" t="inlineStr">
        <is>
          <t>未分类</t>
        </is>
      </c>
      <c r="B221" t="inlineStr">
        <is>
          <t>无客商-收汤村复建一广州市万</t>
        </is>
      </c>
      <c r="D221" t="n">
        <v>412844.05</v>
      </c>
    </row>
    <row r="222">
      <c r="A222" t="inlineStr">
        <is>
          <t>未分类</t>
        </is>
      </c>
      <c r="B222" t="inlineStr">
        <is>
          <t>无客商-收汤村复建一湖北省隆</t>
        </is>
      </c>
      <c r="D222" t="n">
        <v>104857.97</v>
      </c>
    </row>
    <row r="223">
      <c r="A223" t="inlineStr">
        <is>
          <t>未分类</t>
        </is>
      </c>
      <c r="B223" t="inlineStr">
        <is>
          <t>无客商-收汤村复建区1号地块</t>
        </is>
      </c>
      <c r="D223" t="n">
        <v>2302276.25</v>
      </c>
    </row>
    <row r="224">
      <c r="A224" t="inlineStr">
        <is>
          <t>未分类</t>
        </is>
      </c>
      <c r="B224" t="inlineStr">
        <is>
          <t>无客商-收汤村项目复一广东粤</t>
        </is>
      </c>
      <c r="D224" t="n">
        <v>10670.99</v>
      </c>
    </row>
    <row r="225">
      <c r="A225" t="inlineStr">
        <is>
          <t>未分类</t>
        </is>
      </c>
      <c r="B225" t="inlineStr">
        <is>
          <t>无客商-收汤村项目复一广州市</t>
        </is>
      </c>
      <c r="D225" t="n">
        <v>335142.25</v>
      </c>
    </row>
    <row r="226">
      <c r="A226" t="inlineStr">
        <is>
          <t>未分类</t>
        </is>
      </c>
      <c r="B226" t="inlineStr">
        <is>
          <t>无客商-收汤村项目复建地块一</t>
        </is>
      </c>
      <c r="D226" t="n">
        <v>1379183.25</v>
      </c>
    </row>
    <row r="227">
      <c r="A227" t="inlineStr">
        <is>
          <t>未分类</t>
        </is>
      </c>
      <c r="B227" t="inlineStr">
        <is>
          <t>无客商-收汤村项目复建地快一</t>
        </is>
      </c>
      <c r="D227" t="n">
        <v>82568.81</v>
      </c>
    </row>
    <row r="228">
      <c r="A228" t="inlineStr">
        <is>
          <t>未分类</t>
        </is>
      </c>
      <c r="B228" t="inlineStr">
        <is>
          <t>无客商-收深圳市正工集成房屋</t>
        </is>
      </c>
      <c r="D228" t="n">
        <v>203449.92</v>
      </c>
    </row>
    <row r="229">
      <c r="A229" t="inlineStr">
        <is>
          <t>未分类</t>
        </is>
      </c>
      <c r="B229" t="inlineStr">
        <is>
          <t>无客商-收湖北省隆兴防水材料</t>
        </is>
      </c>
      <c r="D229" t="n">
        <v>800000</v>
      </c>
    </row>
    <row r="230">
      <c r="A230" t="inlineStr">
        <is>
          <t>未分类</t>
        </is>
      </c>
      <c r="B230" t="inlineStr">
        <is>
          <t>无客商-收财务资金部陈乐代付</t>
        </is>
      </c>
      <c r="D230" t="n">
        <v>191007.5</v>
      </c>
    </row>
    <row r="231">
      <c r="A231" t="inlineStr">
        <is>
          <t>未分类</t>
        </is>
      </c>
      <c r="B231" t="inlineStr">
        <is>
          <t>无客商-核销汤村复1地块零星</t>
        </is>
      </c>
      <c r="D231" t="n">
        <v>40000</v>
      </c>
    </row>
    <row r="232">
      <c r="A232" t="inlineStr">
        <is>
          <t>未分类</t>
        </is>
      </c>
      <c r="B232" t="inlineStr">
        <is>
          <t>无客商-汤村复1地块10月个</t>
        </is>
      </c>
      <c r="D232" t="n">
        <v>13310.27</v>
      </c>
    </row>
    <row r="233">
      <c r="A233" t="inlineStr">
        <is>
          <t>未分类</t>
        </is>
      </c>
      <c r="B233" t="inlineStr">
        <is>
          <t>无客商-汤村复1地块10月薪</t>
        </is>
      </c>
      <c r="D233" t="n">
        <v>140704.07</v>
      </c>
    </row>
    <row r="234">
      <c r="A234" t="inlineStr">
        <is>
          <t>未分类</t>
        </is>
      </c>
      <c r="B234" t="inlineStr">
        <is>
          <t>无客商-汤村复1地块11月个</t>
        </is>
      </c>
      <c r="D234" t="n">
        <v>4162.16</v>
      </c>
    </row>
    <row r="235">
      <c r="A235" t="inlineStr">
        <is>
          <t>未分类</t>
        </is>
      </c>
      <c r="B235" t="inlineStr">
        <is>
          <t>无客商-汤村复1地块11月薪</t>
        </is>
      </c>
      <c r="D235" t="n">
        <v>169205.26</v>
      </c>
    </row>
    <row r="236">
      <c r="A236" t="inlineStr">
        <is>
          <t>未分类</t>
        </is>
      </c>
      <c r="B236" t="inlineStr">
        <is>
          <t>无客商-汤村复1地块12月个</t>
        </is>
      </c>
      <c r="D236" t="n">
        <v>3739.46</v>
      </c>
    </row>
    <row r="237">
      <c r="A237" t="inlineStr">
        <is>
          <t>未分类</t>
        </is>
      </c>
      <c r="B237" t="inlineStr">
        <is>
          <t>无客商-汤村复1地块12月薪</t>
        </is>
      </c>
      <c r="D237" t="n">
        <v>141761.92</v>
      </c>
    </row>
    <row r="238">
      <c r="A238" t="inlineStr">
        <is>
          <t>未分类</t>
        </is>
      </c>
      <c r="B238" t="inlineStr">
        <is>
          <t>无客商-汤村复1地块1月个税</t>
        </is>
      </c>
      <c r="D238" t="n">
        <v>32045.2</v>
      </c>
    </row>
    <row r="239">
      <c r="A239" t="inlineStr">
        <is>
          <t>未分类</t>
        </is>
      </c>
      <c r="B239" t="inlineStr">
        <is>
          <t>无客商-汤村复1地块1月薪酬</t>
        </is>
      </c>
      <c r="D239" t="n">
        <v>153032.01</v>
      </c>
    </row>
    <row r="240">
      <c r="A240" t="inlineStr">
        <is>
          <t>未分类</t>
        </is>
      </c>
      <c r="B240" t="inlineStr">
        <is>
          <t>无客商-汤村复1地块2024</t>
        </is>
      </c>
      <c r="D240" t="n">
        <v>60843.39</v>
      </c>
    </row>
    <row r="241">
      <c r="A241" t="inlineStr">
        <is>
          <t>未分类</t>
        </is>
      </c>
      <c r="B241" t="inlineStr">
        <is>
          <t>无客商-汤村复1地块2025</t>
        </is>
      </c>
      <c r="D241" t="n">
        <v>366053.3</v>
      </c>
    </row>
    <row r="242">
      <c r="A242" t="inlineStr">
        <is>
          <t>未分类</t>
        </is>
      </c>
      <c r="B242" t="inlineStr">
        <is>
          <t>无客商-汤村复1地块2月个税</t>
        </is>
      </c>
      <c r="D242" t="n">
        <v>2624.08</v>
      </c>
    </row>
    <row r="243">
      <c r="A243" t="inlineStr">
        <is>
          <t>未分类</t>
        </is>
      </c>
      <c r="B243" t="inlineStr">
        <is>
          <t>无客商-汤村复1地块2月奖金</t>
        </is>
      </c>
      <c r="D243" t="n">
        <v>91268.92999999999</v>
      </c>
    </row>
    <row r="244">
      <c r="A244" t="inlineStr">
        <is>
          <t>未分类</t>
        </is>
      </c>
      <c r="B244" t="inlineStr">
        <is>
          <t>无客商-汤村复1地块2月薪酬</t>
        </is>
      </c>
      <c r="D244" t="n">
        <v>287123.79</v>
      </c>
    </row>
    <row r="245">
      <c r="A245" t="inlineStr">
        <is>
          <t>未分类</t>
        </is>
      </c>
      <c r="B245" t="inlineStr">
        <is>
          <t>无客商-汤村复1地块3月个税</t>
        </is>
      </c>
      <c r="D245" t="n">
        <v>1785.87</v>
      </c>
    </row>
    <row r="246">
      <c r="A246" t="inlineStr">
        <is>
          <t>未分类</t>
        </is>
      </c>
      <c r="B246" t="inlineStr">
        <is>
          <t>无客商-汤村复1地块3月薪酬</t>
        </is>
      </c>
      <c r="D246" t="n">
        <v>100981.34</v>
      </c>
    </row>
    <row r="247">
      <c r="A247" t="inlineStr">
        <is>
          <t>未分类</t>
        </is>
      </c>
      <c r="B247" t="inlineStr">
        <is>
          <t>无客商-汤村复1地块4月个税</t>
        </is>
      </c>
      <c r="D247" t="n">
        <v>1387.07</v>
      </c>
    </row>
    <row r="248">
      <c r="A248" t="inlineStr">
        <is>
          <t>未分类</t>
        </is>
      </c>
      <c r="B248" t="inlineStr">
        <is>
          <t>无客商-汤村复1地块4月薪酬</t>
        </is>
      </c>
      <c r="D248" t="n">
        <v>87137.11</v>
      </c>
    </row>
    <row r="249">
      <c r="A249" t="inlineStr">
        <is>
          <t>未分类</t>
        </is>
      </c>
      <c r="B249" t="inlineStr">
        <is>
          <t>无客商-汤村复1地块5月个税</t>
        </is>
      </c>
      <c r="D249" t="n">
        <v>1139.91</v>
      </c>
    </row>
    <row r="250">
      <c r="A250" t="inlineStr">
        <is>
          <t>未分类</t>
        </is>
      </c>
      <c r="B250" t="inlineStr">
        <is>
          <t>无客商-汤村复1地块5月薪酬</t>
        </is>
      </c>
      <c r="D250" t="n">
        <v>91064.33</v>
      </c>
    </row>
    <row r="251">
      <c r="A251" t="inlineStr">
        <is>
          <t>未分类</t>
        </is>
      </c>
      <c r="B251" t="inlineStr">
        <is>
          <t>无客商-汤村复1地块6月个税</t>
        </is>
      </c>
      <c r="D251" t="n">
        <v>1891.15</v>
      </c>
    </row>
    <row r="252">
      <c r="A252" t="inlineStr">
        <is>
          <t>未分类</t>
        </is>
      </c>
      <c r="B252" t="inlineStr">
        <is>
          <t>无客商-汤村复1地块6月薪酬</t>
        </is>
      </c>
      <c r="D252" t="n">
        <v>141431.55</v>
      </c>
    </row>
    <row r="253">
      <c r="A253" t="inlineStr">
        <is>
          <t>未分类</t>
        </is>
      </c>
      <c r="B253" t="inlineStr">
        <is>
          <t>无客商-汤村复1地块7月个税</t>
        </is>
      </c>
      <c r="D253" t="n">
        <v>2425.33</v>
      </c>
    </row>
    <row r="254">
      <c r="A254" t="inlineStr">
        <is>
          <t>未分类</t>
        </is>
      </c>
      <c r="B254" t="inlineStr">
        <is>
          <t>无客商-汤村复1地块7月薪酬</t>
        </is>
      </c>
      <c r="D254" t="n">
        <v>166586.78</v>
      </c>
    </row>
    <row r="255">
      <c r="A255" t="inlineStr">
        <is>
          <t>未分类</t>
        </is>
      </c>
      <c r="B255" t="inlineStr">
        <is>
          <t>无客商-汤村复1地块8月个税</t>
        </is>
      </c>
      <c r="D255" t="n">
        <v>5117.02</v>
      </c>
    </row>
    <row r="256">
      <c r="A256" t="inlineStr">
        <is>
          <t>未分类</t>
        </is>
      </c>
      <c r="B256" t="inlineStr">
        <is>
          <t>无客商-汤村复1地块8月薪酬</t>
        </is>
      </c>
      <c r="D256" t="n">
        <v>147514.49</v>
      </c>
    </row>
    <row r="257">
      <c r="A257" t="inlineStr">
        <is>
          <t>未分类</t>
        </is>
      </c>
      <c r="B257" t="inlineStr">
        <is>
          <t>无客商-汤村复1地块9月个税</t>
        </is>
      </c>
      <c r="D257" t="n">
        <v>2720.49</v>
      </c>
    </row>
    <row r="258">
      <c r="A258" t="inlineStr">
        <is>
          <t>未分类</t>
        </is>
      </c>
      <c r="B258" t="inlineStr">
        <is>
          <t>无客商-汤村复1地块9月薪酬</t>
        </is>
      </c>
      <c r="D258" t="n">
        <v>191121.96</v>
      </c>
    </row>
    <row r="259">
      <c r="A259" t="inlineStr">
        <is>
          <t>未分类</t>
        </is>
      </c>
      <c r="B259" t="inlineStr">
        <is>
          <t>无客商-汤村复1地块个税缴纳</t>
        </is>
      </c>
      <c r="D259" t="n">
        <v>2070.16</v>
      </c>
    </row>
    <row r="260">
      <c r="A260" t="inlineStr">
        <is>
          <t>未分类</t>
        </is>
      </c>
      <c r="B260" t="inlineStr">
        <is>
          <t>无客商-汤村复1地块付广州市</t>
        </is>
      </c>
      <c r="D260" t="n">
        <v>220.05</v>
      </c>
    </row>
    <row r="261">
      <c r="A261" t="inlineStr">
        <is>
          <t>未分类</t>
        </is>
      </c>
      <c r="B261" t="inlineStr">
        <is>
          <t>无客商-汤村复1地块申请福利</t>
        </is>
      </c>
      <c r="D261" t="n">
        <v>24.44</v>
      </c>
    </row>
    <row r="262">
      <c r="A262" t="inlineStr">
        <is>
          <t>未分类</t>
        </is>
      </c>
      <c r="B262" t="inlineStr">
        <is>
          <t>无客商-汤村复1地块粤忠晟保</t>
        </is>
      </c>
      <c r="D262" t="n">
        <v>4113.18</v>
      </c>
    </row>
    <row r="263">
      <c r="A263" t="inlineStr">
        <is>
          <t>未分类</t>
        </is>
      </c>
      <c r="B263" t="inlineStr">
        <is>
          <t>无客商-汤村复1地块缴纳2月</t>
        </is>
      </c>
      <c r="D263" t="n">
        <v>745.45</v>
      </c>
    </row>
    <row r="264">
      <c r="A264" t="inlineStr">
        <is>
          <t>未分类</t>
        </is>
      </c>
      <c r="B264" t="inlineStr">
        <is>
          <t>无客商-汤村复1地块薪酬发放</t>
        </is>
      </c>
      <c r="D264" t="n">
        <v>53714.44</v>
      </c>
    </row>
    <row r="265">
      <c r="A265" t="inlineStr">
        <is>
          <t>未分类</t>
        </is>
      </c>
      <c r="B265" t="inlineStr">
        <is>
          <t>无客商-汤村复1地块计提10</t>
        </is>
      </c>
      <c r="D265" t="n">
        <v>67213.8</v>
      </c>
    </row>
    <row r="266">
      <c r="A266" t="inlineStr">
        <is>
          <t>未分类</t>
        </is>
      </c>
      <c r="B266" t="inlineStr">
        <is>
          <t>无客商-汤村复1地块计提20</t>
        </is>
      </c>
      <c r="D266" t="n">
        <v>16942.5</v>
      </c>
    </row>
    <row r="267">
      <c r="A267" t="inlineStr">
        <is>
          <t>未分类</t>
        </is>
      </c>
      <c r="B267" t="inlineStr">
        <is>
          <t>无客商-汤村复1地块计提9月</t>
        </is>
      </c>
      <c r="D267" t="n">
        <v>199302.69</v>
      </c>
    </row>
    <row r="268">
      <c r="A268" t="inlineStr">
        <is>
          <t>未分类</t>
        </is>
      </c>
      <c r="B268" t="inlineStr">
        <is>
          <t>无客商-汤村复1地块计提社保</t>
        </is>
      </c>
      <c r="D268" t="n">
        <v>39584.04</v>
      </c>
    </row>
    <row r="269">
      <c r="A269" t="inlineStr">
        <is>
          <t>未分类</t>
        </is>
      </c>
      <c r="B269" t="inlineStr">
        <is>
          <t>无客商-汤村复1地块销项税差</t>
        </is>
      </c>
      <c r="D269" t="n">
        <v>-0.01</v>
      </c>
    </row>
    <row r="270">
      <c r="A270" t="inlineStr">
        <is>
          <t>未分类</t>
        </is>
      </c>
      <c r="B270" t="inlineStr">
        <is>
          <t>无客商-汤村复一项目24年5</t>
        </is>
      </c>
      <c r="D270" t="n">
        <v>1877.22</v>
      </c>
    </row>
    <row r="271">
      <c r="A271" t="inlineStr">
        <is>
          <t>未分类</t>
        </is>
      </c>
      <c r="B271" t="inlineStr">
        <is>
          <t>无客商-汤村复一项目24年6</t>
        </is>
      </c>
      <c r="D271" t="n">
        <v>5492.2</v>
      </c>
    </row>
    <row r="272">
      <c r="A272" t="inlineStr">
        <is>
          <t>未分类</t>
        </is>
      </c>
      <c r="B272" t="inlineStr">
        <is>
          <t>无客商-汤村复一项目24年7</t>
        </is>
      </c>
      <c r="D272" t="n">
        <v>4795.46</v>
      </c>
    </row>
    <row r="273">
      <c r="A273" t="inlineStr">
        <is>
          <t>未分类</t>
        </is>
      </c>
      <c r="B273" t="inlineStr">
        <is>
          <t>无客商-汤村复一项目24年9</t>
        </is>
      </c>
      <c r="D273" t="n">
        <v>2868.91</v>
      </c>
    </row>
    <row r="274">
      <c r="A274" t="inlineStr">
        <is>
          <t>未分类</t>
        </is>
      </c>
      <c r="B274" t="inlineStr">
        <is>
          <t>无客商-汤村复一项目25年1</t>
        </is>
      </c>
      <c r="D274" t="n">
        <v>15704</v>
      </c>
    </row>
    <row r="275">
      <c r="A275" t="inlineStr">
        <is>
          <t>未分类</t>
        </is>
      </c>
      <c r="B275" t="inlineStr">
        <is>
          <t>无客商-汤村复一项目从华工东</t>
        </is>
      </c>
      <c r="D275" t="n">
        <v>220395.45</v>
      </c>
    </row>
    <row r="276">
      <c r="A276" t="inlineStr">
        <is>
          <t>未分类</t>
        </is>
      </c>
      <c r="B276" t="inlineStr">
        <is>
          <t>无客商-汤村复一项目从南沙滨</t>
        </is>
      </c>
      <c r="D276" t="n">
        <v>107530</v>
      </c>
    </row>
    <row r="277">
      <c r="A277" t="inlineStr">
        <is>
          <t>未分类</t>
        </is>
      </c>
      <c r="B277" t="inlineStr">
        <is>
          <t>无客商-汤村复一项目从国防一</t>
        </is>
      </c>
      <c r="D277" t="n">
        <v>34307.66</v>
      </c>
    </row>
    <row r="278">
      <c r="A278" t="inlineStr">
        <is>
          <t>未分类</t>
        </is>
      </c>
      <c r="B278" t="inlineStr">
        <is>
          <t>无客商-汤村复一项目从国防训</t>
        </is>
      </c>
      <c r="D278" t="n">
        <v>38805.57</v>
      </c>
    </row>
    <row r="279">
      <c r="A279" t="inlineStr">
        <is>
          <t>未分类</t>
        </is>
      </c>
      <c r="B279" t="inlineStr">
        <is>
          <t>无客商-汤村复一项目从小新塘</t>
        </is>
      </c>
      <c r="D279" t="n">
        <v>4311.22</v>
      </c>
    </row>
    <row r="280">
      <c r="A280" t="inlineStr">
        <is>
          <t>未分类</t>
        </is>
      </c>
      <c r="B280" t="inlineStr">
        <is>
          <t>无客商-汤村复一项目从平西二</t>
        </is>
      </c>
      <c r="D280" t="n">
        <v>10300</v>
      </c>
    </row>
    <row r="281">
      <c r="A281" t="inlineStr">
        <is>
          <t>未分类</t>
        </is>
      </c>
      <c r="B281" t="inlineStr">
        <is>
          <t>无客商-汤村复一项目从建南首</t>
        </is>
      </c>
      <c r="D281" t="n">
        <v>18679.82</v>
      </c>
    </row>
    <row r="282">
      <c r="A282" t="inlineStr">
        <is>
          <t>未分类</t>
        </is>
      </c>
      <c r="B282" t="inlineStr">
        <is>
          <t>无客商-汤村复一项目从汤村九</t>
        </is>
      </c>
      <c r="D282" t="n">
        <v>2292555.44</v>
      </c>
    </row>
    <row r="283">
      <c r="A283" t="inlineStr">
        <is>
          <t>未分类</t>
        </is>
      </c>
      <c r="B283" t="inlineStr">
        <is>
          <t>无客商-汤村复一项目从汤村复</t>
        </is>
      </c>
      <c r="D283" t="n">
        <v>17934867.73</v>
      </c>
    </row>
    <row r="284">
      <c r="A284" t="inlineStr">
        <is>
          <t>未分类</t>
        </is>
      </c>
      <c r="B284" t="inlineStr">
        <is>
          <t>无客商-汤村复一项目从汤村融</t>
        </is>
      </c>
      <c r="D284" t="n">
        <v>13156921.94</v>
      </c>
    </row>
    <row r="285">
      <c r="A285" t="inlineStr">
        <is>
          <t>未分类</t>
        </is>
      </c>
      <c r="B285" t="inlineStr">
        <is>
          <t>无客商-汤村复一项目从白云金</t>
        </is>
      </c>
      <c r="D285" t="n">
        <v>14724.48</v>
      </c>
    </row>
    <row r="286">
      <c r="A286" t="inlineStr">
        <is>
          <t>未分类</t>
        </is>
      </c>
      <c r="B286" t="inlineStr">
        <is>
          <t>无客商-汤村复一项目从黄云路</t>
        </is>
      </c>
      <c r="D286" t="n">
        <v>3735.8</v>
      </c>
    </row>
    <row r="287">
      <c r="A287" t="inlineStr">
        <is>
          <t>未分类</t>
        </is>
      </c>
      <c r="B287" t="inlineStr">
        <is>
          <t>无客商-汤村复一项目其他材料</t>
        </is>
      </c>
      <c r="D287" t="n">
        <v>394191.82</v>
      </c>
    </row>
    <row r="288">
      <c r="A288" t="inlineStr">
        <is>
          <t>未分类</t>
        </is>
      </c>
      <c r="B288" t="inlineStr">
        <is>
          <t>无客商-汤村复一项目商品砼加</t>
        </is>
      </c>
      <c r="D288" t="n">
        <v>4065599.98</v>
      </c>
    </row>
    <row r="289">
      <c r="A289" t="inlineStr">
        <is>
          <t>未分类</t>
        </is>
      </c>
      <c r="B289" t="inlineStr">
        <is>
          <t>无客商-汤村复一项目混凝土、</t>
        </is>
      </c>
      <c r="D289" t="n">
        <v>4008834.59</v>
      </c>
    </row>
    <row r="290">
      <c r="A290" t="inlineStr">
        <is>
          <t>未分类</t>
        </is>
      </c>
      <c r="B290" t="inlineStr">
        <is>
          <t>无客商-汤村复一项目混凝土加</t>
        </is>
      </c>
      <c r="D290" t="n">
        <v>4730274.59</v>
      </c>
    </row>
    <row r="291">
      <c r="A291" t="inlineStr">
        <is>
          <t>未分类</t>
        </is>
      </c>
      <c r="B291" t="inlineStr">
        <is>
          <t>无客商-汤村复一项目混凝土材</t>
        </is>
      </c>
      <c r="D291" t="n">
        <v>21730228.34</v>
      </c>
    </row>
    <row r="292">
      <c r="A292" t="inlineStr">
        <is>
          <t>未分类</t>
        </is>
      </c>
      <c r="B292" t="inlineStr">
        <is>
          <t>无客商-汤村复一项目混凝土砌</t>
        </is>
      </c>
      <c r="D292" t="n">
        <v>8581211.109999999</v>
      </c>
    </row>
    <row r="293">
      <c r="A293" t="inlineStr">
        <is>
          <t>未分类</t>
        </is>
      </c>
      <c r="B293" t="inlineStr">
        <is>
          <t>无客商-汤村复一项目混凝土零</t>
        </is>
      </c>
      <c r="D293" t="n">
        <v>6896241.12</v>
      </c>
    </row>
    <row r="294">
      <c r="A294" t="inlineStr">
        <is>
          <t>未分类</t>
        </is>
      </c>
      <c r="B294" t="inlineStr">
        <is>
          <t>无客商-汤村复一项目装饰材料</t>
        </is>
      </c>
      <c r="D294" t="n">
        <v>42988.2</v>
      </c>
    </row>
    <row r="295">
      <c r="A295" t="inlineStr">
        <is>
          <t>未分类</t>
        </is>
      </c>
      <c r="B295" t="inlineStr">
        <is>
          <t>无客商-汤村复一项目钢材其他</t>
        </is>
      </c>
      <c r="D295" t="n">
        <v>5378635.25</v>
      </c>
    </row>
    <row r="296">
      <c r="A296" t="inlineStr">
        <is>
          <t>未分类</t>
        </is>
      </c>
      <c r="B296" t="inlineStr">
        <is>
          <t>无客商-汤村复一项目钢材材料</t>
        </is>
      </c>
      <c r="D296" t="n">
        <v>11634984.71</v>
      </c>
    </row>
    <row r="297">
      <c r="A297" t="inlineStr">
        <is>
          <t>未分类</t>
        </is>
      </c>
      <c r="B297" t="inlineStr">
        <is>
          <t>无客商-汤村复一项目钢材混凝</t>
        </is>
      </c>
      <c r="D297" t="n">
        <v>74227325.11</v>
      </c>
    </row>
    <row r="298">
      <c r="A298" t="inlineStr">
        <is>
          <t>未分类</t>
        </is>
      </c>
      <c r="B298" t="inlineStr">
        <is>
          <t>无客商-汤村复一项目钢材砌体</t>
        </is>
      </c>
      <c r="D298" t="n">
        <v>2982492.88</v>
      </c>
    </row>
    <row r="299">
      <c r="A299" t="inlineStr">
        <is>
          <t>未分类</t>
        </is>
      </c>
      <c r="B299" t="inlineStr">
        <is>
          <t>无客商-汤村复一项目钢材装饰</t>
        </is>
      </c>
      <c r="D299" t="n">
        <v>1592674.83</v>
      </c>
    </row>
    <row r="300">
      <c r="A300" t="inlineStr">
        <is>
          <t>未分类</t>
        </is>
      </c>
      <c r="B300" t="inlineStr">
        <is>
          <t>无客商-汤村复建1号地块8月</t>
        </is>
      </c>
      <c r="D300" t="n">
        <v>113.94</v>
      </c>
    </row>
    <row r="301">
      <c r="A301" t="inlineStr">
        <is>
          <t>未分类</t>
        </is>
      </c>
      <c r="B301" t="inlineStr">
        <is>
          <t>无客商-汤村复建1号地块徐尚</t>
        </is>
      </c>
      <c r="D301" t="n">
        <v>1.07</v>
      </c>
    </row>
    <row r="302">
      <c r="A302" t="inlineStr">
        <is>
          <t>未分类</t>
        </is>
      </c>
      <c r="B302" t="inlineStr">
        <is>
          <t>无客商-汤村复建区1号地块1</t>
        </is>
      </c>
      <c r="D302" t="n">
        <v>54746.95</v>
      </c>
    </row>
    <row r="303">
      <c r="A303" t="inlineStr">
        <is>
          <t>未分类</t>
        </is>
      </c>
      <c r="B303" t="inlineStr">
        <is>
          <t>无客商-汤村复建区1号地块7</t>
        </is>
      </c>
      <c r="D303" t="n">
        <v>82036.75</v>
      </c>
    </row>
    <row r="304">
      <c r="A304" t="inlineStr">
        <is>
          <t>未分类</t>
        </is>
      </c>
      <c r="B304" t="inlineStr">
        <is>
          <t>无客商-汤村复建区1号地块9</t>
        </is>
      </c>
      <c r="D304" t="n">
        <v>2137.27</v>
      </c>
    </row>
    <row r="305">
      <c r="A305" t="inlineStr">
        <is>
          <t>未分类</t>
        </is>
      </c>
      <c r="B305" t="inlineStr">
        <is>
          <t>无客商-汤村复建区1号地块项</t>
        </is>
      </c>
      <c r="D305" t="n">
        <v>32629380.48</v>
      </c>
    </row>
    <row r="306">
      <c r="A306" t="inlineStr">
        <is>
          <t>未分类</t>
        </is>
      </c>
      <c r="B306" t="inlineStr">
        <is>
          <t>无客商-汤村复建地块一项目材</t>
        </is>
      </c>
      <c r="D306" t="n">
        <v>220945.31</v>
      </c>
    </row>
    <row r="307">
      <c r="A307" t="inlineStr">
        <is>
          <t>未分类</t>
        </is>
      </c>
      <c r="B307" t="inlineStr">
        <is>
          <t>无客商-汤村旧改项目复建一地</t>
        </is>
      </c>
      <c r="D307" t="n">
        <v>11056.1</v>
      </c>
    </row>
    <row r="308">
      <c r="A308" t="inlineStr">
        <is>
          <t>未分类</t>
        </is>
      </c>
      <c r="B308" t="inlineStr">
        <is>
          <t>无客商-汤村旧改项目复建区1</t>
        </is>
      </c>
      <c r="D308" t="n">
        <v>313487.86</v>
      </c>
    </row>
    <row r="309">
      <c r="A309" t="inlineStr">
        <is>
          <t>未分类</t>
        </is>
      </c>
      <c r="B309" t="inlineStr">
        <is>
          <t>无客商-汤村旧改项目对外成本</t>
        </is>
      </c>
      <c r="D309" t="n">
        <v>21.21</v>
      </c>
    </row>
    <row r="310">
      <c r="A310" t="inlineStr">
        <is>
          <t>未分类</t>
        </is>
      </c>
      <c r="B310" t="inlineStr">
        <is>
          <t>无客商-汤村旧改项目对外支付</t>
        </is>
      </c>
      <c r="D310" t="n">
        <v>4803.57</v>
      </c>
    </row>
    <row r="311">
      <c r="A311" t="inlineStr">
        <is>
          <t>未分类</t>
        </is>
      </c>
      <c r="B311" t="inlineStr">
        <is>
          <t>无客商-汤村旧改项目支付广州</t>
        </is>
      </c>
      <c r="D311" t="n">
        <v>1781.88</v>
      </c>
    </row>
    <row r="312">
      <c r="A312" t="inlineStr">
        <is>
          <t>未分类</t>
        </is>
      </c>
      <c r="B312" t="inlineStr">
        <is>
          <t>无客商-汤村旧村改造复建地块</t>
        </is>
      </c>
      <c r="D312" t="n">
        <v>2073980.47</v>
      </c>
    </row>
    <row r="313">
      <c r="A313" t="inlineStr">
        <is>
          <t>未分类</t>
        </is>
      </c>
      <c r="B313" t="inlineStr">
        <is>
          <t>无客商-汤村旧村改造项目复建</t>
        </is>
      </c>
      <c r="D313" t="n">
        <v>532937.09</v>
      </c>
    </row>
    <row r="314">
      <c r="A314" t="inlineStr">
        <is>
          <t>未分类</t>
        </is>
      </c>
      <c r="B314" t="inlineStr">
        <is>
          <t>无客商-汤村旧村改造项目对外</t>
        </is>
      </c>
      <c r="D314" t="n">
        <v>198.82</v>
      </c>
    </row>
    <row r="315">
      <c r="A315" t="inlineStr">
        <is>
          <t>未分类</t>
        </is>
      </c>
      <c r="B315" t="inlineStr">
        <is>
          <t>无客商-汤村项目付广州市中洁</t>
        </is>
      </c>
      <c r="D315" t="n">
        <v>457.42</v>
      </c>
    </row>
    <row r="316">
      <c r="A316" t="inlineStr">
        <is>
          <t>未分类</t>
        </is>
      </c>
      <c r="B316" t="inlineStr">
        <is>
          <t>无客商-汤村项目付广州陇飞广</t>
        </is>
      </c>
      <c r="D316" t="n">
        <v>30</v>
      </c>
    </row>
    <row r="317">
      <c r="A317" t="inlineStr">
        <is>
          <t>未分类</t>
        </is>
      </c>
      <c r="B317" t="inlineStr">
        <is>
          <t>无客商-汤村项目复建一地块对</t>
        </is>
      </c>
      <c r="D317" t="n">
        <v>33.47</v>
      </c>
    </row>
    <row r="318">
      <c r="A318" t="inlineStr">
        <is>
          <t>未分类</t>
        </is>
      </c>
      <c r="B318" t="inlineStr">
        <is>
          <t>无客商-汤村项目复建区1号6</t>
        </is>
      </c>
      <c r="D318" t="n">
        <v>77658.23</v>
      </c>
    </row>
    <row r="319">
      <c r="A319" t="inlineStr">
        <is>
          <t>未分类</t>
        </is>
      </c>
      <c r="B319" t="inlineStr">
        <is>
          <t>无客商-汤村项目复建区1号地</t>
        </is>
      </c>
      <c r="D319" t="n">
        <v>5856155.29</v>
      </c>
    </row>
    <row r="320">
      <c r="A320" t="inlineStr">
        <is>
          <t>未分类</t>
        </is>
      </c>
      <c r="B320" t="inlineStr">
        <is>
          <t>无客商-汤村黄浦区复建区1号</t>
        </is>
      </c>
      <c r="D320" t="n">
        <v>1941.9</v>
      </c>
    </row>
    <row r="321">
      <c r="A321" t="inlineStr">
        <is>
          <t>未分类</t>
        </is>
      </c>
      <c r="B321" t="inlineStr">
        <is>
          <t>无客商-清算局名义广州市黄埔</t>
        </is>
      </c>
      <c r="D321" t="n">
        <v>-112525.56</v>
      </c>
    </row>
    <row r="322">
      <c r="A322" t="inlineStr">
        <is>
          <t>未分类</t>
        </is>
      </c>
      <c r="B322" t="inlineStr">
        <is>
          <t>无客商-清算局名义汤村复1地</t>
        </is>
      </c>
      <c r="D322" t="n">
        <v>422035.64</v>
      </c>
    </row>
    <row r="323">
      <c r="A323" t="inlineStr">
        <is>
          <t>未分类</t>
        </is>
      </c>
      <c r="B323" t="inlineStr">
        <is>
          <t>无客商-清算局名义汤村复1项</t>
        </is>
      </c>
      <c r="D323" t="n">
        <v>-164865.97</v>
      </c>
    </row>
    <row r="324">
      <c r="A324" t="inlineStr">
        <is>
          <t>未分类</t>
        </is>
      </c>
      <c r="B324" t="inlineStr">
        <is>
          <t>无客商-清算局名义汤村复建1</t>
        </is>
      </c>
      <c r="D324" t="n">
        <v>1388452.87</v>
      </c>
    </row>
    <row r="325">
      <c r="A325" t="inlineStr">
        <is>
          <t>未分类</t>
        </is>
      </c>
      <c r="B325" t="inlineStr">
        <is>
          <t>无客商-清算局名义汤村复建区</t>
        </is>
      </c>
      <c r="D325" t="n">
        <v>16670867.4</v>
      </c>
    </row>
    <row r="326">
      <c r="A326" t="inlineStr">
        <is>
          <t>未分类</t>
        </is>
      </c>
      <c r="B326" t="inlineStr">
        <is>
          <t>无客商-研发支出成本结转</t>
        </is>
      </c>
      <c r="D326" t="n">
        <v>7852545.28</v>
      </c>
    </row>
    <row r="327">
      <c r="A327" t="inlineStr">
        <is>
          <t>未分类</t>
        </is>
      </c>
      <c r="B327" t="inlineStr">
        <is>
          <t>无客商-税期202202的汇</t>
        </is>
      </c>
      <c r="D327" t="n">
        <v>350991.72</v>
      </c>
    </row>
    <row r="328">
      <c r="A328" t="inlineStr">
        <is>
          <t>未分类</t>
        </is>
      </c>
      <c r="B328" t="inlineStr">
        <is>
          <t>无客商-税期202203的汇</t>
        </is>
      </c>
      <c r="D328" t="n">
        <v>203488.18</v>
      </c>
    </row>
    <row r="329">
      <c r="A329" t="inlineStr">
        <is>
          <t>未分类</t>
        </is>
      </c>
      <c r="B329" t="inlineStr">
        <is>
          <t>无客商-税期202204的汇</t>
        </is>
      </c>
      <c r="D329" t="n">
        <v>313295.52</v>
      </c>
    </row>
    <row r="330">
      <c r="A330" t="inlineStr">
        <is>
          <t>未分类</t>
        </is>
      </c>
      <c r="B330" t="inlineStr">
        <is>
          <t>无客商-税期202205的汇</t>
        </is>
      </c>
      <c r="D330" t="n">
        <v>553086.6</v>
      </c>
    </row>
    <row r="331">
      <c r="A331" t="inlineStr">
        <is>
          <t>未分类</t>
        </is>
      </c>
      <c r="B331" t="inlineStr">
        <is>
          <t>无客商-税期202206的汇</t>
        </is>
      </c>
      <c r="D331" t="n">
        <v>1324235.28</v>
      </c>
    </row>
    <row r="332">
      <c r="A332" t="inlineStr">
        <is>
          <t>未分类</t>
        </is>
      </c>
      <c r="B332" t="inlineStr">
        <is>
          <t>无客商-税期202207的汇</t>
        </is>
      </c>
      <c r="D332" t="n">
        <v>3983083.74</v>
      </c>
    </row>
    <row r="333">
      <c r="A333" t="inlineStr">
        <is>
          <t>未分类</t>
        </is>
      </c>
      <c r="B333" t="inlineStr">
        <is>
          <t>无客商-税期202208的汇</t>
        </is>
      </c>
      <c r="D333" t="n">
        <v>3162727.96</v>
      </c>
    </row>
    <row r="334">
      <c r="A334" t="inlineStr">
        <is>
          <t>未分类</t>
        </is>
      </c>
      <c r="B334" t="inlineStr">
        <is>
          <t>无客商-税期202209的汇</t>
        </is>
      </c>
      <c r="D334" t="n">
        <v>3771482.54</v>
      </c>
    </row>
    <row r="335">
      <c r="A335" t="inlineStr">
        <is>
          <t>未分类</t>
        </is>
      </c>
      <c r="B335" t="inlineStr">
        <is>
          <t>无客商-税期202210的汇</t>
        </is>
      </c>
      <c r="D335" t="n">
        <v>1202292.34</v>
      </c>
    </row>
    <row r="336">
      <c r="A336" t="inlineStr">
        <is>
          <t>未分类</t>
        </is>
      </c>
      <c r="B336" t="inlineStr">
        <is>
          <t>无客商-税期202211的汇</t>
        </is>
      </c>
      <c r="D336" t="n">
        <v>6103930.78</v>
      </c>
    </row>
    <row r="337">
      <c r="A337" t="inlineStr">
        <is>
          <t>未分类</t>
        </is>
      </c>
      <c r="B337" t="inlineStr">
        <is>
          <t>无客商-税期202212的汇</t>
        </is>
      </c>
      <c r="D337" t="n">
        <v>3088977.78</v>
      </c>
    </row>
    <row r="338">
      <c r="A338" t="inlineStr">
        <is>
          <t>未分类</t>
        </is>
      </c>
      <c r="B338" t="inlineStr">
        <is>
          <t>无客商-税期202301的汇</t>
        </is>
      </c>
      <c r="D338" t="n">
        <v>4084890.78</v>
      </c>
    </row>
    <row r="339">
      <c r="A339" t="inlineStr">
        <is>
          <t>未分类</t>
        </is>
      </c>
      <c r="B339" t="inlineStr">
        <is>
          <t>无客商-税期202302的汇</t>
        </is>
      </c>
      <c r="D339" t="n">
        <v>179419.58</v>
      </c>
    </row>
    <row r="340">
      <c r="A340" t="inlineStr">
        <is>
          <t>未分类</t>
        </is>
      </c>
      <c r="B340" t="inlineStr">
        <is>
          <t>无客商-税期202303的汇</t>
        </is>
      </c>
      <c r="D340" t="n">
        <v>82433.84</v>
      </c>
    </row>
    <row r="341">
      <c r="A341" t="inlineStr">
        <is>
          <t>未分类</t>
        </is>
      </c>
      <c r="B341" t="inlineStr">
        <is>
          <t>无客商-税期202305的汇</t>
        </is>
      </c>
      <c r="D341" t="n">
        <v>275619.6</v>
      </c>
    </row>
    <row r="342">
      <c r="A342" t="inlineStr">
        <is>
          <t>未分类</t>
        </is>
      </c>
      <c r="B342" t="inlineStr">
        <is>
          <t>无客商-税期202306的汇</t>
        </is>
      </c>
      <c r="D342" t="n">
        <v>225051.12</v>
      </c>
    </row>
    <row r="343">
      <c r="A343" t="inlineStr">
        <is>
          <t>未分类</t>
        </is>
      </c>
      <c r="B343" t="inlineStr">
        <is>
          <t>无客商-税期202308的汇</t>
        </is>
      </c>
      <c r="D343" t="n">
        <v>2223.22</v>
      </c>
    </row>
    <row r="344">
      <c r="A344" t="inlineStr">
        <is>
          <t>未分类</t>
        </is>
      </c>
      <c r="B344" t="inlineStr">
        <is>
          <t>无客商-税期202309的汇</t>
        </is>
      </c>
      <c r="D344" t="n">
        <v>234164.16</v>
      </c>
    </row>
    <row r="345">
      <c r="A345" t="inlineStr">
        <is>
          <t>未分类</t>
        </is>
      </c>
      <c r="B345" t="inlineStr">
        <is>
          <t>无客商-税期202310的汇</t>
        </is>
      </c>
      <c r="D345" t="n">
        <v>220951.96</v>
      </c>
    </row>
    <row r="346">
      <c r="A346" t="inlineStr">
        <is>
          <t>未分类</t>
        </is>
      </c>
      <c r="B346" t="inlineStr">
        <is>
          <t>无客商-税期202311的汇</t>
        </is>
      </c>
      <c r="D346" t="n">
        <v>26594.78</v>
      </c>
    </row>
    <row r="347">
      <c r="A347" t="inlineStr">
        <is>
          <t>未分类</t>
        </is>
      </c>
      <c r="B347" t="inlineStr">
        <is>
          <t>无客商-税期202312的汇</t>
        </is>
      </c>
      <c r="D347" t="n">
        <v>511489.64</v>
      </c>
    </row>
    <row r="348">
      <c r="A348" t="inlineStr">
        <is>
          <t>未分类</t>
        </is>
      </c>
      <c r="B348" t="inlineStr">
        <is>
          <t>无客商-税期202401的汇</t>
        </is>
      </c>
      <c r="D348" t="n">
        <v>1312281.12</v>
      </c>
    </row>
    <row r="349">
      <c r="A349" t="inlineStr">
        <is>
          <t>未分类</t>
        </is>
      </c>
      <c r="B349" t="inlineStr">
        <is>
          <t>无客商-税期202402的汇</t>
        </is>
      </c>
      <c r="D349" t="n">
        <v>20613.46</v>
      </c>
    </row>
    <row r="350">
      <c r="A350" t="inlineStr">
        <is>
          <t>未分类</t>
        </is>
      </c>
      <c r="B350" t="inlineStr">
        <is>
          <t>无客商-税期202404的汇</t>
        </is>
      </c>
      <c r="D350" t="n">
        <v>128619.02</v>
      </c>
    </row>
    <row r="351">
      <c r="A351" t="inlineStr">
        <is>
          <t>未分类</t>
        </is>
      </c>
      <c r="B351" t="inlineStr">
        <is>
          <t>无客商-税期202405的汇</t>
        </is>
      </c>
      <c r="D351" t="n">
        <v>371190.82</v>
      </c>
    </row>
    <row r="352">
      <c r="A352" t="inlineStr">
        <is>
          <t>未分类</t>
        </is>
      </c>
      <c r="B352" t="inlineStr">
        <is>
          <t>无客商-税期202407的汇</t>
        </is>
      </c>
      <c r="D352" t="n">
        <v>987925.48</v>
      </c>
    </row>
    <row r="353">
      <c r="A353" t="inlineStr">
        <is>
          <t>未分类</t>
        </is>
      </c>
      <c r="B353" t="inlineStr">
        <is>
          <t>无客商-税期202408的汇</t>
        </is>
      </c>
      <c r="D353" t="n">
        <v>1035399.24</v>
      </c>
    </row>
    <row r="354">
      <c r="A354" t="inlineStr">
        <is>
          <t>未分类</t>
        </is>
      </c>
      <c r="B354" t="inlineStr">
        <is>
          <t>无客商-税期202409的汇</t>
        </is>
      </c>
      <c r="D354" t="n">
        <v>376674.48</v>
      </c>
    </row>
    <row r="355">
      <c r="A355" t="inlineStr">
        <is>
          <t>未分类</t>
        </is>
      </c>
      <c r="B355" t="inlineStr">
        <is>
          <t>无客商-税期202410的汇</t>
        </is>
      </c>
      <c r="D355" t="n">
        <v>107304.94</v>
      </c>
    </row>
    <row r="356">
      <c r="A356" t="inlineStr">
        <is>
          <t>未分类</t>
        </is>
      </c>
      <c r="B356" t="inlineStr">
        <is>
          <t>无客商-税期202411的汇</t>
        </is>
      </c>
      <c r="D356" t="n">
        <v>330580.04</v>
      </c>
    </row>
    <row r="357">
      <c r="A357" t="inlineStr">
        <is>
          <t>未分类</t>
        </is>
      </c>
      <c r="B357" t="inlineStr">
        <is>
          <t>无客商-税期202412的汇</t>
        </is>
      </c>
      <c r="D357" t="n">
        <v>60807.22</v>
      </c>
    </row>
    <row r="358">
      <c r="A358" t="inlineStr">
        <is>
          <t>未分类</t>
        </is>
      </c>
      <c r="B358" t="inlineStr">
        <is>
          <t>无客商-税期202501的汇</t>
        </is>
      </c>
      <c r="D358" t="n">
        <v>882714.38</v>
      </c>
    </row>
    <row r="359">
      <c r="A359" t="inlineStr">
        <is>
          <t>未分类</t>
        </is>
      </c>
      <c r="B359" t="inlineStr">
        <is>
          <t>无客商-税期202502的汇</t>
        </is>
      </c>
      <c r="D359" t="n">
        <v>2781.52</v>
      </c>
    </row>
    <row r="360">
      <c r="A360" t="inlineStr">
        <is>
          <t>未分类</t>
        </is>
      </c>
      <c r="B360" t="inlineStr">
        <is>
          <t>无客商-税期202504的汇</t>
        </is>
      </c>
      <c r="D360" t="n">
        <v>23075.78</v>
      </c>
    </row>
    <row r="361">
      <c r="A361" t="inlineStr">
        <is>
          <t>未分类</t>
        </is>
      </c>
      <c r="B361" t="inlineStr">
        <is>
          <t>无客商-税期202505的汇</t>
        </is>
      </c>
      <c r="D361" t="n">
        <v>190015.46</v>
      </c>
    </row>
    <row r="362">
      <c r="A362" t="inlineStr">
        <is>
          <t>未分类</t>
        </is>
      </c>
      <c r="B362" t="inlineStr">
        <is>
          <t>无客商-税期202506的汇</t>
        </is>
      </c>
      <c r="D362" t="n">
        <v>99082.56</v>
      </c>
    </row>
    <row r="363">
      <c r="A363" t="inlineStr">
        <is>
          <t>未分类</t>
        </is>
      </c>
      <c r="B363" t="inlineStr">
        <is>
          <t>无客商-税期202507的汇</t>
        </is>
      </c>
      <c r="D363" t="n">
        <v>220203.78</v>
      </c>
    </row>
    <row r="364">
      <c r="A364" t="inlineStr">
        <is>
          <t>未分类</t>
        </is>
      </c>
      <c r="B364" t="inlineStr">
        <is>
          <t>无客商-税期202508的汇</t>
        </is>
      </c>
      <c r="D364" t="n">
        <v>1844090.44</v>
      </c>
    </row>
    <row r="365">
      <c r="A365" t="inlineStr">
        <is>
          <t>未分类</t>
        </is>
      </c>
      <c r="B365" t="inlineStr">
        <is>
          <t>无客商-税期202509的汇</t>
        </is>
      </c>
      <c r="D365" t="n">
        <v>288731.52</v>
      </c>
    </row>
    <row r="366">
      <c r="A366" t="inlineStr">
        <is>
          <t>未分类</t>
        </is>
      </c>
      <c r="B366" t="inlineStr">
        <is>
          <t>无客商-税期202510的汇</t>
        </is>
      </c>
      <c r="D366" t="n">
        <v>127383.78</v>
      </c>
    </row>
    <row r="367">
      <c r="A367" t="inlineStr">
        <is>
          <t>未分类</t>
        </is>
      </c>
      <c r="B367" t="inlineStr">
        <is>
          <t>无客商-税期202512的汇</t>
        </is>
      </c>
      <c r="D367" t="n">
        <v>4113.18</v>
      </c>
    </row>
    <row r="368">
      <c r="A368" t="inlineStr">
        <is>
          <t>未分类</t>
        </is>
      </c>
      <c r="B368" t="inlineStr">
        <is>
          <t>无客商-税期202601的汇</t>
        </is>
      </c>
      <c r="D368" t="n">
        <v>4113.18</v>
      </c>
    </row>
    <row r="369">
      <c r="A369" t="inlineStr">
        <is>
          <t>未分类</t>
        </is>
      </c>
      <c r="B369" t="inlineStr">
        <is>
          <t>无客商-税期202602的汇</t>
        </is>
      </c>
      <c r="D369" t="n">
        <v>241024.14</v>
      </c>
    </row>
    <row r="370">
      <c r="A370" t="inlineStr">
        <is>
          <t>未分类</t>
        </is>
      </c>
      <c r="B370" t="inlineStr">
        <is>
          <t>无客商-税期202603的汇</t>
        </is>
      </c>
      <c r="D370" t="n">
        <v>670284.5</v>
      </c>
    </row>
    <row r="371">
      <c r="A371" t="inlineStr">
        <is>
          <t>未分类</t>
        </is>
      </c>
      <c r="B371" t="inlineStr">
        <is>
          <t>无客商-管理人员费用</t>
        </is>
      </c>
      <c r="D371" t="n">
        <v>4669206.9</v>
      </c>
    </row>
    <row r="372">
      <c r="A372" t="inlineStr">
        <is>
          <t>未分类</t>
        </is>
      </c>
      <c r="B372" t="inlineStr">
        <is>
          <t>无客商-结算分包工程款-广东</t>
        </is>
      </c>
      <c r="D372" t="n">
        <v>17592.63</v>
      </c>
    </row>
    <row r="373">
      <c r="A373" t="inlineStr">
        <is>
          <t>未分类</t>
        </is>
      </c>
      <c r="B373" t="inlineStr">
        <is>
          <t>无客商-结转汤村复建区1号地</t>
        </is>
      </c>
      <c r="D373" t="n">
        <v>174.86</v>
      </c>
    </row>
    <row r="374">
      <c r="A374" t="inlineStr">
        <is>
          <t>未分类</t>
        </is>
      </c>
      <c r="B374" t="inlineStr">
        <is>
          <t>无客商-综合体项目型钢混凝土</t>
        </is>
      </c>
      <c r="D374" t="n">
        <v>12156108.54</v>
      </c>
    </row>
    <row r="375">
      <c r="A375" t="inlineStr">
        <is>
          <t>未分类</t>
        </is>
      </c>
      <c r="B375" t="inlineStr">
        <is>
          <t>无客商-补充计提汤村复1地块</t>
        </is>
      </c>
      <c r="D375" t="n">
        <v>-32877.45</v>
      </c>
    </row>
    <row r="376">
      <c r="A376" t="inlineStr">
        <is>
          <t>未分类</t>
        </is>
      </c>
      <c r="B376" t="inlineStr">
        <is>
          <t>无客商-计提2023年6月社</t>
        </is>
      </c>
      <c r="D376" t="n">
        <v>29363.32</v>
      </c>
    </row>
    <row r="377">
      <c r="A377" t="inlineStr">
        <is>
          <t>未分类</t>
        </is>
      </c>
      <c r="B377" t="inlineStr">
        <is>
          <t>无客商-计提2023年7月社</t>
        </is>
      </c>
      <c r="D377" t="n">
        <v>29748.29</v>
      </c>
    </row>
    <row r="378">
      <c r="A378" t="inlineStr">
        <is>
          <t>未分类</t>
        </is>
      </c>
      <c r="B378" t="inlineStr">
        <is>
          <t>无客商-计提5月广州市黄埔区</t>
        </is>
      </c>
      <c r="D378" t="n">
        <v>120021.14</v>
      </c>
    </row>
    <row r="379">
      <c r="A379" t="inlineStr">
        <is>
          <t>未分类</t>
        </is>
      </c>
      <c r="B379" t="inlineStr">
        <is>
          <t>无客商-计提一公司广州分公司</t>
        </is>
      </c>
      <c r="D379" t="n">
        <v>13686.3</v>
      </c>
    </row>
    <row r="380">
      <c r="A380" t="inlineStr">
        <is>
          <t>未分类</t>
        </is>
      </c>
      <c r="B380" t="inlineStr">
        <is>
          <t>无客商-计提广州市黄埔区汤村</t>
        </is>
      </c>
      <c r="D380" t="n">
        <v>8518630.220000001</v>
      </c>
    </row>
    <row r="381">
      <c r="A381" t="inlineStr">
        <is>
          <t>未分类</t>
        </is>
      </c>
      <c r="B381" t="inlineStr">
        <is>
          <t>无客商-计提汤村复1地块10</t>
        </is>
      </c>
      <c r="D381" t="n">
        <v>66825</v>
      </c>
    </row>
    <row r="382">
      <c r="A382" t="inlineStr">
        <is>
          <t>未分类</t>
        </is>
      </c>
      <c r="B382" t="inlineStr">
        <is>
          <t>无客商-计提汤村复1地块11</t>
        </is>
      </c>
      <c r="D382" t="n">
        <v>202249.06</v>
      </c>
    </row>
    <row r="383">
      <c r="A383" t="inlineStr">
        <is>
          <t>未分类</t>
        </is>
      </c>
      <c r="B383" t="inlineStr">
        <is>
          <t>无客商-计提汤村复1地块12</t>
        </is>
      </c>
      <c r="D383" t="n">
        <v>163918.22</v>
      </c>
    </row>
    <row r="384">
      <c r="A384" t="inlineStr">
        <is>
          <t>未分类</t>
        </is>
      </c>
      <c r="B384" t="inlineStr">
        <is>
          <t>无客商-计提汤村复1地块1月</t>
        </is>
      </c>
      <c r="D384" t="n">
        <v>183479.03</v>
      </c>
    </row>
    <row r="385">
      <c r="A385" t="inlineStr">
        <is>
          <t>未分类</t>
        </is>
      </c>
      <c r="B385" t="inlineStr">
        <is>
          <t>无客商-计提汤村复1地块20</t>
        </is>
      </c>
      <c r="D385" t="n">
        <v>713946.88</v>
      </c>
    </row>
    <row r="386">
      <c r="A386" t="inlineStr">
        <is>
          <t>未分类</t>
        </is>
      </c>
      <c r="B386" t="inlineStr">
        <is>
          <t>无客商-计提汤村复1地块3月</t>
        </is>
      </c>
      <c r="D386" t="n">
        <v>135079.41</v>
      </c>
    </row>
    <row r="387">
      <c r="A387" t="inlineStr">
        <is>
          <t>未分类</t>
        </is>
      </c>
      <c r="B387" t="inlineStr">
        <is>
          <t>无客商-计提汤村复1地块4月</t>
        </is>
      </c>
      <c r="D387" t="n">
        <v>107440</v>
      </c>
    </row>
    <row r="388">
      <c r="A388" t="inlineStr">
        <is>
          <t>未分类</t>
        </is>
      </c>
      <c r="B388" t="inlineStr">
        <is>
          <t>无客商-计提汤村复1地块5月</t>
        </is>
      </c>
      <c r="D388" t="n">
        <v>124965.74</v>
      </c>
    </row>
    <row r="389">
      <c r="A389" t="inlineStr">
        <is>
          <t>未分类</t>
        </is>
      </c>
      <c r="B389" t="inlineStr">
        <is>
          <t>无客商-计提汤村复1地块6月</t>
        </is>
      </c>
      <c r="D389" t="n">
        <v>74180.74000000001</v>
      </c>
    </row>
    <row r="390">
      <c r="A390" t="inlineStr">
        <is>
          <t>未分类</t>
        </is>
      </c>
      <c r="B390" t="inlineStr">
        <is>
          <t>无客商-计提汤村复1地块7月</t>
        </is>
      </c>
      <c r="D390" t="n">
        <v>94969.67</v>
      </c>
    </row>
    <row r="391">
      <c r="A391" t="inlineStr">
        <is>
          <t>未分类</t>
        </is>
      </c>
      <c r="B391" t="inlineStr">
        <is>
          <t>无客商-计提汤村复1地块8月</t>
        </is>
      </c>
      <c r="D391" t="n">
        <v>174963.8</v>
      </c>
    </row>
    <row r="392">
      <c r="A392" t="inlineStr">
        <is>
          <t>未分类</t>
        </is>
      </c>
      <c r="B392" t="inlineStr">
        <is>
          <t>无客商-计提汤村复1地块9月</t>
        </is>
      </c>
      <c r="D392" t="n">
        <v>14553.8</v>
      </c>
    </row>
    <row r="393">
      <c r="A393" t="inlineStr">
        <is>
          <t>未分类</t>
        </is>
      </c>
      <c r="B393" t="inlineStr">
        <is>
          <t>无客商-计提汤村复1地块人员</t>
        </is>
      </c>
      <c r="D393" t="n">
        <v>-3977.88</v>
      </c>
    </row>
    <row r="394">
      <c r="A394" t="inlineStr">
        <is>
          <t>未分类</t>
        </is>
      </c>
      <c r="B394" t="inlineStr">
        <is>
          <t>无客商-计提汤村复1地块安全</t>
        </is>
      </c>
      <c r="D394" t="n">
        <v>5809818.35</v>
      </c>
    </row>
    <row r="395">
      <c r="A395" t="inlineStr">
        <is>
          <t>未分类</t>
        </is>
      </c>
      <c r="B395" t="inlineStr">
        <is>
          <t>无客商-计提汤村复1地块社保</t>
        </is>
      </c>
      <c r="D395" t="n">
        <v>420004.78</v>
      </c>
    </row>
    <row r="396">
      <c r="A396" t="inlineStr">
        <is>
          <t>未分类</t>
        </is>
      </c>
      <c r="B396" t="inlineStr">
        <is>
          <t>无客商-计提汤村复1地块薪酬</t>
        </is>
      </c>
      <c r="D396" t="n">
        <v>181631.1</v>
      </c>
    </row>
    <row r="397">
      <c r="A397" t="inlineStr">
        <is>
          <t>未分类</t>
        </is>
      </c>
      <c r="B397" t="inlineStr">
        <is>
          <t>无客商-计提汤村复1地块项目</t>
        </is>
      </c>
      <c r="D397" t="n">
        <v>98003.85000000001</v>
      </c>
    </row>
    <row r="398">
      <c r="A398" t="inlineStr">
        <is>
          <t>未分类</t>
        </is>
      </c>
      <c r="B398" t="inlineStr">
        <is>
          <t>无客商-计提汤村复1项目20</t>
        </is>
      </c>
      <c r="D398" t="n">
        <v>21202.27</v>
      </c>
    </row>
    <row r="399">
      <c r="A399" t="inlineStr">
        <is>
          <t>未分类</t>
        </is>
      </c>
      <c r="B399" t="inlineStr">
        <is>
          <t>无客商-计提汤村复地块12月</t>
        </is>
      </c>
      <c r="D399" t="n">
        <v>44271.65</v>
      </c>
    </row>
    <row r="400">
      <c r="A400" t="inlineStr">
        <is>
          <t>未分类</t>
        </is>
      </c>
      <c r="B400" t="inlineStr">
        <is>
          <t>无客商-计提汤村复建1号地块</t>
        </is>
      </c>
      <c r="D400" t="n">
        <v>34659.81</v>
      </c>
    </row>
    <row r="401">
      <c r="A401" t="inlineStr">
        <is>
          <t>未分类</t>
        </is>
      </c>
      <c r="B401" t="inlineStr">
        <is>
          <t>无客商-计提汤村复建区1号地</t>
        </is>
      </c>
      <c r="D401" t="n">
        <v>928110.97</v>
      </c>
    </row>
    <row r="402">
      <c r="A402" t="inlineStr">
        <is>
          <t>未分类</t>
        </is>
      </c>
      <c r="B402" t="inlineStr">
        <is>
          <t>无客商-计提汤村项目复建区1</t>
        </is>
      </c>
      <c r="D402" t="n">
        <v>70711.42999999999</v>
      </c>
    </row>
    <row r="403">
      <c r="A403" t="inlineStr">
        <is>
          <t>未分类</t>
        </is>
      </c>
      <c r="B403" t="inlineStr">
        <is>
          <t>无客商-调整汤村复1地块进项</t>
        </is>
      </c>
      <c r="D403" t="n">
        <v>-19.85</v>
      </c>
    </row>
    <row r="404">
      <c r="A404" t="inlineStr">
        <is>
          <t>未分类</t>
        </is>
      </c>
      <c r="B404" t="inlineStr">
        <is>
          <t>无客商-调整汤村复建区1号地</t>
        </is>
      </c>
      <c r="D404" t="n">
        <v>302.08</v>
      </c>
    </row>
    <row r="405">
      <c r="A405" t="inlineStr">
        <is>
          <t>未分类</t>
        </is>
      </c>
      <c r="B405" t="inlineStr">
        <is>
          <t>无客商-重新支付汤村旧改项目</t>
        </is>
      </c>
      <c r="D405" t="n">
        <v>800000</v>
      </c>
    </row>
    <row r="406">
      <c r="A406" t="inlineStr">
        <is>
          <t>未分类</t>
        </is>
      </c>
      <c r="B406" t="inlineStr">
        <is>
          <t>无客商-黄旭栋报销公司培训住</t>
        </is>
      </c>
      <c r="D406" t="n">
        <v>11.91</v>
      </c>
    </row>
    <row r="407">
      <c r="A407" t="inlineStr">
        <is>
          <t>未分类</t>
        </is>
      </c>
      <c r="B407" t="inlineStr">
        <is>
          <t>无客商-黄旭栋报销汤村旧村改</t>
        </is>
      </c>
      <c r="D407" t="n">
        <v>8.32</v>
      </c>
    </row>
    <row r="408">
      <c r="A408" t="inlineStr">
        <is>
          <t>未分类</t>
        </is>
      </c>
      <c r="B408" t="inlineStr">
        <is>
          <t>无客商-黄旭栋报销汤村项目2</t>
        </is>
      </c>
      <c r="D408" t="n">
        <v>245.12</v>
      </c>
    </row>
    <row r="409">
      <c r="A409" t="inlineStr">
        <is>
          <t>未分类</t>
        </is>
      </c>
      <c r="B409" t="inlineStr">
        <is>
          <t>无客商-黄旭栋报销汤村项目公</t>
        </is>
      </c>
      <c r="D409" t="n">
        <v>39.93</v>
      </c>
    </row>
    <row r="410">
      <c r="A410" t="inlineStr">
        <is>
          <t>未分类</t>
        </is>
      </c>
      <c r="B410" t="inlineStr">
        <is>
          <t>无客商-黄旭栋报销电脑维修费</t>
        </is>
      </c>
      <c r="D410" t="n">
        <v>3.17</v>
      </c>
    </row>
    <row r="411">
      <c r="A411" t="inlineStr">
        <is>
          <t>未分类</t>
        </is>
      </c>
      <c r="B411" t="inlineStr">
        <is>
          <t>无客商-（抵房）支付汤村复一</t>
        </is>
      </c>
      <c r="D411" t="n">
        <v>5302833</v>
      </c>
    </row>
    <row r="412">
      <c r="A412" t="inlineStr">
        <is>
          <t>未分类</t>
        </is>
      </c>
      <c r="B412" t="inlineStr">
        <is>
          <t>星汇湾花园AH050203地块项目施工总承包及总承包管理配合服务</t>
        </is>
      </c>
      <c r="D412" t="n">
        <v>1074313.47</v>
      </c>
    </row>
    <row r="413">
      <c r="A413" t="inlineStr">
        <is>
          <t>未分类</t>
        </is>
      </c>
      <c r="B413" t="inlineStr">
        <is>
          <t>朱新伟</t>
        </is>
      </c>
      <c r="D413" t="n">
        <v>181720</v>
      </c>
    </row>
    <row r="414">
      <c r="A414" t="inlineStr">
        <is>
          <t>未分类</t>
        </is>
      </c>
      <c r="B414" t="inlineStr">
        <is>
          <t>正工模块化建筑科技（深圳）有限公司</t>
        </is>
      </c>
      <c r="C414" t="inlineStr">
        <is>
          <t>中建四局0200202103603001</t>
        </is>
      </c>
      <c r="D414" t="n">
        <v>3050928.02</v>
      </c>
    </row>
    <row r="415">
      <c r="A415" t="inlineStr">
        <is>
          <t>未分类</t>
        </is>
      </c>
      <c r="B415" t="inlineStr">
        <is>
          <t>正工模块化建筑科技（深圳）有限公司</t>
        </is>
      </c>
      <c r="D415" t="n">
        <v>441591.72</v>
      </c>
    </row>
    <row r="416">
      <c r="A416" t="inlineStr">
        <is>
          <t>未分类</t>
        </is>
      </c>
      <c r="B416" t="inlineStr">
        <is>
          <t>江西志特新材料股份有限公司</t>
        </is>
      </c>
      <c r="C416" t="inlineStr">
        <is>
          <t>中建四局0200202103603005</t>
        </is>
      </c>
      <c r="D416" t="n">
        <v>14861261.51</v>
      </c>
    </row>
    <row r="417">
      <c r="A417" t="inlineStr">
        <is>
          <t>未分类</t>
        </is>
      </c>
      <c r="B417" t="inlineStr">
        <is>
          <t>江西志特新材料股份有限公司</t>
        </is>
      </c>
      <c r="D417" t="n">
        <v>1730584.76</v>
      </c>
    </row>
    <row r="418">
      <c r="A418" t="inlineStr">
        <is>
          <t>未分类</t>
        </is>
      </c>
      <c r="B418" t="inlineStr">
        <is>
          <t>汤村旧村改造复建区一期</t>
        </is>
      </c>
      <c r="D418" t="n">
        <v>74514441.83</v>
      </c>
    </row>
    <row r="419">
      <c r="A419" t="inlineStr">
        <is>
          <t>未分类</t>
        </is>
      </c>
      <c r="B419" t="inlineStr">
        <is>
          <t>汤燕英-封存</t>
        </is>
      </c>
      <c r="D419" t="n">
        <v>280086.66</v>
      </c>
    </row>
    <row r="420">
      <c r="A420" t="inlineStr">
        <is>
          <t>未分类</t>
        </is>
      </c>
      <c r="B420" t="inlineStr">
        <is>
          <t>浙商银行股份有限公司</t>
        </is>
      </c>
      <c r="D420" t="n">
        <v>10000000</v>
      </c>
    </row>
    <row r="421">
      <c r="A421" t="inlineStr">
        <is>
          <t>未分类</t>
        </is>
      </c>
      <c r="B421" t="inlineStr">
        <is>
          <t>深圳市华西安装工程有限公司</t>
        </is>
      </c>
      <c r="C421" t="inlineStr">
        <is>
          <t>中建四局0200202103603004</t>
        </is>
      </c>
      <c r="D421" t="n">
        <v>29297851.79</v>
      </c>
    </row>
    <row r="422">
      <c r="A422" t="inlineStr">
        <is>
          <t>未分类</t>
        </is>
      </c>
      <c r="B422" t="inlineStr">
        <is>
          <t>深圳市华西安装工程有限公司</t>
        </is>
      </c>
      <c r="D422" t="n">
        <v>2490955.19</v>
      </c>
    </row>
    <row r="423">
      <c r="A423" t="inlineStr">
        <is>
          <t>未分类</t>
        </is>
      </c>
      <c r="B423" t="inlineStr">
        <is>
          <t>深圳市鑫俊辉机械设备有限公司</t>
        </is>
      </c>
      <c r="C423" t="inlineStr">
        <is>
          <t>中建四局02002021036050003</t>
        </is>
      </c>
      <c r="D423" t="n">
        <v>483868.7</v>
      </c>
    </row>
    <row r="424">
      <c r="A424" t="inlineStr">
        <is>
          <t>未分类</t>
        </is>
      </c>
      <c r="B424" t="inlineStr">
        <is>
          <t>深圳市鑫俊辉机械设备有限公司</t>
        </is>
      </c>
      <c r="D424" t="n">
        <v>46877.4</v>
      </c>
    </row>
    <row r="425">
      <c r="A425" t="inlineStr">
        <is>
          <t>未分类</t>
        </is>
      </c>
      <c r="B425" t="inlineStr">
        <is>
          <t>深圳瑞海国际工程技术有限公司</t>
        </is>
      </c>
      <c r="D425" t="n">
        <v>14339.62</v>
      </c>
    </row>
    <row r="426">
      <c r="A426" t="inlineStr">
        <is>
          <t>未分类</t>
        </is>
      </c>
      <c r="B426" t="inlineStr">
        <is>
          <t>清远市榕兴新型环保建材有限责任公司</t>
        </is>
      </c>
      <c r="C426" t="inlineStr">
        <is>
          <t>中建四局0200202103606006</t>
        </is>
      </c>
      <c r="D426" t="n">
        <v>2728097.75</v>
      </c>
    </row>
    <row r="427">
      <c r="A427" t="inlineStr">
        <is>
          <t>未分类</t>
        </is>
      </c>
      <c r="B427" t="inlineStr">
        <is>
          <t>清远市榕兴新型环保建材有限责任公司</t>
        </is>
      </c>
      <c r="D427" t="n">
        <v>288467.89</v>
      </c>
    </row>
    <row r="428">
      <c r="A428" t="inlineStr">
        <is>
          <t>未分类</t>
        </is>
      </c>
      <c r="B428" t="inlineStr">
        <is>
          <t>湖北省隆兴防水材料有限责任公司</t>
        </is>
      </c>
      <c r="C428" t="inlineStr">
        <is>
          <t>中建四局0200202103603006</t>
        </is>
      </c>
      <c r="D428" t="n">
        <v>5406322.35</v>
      </c>
    </row>
    <row r="429">
      <c r="A429" t="inlineStr">
        <is>
          <t>未分类</t>
        </is>
      </c>
      <c r="B429" t="inlineStr">
        <is>
          <t>湖北省隆兴防水材料有限责任公司</t>
        </is>
      </c>
      <c r="D429" t="n">
        <v>467574.97</v>
      </c>
    </row>
    <row r="430">
      <c r="A430" t="inlineStr">
        <is>
          <t>未分类</t>
        </is>
      </c>
      <c r="B430" t="inlineStr">
        <is>
          <t>湖南轨道物流发展有限公司</t>
        </is>
      </c>
      <c r="C430" t="inlineStr">
        <is>
          <t>中建四局0200202103606008</t>
        </is>
      </c>
      <c r="D430" t="n">
        <v>65565192.58</v>
      </c>
    </row>
    <row r="431">
      <c r="A431" t="inlineStr">
        <is>
          <t>未分类</t>
        </is>
      </c>
      <c r="B431" t="inlineStr">
        <is>
          <t>湖南轨道物流发展有限公司</t>
        </is>
      </c>
      <c r="D431" t="n">
        <v>7520907.25</v>
      </c>
    </row>
    <row r="432">
      <c r="A432" t="inlineStr">
        <is>
          <t>未分类</t>
        </is>
      </c>
      <c r="B432" t="inlineStr">
        <is>
          <t>湖南阳旭建筑劳务服务有限公司</t>
        </is>
      </c>
      <c r="C432" t="inlineStr">
        <is>
          <t>中建四局0200202103603002</t>
        </is>
      </c>
      <c r="D432" t="n">
        <v>81321146.25</v>
      </c>
    </row>
    <row r="433">
      <c r="A433" t="inlineStr">
        <is>
          <t>未分类</t>
        </is>
      </c>
      <c r="B433" t="inlineStr">
        <is>
          <t>湖南阳旭建筑劳务服务有限公司</t>
        </is>
      </c>
      <c r="C433" t="inlineStr">
        <is>
          <t>中建四局0200202103604001</t>
        </is>
      </c>
      <c r="D433" t="n">
        <v>158646.57</v>
      </c>
    </row>
    <row r="434">
      <c r="A434" t="inlineStr">
        <is>
          <t>未分类</t>
        </is>
      </c>
      <c r="B434" t="inlineStr">
        <is>
          <t>湖南阳旭建筑劳务服务有限公司</t>
        </is>
      </c>
      <c r="D434" t="n">
        <v>4351568.44</v>
      </c>
    </row>
    <row r="435">
      <c r="A435" t="inlineStr">
        <is>
          <t>未分类</t>
        </is>
      </c>
      <c r="B435" t="inlineStr">
        <is>
          <t>珺悦蓝庭花苑（一期）和信达珺悦公馆项目</t>
        </is>
      </c>
      <c r="D435" t="n">
        <v>600000</v>
      </c>
    </row>
    <row r="436">
      <c r="A436" t="inlineStr">
        <is>
          <t>未分类</t>
        </is>
      </c>
      <c r="B436" t="inlineStr">
        <is>
          <t>白云区金沙洲AB3705032地块项目施工总承包及总承包管理配合服务工程</t>
        </is>
      </c>
      <c r="D436" t="n">
        <v>44173.44</v>
      </c>
    </row>
    <row r="437">
      <c r="A437" t="inlineStr">
        <is>
          <t>未分类</t>
        </is>
      </c>
      <c r="B437" t="inlineStr">
        <is>
          <t>白云机场三期扩建工程周边临空经济产业园区基础设施二期工程（平西二期安置区）施工总承包（标段一）</t>
        </is>
      </c>
      <c r="D437" t="n">
        <v>30900</v>
      </c>
    </row>
    <row r="438">
      <c r="A438" t="inlineStr">
        <is>
          <t>未分类</t>
        </is>
      </c>
      <c r="B438" t="inlineStr">
        <is>
          <t>白云机场三期扩建工程周边临空经济产业园区基础设施建设三期工程（建南（首批）) 设计施工总承包（标段二）</t>
        </is>
      </c>
      <c r="D438" t="n">
        <v>56039.46</v>
      </c>
    </row>
    <row r="439">
      <c r="A439" t="inlineStr">
        <is>
          <t>未分类</t>
        </is>
      </c>
      <c r="B439" t="inlineStr">
        <is>
          <t>简显青</t>
        </is>
      </c>
      <c r="C439" t="inlineStr">
        <is>
          <t>ZZZZ</t>
        </is>
      </c>
      <c r="D439" t="n">
        <v>225740</v>
      </c>
    </row>
    <row r="440">
      <c r="A440" t="inlineStr">
        <is>
          <t>未分类</t>
        </is>
      </c>
      <c r="B440" t="inlineStr">
        <is>
          <t>简显青</t>
        </is>
      </c>
      <c r="D440" t="n">
        <v>225740</v>
      </c>
    </row>
    <row r="441">
      <c r="A441" t="inlineStr">
        <is>
          <t>未分类</t>
        </is>
      </c>
      <c r="B441" t="inlineStr">
        <is>
          <t>胡伟龙</t>
        </is>
      </c>
      <c r="D441" t="n">
        <v>248220.02</v>
      </c>
    </row>
    <row r="442">
      <c r="A442" t="inlineStr">
        <is>
          <t>未分类</t>
        </is>
      </c>
      <c r="B442" t="inlineStr">
        <is>
          <t>花都阳光城</t>
        </is>
      </c>
      <c r="D442" t="n">
        <v>4058944.73</v>
      </c>
    </row>
    <row r="443">
      <c r="A443" t="inlineStr">
        <is>
          <t>未分类</t>
        </is>
      </c>
      <c r="B443" t="inlineStr">
        <is>
          <t>陈乐</t>
        </is>
      </c>
      <c r="D443" t="n">
        <v>520778.74</v>
      </c>
    </row>
    <row r="444">
      <c r="A444" t="inlineStr">
        <is>
          <t>未分类</t>
        </is>
      </c>
      <c r="B444" t="inlineStr">
        <is>
          <t>零星供应商</t>
        </is>
      </c>
      <c r="D444" t="n">
        <v>454092.48</v>
      </c>
    </row>
    <row r="445">
      <c r="A445" t="inlineStr">
        <is>
          <t>未分类</t>
        </is>
      </c>
      <c r="B445" t="inlineStr">
        <is>
          <t>零星客户</t>
        </is>
      </c>
      <c r="D445" t="n">
        <v>1036333.34</v>
      </c>
    </row>
    <row r="446">
      <c r="A446" t="inlineStr">
        <is>
          <t>机械使用费</t>
        </is>
      </c>
      <c r="B446" t="inlineStr">
        <is>
          <t>无客商-复建地块一海南碧桂园</t>
        </is>
      </c>
      <c r="D446" t="n">
        <v>183181.97</v>
      </c>
    </row>
    <row r="447">
      <c r="A447" t="inlineStr">
        <is>
          <t>机械使用费</t>
        </is>
      </c>
      <c r="B447" t="inlineStr">
        <is>
          <t>无客商-广州市黄埔区汤村村旧</t>
        </is>
      </c>
      <c r="D447" t="n">
        <v>-58676.35</v>
      </c>
    </row>
    <row r="448">
      <c r="A448" t="inlineStr">
        <is>
          <t>机械使用费</t>
        </is>
      </c>
      <c r="B448" t="inlineStr">
        <is>
          <t>无客商-废旧物资处置-广州市</t>
        </is>
      </c>
      <c r="D448" t="n">
        <v>-15200.11</v>
      </c>
    </row>
    <row r="449">
      <c r="A449" t="inlineStr">
        <is>
          <t>机械使用费</t>
        </is>
      </c>
      <c r="B449" t="inlineStr">
        <is>
          <t>无客商-收易华兴交来汤村复一</t>
        </is>
      </c>
      <c r="D449" t="n">
        <v>-158860.9</v>
      </c>
    </row>
    <row r="450">
      <c r="A450" t="inlineStr">
        <is>
          <t>机械使用费</t>
        </is>
      </c>
      <c r="B450" t="inlineStr">
        <is>
          <t>无客商-收陈艳军交来汤村复一</t>
        </is>
      </c>
      <c r="D450" t="n">
        <v>-2161.6</v>
      </c>
    </row>
    <row r="451">
      <c r="A451" t="inlineStr">
        <is>
          <t>机械使用费</t>
        </is>
      </c>
      <c r="B451" t="inlineStr">
        <is>
          <t>无客商-收陈艳军交来汤村复建</t>
        </is>
      </c>
      <c r="D451" t="n">
        <v>-15639</v>
      </c>
    </row>
    <row r="452">
      <c r="A452" t="inlineStr">
        <is>
          <t>机械使用费</t>
        </is>
      </c>
      <c r="B452" t="inlineStr">
        <is>
          <t>无客商-星汇湾花园项目从汤村</t>
        </is>
      </c>
      <c r="D452" t="n">
        <v>-358104.49</v>
      </c>
    </row>
    <row r="453">
      <c r="A453" t="inlineStr">
        <is>
          <t>机械使用费</t>
        </is>
      </c>
      <c r="B453" t="inlineStr">
        <is>
          <t>无客商-汤村九年一贯制学校（</t>
        </is>
      </c>
      <c r="D453" t="n">
        <v>-1008335.45</v>
      </c>
    </row>
    <row r="454">
      <c r="A454" t="inlineStr">
        <is>
          <t>机械使用费</t>
        </is>
      </c>
      <c r="B454" t="inlineStr">
        <is>
          <t>无客商-汤村复1地块销项税差</t>
        </is>
      </c>
      <c r="D454" t="n">
        <v>-0.01</v>
      </c>
    </row>
    <row r="455">
      <c r="A455" t="inlineStr">
        <is>
          <t>机械使用费</t>
        </is>
      </c>
      <c r="B455" t="inlineStr">
        <is>
          <t>无客商-汤村复一项目24年5</t>
        </is>
      </c>
      <c r="D455" t="n">
        <v>-14440.14</v>
      </c>
    </row>
    <row r="456">
      <c r="A456" t="inlineStr">
        <is>
          <t>机械使用费</t>
        </is>
      </c>
      <c r="B456" t="inlineStr">
        <is>
          <t>无客商-汤村复一项目24年6</t>
        </is>
      </c>
      <c r="D456" t="n">
        <v>-42247.71</v>
      </c>
    </row>
    <row r="457">
      <c r="A457" t="inlineStr">
        <is>
          <t>机械使用费</t>
        </is>
      </c>
      <c r="B457" t="inlineStr">
        <is>
          <t>无客商-汤村复一项目24年7</t>
        </is>
      </c>
      <c r="D457" t="n">
        <v>-36888.1</v>
      </c>
    </row>
    <row r="458">
      <c r="A458" t="inlineStr">
        <is>
          <t>机械使用费</t>
        </is>
      </c>
      <c r="B458" t="inlineStr">
        <is>
          <t>无客商-汤村复一项目24年9</t>
        </is>
      </c>
      <c r="D458" t="n">
        <v>-22068.57</v>
      </c>
    </row>
    <row r="459">
      <c r="A459" t="inlineStr">
        <is>
          <t>机械使用费</t>
        </is>
      </c>
      <c r="B459" t="inlineStr">
        <is>
          <t>无客商-汤村复一项目25年1</t>
        </is>
      </c>
      <c r="D459" t="n">
        <v>-120799.94</v>
      </c>
    </row>
    <row r="460">
      <c r="A460" t="inlineStr">
        <is>
          <t>机械使用费</t>
        </is>
      </c>
      <c r="B460" t="inlineStr">
        <is>
          <t>无客商-汤村复一项目其他材料</t>
        </is>
      </c>
      <c r="D460" t="n">
        <v>394191.82</v>
      </c>
    </row>
    <row r="461">
      <c r="A461" t="inlineStr">
        <is>
          <t>机械使用费</t>
        </is>
      </c>
      <c r="B461" t="inlineStr">
        <is>
          <t>无客商-汤村复一项目商品砼加</t>
        </is>
      </c>
      <c r="D461" t="n">
        <v>4065599.98</v>
      </c>
    </row>
    <row r="462">
      <c r="A462" t="inlineStr">
        <is>
          <t>机械使用费</t>
        </is>
      </c>
      <c r="B462" t="inlineStr">
        <is>
          <t>无客商-汤村复一项目混凝土、</t>
        </is>
      </c>
      <c r="D462" t="n">
        <v>4008834.59</v>
      </c>
    </row>
    <row r="463">
      <c r="A463" t="inlineStr">
        <is>
          <t>机械使用费</t>
        </is>
      </c>
      <c r="B463" t="inlineStr">
        <is>
          <t>无客商-汤村复一项目混凝土加</t>
        </is>
      </c>
      <c r="D463" t="n">
        <v>4730274.59</v>
      </c>
    </row>
    <row r="464">
      <c r="A464" t="inlineStr">
        <is>
          <t>机械使用费</t>
        </is>
      </c>
      <c r="B464" t="inlineStr">
        <is>
          <t>无客商-汤村复一项目混凝土材</t>
        </is>
      </c>
      <c r="D464" t="n">
        <v>14549680.88</v>
      </c>
    </row>
    <row r="465">
      <c r="A465" t="inlineStr">
        <is>
          <t>机械使用费</t>
        </is>
      </c>
      <c r="B465" t="inlineStr">
        <is>
          <t>无客商-汤村复一项目混凝土砌</t>
        </is>
      </c>
      <c r="D465" t="n">
        <v>8581211.109999999</v>
      </c>
    </row>
    <row r="466">
      <c r="A466" t="inlineStr">
        <is>
          <t>机械使用费</t>
        </is>
      </c>
      <c r="B466" t="inlineStr">
        <is>
          <t>无客商-汤村复一项目混凝土零</t>
        </is>
      </c>
      <c r="D466" t="n">
        <v>6896241.12</v>
      </c>
    </row>
    <row r="467">
      <c r="A467" t="inlineStr">
        <is>
          <t>机械使用费</t>
        </is>
      </c>
      <c r="B467" t="inlineStr">
        <is>
          <t>无客商-汤村复一项目装饰材料</t>
        </is>
      </c>
      <c r="D467" t="n">
        <v>42988.2</v>
      </c>
    </row>
    <row r="468">
      <c r="A468" t="inlineStr">
        <is>
          <t>机械使用费</t>
        </is>
      </c>
      <c r="B468" t="inlineStr">
        <is>
          <t>无客商-汤村复一项目钢材其他</t>
        </is>
      </c>
      <c r="D468" t="n">
        <v>5378635.25</v>
      </c>
    </row>
    <row r="469">
      <c r="A469" t="inlineStr">
        <is>
          <t>机械使用费</t>
        </is>
      </c>
      <c r="B469" t="inlineStr">
        <is>
          <t>无客商-汤村复一项目钢材材料</t>
        </is>
      </c>
      <c r="D469" t="n">
        <v>11634984.71</v>
      </c>
    </row>
    <row r="470">
      <c r="A470" t="inlineStr">
        <is>
          <t>机械使用费</t>
        </is>
      </c>
      <c r="B470" t="inlineStr">
        <is>
          <t>无客商-汤村复一项目钢材混凝</t>
        </is>
      </c>
      <c r="D470" t="n">
        <v>74227325.11</v>
      </c>
    </row>
    <row r="471">
      <c r="A471" t="inlineStr">
        <is>
          <t>机械使用费</t>
        </is>
      </c>
      <c r="B471" t="inlineStr">
        <is>
          <t>无客商-汤村复一项目钢材砌体</t>
        </is>
      </c>
      <c r="D471" t="n">
        <v>2982492.88</v>
      </c>
    </row>
    <row r="472">
      <c r="A472" t="inlineStr">
        <is>
          <t>机械使用费</t>
        </is>
      </c>
      <c r="B472" t="inlineStr">
        <is>
          <t>无客商-汤村复一项目钢材装饰</t>
        </is>
      </c>
      <c r="D472" t="n">
        <v>1592674.83</v>
      </c>
    </row>
    <row r="473">
      <c r="A473" t="inlineStr">
        <is>
          <t>机械使用费</t>
        </is>
      </c>
      <c r="B473" t="inlineStr">
        <is>
          <t>无客商-汤村复四项目从汤村复</t>
        </is>
      </c>
      <c r="D473" t="n">
        <v>-6816612.88</v>
      </c>
    </row>
    <row r="474">
      <c r="A474" t="inlineStr">
        <is>
          <t>机械使用费</t>
        </is>
      </c>
      <c r="B474" t="inlineStr">
        <is>
          <t>无客商-汤村复建地块一项目材</t>
        </is>
      </c>
      <c r="D474" t="n">
        <v>220945.31</v>
      </c>
    </row>
    <row r="475">
      <c r="A475" t="inlineStr">
        <is>
          <t>机械使用费</t>
        </is>
      </c>
      <c r="B475" t="inlineStr">
        <is>
          <t>无客商-汤村旧村改造复建地块</t>
        </is>
      </c>
      <c r="D475" t="n">
        <v>1890798.5</v>
      </c>
    </row>
    <row r="476">
      <c r="A476" t="inlineStr">
        <is>
          <t>机械使用费</t>
        </is>
      </c>
      <c r="B476" t="inlineStr">
        <is>
          <t>无客商-汤村旧村改造项目复建</t>
        </is>
      </c>
      <c r="D476" t="n">
        <v>495663.09</v>
      </c>
    </row>
    <row r="477">
      <c r="A477" t="inlineStr">
        <is>
          <t>机械使用费</t>
        </is>
      </c>
      <c r="B477" t="inlineStr">
        <is>
          <t>无客商-综合体项目型钢混凝土</t>
        </is>
      </c>
      <c r="D477" t="n">
        <v>4303563.26</v>
      </c>
    </row>
    <row r="478">
      <c r="A478" t="inlineStr">
        <is>
          <t>材料费</t>
        </is>
      </c>
      <c r="B478" t="inlineStr">
        <is>
          <t>无客商-劳务费</t>
        </is>
      </c>
      <c r="D478" t="n">
        <v>37683399.8</v>
      </c>
    </row>
    <row r="479">
      <c r="A479" t="inlineStr">
        <is>
          <t>材料费</t>
        </is>
      </c>
      <c r="B479" t="inlineStr">
        <is>
          <t>无客商-发放汤村旧改复建区1</t>
        </is>
      </c>
      <c r="D479" t="n">
        <v>44800</v>
      </c>
    </row>
    <row r="480">
      <c r="A480" t="inlineStr">
        <is>
          <t>材料费</t>
        </is>
      </c>
      <c r="B480" t="inlineStr">
        <is>
          <t>无客商-应付汤村项目复建地块</t>
        </is>
      </c>
      <c r="D480" t="n">
        <v>2908258.78</v>
      </c>
    </row>
    <row r="481">
      <c r="A481" t="inlineStr">
        <is>
          <t>材料费</t>
        </is>
      </c>
      <c r="B481" t="inlineStr">
        <is>
          <t>无客商-管理人员费用</t>
        </is>
      </c>
      <c r="D481" t="n">
        <v>210911.67</v>
      </c>
    </row>
    <row r="482">
      <c r="A482" t="inlineStr">
        <is>
          <t>间接费</t>
        </is>
      </c>
      <c r="B482" t="inlineStr">
        <is>
          <t>无客商-2025年2月峰行社</t>
        </is>
      </c>
      <c r="D482" t="n">
        <v>6626.25</v>
      </c>
    </row>
    <row r="483">
      <c r="A483" t="inlineStr">
        <is>
          <t>间接费</t>
        </is>
      </c>
      <c r="B483" t="inlineStr">
        <is>
          <t>无客商-2025年岗位证书新</t>
        </is>
      </c>
      <c r="D483" t="n">
        <v>1607.4</v>
      </c>
    </row>
    <row r="484">
      <c r="A484" t="inlineStr">
        <is>
          <t>间接费</t>
        </is>
      </c>
      <c r="B484" t="inlineStr">
        <is>
          <t>无客商-AFB/01/202</t>
        </is>
      </c>
      <c r="D484" t="n">
        <v>8068.7</v>
      </c>
    </row>
    <row r="485">
      <c r="A485" t="inlineStr">
        <is>
          <t>间接费</t>
        </is>
      </c>
      <c r="B485" t="inlineStr">
        <is>
          <t>无客商-付中建四局城市运营服</t>
        </is>
      </c>
      <c r="D485" t="n">
        <v>19481.21</v>
      </c>
    </row>
    <row r="486">
      <c r="A486" t="inlineStr">
        <is>
          <t>间接费</t>
        </is>
      </c>
      <c r="B486" t="inlineStr">
        <is>
          <t>无客商-劳务费</t>
        </is>
      </c>
      <c r="D486" t="n">
        <v>1534177.4</v>
      </c>
    </row>
    <row r="487">
      <c r="A487" t="inlineStr">
        <is>
          <t>间接费</t>
        </is>
      </c>
      <c r="B487" t="inlineStr">
        <is>
          <t>无客商-发放汤村旧改复建区1</t>
        </is>
      </c>
      <c r="D487" t="n">
        <v>22260</v>
      </c>
    </row>
    <row r="488">
      <c r="A488" t="inlineStr">
        <is>
          <t>间接费</t>
        </is>
      </c>
      <c r="B488" t="inlineStr">
        <is>
          <t>无客商-对外成本费用支付复一</t>
        </is>
      </c>
      <c r="D488" t="n">
        <v>112870</v>
      </c>
    </row>
    <row r="489">
      <c r="A489" t="inlineStr">
        <is>
          <t>间接费</t>
        </is>
      </c>
      <c r="B489" t="inlineStr">
        <is>
          <t>无客商-报销汤村项目2024</t>
        </is>
      </c>
      <c r="D489" t="n">
        <v>2224.64</v>
      </c>
    </row>
    <row r="490">
      <c r="A490" t="inlineStr">
        <is>
          <t>间接费</t>
        </is>
      </c>
      <c r="B490" t="inlineStr">
        <is>
          <t>无客商-报销汤村项目贺栋邮寄</t>
        </is>
      </c>
      <c r="D490" t="n">
        <v>120.57</v>
      </c>
    </row>
    <row r="491">
      <c r="A491" t="inlineStr">
        <is>
          <t>间接费</t>
        </is>
      </c>
      <c r="B491" t="inlineStr">
        <is>
          <t>无客商-支付2025年8月办</t>
        </is>
      </c>
      <c r="D491" t="n">
        <v>545.99</v>
      </c>
    </row>
    <row r="492">
      <c r="A492" t="inlineStr">
        <is>
          <t>间接费</t>
        </is>
      </c>
      <c r="B492" t="inlineStr">
        <is>
          <t>无客商-支付中建四局城市运营</t>
        </is>
      </c>
      <c r="D492" t="n">
        <v>305484.44</v>
      </c>
    </row>
    <row r="493">
      <c r="A493" t="inlineStr">
        <is>
          <t>间接费</t>
        </is>
      </c>
      <c r="B493" t="inlineStr">
        <is>
          <t>无客商-支付南方2025年1</t>
        </is>
      </c>
      <c r="D493" t="n">
        <v>1986.32</v>
      </c>
    </row>
    <row r="494">
      <c r="A494" t="inlineStr">
        <is>
          <t>间接费</t>
        </is>
      </c>
      <c r="B494" t="inlineStr">
        <is>
          <t>无客商-支付天下行（广州）贸</t>
        </is>
      </c>
      <c r="D494" t="n">
        <v>20851.5</v>
      </c>
    </row>
    <row r="495">
      <c r="A495" t="inlineStr">
        <is>
          <t>间接费</t>
        </is>
      </c>
      <c r="B495" t="inlineStr">
        <is>
          <t>无客商-支付局代付汤村复建区</t>
        </is>
      </c>
      <c r="D495" t="n">
        <v>22437.12</v>
      </c>
    </row>
    <row r="496">
      <c r="A496" t="inlineStr">
        <is>
          <t>间接费</t>
        </is>
      </c>
      <c r="B496" t="inlineStr">
        <is>
          <t>无客商-支付局代付清远市人民</t>
        </is>
      </c>
      <c r="D496" t="n">
        <v>4455.45</v>
      </c>
    </row>
    <row r="497">
      <c r="A497" t="inlineStr">
        <is>
          <t>间接费</t>
        </is>
      </c>
      <c r="B497" t="inlineStr">
        <is>
          <t>无客商-支付峰行2025年1</t>
        </is>
      </c>
      <c r="D497" t="n">
        <v>7632.17</v>
      </c>
    </row>
    <row r="498">
      <c r="A498" t="inlineStr">
        <is>
          <t>间接费</t>
        </is>
      </c>
      <c r="B498" t="inlineStr">
        <is>
          <t>无客商-支付广东南方人力资源</t>
        </is>
      </c>
      <c r="D498" t="n">
        <v>27877.48</v>
      </c>
    </row>
    <row r="499">
      <c r="A499" t="inlineStr">
        <is>
          <t>间接费</t>
        </is>
      </c>
      <c r="B499" t="inlineStr">
        <is>
          <t>无客商-支付广东通利达汽车租</t>
        </is>
      </c>
      <c r="D499" t="n">
        <v>11946.9</v>
      </c>
    </row>
    <row r="500">
      <c r="A500" t="inlineStr">
        <is>
          <t>间接费</t>
        </is>
      </c>
      <c r="B500" t="inlineStr">
        <is>
          <t>无客商-支付广东金辩律师事务</t>
        </is>
      </c>
      <c r="D500" t="n">
        <v>12264.15</v>
      </c>
    </row>
    <row r="501">
      <c r="A501" t="inlineStr">
        <is>
          <t>间接费</t>
        </is>
      </c>
      <c r="B501" t="inlineStr">
        <is>
          <t>无客商-支付广州峰行人力资源</t>
        </is>
      </c>
      <c r="D501" t="n">
        <v>98.17</v>
      </c>
    </row>
    <row r="502">
      <c r="A502" t="inlineStr">
        <is>
          <t>间接费</t>
        </is>
      </c>
      <c r="B502" t="inlineStr">
        <is>
          <t>无客商-支付广州市盈园绿化清</t>
        </is>
      </c>
      <c r="D502" t="n">
        <v>97688.37</v>
      </c>
    </row>
    <row r="503">
      <c r="A503" t="inlineStr">
        <is>
          <t>间接费</t>
        </is>
      </c>
      <c r="B503" t="inlineStr">
        <is>
          <t>无客商-支付广州市骅盛汽车租</t>
        </is>
      </c>
      <c r="D503" t="n">
        <v>558.49</v>
      </c>
    </row>
    <row r="504">
      <c r="A504" t="inlineStr">
        <is>
          <t>间接费</t>
        </is>
      </c>
      <c r="B504" t="inlineStr">
        <is>
          <t>无客商-支付广州市黄埔区文人</t>
        </is>
      </c>
      <c r="D504" t="n">
        <v>29851.98</v>
      </c>
    </row>
    <row r="505">
      <c r="A505" t="inlineStr">
        <is>
          <t>间接费</t>
        </is>
      </c>
      <c r="B505" t="inlineStr">
        <is>
          <t>无客商-支付广州市黄埔区水世</t>
        </is>
      </c>
      <c r="D505" t="n">
        <v>7950.49</v>
      </c>
    </row>
    <row r="506">
      <c r="A506" t="inlineStr">
        <is>
          <t>间接费</t>
        </is>
      </c>
      <c r="B506" t="inlineStr">
        <is>
          <t>无客商-支付广州易达诉讼费用</t>
        </is>
      </c>
      <c r="D506" t="n">
        <v>2805.1</v>
      </c>
    </row>
    <row r="507">
      <c r="A507" t="inlineStr">
        <is>
          <t>间接费</t>
        </is>
      </c>
      <c r="B507" t="inlineStr">
        <is>
          <t>无客商-支付广州腾粤汽车租赁</t>
        </is>
      </c>
      <c r="D507" t="n">
        <v>1193.97</v>
      </c>
    </row>
    <row r="508">
      <c r="A508" t="inlineStr">
        <is>
          <t>间接费</t>
        </is>
      </c>
      <c r="B508" t="inlineStr">
        <is>
          <t>无客商-支付机关代付汤村复建</t>
        </is>
      </c>
      <c r="D508" t="n">
        <v>31332</v>
      </c>
    </row>
    <row r="509">
      <c r="A509" t="inlineStr">
        <is>
          <t>间接费</t>
        </is>
      </c>
      <c r="B509" t="inlineStr">
        <is>
          <t>无客商-支付林桂生报销汤村旧</t>
        </is>
      </c>
      <c r="D509" t="n">
        <v>2834.32</v>
      </c>
    </row>
    <row r="510">
      <c r="A510" t="inlineStr">
        <is>
          <t>间接费</t>
        </is>
      </c>
      <c r="B510" t="inlineStr">
        <is>
          <t>无客商-支付汤村复1地块20</t>
        </is>
      </c>
      <c r="D510" t="n">
        <v>1886.79</v>
      </c>
    </row>
    <row r="511">
      <c r="A511" t="inlineStr">
        <is>
          <t>间接费</t>
        </is>
      </c>
      <c r="B511" t="inlineStr">
        <is>
          <t>无客商-支付汤村复1地块中建</t>
        </is>
      </c>
      <c r="D511" t="n">
        <v>74154.59</v>
      </c>
    </row>
    <row r="512">
      <c r="A512" t="inlineStr">
        <is>
          <t>间接费</t>
        </is>
      </c>
      <c r="B512" t="inlineStr">
        <is>
          <t>无客商-支付汤村复1地块亲力</t>
        </is>
      </c>
      <c r="D512" t="n">
        <v>170.74</v>
      </c>
    </row>
    <row r="513">
      <c r="A513" t="inlineStr">
        <is>
          <t>间接费</t>
        </is>
      </c>
      <c r="B513" t="inlineStr">
        <is>
          <t>无客商-支付汤村复1地块人力</t>
        </is>
      </c>
      <c r="D513" t="n">
        <v>981.7</v>
      </c>
    </row>
    <row r="514">
      <c r="A514" t="inlineStr">
        <is>
          <t>间接费</t>
        </is>
      </c>
      <c r="B514" t="inlineStr">
        <is>
          <t>无客商-支付汤村复1地块广东</t>
        </is>
      </c>
      <c r="D514" t="n">
        <v>45589.79</v>
      </c>
    </row>
    <row r="515">
      <c r="A515" t="inlineStr">
        <is>
          <t>间接费</t>
        </is>
      </c>
      <c r="B515" t="inlineStr">
        <is>
          <t>无客商-支付汤村复1地块广州</t>
        </is>
      </c>
      <c r="D515" t="n">
        <v>10372.4</v>
      </c>
    </row>
    <row r="516">
      <c r="A516" t="inlineStr">
        <is>
          <t>间接费</t>
        </is>
      </c>
      <c r="B516" t="inlineStr">
        <is>
          <t>无客商-支付汤村复1地块维也</t>
        </is>
      </c>
      <c r="D516" t="n">
        <v>2724.75</v>
      </c>
    </row>
    <row r="517">
      <c r="A517" t="inlineStr">
        <is>
          <t>间接费</t>
        </is>
      </c>
      <c r="B517" t="inlineStr">
        <is>
          <t>无客商-支付汤村复1项目广东</t>
        </is>
      </c>
      <c r="D517" t="n">
        <v>1917.32</v>
      </c>
    </row>
    <row r="518">
      <c r="A518" t="inlineStr">
        <is>
          <t>间接费</t>
        </is>
      </c>
      <c r="B518" t="inlineStr">
        <is>
          <t>无客商-支付汤村复一项目清远</t>
        </is>
      </c>
      <c r="D518" t="n">
        <v>99629.98</v>
      </c>
    </row>
    <row r="519">
      <c r="A519" t="inlineStr">
        <is>
          <t>间接费</t>
        </is>
      </c>
      <c r="B519" t="inlineStr">
        <is>
          <t>无客商-支付汤村复一项目湖南</t>
        </is>
      </c>
      <c r="D519" t="n">
        <v>95575.98</v>
      </c>
    </row>
    <row r="520">
      <c r="A520" t="inlineStr">
        <is>
          <t>间接费</t>
        </is>
      </c>
      <c r="B520" t="inlineStr">
        <is>
          <t>无客商-支付汤村复建区1号地</t>
        </is>
      </c>
      <c r="D520" t="n">
        <v>107931.04</v>
      </c>
    </row>
    <row r="521">
      <c r="A521" t="inlineStr">
        <is>
          <t>间接费</t>
        </is>
      </c>
      <c r="B521" t="inlineStr">
        <is>
          <t>无客商-支付汤村复建区1号项</t>
        </is>
      </c>
      <c r="D521" t="n">
        <v>3203.42</v>
      </c>
    </row>
    <row r="522">
      <c r="A522" t="inlineStr">
        <is>
          <t>间接费</t>
        </is>
      </c>
      <c r="B522" t="inlineStr">
        <is>
          <t>无客商-支付汤村旧改复建1号</t>
        </is>
      </c>
      <c r="D522" t="n">
        <v>190367.25</v>
      </c>
    </row>
    <row r="523">
      <c r="A523" t="inlineStr">
        <is>
          <t>间接费</t>
        </is>
      </c>
      <c r="B523" t="inlineStr">
        <is>
          <t>无客商-支付汤村旧改复建区1</t>
        </is>
      </c>
      <c r="D523" t="n">
        <v>33849.56</v>
      </c>
    </row>
    <row r="524">
      <c r="A524" t="inlineStr">
        <is>
          <t>间接费</t>
        </is>
      </c>
      <c r="B524" t="inlineStr">
        <is>
          <t>无客商-支付汤村旧改项目复建</t>
        </is>
      </c>
      <c r="D524" t="n">
        <v>14610</v>
      </c>
    </row>
    <row r="525">
      <c r="A525" t="inlineStr">
        <is>
          <t>间接费</t>
        </is>
      </c>
      <c r="B525" t="inlineStr">
        <is>
          <t>无客商-支付汤村旧村改造复建</t>
        </is>
      </c>
      <c r="D525" t="n">
        <v>9730.379999999999</v>
      </c>
    </row>
    <row r="526">
      <c r="A526" t="inlineStr">
        <is>
          <t>间接费</t>
        </is>
      </c>
      <c r="B526" t="inlineStr">
        <is>
          <t>无客商-支付汤村项目专利代理</t>
        </is>
      </c>
      <c r="D526" t="n">
        <v>1294.34</v>
      </c>
    </row>
    <row r="527">
      <c r="A527" t="inlineStr">
        <is>
          <t>间接费</t>
        </is>
      </c>
      <c r="B527" t="inlineStr">
        <is>
          <t>无客商-支付汤村项目复建区1</t>
        </is>
      </c>
      <c r="D527" t="n">
        <v>185939.27</v>
      </c>
    </row>
    <row r="528">
      <c r="A528" t="inlineStr">
        <is>
          <t>间接费</t>
        </is>
      </c>
      <c r="B528" t="inlineStr">
        <is>
          <t>无客商-支付汤村项目复建地块</t>
        </is>
      </c>
      <c r="D528" t="n">
        <v>6556.16</v>
      </c>
    </row>
    <row r="529">
      <c r="A529" t="inlineStr">
        <is>
          <t>间接费</t>
        </is>
      </c>
      <c r="B529" t="inlineStr">
        <is>
          <t>无客商-支付汤村项目广州富莱</t>
        </is>
      </c>
      <c r="D529" t="n">
        <v>53761.06</v>
      </c>
    </row>
    <row r="530">
      <c r="A530" t="inlineStr">
        <is>
          <t>间接费</t>
        </is>
      </c>
      <c r="B530" t="inlineStr">
        <is>
          <t>无客商-支付汤项目九年一贯制</t>
        </is>
      </c>
      <c r="D530" t="n">
        <v>1487.26</v>
      </c>
    </row>
    <row r="531">
      <c r="A531" t="inlineStr">
        <is>
          <t>间接费</t>
        </is>
      </c>
      <c r="B531" t="inlineStr">
        <is>
          <t>无客商-支付财务资金部陈乐报</t>
        </is>
      </c>
      <c r="D531" t="n">
        <v>3153.79</v>
      </c>
    </row>
    <row r="532">
      <c r="A532" t="inlineStr">
        <is>
          <t>间接费</t>
        </is>
      </c>
      <c r="B532" t="inlineStr">
        <is>
          <t>无客商-支付金辩所被诉案件律</t>
        </is>
      </c>
      <c r="D532" t="n">
        <v>9905.66</v>
      </c>
    </row>
    <row r="533">
      <c r="A533" t="inlineStr">
        <is>
          <t>间接费</t>
        </is>
      </c>
      <c r="B533" t="inlineStr">
        <is>
          <t>无客商-收安嘉（北京）建筑工</t>
        </is>
      </c>
      <c r="D533" t="n">
        <v>-30000</v>
      </c>
    </row>
    <row r="534">
      <c r="A534" t="inlineStr">
        <is>
          <t>间接费</t>
        </is>
      </c>
      <c r="B534" t="inlineStr">
        <is>
          <t>无客商-收汤村复1地块清欠罚</t>
        </is>
      </c>
      <c r="D534" t="n">
        <v>-2921.63</v>
      </c>
    </row>
    <row r="535">
      <c r="A535" t="inlineStr">
        <is>
          <t>间接费</t>
        </is>
      </c>
      <c r="B535" t="inlineStr">
        <is>
          <t>无客商-收汤村复建区1号地块</t>
        </is>
      </c>
      <c r="D535" t="n">
        <v>-10000</v>
      </c>
    </row>
    <row r="536">
      <c r="A536" t="inlineStr">
        <is>
          <t>间接费</t>
        </is>
      </c>
      <c r="B536" t="inlineStr">
        <is>
          <t>无客商-收贺栋交来汤村1号地</t>
        </is>
      </c>
      <c r="D536" t="n">
        <v>-2200</v>
      </c>
    </row>
    <row r="537">
      <c r="A537" t="inlineStr">
        <is>
          <t>间接费</t>
        </is>
      </c>
      <c r="B537" t="inlineStr">
        <is>
          <t>无客商-收退回诉讼费</t>
        </is>
      </c>
      <c r="D537" t="n">
        <v>-151.5</v>
      </c>
    </row>
    <row r="538">
      <c r="A538" t="inlineStr">
        <is>
          <t>间接费</t>
        </is>
      </c>
      <c r="B538" t="inlineStr">
        <is>
          <t>无客商-李建民到局总部参加省</t>
        </is>
      </c>
      <c r="D538" t="n">
        <v>547</v>
      </c>
    </row>
    <row r="539">
      <c r="A539" t="inlineStr">
        <is>
          <t>间接费</t>
        </is>
      </c>
      <c r="B539" t="inlineStr">
        <is>
          <t>无客商-核销广州分公司202</t>
        </is>
      </c>
      <c r="D539" t="n">
        <v>15214.05</v>
      </c>
    </row>
    <row r="540">
      <c r="A540" t="inlineStr">
        <is>
          <t>间接费</t>
        </is>
      </c>
      <c r="B540" t="inlineStr">
        <is>
          <t>无客商-核销汤村复1地块零星</t>
        </is>
      </c>
      <c r="D540" t="n">
        <v>-20000</v>
      </c>
    </row>
    <row r="541">
      <c r="A541" t="inlineStr">
        <is>
          <t>间接费</t>
        </is>
      </c>
      <c r="B541" t="inlineStr">
        <is>
          <t>无客商-汤村复1地块10月薪</t>
        </is>
      </c>
      <c r="D541" t="n">
        <v>52355</v>
      </c>
    </row>
    <row r="542">
      <c r="A542" t="inlineStr">
        <is>
          <t>间接费</t>
        </is>
      </c>
      <c r="B542" t="inlineStr">
        <is>
          <t>无客商-汤村复1地块2024</t>
        </is>
      </c>
      <c r="D542" t="n">
        <v>14553.8</v>
      </c>
    </row>
    <row r="543">
      <c r="A543" t="inlineStr">
        <is>
          <t>间接费</t>
        </is>
      </c>
      <c r="B543" t="inlineStr">
        <is>
          <t>无客商-汤村复1地块2月奖金</t>
        </is>
      </c>
      <c r="D543" t="n">
        <v>44960.06</v>
      </c>
    </row>
    <row r="544">
      <c r="A544" t="inlineStr">
        <is>
          <t>间接费</t>
        </is>
      </c>
      <c r="B544" t="inlineStr">
        <is>
          <t>无客商-汤村复1地块2月薪酬</t>
        </is>
      </c>
      <c r="D544" t="n">
        <v>132415</v>
      </c>
    </row>
    <row r="545">
      <c r="A545" t="inlineStr">
        <is>
          <t>间接费</t>
        </is>
      </c>
      <c r="B545" t="inlineStr">
        <is>
          <t>无客商-汤村复1地块6月薪酬</t>
        </is>
      </c>
      <c r="D545" t="n">
        <v>50585</v>
      </c>
    </row>
    <row r="546">
      <c r="A546" t="inlineStr">
        <is>
          <t>间接费</t>
        </is>
      </c>
      <c r="B546" t="inlineStr">
        <is>
          <t>无客商-汤村复1地块7月薪酬</t>
        </is>
      </c>
      <c r="D546" t="n">
        <v>52396.18</v>
      </c>
    </row>
    <row r="547">
      <c r="A547" t="inlineStr">
        <is>
          <t>间接费</t>
        </is>
      </c>
      <c r="B547" t="inlineStr">
        <is>
          <t>无客商-汤村复1地块8月薪酬</t>
        </is>
      </c>
      <c r="D547" t="n">
        <v>52355</v>
      </c>
    </row>
    <row r="548">
      <c r="A548" t="inlineStr">
        <is>
          <t>间接费</t>
        </is>
      </c>
      <c r="B548" t="inlineStr">
        <is>
          <t>无客商-汤村复1地块付广州市</t>
        </is>
      </c>
      <c r="D548" t="n">
        <v>22004.95</v>
      </c>
    </row>
    <row r="549">
      <c r="A549" t="inlineStr">
        <is>
          <t>间接费</t>
        </is>
      </c>
      <c r="B549" t="inlineStr">
        <is>
          <t>无客商-汤村复1地块申请福利</t>
        </is>
      </c>
      <c r="D549" t="n">
        <v>24.44</v>
      </c>
    </row>
    <row r="550">
      <c r="A550" t="inlineStr">
        <is>
          <t>间接费</t>
        </is>
      </c>
      <c r="B550" t="inlineStr">
        <is>
          <t>无客商-汤村复1地块计提10</t>
        </is>
      </c>
      <c r="D550" t="n">
        <v>67213.8</v>
      </c>
    </row>
    <row r="551">
      <c r="A551" t="inlineStr">
        <is>
          <t>间接费</t>
        </is>
      </c>
      <c r="B551" t="inlineStr">
        <is>
          <t>无客商-汤村复1地块计提20</t>
        </is>
      </c>
      <c r="D551" t="n">
        <v>16942.5</v>
      </c>
    </row>
    <row r="552">
      <c r="A552" t="inlineStr">
        <is>
          <t>间接费</t>
        </is>
      </c>
      <c r="B552" t="inlineStr">
        <is>
          <t>无客商-汤村复1地块计提9月</t>
        </is>
      </c>
      <c r="D552" t="n">
        <v>199302.69</v>
      </c>
    </row>
    <row r="553">
      <c r="A553" t="inlineStr">
        <is>
          <t>间接费</t>
        </is>
      </c>
      <c r="B553" t="inlineStr">
        <is>
          <t>无客商-汤村复1地块计提社保</t>
        </is>
      </c>
      <c r="D553" t="n">
        <v>39584.04</v>
      </c>
    </row>
    <row r="554">
      <c r="A554" t="inlineStr">
        <is>
          <t>间接费</t>
        </is>
      </c>
      <c r="B554" t="inlineStr">
        <is>
          <t>无客商-汤村复建1号地块8月</t>
        </is>
      </c>
      <c r="D554" t="n">
        <v>113.94</v>
      </c>
    </row>
    <row r="555">
      <c r="A555" t="inlineStr">
        <is>
          <t>间接费</t>
        </is>
      </c>
      <c r="B555" t="inlineStr">
        <is>
          <t>无客商-汤村复建1号地块徐尚</t>
        </is>
      </c>
      <c r="D555" t="n">
        <v>106.93</v>
      </c>
    </row>
    <row r="556">
      <c r="A556" t="inlineStr">
        <is>
          <t>间接费</t>
        </is>
      </c>
      <c r="B556" t="inlineStr">
        <is>
          <t>无客商-汤村复建区1号地块广</t>
        </is>
      </c>
      <c r="D556" t="n">
        <v>3300.86</v>
      </c>
    </row>
    <row r="557">
      <c r="A557" t="inlineStr">
        <is>
          <t>间接费</t>
        </is>
      </c>
      <c r="B557" t="inlineStr">
        <is>
          <t>无客商-汤村复建区1号地块项</t>
        </is>
      </c>
      <c r="D557" t="n">
        <v>94650</v>
      </c>
    </row>
    <row r="558">
      <c r="A558" t="inlineStr">
        <is>
          <t>间接费</t>
        </is>
      </c>
      <c r="B558" t="inlineStr">
        <is>
          <t>无客商-汤村旧改项目复建一地</t>
        </is>
      </c>
      <c r="D558" t="n">
        <v>87663.82000000001</v>
      </c>
    </row>
    <row r="559">
      <c r="A559" t="inlineStr">
        <is>
          <t>间接费</t>
        </is>
      </c>
      <c r="B559" t="inlineStr">
        <is>
          <t>无客商-汤村旧改项目对外成本</t>
        </is>
      </c>
      <c r="D559" t="n">
        <v>2120.79</v>
      </c>
    </row>
    <row r="560">
      <c r="A560" t="inlineStr">
        <is>
          <t>间接费</t>
        </is>
      </c>
      <c r="B560" t="inlineStr">
        <is>
          <t>无客商-汤村旧改项目对外支付</t>
        </is>
      </c>
      <c r="D560" t="n">
        <v>36834.65</v>
      </c>
    </row>
    <row r="561">
      <c r="A561" t="inlineStr">
        <is>
          <t>间接费</t>
        </is>
      </c>
      <c r="B561" t="inlineStr">
        <is>
          <t>无客商-汤村旧改项目支付广州</t>
        </is>
      </c>
      <c r="D561" t="n">
        <v>13706.82</v>
      </c>
    </row>
    <row r="562">
      <c r="A562" t="inlineStr">
        <is>
          <t>间接费</t>
        </is>
      </c>
      <c r="B562" t="inlineStr">
        <is>
          <t>无客商-汤村项目复建一地块对</t>
        </is>
      </c>
      <c r="D562" t="n">
        <v>3346.53</v>
      </c>
    </row>
    <row r="563">
      <c r="A563" t="inlineStr">
        <is>
          <t>间接费</t>
        </is>
      </c>
      <c r="B563" t="inlineStr">
        <is>
          <t>无客商-管理人员费用</t>
        </is>
      </c>
      <c r="D563" t="n">
        <v>2339488.31</v>
      </c>
    </row>
    <row r="564">
      <c r="A564" t="inlineStr">
        <is>
          <t>间接费</t>
        </is>
      </c>
      <c r="B564" t="inlineStr">
        <is>
          <t>无客商-结转汤村复建区1号地</t>
        </is>
      </c>
      <c r="D564" t="n">
        <v>174.86</v>
      </c>
    </row>
    <row r="565">
      <c r="A565" t="inlineStr">
        <is>
          <t>间接费</t>
        </is>
      </c>
      <c r="B565" t="inlineStr">
        <is>
          <t>无客商-补充计提汤村复1地块</t>
        </is>
      </c>
      <c r="D565" t="n">
        <v>-32877.45</v>
      </c>
    </row>
    <row r="566">
      <c r="A566" t="inlineStr">
        <is>
          <t>间接费</t>
        </is>
      </c>
      <c r="B566" t="inlineStr">
        <is>
          <t>无客商-计提2023年6月社</t>
        </is>
      </c>
      <c r="D566" t="n">
        <v>29363.32</v>
      </c>
    </row>
    <row r="567">
      <c r="A567" t="inlineStr">
        <is>
          <t>间接费</t>
        </is>
      </c>
      <c r="B567" t="inlineStr">
        <is>
          <t>无客商-计提2023年7月社</t>
        </is>
      </c>
      <c r="D567" t="n">
        <v>29748.29</v>
      </c>
    </row>
    <row r="568">
      <c r="A568" t="inlineStr">
        <is>
          <t>间接费</t>
        </is>
      </c>
      <c r="B568" t="inlineStr">
        <is>
          <t>无客商-计提5月广州市黄埔区</t>
        </is>
      </c>
      <c r="D568" t="n">
        <v>120021.14</v>
      </c>
    </row>
    <row r="569">
      <c r="A569" t="inlineStr">
        <is>
          <t>间接费</t>
        </is>
      </c>
      <c r="B569" t="inlineStr">
        <is>
          <t>无客商-计提一公司广州分公司</t>
        </is>
      </c>
      <c r="D569" t="n">
        <v>13686.3</v>
      </c>
    </row>
    <row r="570">
      <c r="A570" t="inlineStr">
        <is>
          <t>间接费</t>
        </is>
      </c>
      <c r="B570" t="inlineStr">
        <is>
          <t>无客商-计提汤村复1地块10</t>
        </is>
      </c>
      <c r="D570" t="n">
        <v>66825</v>
      </c>
    </row>
    <row r="571">
      <c r="A571" t="inlineStr">
        <is>
          <t>间接费</t>
        </is>
      </c>
      <c r="B571" t="inlineStr">
        <is>
          <t>无客商-计提汤村复1地块11</t>
        </is>
      </c>
      <c r="D571" t="n">
        <v>202249.06</v>
      </c>
    </row>
    <row r="572">
      <c r="A572" t="inlineStr">
        <is>
          <t>间接费</t>
        </is>
      </c>
      <c r="B572" t="inlineStr">
        <is>
          <t>无客商-计提汤村复1地块12</t>
        </is>
      </c>
      <c r="D572" t="n">
        <v>163918.22</v>
      </c>
    </row>
    <row r="573">
      <c r="A573" t="inlineStr">
        <is>
          <t>间接费</t>
        </is>
      </c>
      <c r="B573" t="inlineStr">
        <is>
          <t>无客商-计提汤村复1地块1月</t>
        </is>
      </c>
      <c r="D573" t="n">
        <v>183479.03</v>
      </c>
    </row>
    <row r="574">
      <c r="A574" t="inlineStr">
        <is>
          <t>间接费</t>
        </is>
      </c>
      <c r="B574" t="inlineStr">
        <is>
          <t>无客商-计提汤村复1地块20</t>
        </is>
      </c>
      <c r="D574" t="n">
        <v>713946.88</v>
      </c>
    </row>
    <row r="575">
      <c r="A575" t="inlineStr">
        <is>
          <t>间接费</t>
        </is>
      </c>
      <c r="B575" t="inlineStr">
        <is>
          <t>无客商-计提汤村复1地块3月</t>
        </is>
      </c>
      <c r="D575" t="n">
        <v>135079.41</v>
      </c>
    </row>
    <row r="576">
      <c r="A576" t="inlineStr">
        <is>
          <t>间接费</t>
        </is>
      </c>
      <c r="B576" t="inlineStr">
        <is>
          <t>无客商-计提汤村复1地块4月</t>
        </is>
      </c>
      <c r="D576" t="n">
        <v>107440</v>
      </c>
    </row>
    <row r="577">
      <c r="A577" t="inlineStr">
        <is>
          <t>间接费</t>
        </is>
      </c>
      <c r="B577" t="inlineStr">
        <is>
          <t>无客商-计提汤村复1地块5月</t>
        </is>
      </c>
      <c r="D577" t="n">
        <v>124965.74</v>
      </c>
    </row>
    <row r="578">
      <c r="A578" t="inlineStr">
        <is>
          <t>间接费</t>
        </is>
      </c>
      <c r="B578" t="inlineStr">
        <is>
          <t>无客商-计提汤村复1地块6月</t>
        </is>
      </c>
      <c r="D578" t="n">
        <v>74180.74000000001</v>
      </c>
    </row>
    <row r="579">
      <c r="A579" t="inlineStr">
        <is>
          <t>间接费</t>
        </is>
      </c>
      <c r="B579" t="inlineStr">
        <is>
          <t>无客商-计提汤村复1地块7月</t>
        </is>
      </c>
      <c r="D579" t="n">
        <v>94969.67</v>
      </c>
    </row>
    <row r="580">
      <c r="A580" t="inlineStr">
        <is>
          <t>间接费</t>
        </is>
      </c>
      <c r="B580" t="inlineStr">
        <is>
          <t>无客商-计提汤村复1地块8月</t>
        </is>
      </c>
      <c r="D580" t="n">
        <v>174963.8</v>
      </c>
    </row>
    <row r="581">
      <c r="A581" t="inlineStr">
        <is>
          <t>间接费</t>
        </is>
      </c>
      <c r="B581" t="inlineStr">
        <is>
          <t>无客商-计提汤村复1地块9月</t>
        </is>
      </c>
      <c r="D581" t="n">
        <v>14553.8</v>
      </c>
    </row>
    <row r="582">
      <c r="A582" t="inlineStr">
        <is>
          <t>间接费</t>
        </is>
      </c>
      <c r="B582" t="inlineStr">
        <is>
          <t>无客商-计提汤村复1地块人员</t>
        </is>
      </c>
      <c r="D582" t="n">
        <v>-3977.88</v>
      </c>
    </row>
    <row r="583">
      <c r="A583" t="inlineStr">
        <is>
          <t>间接费</t>
        </is>
      </c>
      <c r="B583" t="inlineStr">
        <is>
          <t>无客商-计提汤村复1地块社保</t>
        </is>
      </c>
      <c r="D583" t="n">
        <v>420004.78</v>
      </c>
    </row>
    <row r="584">
      <c r="A584" t="inlineStr">
        <is>
          <t>间接费</t>
        </is>
      </c>
      <c r="B584" t="inlineStr">
        <is>
          <t>无客商-计提汤村复1地块薪酬</t>
        </is>
      </c>
      <c r="D584" t="n">
        <v>181631.1</v>
      </c>
    </row>
    <row r="585">
      <c r="A585" t="inlineStr">
        <is>
          <t>间接费</t>
        </is>
      </c>
      <c r="B585" t="inlineStr">
        <is>
          <t>无客商-计提汤村复1地块项目</t>
        </is>
      </c>
      <c r="D585" t="n">
        <v>98003.85000000001</v>
      </c>
    </row>
    <row r="586">
      <c r="A586" t="inlineStr">
        <is>
          <t>间接费</t>
        </is>
      </c>
      <c r="B586" t="inlineStr">
        <is>
          <t>无客商-计提汤村复1项目20</t>
        </is>
      </c>
      <c r="D586" t="n">
        <v>21202.27</v>
      </c>
    </row>
    <row r="587">
      <c r="A587" t="inlineStr">
        <is>
          <t>间接费</t>
        </is>
      </c>
      <c r="B587" t="inlineStr">
        <is>
          <t>无客商-计提汤村复地块12月</t>
        </is>
      </c>
      <c r="D587" t="n">
        <v>44271.65</v>
      </c>
    </row>
    <row r="588">
      <c r="A588" t="inlineStr">
        <is>
          <t>间接费</t>
        </is>
      </c>
      <c r="B588" t="inlineStr">
        <is>
          <t>无客商-计提汤村复建1号地块</t>
        </is>
      </c>
      <c r="D588" t="n">
        <v>34659.81</v>
      </c>
    </row>
    <row r="589">
      <c r="A589" t="inlineStr">
        <is>
          <t>间接费</t>
        </is>
      </c>
      <c r="B589" t="inlineStr">
        <is>
          <t>无客商-计提汤村复建区1号地</t>
        </is>
      </c>
      <c r="D589" t="n">
        <v>461942.97</v>
      </c>
    </row>
    <row r="590">
      <c r="A590" t="inlineStr">
        <is>
          <t>间接费</t>
        </is>
      </c>
      <c r="B590" t="inlineStr">
        <is>
          <t>无客商-计提汤村项目复建区1</t>
        </is>
      </c>
      <c r="D590" t="n">
        <v>70711.42999999999</v>
      </c>
    </row>
    <row r="591">
      <c r="A591" t="inlineStr">
        <is>
          <t>间接费</t>
        </is>
      </c>
      <c r="B591" t="inlineStr">
        <is>
          <t>无客商-调整汤村复1地块进项</t>
        </is>
      </c>
      <c r="D591" t="n">
        <v>19.85</v>
      </c>
    </row>
    <row r="592">
      <c r="A592" t="inlineStr">
        <is>
          <t>间接费</t>
        </is>
      </c>
      <c r="B592" t="inlineStr">
        <is>
          <t>无客商-黄旭栋报销公司培训住</t>
        </is>
      </c>
      <c r="D592" t="n">
        <v>1191.29</v>
      </c>
    </row>
    <row r="593">
      <c r="A593" t="inlineStr">
        <is>
          <t>间接费</t>
        </is>
      </c>
      <c r="B593" t="inlineStr">
        <is>
          <t>无客商-黄旭栋报销汤村旧村改</t>
        </is>
      </c>
      <c r="D593" t="n">
        <v>12098.29</v>
      </c>
    </row>
    <row r="594">
      <c r="A594" t="inlineStr">
        <is>
          <t>间接费</t>
        </is>
      </c>
      <c r="B594" t="inlineStr">
        <is>
          <t>无客商-黄旭栋报销汤村项目2</t>
        </is>
      </c>
      <c r="D594" t="n">
        <v>87754.81</v>
      </c>
    </row>
    <row r="595">
      <c r="A595" t="inlineStr">
        <is>
          <t>间接费</t>
        </is>
      </c>
      <c r="B595" t="inlineStr">
        <is>
          <t>无客商-黄旭栋报销汤村项目公</t>
        </is>
      </c>
      <c r="D595" t="n">
        <v>23116.07</v>
      </c>
    </row>
    <row r="596">
      <c r="A596" t="inlineStr">
        <is>
          <t>间接费</t>
        </is>
      </c>
      <c r="B596" t="inlineStr">
        <is>
          <t>无客商-黄旭栋报销电脑维修费</t>
        </is>
      </c>
      <c r="D596" t="n">
        <v>316.83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E398"/>
  <sheetViews>
    <sheetView tabSelected="1" zoomScale="60" zoomScaleNormal="60" workbookViewId="0">
      <selection activeCell="A1" sqref="A1:S2"/>
    </sheetView>
  </sheetViews>
  <sheetFormatPr baseColWidth="8" defaultColWidth="10" defaultRowHeight="15"/>
  <cols>
    <col width="3.02727272727273" customWidth="1" style="8" min="1" max="1"/>
    <col width="21.8181818181818" customWidth="1" style="8" min="2" max="2"/>
    <col width="16.7636363636364" customWidth="1" style="8" min="3" max="3"/>
    <col width="37.7545454545455" customWidth="1" style="8" min="4" max="4"/>
    <col width="35.0545454545455" customWidth="1" style="8" min="5" max="5"/>
    <col width="20" customWidth="1" style="8" min="6" max="6"/>
    <col width="19.1909090909091" customWidth="1" style="8" min="7" max="7"/>
    <col width="20.9090909090909" customWidth="1" style="8" min="8" max="8"/>
    <col width="25.2545454545455" customWidth="1" style="8" min="9" max="9"/>
    <col width="20.9090909090909" customWidth="1" style="8" min="10" max="11"/>
    <col width="24.0363636363636" customWidth="1" style="138" min="12" max="12"/>
    <col width="26.7636363636364" customWidth="1" style="8" min="13" max="13"/>
    <col width="24.3454545454545" customWidth="1" style="8" min="14" max="14"/>
    <col width="23.4363636363636" customWidth="1" style="8" min="15" max="15"/>
    <col width="18.4818181818182" customWidth="1" style="8" min="16" max="16"/>
    <col width="20.7090909090909" customWidth="1" style="8" min="17" max="17"/>
    <col width="20.8090909090909" customWidth="1" style="8" min="18" max="18"/>
    <col width="19.7" customWidth="1" style="8" min="19" max="25"/>
    <col width="20.4" customWidth="1" style="8" min="26" max="26"/>
    <col width="17.8818181818182" customWidth="1" style="8" min="27" max="27"/>
    <col width="20" customWidth="1" style="8" min="28" max="28"/>
    <col width="18.8909090909091" customWidth="1" style="8" min="29" max="34"/>
    <col width="21.0090909090909" customWidth="1" style="8" min="35" max="35"/>
    <col width="12.3272727272727" customWidth="1" style="8" min="36" max="36"/>
    <col width="18.1818181818182" customWidth="1" style="8" min="37" max="37"/>
    <col width="12.3272727272727" customWidth="1" style="8" min="38" max="38"/>
    <col width="10" customWidth="1" style="10" min="39" max="16384"/>
  </cols>
  <sheetData>
    <row r="1" ht="12.75" customFormat="1" customHeight="1" s="1">
      <c r="A1" s="11" t="inlineStr">
        <is>
          <t xml:space="preserve">            项目效益审核表               单位：元</t>
        </is>
      </c>
      <c r="B1" s="139" t="n"/>
      <c r="C1" s="139" t="n"/>
      <c r="D1" s="139" t="n"/>
      <c r="E1" s="139" t="n"/>
      <c r="F1" s="139" t="n"/>
      <c r="G1" s="139" t="n"/>
      <c r="H1" s="139" t="n"/>
      <c r="I1" s="139" t="n"/>
      <c r="J1" s="139" t="n"/>
      <c r="K1" s="139" t="n"/>
      <c r="L1" s="139" t="n"/>
      <c r="M1" s="139" t="n"/>
      <c r="N1" s="139" t="n"/>
      <c r="O1" s="139" t="n"/>
      <c r="P1" s="139" t="n"/>
      <c r="Q1" s="139" t="n"/>
      <c r="R1" s="139" t="n"/>
      <c r="S1" s="139" t="n"/>
      <c r="T1" s="12" t="n"/>
      <c r="U1" s="12" t="n"/>
      <c r="V1" s="12" t="n"/>
      <c r="W1" s="12" t="n"/>
      <c r="X1" s="12" t="n"/>
      <c r="Y1" s="12" t="n"/>
      <c r="Z1" s="12" t="n"/>
      <c r="AA1" s="140" t="n"/>
    </row>
    <row r="2" ht="12.75" customFormat="1" customHeight="1" s="1">
      <c r="A2" s="139" t="n"/>
      <c r="B2" s="139" t="n"/>
      <c r="C2" s="139" t="n"/>
      <c r="D2" s="139" t="n"/>
      <c r="E2" s="139" t="n"/>
      <c r="F2" s="139" t="n"/>
      <c r="G2" s="139" t="n"/>
      <c r="H2" s="139" t="n"/>
      <c r="I2" s="139" t="n"/>
      <c r="J2" s="139" t="n"/>
      <c r="K2" s="139" t="n"/>
      <c r="L2" s="139" t="n"/>
      <c r="M2" s="139" t="n"/>
      <c r="N2" s="139" t="n"/>
      <c r="O2" s="139" t="n"/>
      <c r="P2" s="139" t="n"/>
      <c r="Q2" s="139" t="n"/>
      <c r="R2" s="139" t="n"/>
      <c r="S2" s="139" t="n"/>
      <c r="T2" s="12" t="n"/>
      <c r="U2" s="12" t="n"/>
      <c r="V2" s="12" t="n"/>
      <c r="W2" s="12" t="n"/>
      <c r="X2" s="12" t="n"/>
      <c r="Y2" s="12" t="n"/>
      <c r="Z2" s="12" t="n"/>
      <c r="AA2" s="141" t="n"/>
    </row>
    <row r="3" ht="26" customFormat="1" customHeight="1" s="1">
      <c r="A3" s="15" t="inlineStr">
        <is>
          <t>序号</t>
        </is>
      </c>
      <c r="B3" s="14" t="inlineStr">
        <is>
          <t>业主名称：</t>
        </is>
      </c>
      <c r="C3" s="139" t="n"/>
      <c r="D3" s="139" t="n"/>
      <c r="E3" s="14" t="inlineStr">
        <is>
          <t>业主所属集团：</t>
        </is>
      </c>
      <c r="F3" s="139" t="n"/>
      <c r="G3" s="14" t="inlineStr">
        <is>
          <t>我司签约单位：</t>
        </is>
      </c>
      <c r="H3" s="139" t="n"/>
      <c r="I3" s="139" t="n"/>
      <c r="J3" s="14" t="inlineStr">
        <is>
          <t>本表填报时间：</t>
        </is>
      </c>
      <c r="K3" s="139" t="n"/>
      <c r="L3" s="14" t="inlineStr">
        <is>
          <t>数据截止时间：</t>
        </is>
      </c>
      <c r="M3" s="139" t="n"/>
      <c r="N3" s="12" t="n"/>
      <c r="O3" s="12" t="n"/>
      <c r="P3" s="12" t="n"/>
      <c r="Q3" s="12" t="n"/>
      <c r="R3" s="12" t="n"/>
      <c r="S3" s="79" t="n"/>
      <c r="T3" s="79" t="n"/>
      <c r="U3" s="79" t="n"/>
      <c r="V3" s="79" t="n"/>
      <c r="W3" s="79" t="n"/>
      <c r="X3" s="79" t="n"/>
      <c r="Y3" s="79" t="n"/>
      <c r="Z3" s="12" t="n"/>
      <c r="AA3" s="141" t="n"/>
    </row>
    <row r="4" ht="18" customFormat="1" customHeight="1" s="1">
      <c r="A4" s="142" t="n"/>
      <c r="B4" s="16" t="inlineStr">
        <is>
          <t>利润中心编码</t>
        </is>
      </c>
      <c r="C4" s="16" t="inlineStr">
        <is>
          <t>项目编码</t>
        </is>
      </c>
      <c r="D4" s="17" t="inlineStr">
        <is>
          <t>工程名称（与一体化保持一致）</t>
        </is>
      </c>
      <c r="E4" s="18" t="inlineStr">
        <is>
          <t>项目状态（点选）</t>
        </is>
      </c>
      <c r="F4" s="19" t="inlineStr">
        <is>
          <t>是否办理最终结算</t>
        </is>
      </c>
      <c r="G4" s="20" t="inlineStr">
        <is>
          <t>最终结算时间</t>
        </is>
      </c>
      <c r="H4" s="143" t="inlineStr">
        <is>
          <t>商务/材料确认</t>
        </is>
      </c>
      <c r="I4" s="144" t="n"/>
      <c r="J4" s="144" t="n"/>
      <c r="K4" s="144" t="n"/>
      <c r="L4" s="145" t="n"/>
      <c r="M4" s="146" t="inlineStr">
        <is>
          <t>财务确认</t>
        </is>
      </c>
      <c r="N4" s="144" t="n"/>
      <c r="O4" s="144" t="n"/>
      <c r="P4" s="144" t="n"/>
      <c r="Q4" s="144" t="n"/>
      <c r="R4" s="145" t="n"/>
      <c r="S4" s="147" t="inlineStr">
        <is>
          <t>债权情况</t>
        </is>
      </c>
      <c r="T4" s="144" t="n"/>
      <c r="U4" s="144" t="n"/>
      <c r="V4" s="144" t="n"/>
      <c r="W4" s="144" t="n"/>
      <c r="X4" s="144" t="n"/>
      <c r="Y4" s="145" t="n"/>
      <c r="Z4" s="148" t="inlineStr">
        <is>
          <t>税务情况</t>
        </is>
      </c>
      <c r="AA4" s="144" t="n"/>
      <c r="AB4" s="144" t="n"/>
      <c r="AC4" s="144" t="n"/>
      <c r="AD4" s="144" t="n"/>
      <c r="AE4" s="144" t="n"/>
      <c r="AF4" s="144" t="n"/>
      <c r="AG4" s="144" t="n"/>
      <c r="AH4" s="144" t="n"/>
      <c r="AI4" s="144" t="n"/>
      <c r="AJ4" s="144" t="n"/>
      <c r="AK4" s="145" t="n"/>
      <c r="AL4" s="149" t="inlineStr">
        <is>
          <t>备注</t>
        </is>
      </c>
    </row>
    <row r="5" ht="38.15" customFormat="1" customHeight="1" s="1">
      <c r="A5" s="142" t="n"/>
      <c r="B5" s="150" t="n"/>
      <c r="C5" s="150" t="n"/>
      <c r="D5" s="150" t="n"/>
      <c r="E5" s="150" t="n"/>
      <c r="F5" s="150" t="n"/>
      <c r="G5" s="150" t="n"/>
      <c r="H5" s="143" t="inlineStr">
        <is>
          <t>业主累计确认工程量
(含增值税)</t>
        </is>
      </c>
      <c r="I5" s="143" t="inlineStr">
        <is>
          <t>已完成未确权工程量
(含增值税)</t>
        </is>
      </c>
      <c r="J5" s="143" t="inlineStr">
        <is>
          <t>累计实际完成工作量
(含增值税)</t>
        </is>
      </c>
      <c r="K5" s="151" t="inlineStr">
        <is>
          <t>其中：实际收入应计增值税</t>
        </is>
      </c>
      <c r="L5" s="152" t="inlineStr">
        <is>
          <t>累计实际完成工作量（不含增值税）</t>
        </is>
      </c>
      <c r="M5" s="153" t="inlineStr">
        <is>
          <t>财务累计入账收入
（不含增值税）</t>
        </is>
      </c>
      <c r="N5" s="153" t="inlineStr">
        <is>
          <t>已价税分离的增值税金额(财务账面数据)</t>
        </is>
      </c>
      <c r="O5" s="153" t="inlineStr">
        <is>
          <t>应入未入账收入（商务实际完成不含税产值-财务账面列报收入）</t>
        </is>
      </c>
      <c r="P5" s="153" t="inlineStr">
        <is>
          <t>尚未价税分离的增值税金</t>
        </is>
      </c>
      <c r="Q5" s="153" t="inlineStr">
        <is>
          <t>财务累计应确认收入（不含增值税）</t>
        </is>
      </c>
      <c r="R5" s="153" t="inlineStr">
        <is>
          <t>财务累计应确认收入（含增值税）</t>
        </is>
      </c>
      <c r="S5" s="154" t="inlineStr">
        <is>
          <t>实际收款</t>
        </is>
      </c>
      <c r="T5" s="154" t="inlineStr">
        <is>
          <t>其中：财务账面已列报收款</t>
        </is>
      </c>
      <c r="U5" s="154" t="inlineStr">
        <is>
          <t>其中：已抵债未入账收款</t>
        </is>
      </c>
      <c r="V5" s="154" t="inlineStr">
        <is>
          <t>其中：其他未入账收款</t>
        </is>
      </c>
      <c r="W5" s="154" t="inlineStr">
        <is>
          <t>债权总额</t>
        </is>
      </c>
      <c r="X5" s="154" t="inlineStr">
        <is>
          <t>其中：应收总额</t>
        </is>
      </c>
      <c r="Y5" s="155" t="inlineStr">
        <is>
          <t>是否已取得对账单
（以取得双方用印对账单为准）</t>
        </is>
      </c>
      <c r="Z5" s="156" t="inlineStr">
        <is>
          <t>累计已开发票（含税）</t>
        </is>
      </c>
      <c r="AA5" s="156" t="inlineStr">
        <is>
          <t>其中：分包抵扣发票额
（含税）</t>
        </is>
      </c>
      <c r="AB5" s="156" t="inlineStr">
        <is>
          <t>其中：增值税项下已抵扣税额</t>
        </is>
      </c>
      <c r="AC5" s="156" t="inlineStr">
        <is>
          <t>累计已开具营业税发票</t>
        </is>
      </c>
      <c r="AD5" s="156" t="inlineStr">
        <is>
          <t>其中：分包分供抵扣发票额</t>
        </is>
      </c>
      <c r="AE5" s="156" t="inlineStr">
        <is>
          <t>累计已开具增值税发票
（含税）</t>
        </is>
      </c>
      <c r="AF5" s="156" t="inlineStr">
        <is>
          <t>其中：预缴时分包抵扣发票额</t>
        </is>
      </c>
      <c r="AG5" s="156" t="inlineStr">
        <is>
          <t>其中：增值税项下已抵扣税额</t>
        </is>
      </c>
      <c r="AH5" s="156" t="inlineStr">
        <is>
          <t>按结算未开具发票额</t>
        </is>
      </c>
      <c r="AI5" s="156" t="inlineStr">
        <is>
          <t>按收款未开具发票额</t>
        </is>
      </c>
      <c r="AJ5" s="156" t="inlineStr">
        <is>
          <t>当前适用税率</t>
        </is>
      </c>
      <c r="AK5" s="156" t="inlineStr">
        <is>
          <t>应收账款-待转销税额</t>
        </is>
      </c>
      <c r="AL5" s="142" t="n"/>
    </row>
    <row r="6" ht="28.5" customFormat="1" customHeight="1" s="2">
      <c r="A6" s="142" t="n"/>
      <c r="B6" s="15" t="n"/>
      <c r="C6" s="15" t="n"/>
      <c r="D6" s="15" t="inlineStr">
        <is>
          <t>XX项目</t>
        </is>
      </c>
      <c r="E6" s="22" t="n"/>
      <c r="F6" s="22" t="n"/>
      <c r="G6" s="22" t="n"/>
      <c r="H6" s="157" t="n"/>
      <c r="I6" s="157" t="n"/>
      <c r="J6" s="158">
        <f>H6+I6</f>
        <v/>
      </c>
      <c r="K6" s="158" t="n"/>
      <c r="L6" s="159">
        <f>J6-K6</f>
        <v/>
      </c>
      <c r="M6" s="160" t="n"/>
      <c r="N6" s="160" t="n"/>
      <c r="O6" s="160">
        <f>L6-M6</f>
        <v/>
      </c>
      <c r="P6" s="160">
        <f>K6-N6</f>
        <v/>
      </c>
      <c r="Q6" s="161">
        <f>M6+O6</f>
        <v/>
      </c>
      <c r="R6" s="161">
        <f>M6+N6+O6+P6</f>
        <v/>
      </c>
      <c r="S6" s="162" t="n"/>
      <c r="T6" s="162" t="n"/>
      <c r="U6" s="162" t="n"/>
      <c r="V6" s="162" t="n"/>
      <c r="W6" s="162" t="n"/>
      <c r="X6" s="162" t="n"/>
      <c r="Y6" s="162" t="n"/>
      <c r="Z6" s="163">
        <f>SUM(AA6:AJ6)</f>
        <v/>
      </c>
      <c r="AA6" s="164" t="n"/>
      <c r="AB6" s="164" t="n"/>
      <c r="AC6" s="164" t="n"/>
      <c r="AD6" s="164" t="n"/>
      <c r="AE6" s="164" t="n"/>
      <c r="AF6" s="164" t="n"/>
      <c r="AG6" s="164" t="n"/>
      <c r="AH6" s="164" t="n"/>
      <c r="AI6" s="164" t="n"/>
      <c r="AJ6" s="164" t="n"/>
      <c r="AK6" s="164">
        <f>AB6/1.17*0.17+AC6/1.16*0.16+AD6/1.11*0.11+AE6/1.1*0.1+AF6/1.09*0.09+AI6/1.03*0.03</f>
        <v/>
      </c>
      <c r="AL6" s="142" t="n"/>
    </row>
    <row r="7" ht="17.15" customFormat="1" customHeight="1" s="1">
      <c r="A7" s="142" t="n"/>
      <c r="B7" s="16" t="inlineStr">
        <is>
          <t>客商编码</t>
        </is>
      </c>
      <c r="C7" s="16" t="inlineStr">
        <is>
          <t>合同编码</t>
        </is>
      </c>
      <c r="D7" s="17" t="inlineStr">
        <is>
          <t>客商名称</t>
        </is>
      </c>
      <c r="E7" s="19" t="inlineStr">
        <is>
          <t>主要工作内容</t>
        </is>
      </c>
      <c r="F7" s="19" t="inlineStr">
        <is>
          <t>是否办理最终结算</t>
        </is>
      </c>
      <c r="G7" s="20" t="inlineStr">
        <is>
          <t>最终结算时间</t>
        </is>
      </c>
      <c r="H7" s="165" t="inlineStr">
        <is>
          <t>商务、物资确认</t>
        </is>
      </c>
      <c r="I7" s="144" t="n"/>
      <c r="J7" s="144" t="n"/>
      <c r="K7" s="144" t="n"/>
      <c r="L7" s="145" t="n"/>
      <c r="M7" s="146" t="inlineStr">
        <is>
          <t>财务确认</t>
        </is>
      </c>
      <c r="N7" s="144" t="n"/>
      <c r="O7" s="144" t="n"/>
      <c r="P7" s="144" t="n"/>
      <c r="Q7" s="144" t="n"/>
      <c r="R7" s="145" t="n"/>
      <c r="S7" s="147" t="inlineStr">
        <is>
          <t>债务情况</t>
        </is>
      </c>
      <c r="T7" s="144" t="n"/>
      <c r="U7" s="144" t="n"/>
      <c r="V7" s="144" t="n"/>
      <c r="W7" s="144" t="n"/>
      <c r="X7" s="144" t="n"/>
      <c r="Y7" s="145" t="n"/>
      <c r="Z7" s="148" t="inlineStr">
        <is>
          <t>税务情况</t>
        </is>
      </c>
      <c r="AA7" s="144" t="n"/>
      <c r="AB7" s="144" t="n"/>
      <c r="AC7" s="144" t="n"/>
      <c r="AD7" s="144" t="n"/>
      <c r="AE7" s="144" t="n"/>
      <c r="AF7" s="144" t="n"/>
      <c r="AG7" s="144" t="n"/>
      <c r="AH7" s="144" t="n"/>
      <c r="AI7" s="144" t="n"/>
      <c r="AJ7" s="144" t="n"/>
      <c r="AK7" s="145" t="n"/>
      <c r="AL7" s="142" t="n"/>
    </row>
    <row r="8" ht="19" customFormat="1" customHeight="1" s="1">
      <c r="A8" s="142" t="n"/>
      <c r="B8" s="142" t="n"/>
      <c r="C8" s="142" t="n"/>
      <c r="D8" s="142" t="n"/>
      <c r="E8" s="142" t="n"/>
      <c r="F8" s="142" t="n"/>
      <c r="G8" s="142" t="n"/>
      <c r="H8" s="165" t="inlineStr">
        <is>
          <t>商务已结(含税)</t>
        </is>
      </c>
      <c r="I8" s="165" t="inlineStr">
        <is>
          <t>截止目前应结未结(含税)</t>
        </is>
      </c>
      <c r="J8" s="165" t="inlineStr">
        <is>
          <t>实际诶计成本(含税)</t>
        </is>
      </c>
      <c r="K8" s="166" t="inlineStr">
        <is>
          <t>累计成本可抵扣增值税税金</t>
        </is>
      </c>
      <c r="L8" s="167" t="inlineStr">
        <is>
          <t>实际累计成本
（不含可抵扣税金）</t>
        </is>
      </c>
      <c r="M8" s="153" t="inlineStr">
        <is>
          <t>截止目前财务已入账成本（不含增值税）
**同财务账面合同履约成本/工程施工成本一致**</t>
        </is>
      </c>
      <c r="N8" s="153" t="inlineStr">
        <is>
          <t>已价税分离的增值税金
（财务账面数据）</t>
        </is>
      </c>
      <c r="O8" s="153" t="inlineStr">
        <is>
          <t>应入未入账成本（不含增值税）</t>
        </is>
      </c>
      <c r="P8" s="153" t="inlineStr">
        <is>
          <t>尚未价税分离的增值税金</t>
        </is>
      </c>
      <c r="Q8" s="153" t="inlineStr">
        <is>
          <t>实际成本
（不含增值税）</t>
        </is>
      </c>
      <c r="R8" s="153" t="inlineStr">
        <is>
          <t>实际成本
（含增值税）</t>
        </is>
      </c>
      <c r="S8" s="154" t="inlineStr">
        <is>
          <t>累计付款</t>
        </is>
      </c>
      <c r="T8" s="154" t="inlineStr">
        <is>
          <t>其中：财务账面已列报付款</t>
        </is>
      </c>
      <c r="U8" s="154" t="inlineStr">
        <is>
          <t>其中：已办理供应链或票据背书未入账付款</t>
        </is>
      </c>
      <c r="V8" s="154" t="inlineStr">
        <is>
          <t>其中：其他未入账付款</t>
        </is>
      </c>
      <c r="W8" s="154" t="inlineStr">
        <is>
          <t>债务总额</t>
        </is>
      </c>
      <c r="X8" s="154" t="inlineStr">
        <is>
          <t>其中：应付总额</t>
        </is>
      </c>
      <c r="Y8" s="155" t="inlineStr">
        <is>
          <t>是否已取得对账单
（以取得双方用印对账单为准）</t>
        </is>
      </c>
      <c r="Z8" s="156" t="inlineStr">
        <is>
          <t>累计已收取发票（含税）</t>
        </is>
      </c>
      <c r="AA8" s="156" t="inlineStr">
        <is>
          <t>其中：累计已收取营业税发票额</t>
        </is>
      </c>
      <c r="AB8" s="156" t="inlineStr">
        <is>
          <t>其中：累计已收取增值税发票额</t>
        </is>
      </c>
      <c r="AC8" s="156" t="inlineStr">
        <is>
          <t>其中：营业税及增值税预缴时已抵扣发票额</t>
        </is>
      </c>
      <c r="AD8" s="156" t="inlineStr">
        <is>
          <t>已收取增值税发票对应税额</t>
        </is>
      </c>
      <c r="AE8" s="156" t="inlineStr">
        <is>
          <t>其中：已认证税额</t>
        </is>
      </c>
      <c r="AF8" s="156" t="inlineStr">
        <is>
          <t>已收取待认证税额</t>
        </is>
      </c>
      <c r="AG8" s="156" t="n"/>
      <c r="AH8" s="156" t="inlineStr">
        <is>
          <t>按结算未收取发票额</t>
        </is>
      </c>
      <c r="AI8" s="156" t="inlineStr">
        <is>
          <t>按付款未收取发票额</t>
        </is>
      </c>
      <c r="AJ8" s="156" t="inlineStr">
        <is>
          <t>当前适用税率</t>
        </is>
      </c>
      <c r="AK8" s="156" t="inlineStr">
        <is>
          <t>其他应收-待扣减税额</t>
        </is>
      </c>
      <c r="AL8" s="142" t="n"/>
    </row>
    <row r="9" ht="31" customFormat="1" customHeight="1" s="1">
      <c r="A9" s="150" t="n"/>
      <c r="B9" s="150" t="n"/>
      <c r="C9" s="150" t="n"/>
      <c r="D9" s="150" t="n"/>
      <c r="E9" s="150" t="n"/>
      <c r="F9" s="150" t="n"/>
      <c r="G9" s="150" t="n"/>
      <c r="H9" s="150" t="n"/>
      <c r="I9" s="150" t="n"/>
      <c r="J9" s="150" t="n"/>
      <c r="K9" s="150" t="n"/>
      <c r="L9" s="150" t="n"/>
      <c r="M9" s="150" t="n"/>
      <c r="N9" s="150" t="n"/>
      <c r="O9" s="150" t="n"/>
      <c r="P9" s="150" t="n"/>
      <c r="Q9" s="150" t="n"/>
      <c r="R9" s="150" t="n"/>
      <c r="S9" s="150" t="n"/>
      <c r="T9" s="150" t="n"/>
      <c r="U9" s="150" t="n"/>
      <c r="V9" s="150" t="n"/>
      <c r="W9" s="150" t="n"/>
      <c r="X9" s="150" t="n"/>
      <c r="Y9" s="150" t="n"/>
      <c r="Z9" s="150" t="n"/>
      <c r="AA9" s="150" t="n"/>
      <c r="AB9" s="150" t="n"/>
      <c r="AC9" s="150" t="n"/>
      <c r="AD9" s="150" t="n"/>
      <c r="AE9" s="150" t="n"/>
      <c r="AF9" s="150" t="n"/>
      <c r="AG9" s="150" t="n"/>
      <c r="AH9" s="150" t="n"/>
      <c r="AI9" s="150" t="n"/>
      <c r="AJ9" s="150" t="n"/>
      <c r="AK9" s="150" t="n"/>
      <c r="AL9" s="142" t="n"/>
    </row>
    <row r="10" ht="13" customFormat="1" customHeight="1" s="1">
      <c r="A10" s="25" t="n"/>
      <c r="B10" s="26" t="n">
        <v>1</v>
      </c>
      <c r="C10" s="26" t="n">
        <v>2</v>
      </c>
      <c r="D10" s="26" t="n">
        <v>3</v>
      </c>
      <c r="E10" s="26" t="n">
        <v>4</v>
      </c>
      <c r="F10" s="26" t="n">
        <v>5</v>
      </c>
      <c r="G10" s="26" t="n">
        <v>6</v>
      </c>
      <c r="H10" s="26" t="n">
        <v>7</v>
      </c>
      <c r="I10" s="26" t="n">
        <v>8</v>
      </c>
      <c r="J10" s="26" t="inlineStr">
        <is>
          <t>9=7+8</t>
        </is>
      </c>
      <c r="K10" s="26" t="n">
        <v>10</v>
      </c>
      <c r="L10" s="26" t="inlineStr">
        <is>
          <t>11=9-10</t>
        </is>
      </c>
      <c r="M10" s="26" t="n">
        <v>12</v>
      </c>
      <c r="N10" s="26" t="n">
        <v>13</v>
      </c>
      <c r="O10" s="26" t="inlineStr">
        <is>
          <t>14=11-12</t>
        </is>
      </c>
      <c r="P10" s="68" t="inlineStr">
        <is>
          <t>15=10-13</t>
        </is>
      </c>
      <c r="Q10" s="26" t="inlineStr">
        <is>
          <t>16=12+14</t>
        </is>
      </c>
      <c r="R10" s="68" t="inlineStr">
        <is>
          <t>17=12+13+14+15</t>
        </is>
      </c>
      <c r="S10" s="26" t="n">
        <v>18</v>
      </c>
      <c r="T10" s="26" t="n">
        <v>19</v>
      </c>
      <c r="U10" s="26" t="n">
        <v>20</v>
      </c>
      <c r="V10" s="26" t="n">
        <v>21</v>
      </c>
      <c r="W10" s="26" t="n">
        <v>22</v>
      </c>
      <c r="X10" s="26" t="n">
        <v>23</v>
      </c>
      <c r="Y10" s="26" t="n">
        <v>24</v>
      </c>
      <c r="Z10" s="26" t="n">
        <v>25</v>
      </c>
      <c r="AA10" s="26" t="n">
        <v>26</v>
      </c>
      <c r="AB10" s="26" t="n">
        <v>27</v>
      </c>
      <c r="AC10" s="26" t="n">
        <v>28</v>
      </c>
      <c r="AD10" s="26" t="n">
        <v>29</v>
      </c>
      <c r="AE10" s="26" t="n">
        <v>30</v>
      </c>
      <c r="AF10" s="26" t="n">
        <v>31</v>
      </c>
      <c r="AG10" s="26" t="n">
        <v>32</v>
      </c>
      <c r="AH10" s="26" t="n">
        <v>33</v>
      </c>
      <c r="AI10" s="26" t="n">
        <v>34</v>
      </c>
      <c r="AJ10" s="26" t="n">
        <v>35</v>
      </c>
      <c r="AK10" s="26" t="n">
        <v>36</v>
      </c>
      <c r="AL10" s="150" t="n"/>
    </row>
    <row r="11" ht="16.15" customFormat="1" customHeight="1" s="1">
      <c r="A11" s="27" t="n"/>
      <c r="B11" s="27" t="n"/>
      <c r="C11" s="27" t="n"/>
      <c r="D11" s="28" t="inlineStr">
        <is>
          <t>二、成本</t>
        </is>
      </c>
      <c r="E11" s="27" t="n"/>
      <c r="F11" s="27" t="n"/>
      <c r="G11" s="27" t="n"/>
      <c r="H11" s="163" t="n"/>
      <c r="I11" s="163" t="n"/>
      <c r="J11" s="163" t="n"/>
      <c r="K11" s="168" t="n"/>
      <c r="L11" s="169" t="n"/>
      <c r="M11" s="158" t="n"/>
      <c r="N11" s="158" t="n"/>
      <c r="O11" s="163" t="n"/>
      <c r="P11" s="163" t="n"/>
      <c r="Q11" s="163">
        <f>M11+O11</f>
        <v/>
      </c>
      <c r="R11" s="163" t="n"/>
      <c r="S11" s="170" t="n"/>
      <c r="T11" s="170" t="n"/>
      <c r="U11" s="170" t="n"/>
      <c r="V11" s="170" t="n"/>
      <c r="W11" s="170" t="n"/>
      <c r="X11" s="170" t="n"/>
      <c r="Y11" s="170" t="n"/>
      <c r="Z11" s="170" t="n"/>
      <c r="AA11" s="170" t="n"/>
      <c r="AB11" s="170" t="n"/>
      <c r="AC11" s="170" t="n"/>
      <c r="AD11" s="170" t="n"/>
      <c r="AE11" s="170" t="n"/>
      <c r="AF11" s="170" t="n"/>
      <c r="AG11" s="170" t="n"/>
      <c r="AH11" s="170" t="n"/>
      <c r="AI11" s="170" t="n"/>
      <c r="AJ11" s="170" t="n"/>
      <c r="AK11" s="164">
        <f>AB11/1.17*0.17+AC11/1.16*0.16+AD11/1.11*0.11+AE11/1.1*0.1+AF11/1.09*0.09+AI11/1.03*0.03</f>
        <v/>
      </c>
      <c r="AL11" s="95" t="n"/>
    </row>
    <row r="12" ht="20" customFormat="1" customHeight="1" s="1">
      <c r="A12" s="27" t="n"/>
      <c r="B12" s="27" t="n"/>
      <c r="C12" s="27" t="n"/>
      <c r="D12" s="30" t="inlineStr">
        <is>
          <t>（一）人工费</t>
        </is>
      </c>
      <c r="E12" s="27" t="n"/>
      <c r="F12" s="27" t="n"/>
      <c r="G12" s="27" t="n"/>
      <c r="H12" s="163" t="n"/>
      <c r="I12" s="163" t="n"/>
      <c r="J12" s="163" t="n"/>
      <c r="K12" s="168" t="n"/>
      <c r="L12" s="169" t="n"/>
      <c r="M12" s="158" t="n"/>
      <c r="N12" s="158" t="n"/>
      <c r="O12" s="163" t="n"/>
      <c r="P12" s="163" t="n"/>
      <c r="Q12" s="163">
        <f>M12+O12</f>
        <v/>
      </c>
      <c r="R12" s="158" t="n"/>
      <c r="S12" s="164" t="n"/>
      <c r="T12" s="164" t="n"/>
      <c r="U12" s="164" t="n"/>
      <c r="V12" s="164" t="n"/>
      <c r="W12" s="164" t="n"/>
      <c r="X12" s="164" t="n"/>
      <c r="Y12" s="164" t="n"/>
      <c r="Z12" s="164" t="n"/>
      <c r="AA12" s="170" t="n"/>
      <c r="AB12" s="170" t="n"/>
      <c r="AC12" s="170" t="n"/>
      <c r="AD12" s="170" t="n"/>
      <c r="AE12" s="170" t="n"/>
      <c r="AF12" s="170" t="n"/>
      <c r="AG12" s="170" t="n"/>
      <c r="AH12" s="170" t="n"/>
      <c r="AI12" s="170" t="n"/>
      <c r="AJ12" s="170" t="n"/>
      <c r="AK12" s="164">
        <f>AB12/1.17*0.17+AC12/1.16*0.16+AD12/1.11*0.11+AE12/1.1*0.1+AF12/1.09*0.09+AI12/1.03*0.03</f>
        <v/>
      </c>
      <c r="AL12" s="95" t="n"/>
    </row>
    <row r="13" ht="20" customFormat="1" customHeight="1" s="1">
      <c r="A13" s="27" t="n">
        <v>1</v>
      </c>
      <c r="B13" s="27" t="n"/>
      <c r="C13" s="27" t="n"/>
      <c r="D13" s="171" t="n"/>
      <c r="E13" s="27" t="n"/>
      <c r="F13" s="27" t="n"/>
      <c r="G13" s="27" t="n"/>
      <c r="H13" s="163" t="n"/>
      <c r="I13" s="163" t="n"/>
      <c r="J13" s="163" t="n"/>
      <c r="K13" s="168" t="n"/>
      <c r="L13" s="172" t="n"/>
      <c r="M13" s="163" t="n"/>
      <c r="N13" s="163" t="n"/>
      <c r="O13" s="163" t="n"/>
      <c r="P13" s="163" t="n"/>
      <c r="Q13" s="163" t="n"/>
      <c r="R13" s="163" t="n"/>
      <c r="S13" s="164" t="n"/>
      <c r="T13" s="164" t="n"/>
      <c r="U13" s="164" t="n"/>
      <c r="V13" s="164" t="n"/>
      <c r="W13" s="164" t="n"/>
      <c r="X13" s="164" t="n"/>
      <c r="Y13" s="164" t="n"/>
      <c r="Z13" s="163">
        <f>SUM(AA13:AJ13)</f>
        <v/>
      </c>
      <c r="AA13" s="170" t="n"/>
      <c r="AB13" s="170" t="n"/>
      <c r="AC13" s="170" t="n"/>
      <c r="AD13" s="170" t="n"/>
      <c r="AE13" s="170" t="n"/>
      <c r="AF13" s="170" t="n"/>
      <c r="AG13" s="170" t="n"/>
      <c r="AH13" s="170" t="n"/>
      <c r="AI13" s="170" t="n"/>
      <c r="AJ13" s="170" t="n"/>
      <c r="AK13" s="164">
        <f>AB13/1.17*0.17+AC13/1.16*0.16+AD13/1.11*0.11+AE13/1.1*0.1+AF13/1.09*0.09+AI13/1.03*0.03</f>
        <v/>
      </c>
      <c r="AL13" s="95" t="n"/>
    </row>
    <row r="14" ht="20" customFormat="1" customHeight="1" s="1">
      <c r="A14" s="27" t="n">
        <v>2</v>
      </c>
      <c r="B14" s="27" t="n"/>
      <c r="C14" s="27" t="n"/>
      <c r="D14" s="171" t="n"/>
      <c r="E14" s="27" t="n"/>
      <c r="F14" s="27" t="n"/>
      <c r="G14" s="27" t="n"/>
      <c r="H14" s="163" t="n"/>
      <c r="I14" s="163" t="n"/>
      <c r="J14" s="163" t="n"/>
      <c r="K14" s="168" t="n"/>
      <c r="L14" s="172" t="n"/>
      <c r="M14" s="163" t="n"/>
      <c r="N14" s="163" t="n"/>
      <c r="O14" s="163" t="n"/>
      <c r="P14" s="163" t="n"/>
      <c r="Q14" s="163" t="n"/>
      <c r="R14" s="163" t="n"/>
      <c r="S14" s="164" t="n"/>
      <c r="T14" s="164" t="n"/>
      <c r="U14" s="164" t="n"/>
      <c r="V14" s="164" t="n"/>
      <c r="W14" s="164" t="n"/>
      <c r="X14" s="164" t="n"/>
      <c r="Y14" s="164" t="n"/>
      <c r="Z14" s="163">
        <f>SUM(AA14:AJ14)</f>
        <v/>
      </c>
      <c r="AA14" s="170" t="n"/>
      <c r="AB14" s="170" t="n"/>
      <c r="AC14" s="170" t="n"/>
      <c r="AD14" s="170" t="n"/>
      <c r="AE14" s="170" t="n"/>
      <c r="AF14" s="170" t="n"/>
      <c r="AG14" s="170" t="n"/>
      <c r="AH14" s="170" t="n"/>
      <c r="AI14" s="170" t="n"/>
      <c r="AJ14" s="170" t="n"/>
      <c r="AK14" s="164">
        <f>AB14/1.17*0.17+AC14/1.16*0.16+AD14/1.11*0.11+AE14/1.1*0.1+AF14/1.09*0.09+AI14/1.03*0.03</f>
        <v/>
      </c>
      <c r="AL14" s="95" t="n"/>
    </row>
    <row r="15" ht="20" customFormat="1" customHeight="1" s="1">
      <c r="A15" s="27" t="n">
        <v>3</v>
      </c>
      <c r="B15" s="27" t="n"/>
      <c r="C15" s="27" t="n"/>
      <c r="D15" s="171" t="n"/>
      <c r="E15" s="27" t="n"/>
      <c r="F15" s="27" t="n"/>
      <c r="G15" s="27" t="n"/>
      <c r="H15" s="163" t="n"/>
      <c r="I15" s="163" t="n"/>
      <c r="J15" s="163" t="n"/>
      <c r="K15" s="168" t="n"/>
      <c r="L15" s="172" t="n"/>
      <c r="M15" s="163" t="n"/>
      <c r="N15" s="163" t="n"/>
      <c r="O15" s="163" t="n"/>
      <c r="P15" s="163" t="n"/>
      <c r="Q15" s="163" t="n"/>
      <c r="R15" s="163" t="n"/>
      <c r="S15" s="164" t="n"/>
      <c r="T15" s="164" t="n"/>
      <c r="U15" s="164" t="n"/>
      <c r="V15" s="164" t="n"/>
      <c r="W15" s="164" t="n"/>
      <c r="X15" s="164" t="n"/>
      <c r="Y15" s="164" t="n"/>
      <c r="Z15" s="163">
        <f>SUM(AA15:AJ15)</f>
        <v/>
      </c>
      <c r="AA15" s="170" t="n"/>
      <c r="AB15" s="170" t="n"/>
      <c r="AC15" s="170" t="n"/>
      <c r="AD15" s="170" t="n"/>
      <c r="AE15" s="170" t="n"/>
      <c r="AF15" s="170" t="n"/>
      <c r="AG15" s="170" t="n"/>
      <c r="AH15" s="170" t="n"/>
      <c r="AI15" s="170" t="n"/>
      <c r="AJ15" s="170" t="n"/>
      <c r="AK15" s="164">
        <f>AB15/1.17*0.17+AC15/1.16*0.16+AD15/1.11*0.11+AE15/1.1*0.1+AF15/1.09*0.09+AI15/1.03*0.03</f>
        <v/>
      </c>
      <c r="AL15" s="95" t="n"/>
    </row>
    <row r="16" ht="20" customFormat="1" customHeight="1" s="2">
      <c r="A16" s="27" t="n"/>
      <c r="B16" s="27" t="inlineStr">
        <is>
          <t>无客商-计提汤村复1地块安全生产费</t>
        </is>
      </c>
      <c r="C16" s="27" t="n">
        <v/>
      </c>
      <c r="D16" s="32" t="n"/>
      <c r="E16" s="33" t="n"/>
      <c r="F16" s="33" t="n"/>
      <c r="G16" s="33" t="n"/>
      <c r="H16" s="163" t="n"/>
      <c r="I16" s="163" t="n"/>
      <c r="J16" s="163" t="n"/>
      <c r="K16" s="168" t="n"/>
      <c r="L16" s="172" t="n"/>
      <c r="M16" s="163" t="n"/>
      <c r="N16" s="163" t="n"/>
      <c r="O16" s="163" t="n"/>
      <c r="P16" s="163" t="n">
        <v>-5809818.35</v>
      </c>
      <c r="Q16" s="163" t="n"/>
      <c r="R16" s="158" t="n"/>
      <c r="S16" s="163" t="n"/>
      <c r="T16" s="163" t="n"/>
      <c r="U16" s="163" t="n"/>
      <c r="V16" s="163" t="n"/>
      <c r="W16" s="163" t="n"/>
      <c r="X16" s="163" t="n"/>
      <c r="Y16" s="163" t="n"/>
      <c r="Z16" s="163" t="n"/>
      <c r="AA16" s="173" t="n"/>
      <c r="AB16" s="164" t="n"/>
      <c r="AC16" s="164" t="n"/>
      <c r="AD16" s="164" t="n"/>
      <c r="AE16" s="164" t="n"/>
      <c r="AF16" s="164" t="n"/>
      <c r="AG16" s="164" t="n"/>
      <c r="AH16" s="164" t="n"/>
      <c r="AI16" s="164" t="n"/>
      <c r="AJ16" s="164" t="n"/>
      <c r="AK16" s="164" t="n"/>
      <c r="AL16" s="96" t="n"/>
    </row>
    <row r="17" ht="20" customFormat="1" customHeight="1" s="1">
      <c r="A17" s="27" t="n"/>
      <c r="B17" s="27" t="inlineStr">
        <is>
          <t>无客商-结算分包工程款-广东新添美安防</t>
        </is>
      </c>
      <c r="C17" s="27" t="n">
        <v/>
      </c>
      <c r="D17" s="32" t="n"/>
      <c r="E17" s="33" t="n"/>
      <c r="F17" s="33" t="n"/>
      <c r="G17" s="33" t="n"/>
      <c r="H17" s="163" t="n"/>
      <c r="I17" s="163" t="n"/>
      <c r="J17" s="163" t="n"/>
      <c r="K17" s="168" t="n"/>
      <c r="L17" s="172" t="n"/>
      <c r="M17" s="163" t="n"/>
      <c r="N17" s="163" t="n"/>
      <c r="O17" s="163" t="n"/>
      <c r="P17" s="163" t="n">
        <v>568828.21</v>
      </c>
      <c r="Q17" s="163" t="n"/>
      <c r="R17" s="158" t="n"/>
      <c r="S17" s="163" t="n"/>
      <c r="T17" s="163" t="n"/>
      <c r="U17" s="163" t="n"/>
      <c r="V17" s="163" t="n"/>
      <c r="W17" s="163" t="n"/>
      <c r="X17" s="163" t="n"/>
      <c r="Y17" s="163" t="n"/>
      <c r="Z17" s="163" t="n"/>
      <c r="AA17" s="173" t="n"/>
      <c r="AB17" s="164" t="n"/>
      <c r="AC17" s="164" t="n"/>
      <c r="AD17" s="164" t="n"/>
      <c r="AE17" s="164" t="n"/>
      <c r="AF17" s="164" t="n"/>
      <c r="AG17" s="164" t="n"/>
      <c r="AH17" s="164" t="n"/>
      <c r="AI17" s="164" t="n"/>
      <c r="AJ17" s="164" t="n"/>
      <c r="AK17" s="164" t="n"/>
      <c r="AL17" s="96" t="n"/>
    </row>
    <row r="18" ht="20" customFormat="1" customHeight="1" s="1">
      <c r="A18" s="27" t="n"/>
      <c r="B18" s="27" t="inlineStr">
        <is>
          <t>无客商-应付汤村项目复建地块一湖南阳旭</t>
        </is>
      </c>
      <c r="C18" s="27" t="n">
        <v/>
      </c>
      <c r="D18" s="32" t="n"/>
      <c r="E18" s="33" t="n"/>
      <c r="F18" s="33" t="n"/>
      <c r="G18" s="33" t="n"/>
      <c r="H18" s="163" t="n"/>
      <c r="I18" s="163" t="n"/>
      <c r="J18" s="163" t="n"/>
      <c r="K18" s="168" t="n"/>
      <c r="L18" s="172" t="n"/>
      <c r="M18" s="163" t="n"/>
      <c r="N18" s="163" t="n"/>
      <c r="O18" s="163" t="n"/>
      <c r="P18" s="163" t="n">
        <v>7484058.45</v>
      </c>
      <c r="Q18" s="163" t="n"/>
      <c r="R18" s="158" t="n"/>
      <c r="S18" s="163" t="n"/>
      <c r="T18" s="163" t="n"/>
      <c r="U18" s="163" t="n"/>
      <c r="V18" s="163" t="n"/>
      <c r="W18" s="163" t="n"/>
      <c r="X18" s="163" t="n"/>
      <c r="Y18" s="163" t="n"/>
      <c r="Z18" s="163" t="n"/>
      <c r="AA18" s="173" t="n"/>
      <c r="AB18" s="164" t="n"/>
      <c r="AC18" s="164" t="n"/>
      <c r="AD18" s="164" t="n"/>
      <c r="AE18" s="164" t="n"/>
      <c r="AF18" s="164" t="n"/>
      <c r="AG18" s="164" t="n"/>
      <c r="AH18" s="164" t="n"/>
      <c r="AI18" s="164" t="n"/>
      <c r="AJ18" s="164" t="n"/>
      <c r="AK18" s="164" t="n"/>
      <c r="AL18" s="96" t="n"/>
    </row>
    <row r="19" ht="20" customFormat="1" customHeight="1" s="1">
      <c r="A19" s="27" t="n"/>
      <c r="B19" s="27" t="inlineStr">
        <is>
          <t>无客商-应付汤村项目复建地块一湖北省隆</t>
        </is>
      </c>
      <c r="C19" s="27" t="n">
        <v/>
      </c>
      <c r="D19" s="32" t="n"/>
      <c r="E19" s="33" t="n"/>
      <c r="F19" s="33" t="n"/>
      <c r="G19" s="33" t="n"/>
      <c r="H19" s="163" t="n"/>
      <c r="I19" s="163" t="n"/>
      <c r="J19" s="163" t="n"/>
      <c r="K19" s="168" t="n"/>
      <c r="L19" s="172" t="n"/>
      <c r="M19" s="163" t="n"/>
      <c r="N19" s="163" t="n"/>
      <c r="O19" s="163" t="n"/>
      <c r="P19" s="163" t="n">
        <v>1227888.53</v>
      </c>
      <c r="Q19" s="163" t="n"/>
      <c r="R19" s="158" t="n"/>
      <c r="S19" s="163" t="n"/>
      <c r="T19" s="163" t="n"/>
      <c r="U19" s="163" t="n"/>
      <c r="V19" s="163" t="n"/>
      <c r="W19" s="163" t="n"/>
      <c r="X19" s="163" t="n"/>
      <c r="Y19" s="163" t="n"/>
      <c r="Z19" s="163" t="n"/>
      <c r="AA19" s="173" t="n"/>
      <c r="AB19" s="164" t="n"/>
      <c r="AC19" s="164" t="n"/>
      <c r="AD19" s="164" t="n"/>
      <c r="AE19" s="164" t="n"/>
      <c r="AF19" s="164" t="n"/>
      <c r="AG19" s="164" t="n"/>
      <c r="AH19" s="164" t="n"/>
      <c r="AI19" s="164" t="n"/>
      <c r="AJ19" s="164" t="n"/>
      <c r="AK19" s="164" t="n"/>
      <c r="AL19" s="96" t="n"/>
    </row>
    <row r="20" ht="20" customFormat="1" customHeight="1" s="1">
      <c r="A20" s="27" t="n"/>
      <c r="B20" s="27" t="inlineStr">
        <is>
          <t>无客商-应付汤村项目复建地块一深圳市华</t>
        </is>
      </c>
      <c r="C20" s="27" t="n">
        <v/>
      </c>
      <c r="D20" s="32" t="n"/>
      <c r="E20" s="33" t="n"/>
      <c r="F20" s="33" t="n"/>
      <c r="G20" s="33" t="n"/>
      <c r="H20" s="163" t="n"/>
      <c r="I20" s="163" t="n"/>
      <c r="J20" s="163" t="n"/>
      <c r="K20" s="168" t="n"/>
      <c r="L20" s="172" t="n"/>
      <c r="M20" s="163" t="n"/>
      <c r="N20" s="163" t="n"/>
      <c r="O20" s="163" t="n"/>
      <c r="P20" s="163" t="n">
        <v>2593988.3</v>
      </c>
      <c r="Q20" s="163" t="n"/>
      <c r="R20" s="158" t="n"/>
      <c r="S20" s="163" t="n"/>
      <c r="T20" s="163" t="n"/>
      <c r="U20" s="163" t="n"/>
      <c r="V20" s="163" t="n"/>
      <c r="W20" s="163" t="n"/>
      <c r="X20" s="163" t="n"/>
      <c r="Y20" s="163" t="n"/>
      <c r="Z20" s="163" t="n"/>
      <c r="AA20" s="173" t="n"/>
      <c r="AB20" s="164" t="n"/>
      <c r="AC20" s="164" t="n"/>
      <c r="AD20" s="164" t="n"/>
      <c r="AE20" s="164" t="n"/>
      <c r="AF20" s="164" t="n"/>
      <c r="AG20" s="164" t="n"/>
      <c r="AH20" s="164" t="n"/>
      <c r="AI20" s="164" t="n"/>
      <c r="AJ20" s="164" t="n"/>
      <c r="AK20" s="164" t="n"/>
      <c r="AL20" s="96" t="n"/>
    </row>
    <row r="21" ht="20" customFormat="1" customHeight="1" s="1">
      <c r="A21" s="27" t="n"/>
      <c r="B21" s="27" t="inlineStr">
        <is>
          <t>无客商-应付汤村项目复建地块一广东新添</t>
        </is>
      </c>
      <c r="C21" s="27" t="n">
        <v/>
      </c>
      <c r="D21" s="32" t="n"/>
      <c r="E21" s="33" t="n"/>
      <c r="F21" s="33" t="n"/>
      <c r="G21" s="33" t="n"/>
      <c r="H21" s="163" t="n"/>
      <c r="I21" s="163" t="n"/>
      <c r="J21" s="163" t="n"/>
      <c r="K21" s="168" t="n"/>
      <c r="L21" s="172" t="n"/>
      <c r="M21" s="163" t="n"/>
      <c r="N21" s="163" t="n"/>
      <c r="O21" s="163" t="n"/>
      <c r="P21" s="163" t="n">
        <v>2520761.74</v>
      </c>
      <c r="Q21" s="163" t="n"/>
      <c r="R21" s="158" t="n"/>
      <c r="S21" s="163" t="n"/>
      <c r="T21" s="163" t="n"/>
      <c r="U21" s="163" t="n"/>
      <c r="V21" s="163" t="n"/>
      <c r="W21" s="163" t="n"/>
      <c r="X21" s="163" t="n"/>
      <c r="Y21" s="163" t="n"/>
      <c r="Z21" s="163" t="n"/>
      <c r="AA21" s="173" t="n"/>
      <c r="AB21" s="164" t="n"/>
      <c r="AC21" s="164" t="n"/>
      <c r="AD21" s="164" t="n"/>
      <c r="AE21" s="164" t="n"/>
      <c r="AF21" s="164" t="n"/>
      <c r="AG21" s="164" t="n"/>
      <c r="AH21" s="164" t="n"/>
      <c r="AI21" s="164" t="n"/>
      <c r="AJ21" s="164" t="n"/>
      <c r="AK21" s="164" t="n"/>
      <c r="AL21" s="96" t="n"/>
    </row>
    <row r="22" ht="20" customFormat="1" customHeight="1" s="2">
      <c r="A22" s="27" t="n"/>
      <c r="B22" s="27" t="inlineStr">
        <is>
          <t>无客商-应付汤村项目复一广东粤忠晟保安</t>
        </is>
      </c>
      <c r="C22" s="27" t="n">
        <v/>
      </c>
      <c r="D22" s="32" t="n"/>
      <c r="E22" s="33" t="n"/>
      <c r="F22" s="33" t="n"/>
      <c r="G22" s="33" t="n"/>
      <c r="H22" s="163" t="n"/>
      <c r="I22" s="163" t="n"/>
      <c r="J22" s="163" t="n"/>
      <c r="K22" s="168" t="n"/>
      <c r="L22" s="172" t="n"/>
      <c r="M22" s="163" t="n"/>
      <c r="N22" s="163" t="n"/>
      <c r="O22" s="163" t="n"/>
      <c r="P22" s="163" t="n">
        <v>1429064.55</v>
      </c>
      <c r="Q22" s="163" t="n"/>
      <c r="R22" s="158" t="n"/>
      <c r="S22" s="163" t="n"/>
      <c r="T22" s="163" t="n"/>
      <c r="U22" s="163" t="n"/>
      <c r="V22" s="163" t="n"/>
      <c r="W22" s="163" t="n"/>
      <c r="X22" s="163" t="n"/>
      <c r="Y22" s="163" t="n"/>
      <c r="Z22" s="163" t="n"/>
      <c r="AA22" s="173" t="n"/>
      <c r="AB22" s="164" t="n"/>
      <c r="AC22" s="164" t="n"/>
      <c r="AD22" s="164" t="n"/>
      <c r="AE22" s="164" t="n"/>
      <c r="AF22" s="164" t="n"/>
      <c r="AG22" s="164" t="n"/>
      <c r="AH22" s="164" t="n"/>
      <c r="AI22" s="164" t="n"/>
      <c r="AJ22" s="164" t="n"/>
      <c r="AK22" s="164" t="n"/>
      <c r="AL22" s="96" t="n"/>
    </row>
    <row r="23" ht="20" customFormat="1" customHeight="1" s="1">
      <c r="A23" s="27" t="n"/>
      <c r="B23" s="27" t="inlineStr">
        <is>
          <t>无客商-应付汤村旧改项目复建地块一湖南</t>
        </is>
      </c>
      <c r="C23" s="27" t="n">
        <v/>
      </c>
      <c r="D23" s="32" t="n"/>
      <c r="E23" s="33" t="n"/>
      <c r="F23" s="33" t="n"/>
      <c r="G23" s="33" t="n"/>
      <c r="H23" s="163" t="n"/>
      <c r="I23" s="163" t="n"/>
      <c r="J23" s="163" t="n"/>
      <c r="K23" s="168" t="n"/>
      <c r="L23" s="172" t="n"/>
      <c r="M23" s="163" t="n"/>
      <c r="N23" s="163" t="n"/>
      <c r="O23" s="163" t="n"/>
      <c r="P23" s="163" t="n">
        <v>21397803.29</v>
      </c>
      <c r="Q23" s="163" t="n"/>
      <c r="R23" s="158" t="n"/>
      <c r="S23" s="163" t="n"/>
      <c r="T23" s="163" t="n"/>
      <c r="U23" s="163" t="n"/>
      <c r="V23" s="163" t="n"/>
      <c r="W23" s="163" t="n"/>
      <c r="X23" s="163" t="n"/>
      <c r="Y23" s="163" t="n"/>
      <c r="Z23" s="163" t="n"/>
      <c r="AA23" s="173" t="n"/>
      <c r="AB23" s="164" t="n"/>
      <c r="AC23" s="164" t="n"/>
      <c r="AD23" s="164" t="n"/>
      <c r="AE23" s="164" t="n"/>
      <c r="AF23" s="164" t="n"/>
      <c r="AG23" s="164" t="n"/>
      <c r="AH23" s="164" t="n"/>
      <c r="AI23" s="164" t="n"/>
      <c r="AJ23" s="164" t="n"/>
      <c r="AK23" s="164" t="n"/>
      <c r="AL23" s="96" t="n"/>
    </row>
    <row r="24" ht="20" customFormat="1" customHeight="1" s="3">
      <c r="A24" s="27" t="n"/>
      <c r="B24" s="27" t="inlineStr">
        <is>
          <t>无客商-应付汤村旧改项目复建地块一湖北</t>
        </is>
      </c>
      <c r="C24" s="27" t="n">
        <v/>
      </c>
      <c r="D24" s="32" t="n"/>
      <c r="E24" s="33" t="n"/>
      <c r="F24" s="33" t="n"/>
      <c r="G24" s="33" t="n"/>
      <c r="H24" s="163" t="n"/>
      <c r="I24" s="163" t="n"/>
      <c r="J24" s="163" t="n"/>
      <c r="K24" s="168" t="n"/>
      <c r="L24" s="172" t="n"/>
      <c r="M24" s="163" t="n"/>
      <c r="N24" s="163" t="n"/>
      <c r="O24" s="163" t="n"/>
      <c r="P24" s="163" t="n">
        <v>1913761.49</v>
      </c>
      <c r="Q24" s="163" t="n"/>
      <c r="R24" s="158" t="n"/>
      <c r="S24" s="163" t="n"/>
      <c r="T24" s="163" t="n"/>
      <c r="U24" s="163" t="n"/>
      <c r="V24" s="163" t="n"/>
      <c r="W24" s="163" t="n"/>
      <c r="X24" s="163" t="n"/>
      <c r="Y24" s="163" t="n"/>
      <c r="Z24" s="163" t="n"/>
      <c r="AA24" s="173" t="n"/>
      <c r="AB24" s="164" t="n"/>
      <c r="AC24" s="164" t="n"/>
      <c r="AD24" s="164" t="n"/>
      <c r="AE24" s="164" t="n"/>
      <c r="AF24" s="164" t="n"/>
      <c r="AG24" s="164" t="n"/>
      <c r="AH24" s="164" t="n"/>
      <c r="AI24" s="164" t="n"/>
      <c r="AJ24" s="164" t="n"/>
      <c r="AK24" s="164" t="n"/>
      <c r="AL24" s="96" t="n"/>
    </row>
    <row r="25" ht="20" customFormat="1" customHeight="1" s="3">
      <c r="A25" s="27" t="n"/>
      <c r="B25" s="27" t="inlineStr">
        <is>
          <t>无客商-应付汤村旧改项目复建地块一深圳</t>
        </is>
      </c>
      <c r="C25" s="27" t="n">
        <v/>
      </c>
      <c r="D25" s="32" t="n"/>
      <c r="E25" s="33" t="n"/>
      <c r="F25" s="33" t="n"/>
      <c r="G25" s="33" t="n"/>
      <c r="H25" s="163" t="n"/>
      <c r="I25" s="163" t="n"/>
      <c r="J25" s="163" t="n"/>
      <c r="K25" s="168" t="n"/>
      <c r="L25" s="172" t="n"/>
      <c r="M25" s="163" t="n"/>
      <c r="N25" s="163" t="n"/>
      <c r="O25" s="163" t="n"/>
      <c r="P25" s="163" t="n">
        <v>14762015.01</v>
      </c>
      <c r="Q25" s="163" t="n"/>
      <c r="R25" s="158" t="n"/>
      <c r="S25" s="163" t="n"/>
      <c r="T25" s="163" t="n"/>
      <c r="U25" s="163" t="n"/>
      <c r="V25" s="163" t="n"/>
      <c r="W25" s="163" t="n"/>
      <c r="X25" s="163" t="n"/>
      <c r="Y25" s="163" t="n"/>
      <c r="Z25" s="163" t="n"/>
      <c r="AA25" s="173" t="n"/>
      <c r="AB25" s="164" t="n"/>
      <c r="AC25" s="164" t="n"/>
      <c r="AD25" s="164" t="n"/>
      <c r="AE25" s="164" t="n"/>
      <c r="AF25" s="164" t="n"/>
      <c r="AG25" s="164" t="n"/>
      <c r="AH25" s="164" t="n"/>
      <c r="AI25" s="164" t="n"/>
      <c r="AJ25" s="164" t="n"/>
      <c r="AK25" s="164" t="n"/>
      <c r="AL25" s="96" t="n"/>
    </row>
    <row r="26" ht="20" customFormat="1" customHeight="1" s="3">
      <c r="A26" s="27" t="n"/>
      <c r="B26" s="27" t="inlineStr">
        <is>
          <t>无客商-应付汤村旧改项目复建地块一江西</t>
        </is>
      </c>
      <c r="C26" s="27" t="n">
        <v/>
      </c>
      <c r="D26" s="32" t="n"/>
      <c r="E26" s="33" t="n"/>
      <c r="F26" s="33" t="n"/>
      <c r="G26" s="33" t="n"/>
      <c r="H26" s="163" t="n"/>
      <c r="I26" s="163" t="n"/>
      <c r="J26" s="163" t="n"/>
      <c r="K26" s="168" t="n"/>
      <c r="L26" s="172" t="n"/>
      <c r="M26" s="163" t="n"/>
      <c r="N26" s="163" t="n"/>
      <c r="O26" s="163" t="n"/>
      <c r="P26" s="163" t="n">
        <v>6462444.78</v>
      </c>
      <c r="Q26" s="163" t="n"/>
      <c r="R26" s="158" t="n"/>
      <c r="S26" s="163" t="n"/>
      <c r="T26" s="163" t="n"/>
      <c r="U26" s="163" t="n"/>
      <c r="V26" s="163" t="n"/>
      <c r="W26" s="163" t="n"/>
      <c r="X26" s="163" t="n"/>
      <c r="Y26" s="163" t="n"/>
      <c r="Z26" s="163" t="n"/>
      <c r="AA26" s="173" t="n"/>
      <c r="AB26" s="164" t="n"/>
      <c r="AC26" s="164" t="n"/>
      <c r="AD26" s="164" t="n"/>
      <c r="AE26" s="164" t="n"/>
      <c r="AF26" s="164" t="n"/>
      <c r="AG26" s="164" t="n"/>
      <c r="AH26" s="164" t="n"/>
      <c r="AI26" s="164" t="n"/>
      <c r="AJ26" s="164" t="n"/>
      <c r="AK26" s="164" t="n"/>
      <c r="AL26" s="96" t="n"/>
    </row>
    <row r="27" ht="20" customFormat="1" customHeight="1" s="3">
      <c r="A27" s="27" t="n"/>
      <c r="B27" s="27" t="inlineStr">
        <is>
          <t>无客商-应付汤村旧改项目复建地块一广东</t>
        </is>
      </c>
      <c r="C27" s="27" t="n">
        <v/>
      </c>
      <c r="D27" s="32" t="n"/>
      <c r="E27" s="33" t="n"/>
      <c r="F27" s="33" t="n"/>
      <c r="G27" s="33" t="n"/>
      <c r="H27" s="163" t="n"/>
      <c r="I27" s="163" t="n"/>
      <c r="J27" s="163" t="n"/>
      <c r="K27" s="168" t="n"/>
      <c r="L27" s="172" t="n"/>
      <c r="M27" s="163" t="n"/>
      <c r="N27" s="163" t="n"/>
      <c r="O27" s="163" t="n"/>
      <c r="P27" s="163" t="n">
        <v>4453246.94</v>
      </c>
      <c r="Q27" s="163" t="n"/>
      <c r="R27" s="158" t="n"/>
      <c r="S27" s="163" t="n"/>
      <c r="T27" s="163" t="n"/>
      <c r="U27" s="163" t="n"/>
      <c r="V27" s="163" t="n"/>
      <c r="W27" s="163" t="n"/>
      <c r="X27" s="163" t="n"/>
      <c r="Y27" s="163" t="n"/>
      <c r="Z27" s="163" t="n"/>
      <c r="AA27" s="173" t="n"/>
      <c r="AB27" s="164" t="n"/>
      <c r="AC27" s="164" t="n"/>
      <c r="AD27" s="164" t="n"/>
      <c r="AE27" s="164" t="n"/>
      <c r="AF27" s="164" t="n"/>
      <c r="AG27" s="164" t="n"/>
      <c r="AH27" s="164" t="n"/>
      <c r="AI27" s="164" t="n"/>
      <c r="AJ27" s="164" t="n"/>
      <c r="AK27" s="164" t="n"/>
      <c r="AL27" s="96" t="n"/>
    </row>
    <row r="28" ht="20" customFormat="1" customHeight="1" s="3">
      <c r="A28" s="27" t="n"/>
      <c r="B28" s="27" t="inlineStr">
        <is>
          <t>无客商-应付汤村复建区1号地块湖南阳旭</t>
        </is>
      </c>
      <c r="C28" s="27" t="n">
        <v/>
      </c>
      <c r="D28" s="32" t="n"/>
      <c r="E28" s="33" t="n"/>
      <c r="F28" s="33" t="n"/>
      <c r="G28" s="33" t="n"/>
      <c r="H28" s="163" t="n"/>
      <c r="I28" s="163" t="n"/>
      <c r="J28" s="163" t="n"/>
      <c r="K28" s="168" t="n"/>
      <c r="L28" s="172" t="n"/>
      <c r="M28" s="163" t="n"/>
      <c r="N28" s="163" t="n"/>
      <c r="O28" s="163" t="n"/>
      <c r="P28" s="163" t="n">
        <v>4547704.79</v>
      </c>
      <c r="Q28" s="163" t="n"/>
      <c r="R28" s="158" t="n"/>
      <c r="S28" s="163" t="n"/>
      <c r="T28" s="163" t="n"/>
      <c r="U28" s="163" t="n"/>
      <c r="V28" s="163" t="n"/>
      <c r="W28" s="163" t="n"/>
      <c r="X28" s="163" t="n"/>
      <c r="Y28" s="163" t="n"/>
      <c r="Z28" s="163" t="n"/>
      <c r="AA28" s="173" t="n"/>
      <c r="AB28" s="164" t="n"/>
      <c r="AC28" s="164" t="n"/>
      <c r="AD28" s="164" t="n"/>
      <c r="AE28" s="164" t="n"/>
      <c r="AF28" s="164" t="n"/>
      <c r="AG28" s="164" t="n"/>
      <c r="AH28" s="164" t="n"/>
      <c r="AI28" s="164" t="n"/>
      <c r="AJ28" s="164" t="n"/>
      <c r="AK28" s="164" t="n"/>
      <c r="AL28" s="96" t="n"/>
    </row>
    <row r="29" ht="20" customFormat="1" customHeight="1" s="3">
      <c r="A29" s="27" t="n"/>
      <c r="B29" s="27" t="inlineStr">
        <is>
          <t>无客商-应付复建地块一湖南阳旭建筑劳务</t>
        </is>
      </c>
      <c r="C29" s="27" t="n">
        <v/>
      </c>
      <c r="D29" s="32" t="n"/>
      <c r="E29" s="33" t="n"/>
      <c r="F29" s="33" t="n"/>
      <c r="G29" s="33" t="n"/>
      <c r="H29" s="163" t="n"/>
      <c r="I29" s="163" t="n"/>
      <c r="J29" s="163" t="n"/>
      <c r="K29" s="168" t="n"/>
      <c r="L29" s="172" t="n"/>
      <c r="M29" s="163" t="n"/>
      <c r="N29" s="163" t="n"/>
      <c r="O29" s="163" t="n"/>
      <c r="P29" s="163" t="n">
        <v>6026879.58</v>
      </c>
      <c r="Q29" s="163" t="n"/>
      <c r="R29" s="158" t="n"/>
      <c r="S29" s="163" t="n"/>
      <c r="T29" s="163" t="n"/>
      <c r="U29" s="163" t="n"/>
      <c r="V29" s="163" t="n"/>
      <c r="W29" s="163" t="n"/>
      <c r="X29" s="163" t="n"/>
      <c r="Y29" s="163" t="n"/>
      <c r="Z29" s="163" t="n"/>
      <c r="AA29" s="173" t="n"/>
      <c r="AB29" s="164" t="n"/>
      <c r="AC29" s="164" t="n"/>
      <c r="AD29" s="164" t="n"/>
      <c r="AE29" s="164" t="n"/>
      <c r="AF29" s="164" t="n"/>
      <c r="AG29" s="164" t="n"/>
      <c r="AH29" s="164" t="n"/>
      <c r="AI29" s="164" t="n"/>
      <c r="AJ29" s="164" t="n"/>
      <c r="AK29" s="164" t="n"/>
      <c r="AL29" s="96" t="n"/>
    </row>
    <row r="30" ht="20" customFormat="1" customHeight="1" s="3">
      <c r="A30" s="27" t="n"/>
      <c r="B30" s="27" t="inlineStr">
        <is>
          <t>无客商-汤村项目付广州陇飞广告有限公司</t>
        </is>
      </c>
      <c r="C30" s="27" t="n">
        <v/>
      </c>
      <c r="D30" s="32" t="n"/>
      <c r="E30" s="33" t="n"/>
      <c r="F30" s="33" t="n"/>
      <c r="G30" s="33" t="n"/>
      <c r="H30" s="163" t="n"/>
      <c r="I30" s="163" t="n"/>
      <c r="J30" s="163" t="n"/>
      <c r="K30" s="168" t="n"/>
      <c r="L30" s="172" t="n"/>
      <c r="M30" s="163" t="n"/>
      <c r="N30" s="163" t="n"/>
      <c r="O30" s="163" t="n"/>
      <c r="P30" s="163" t="n">
        <v>1000</v>
      </c>
      <c r="Q30" s="163" t="n"/>
      <c r="R30" s="158" t="n"/>
      <c r="S30" s="163" t="n"/>
      <c r="T30" s="163" t="n"/>
      <c r="U30" s="163" t="n"/>
      <c r="V30" s="163" t="n"/>
      <c r="W30" s="163" t="n"/>
      <c r="X30" s="163" t="n"/>
      <c r="Y30" s="163" t="n"/>
      <c r="Z30" s="163" t="n"/>
      <c r="AA30" s="173" t="n"/>
      <c r="AB30" s="164" t="n"/>
      <c r="AC30" s="164" t="n"/>
      <c r="AD30" s="164" t="n"/>
      <c r="AE30" s="164" t="n"/>
      <c r="AF30" s="164" t="n"/>
      <c r="AG30" s="164" t="n"/>
      <c r="AH30" s="164" t="n"/>
      <c r="AI30" s="164" t="n"/>
      <c r="AJ30" s="164" t="n"/>
      <c r="AK30" s="164" t="n"/>
      <c r="AL30" s="96" t="n"/>
    </row>
    <row r="31" ht="20" customFormat="1" customHeight="1" s="3">
      <c r="A31" s="27" t="n"/>
      <c r="B31" s="27" t="inlineStr">
        <is>
          <t>无客商-汤村项目付广州市中洁环境工程有</t>
        </is>
      </c>
      <c r="C31" s="27" t="n">
        <v/>
      </c>
      <c r="D31" s="32" t="n"/>
      <c r="E31" s="33" t="n"/>
      <c r="F31" s="33" t="n"/>
      <c r="G31" s="33" t="n"/>
      <c r="H31" s="163" t="n"/>
      <c r="I31" s="163" t="n"/>
      <c r="J31" s="163" t="n"/>
      <c r="K31" s="168" t="n"/>
      <c r="L31" s="172" t="n"/>
      <c r="M31" s="163" t="n"/>
      <c r="N31" s="163" t="n"/>
      <c r="O31" s="163" t="n"/>
      <c r="P31" s="163" t="n">
        <v>45742.58</v>
      </c>
      <c r="Q31" s="163" t="n"/>
      <c r="R31" s="158" t="n"/>
      <c r="S31" s="163" t="n"/>
      <c r="T31" s="163" t="n"/>
      <c r="U31" s="163" t="n"/>
      <c r="V31" s="163" t="n"/>
      <c r="W31" s="163" t="n"/>
      <c r="X31" s="163" t="n"/>
      <c r="Y31" s="163" t="n"/>
      <c r="Z31" s="163" t="n"/>
      <c r="AA31" s="173" t="n"/>
      <c r="AB31" s="164" t="n"/>
      <c r="AC31" s="164" t="n"/>
      <c r="AD31" s="164" t="n"/>
      <c r="AE31" s="164" t="n"/>
      <c r="AF31" s="164" t="n"/>
      <c r="AG31" s="164" t="n"/>
      <c r="AH31" s="164" t="n"/>
      <c r="AI31" s="164" t="n"/>
      <c r="AJ31" s="164" t="n"/>
      <c r="AK31" s="164" t="n"/>
      <c r="AL31" s="96" t="n"/>
    </row>
    <row r="32" ht="26" customFormat="1" customHeight="1" s="3">
      <c r="A32" s="27" t="n"/>
      <c r="B32" s="27" t="inlineStr">
        <is>
          <t>无客商-汤村旧村改造项目对外付款广州市</t>
        </is>
      </c>
      <c r="C32" s="27" t="n">
        <v/>
      </c>
      <c r="D32" s="32" t="n"/>
      <c r="E32" s="33" t="n"/>
      <c r="F32" s="33" t="n"/>
      <c r="G32" s="33" t="n"/>
      <c r="H32" s="163" t="n"/>
      <c r="I32" s="163" t="n"/>
      <c r="J32" s="163" t="n"/>
      <c r="K32" s="168" t="n"/>
      <c r="L32" s="172" t="n"/>
      <c r="M32" s="163" t="n"/>
      <c r="N32" s="163" t="n"/>
      <c r="O32" s="163" t="n"/>
      <c r="P32" s="163" t="n">
        <v>3313.68</v>
      </c>
      <c r="Q32" s="163" t="n"/>
      <c r="R32" s="158" t="n"/>
      <c r="S32" s="163" t="n"/>
      <c r="T32" s="163" t="n"/>
      <c r="U32" s="163" t="n"/>
      <c r="V32" s="163" t="n"/>
      <c r="W32" s="163" t="n"/>
      <c r="X32" s="163" t="n"/>
      <c r="Y32" s="163" t="n"/>
      <c r="Z32" s="163" t="n"/>
      <c r="AA32" s="173" t="n"/>
      <c r="AB32" s="164" t="n"/>
      <c r="AC32" s="164" t="n"/>
      <c r="AD32" s="164" t="n"/>
      <c r="AE32" s="164" t="n"/>
      <c r="AF32" s="164" t="n"/>
      <c r="AG32" s="164" t="n"/>
      <c r="AH32" s="164" t="n"/>
      <c r="AI32" s="164" t="n"/>
      <c r="AJ32" s="164" t="n"/>
      <c r="AK32" s="164" t="n"/>
      <c r="AL32" s="96" t="n"/>
    </row>
    <row r="33" ht="20" customFormat="1" customHeight="1" s="3">
      <c r="A33" s="27" t="n"/>
      <c r="B33" s="27" t="inlineStr">
        <is>
          <t>无客商-汤村旧村改造项目对外付款广东爱</t>
        </is>
      </c>
      <c r="C33" s="27" t="n">
        <v/>
      </c>
      <c r="D33" s="32" t="n"/>
      <c r="E33" s="33" t="n"/>
      <c r="F33" s="33" t="n"/>
      <c r="G33" s="33" t="n"/>
      <c r="H33" s="163" t="n"/>
      <c r="I33" s="163" t="n"/>
      <c r="J33" s="163" t="n"/>
      <c r="K33" s="168" t="n"/>
      <c r="L33" s="172" t="n"/>
      <c r="M33" s="163" t="n"/>
      <c r="N33" s="163" t="n"/>
      <c r="O33" s="163" t="n"/>
      <c r="P33" s="163" t="n">
        <v>561302.85</v>
      </c>
      <c r="Q33" s="163" t="n"/>
      <c r="R33" s="158" t="n"/>
      <c r="S33" s="163" t="n"/>
      <c r="T33" s="163" t="n"/>
      <c r="U33" s="163" t="n"/>
      <c r="V33" s="163" t="n"/>
      <c r="W33" s="163" t="n"/>
      <c r="X33" s="163" t="n"/>
      <c r="Y33" s="163" t="n"/>
      <c r="Z33" s="163" t="n"/>
      <c r="AA33" s="173" t="n"/>
      <c r="AB33" s="164" t="n"/>
      <c r="AC33" s="164" t="n"/>
      <c r="AD33" s="164" t="n"/>
      <c r="AE33" s="164" t="n"/>
      <c r="AF33" s="164" t="n"/>
      <c r="AG33" s="164" t="n"/>
      <c r="AH33" s="164" t="n"/>
      <c r="AI33" s="164" t="n"/>
      <c r="AJ33" s="164" t="n"/>
      <c r="AK33" s="164" t="n"/>
      <c r="AL33" s="96" t="n"/>
    </row>
    <row r="34" ht="13" customFormat="1" customHeight="1" s="4">
      <c r="A34" s="27" t="n"/>
      <c r="B34" s="27" t="inlineStr">
        <is>
          <t>无客商-汤村旧改项目对外支付广州市立成</t>
        </is>
      </c>
      <c r="C34" s="27" t="n">
        <v/>
      </c>
      <c r="D34" s="32" t="n"/>
      <c r="E34" s="33" t="n"/>
      <c r="F34" s="33" t="n"/>
      <c r="G34" s="33" t="n"/>
      <c r="H34" s="163" t="n"/>
      <c r="I34" s="163" t="n"/>
      <c r="J34" s="163" t="n"/>
      <c r="K34" s="168" t="n"/>
      <c r="L34" s="172" t="n"/>
      <c r="M34" s="163" t="n"/>
      <c r="N34" s="163" t="n"/>
      <c r="O34" s="163" t="n"/>
      <c r="P34" s="163" t="n">
        <v>8737.860000000001</v>
      </c>
      <c r="Q34" s="163" t="n"/>
      <c r="R34" s="158" t="n"/>
      <c r="S34" s="163" t="n"/>
      <c r="T34" s="163" t="n"/>
      <c r="U34" s="163" t="n"/>
      <c r="V34" s="163" t="n"/>
      <c r="W34" s="163" t="n"/>
      <c r="X34" s="163" t="n"/>
      <c r="Y34" s="163" t="n"/>
      <c r="Z34" s="163" t="n"/>
      <c r="AA34" s="173" t="n"/>
      <c r="AB34" s="164" t="n"/>
      <c r="AC34" s="164" t="n"/>
      <c r="AD34" s="164" t="n"/>
      <c r="AE34" s="164" t="n"/>
      <c r="AF34" s="164" t="n"/>
      <c r="AG34" s="164" t="n"/>
      <c r="AH34" s="164" t="n"/>
      <c r="AI34" s="164" t="n"/>
      <c r="AJ34" s="164" t="n"/>
      <c r="AK34" s="164" t="n"/>
      <c r="AL34" s="96" t="n"/>
    </row>
    <row r="35" ht="20" customFormat="1" customHeight="1" s="3">
      <c r="A35" s="27" t="n"/>
      <c r="B35" s="27" t="inlineStr">
        <is>
          <t>无客商-汤村旧改项目对外支付广州嘉特电</t>
        </is>
      </c>
      <c r="C35" s="27" t="n">
        <v/>
      </c>
      <c r="D35" s="32" t="n"/>
      <c r="E35" s="33" t="n"/>
      <c r="F35" s="33" t="n"/>
      <c r="G35" s="33" t="n"/>
      <c r="H35" s="163" t="n"/>
      <c r="I35" s="163" t="n"/>
      <c r="J35" s="163" t="n"/>
      <c r="K35" s="168" t="n"/>
      <c r="L35" s="172" t="n"/>
      <c r="M35" s="163" t="n"/>
      <c r="N35" s="163" t="n"/>
      <c r="O35" s="163" t="n"/>
      <c r="P35" s="163" t="n">
        <v>23665.92</v>
      </c>
      <c r="Q35" s="163" t="n"/>
      <c r="R35" s="158" t="n"/>
      <c r="S35" s="163" t="n"/>
      <c r="T35" s="163" t="n"/>
      <c r="U35" s="163" t="n"/>
      <c r="V35" s="163" t="n"/>
      <c r="W35" s="163" t="n"/>
      <c r="X35" s="163" t="n"/>
      <c r="Y35" s="163" t="n"/>
      <c r="Z35" s="163" t="n"/>
      <c r="AA35" s="173" t="n"/>
      <c r="AB35" s="164" t="n"/>
      <c r="AC35" s="164" t="n"/>
      <c r="AD35" s="164" t="n"/>
      <c r="AE35" s="164" t="n"/>
      <c r="AF35" s="164" t="n"/>
      <c r="AG35" s="164" t="n"/>
      <c r="AH35" s="164" t="n"/>
      <c r="AI35" s="164" t="n"/>
      <c r="AJ35" s="164" t="n"/>
      <c r="AK35" s="164" t="n"/>
      <c r="AL35" s="96" t="n"/>
    </row>
    <row r="36" ht="20" customFormat="1" customHeight="1" s="1">
      <c r="A36" s="27" t="n"/>
      <c r="B36" s="27" t="inlineStr">
        <is>
          <t>无客商-汤村旧改项目对外支付广东穗建工</t>
        </is>
      </c>
      <c r="C36" s="27" t="n">
        <v/>
      </c>
      <c r="D36" s="32" t="n"/>
      <c r="E36" s="33" t="n"/>
      <c r="F36" s="33" t="n"/>
      <c r="G36" s="33" t="n"/>
      <c r="H36" s="163" t="n"/>
      <c r="I36" s="163" t="n"/>
      <c r="J36" s="163" t="n"/>
      <c r="K36" s="168" t="n"/>
      <c r="L36" s="172" t="n"/>
      <c r="M36" s="163" t="n"/>
      <c r="N36" s="163" t="n"/>
      <c r="O36" s="163" t="n"/>
      <c r="P36" s="163" t="n">
        <v>23778.3</v>
      </c>
      <c r="Q36" s="163" t="n"/>
      <c r="R36" s="158" t="n"/>
      <c r="S36" s="163" t="n"/>
      <c r="T36" s="163" t="n"/>
      <c r="U36" s="163" t="n"/>
      <c r="V36" s="163" t="n"/>
      <c r="W36" s="163" t="n"/>
      <c r="X36" s="163" t="n"/>
      <c r="Y36" s="163" t="n"/>
      <c r="Z36" s="163" t="n"/>
      <c r="AA36" s="173" t="n"/>
      <c r="AB36" s="164" t="n"/>
      <c r="AC36" s="164" t="n"/>
      <c r="AD36" s="164" t="n"/>
      <c r="AE36" s="164" t="n"/>
      <c r="AF36" s="164" t="n"/>
      <c r="AG36" s="164" t="n"/>
      <c r="AH36" s="164" t="n"/>
      <c r="AI36" s="164" t="n"/>
      <c r="AJ36" s="164" t="n"/>
      <c r="AK36" s="164" t="n"/>
      <c r="AL36" s="96" t="n"/>
    </row>
    <row r="37" ht="20" customFormat="1" customHeight="1" s="1">
      <c r="A37" s="27" t="n"/>
      <c r="B37" s="27" t="inlineStr">
        <is>
          <t>无客商-汤村旧改项目复建一地块对外支付</t>
        </is>
      </c>
      <c r="C37" s="27" t="n">
        <v/>
      </c>
      <c r="D37" s="32" t="n"/>
      <c r="E37" s="33" t="n"/>
      <c r="F37" s="33" t="n"/>
      <c r="G37" s="33" t="n"/>
      <c r="H37" s="163" t="n"/>
      <c r="I37" s="163" t="n"/>
      <c r="J37" s="163" t="n"/>
      <c r="K37" s="168" t="n"/>
      <c r="L37" s="172" t="n"/>
      <c r="M37" s="163" t="n"/>
      <c r="N37" s="163" t="n"/>
      <c r="O37" s="163" t="n"/>
      <c r="P37" s="163" t="n">
        <v>73729.73</v>
      </c>
      <c r="Q37" s="163" t="n"/>
      <c r="R37" s="158" t="n"/>
      <c r="S37" s="163" t="n"/>
      <c r="T37" s="163" t="n"/>
      <c r="U37" s="163" t="n"/>
      <c r="V37" s="163" t="n"/>
      <c r="W37" s="163" t="n"/>
      <c r="X37" s="163" t="n"/>
      <c r="Y37" s="163" t="n"/>
      <c r="Z37" s="163" t="n"/>
      <c r="AA37" s="173" t="n"/>
      <c r="AB37" s="164" t="n"/>
      <c r="AC37" s="164" t="n"/>
      <c r="AD37" s="164" t="n"/>
      <c r="AE37" s="164" t="n"/>
      <c r="AF37" s="164" t="n"/>
      <c r="AG37" s="164" t="n"/>
      <c r="AH37" s="164" t="n"/>
      <c r="AI37" s="164" t="n"/>
      <c r="AJ37" s="164" t="n"/>
      <c r="AK37" s="164" t="n"/>
      <c r="AL37" s="96" t="n"/>
    </row>
    <row r="38" ht="20" customFormat="1" customHeight="1" s="1">
      <c r="A38" s="27" t="n"/>
      <c r="B38" s="27" t="inlineStr">
        <is>
          <t>无客商-汤村复1地块2025年三季度大</t>
        </is>
      </c>
      <c r="C38" s="27" t="n">
        <v/>
      </c>
      <c r="D38" s="32" t="n"/>
      <c r="E38" s="33" t="n"/>
      <c r="F38" s="33" t="n"/>
      <c r="G38" s="33" t="n"/>
      <c r="H38" s="163" t="n"/>
      <c r="I38" s="163" t="n"/>
      <c r="J38" s="163" t="n"/>
      <c r="K38" s="168" t="n"/>
      <c r="L38" s="172" t="n"/>
      <c r="M38" s="163" t="n"/>
      <c r="N38" s="163" t="n"/>
      <c r="O38" s="163" t="n"/>
      <c r="P38" s="163" t="n">
        <v>4528.3</v>
      </c>
      <c r="Q38" s="163" t="n"/>
      <c r="R38" s="158" t="n"/>
      <c r="S38" s="163" t="n"/>
      <c r="T38" s="163" t="n"/>
      <c r="U38" s="163" t="n"/>
      <c r="V38" s="163" t="n"/>
      <c r="W38" s="163" t="n"/>
      <c r="X38" s="163" t="n"/>
      <c r="Y38" s="163" t="n"/>
      <c r="Z38" s="163" t="n"/>
      <c r="AA38" s="173" t="n"/>
      <c r="AB38" s="164" t="n"/>
      <c r="AC38" s="164" t="n"/>
      <c r="AD38" s="164" t="n"/>
      <c r="AE38" s="164" t="n"/>
      <c r="AF38" s="164" t="n"/>
      <c r="AG38" s="164" t="n"/>
      <c r="AH38" s="164" t="n"/>
      <c r="AI38" s="164" t="n"/>
      <c r="AJ38" s="164" t="n"/>
      <c r="AK38" s="164" t="n"/>
      <c r="AL38" s="96" t="n"/>
    </row>
    <row r="39" ht="20" customFormat="1" customHeight="1" s="2">
      <c r="A39" s="27" t="n"/>
      <c r="B39" s="27" t="inlineStr">
        <is>
          <t>无客商-支付汤村旧改项目复建一地块穗镓</t>
        </is>
      </c>
      <c r="C39" s="27" t="n">
        <v/>
      </c>
      <c r="D39" s="32" t="n"/>
      <c r="E39" s="33" t="n"/>
      <c r="F39" s="33" t="n"/>
      <c r="G39" s="33" t="n"/>
      <c r="H39" s="163" t="n"/>
      <c r="I39" s="163" t="n"/>
      <c r="J39" s="163" t="n"/>
      <c r="K39" s="168" t="n"/>
      <c r="L39" s="172" t="n"/>
      <c r="M39" s="163" t="n"/>
      <c r="N39" s="163" t="n"/>
      <c r="O39" s="163" t="n"/>
      <c r="P39" s="163" t="n">
        <v>29886.79</v>
      </c>
      <c r="Q39" s="163" t="n"/>
      <c r="R39" s="158" t="n"/>
      <c r="S39" s="163" t="n"/>
      <c r="T39" s="163" t="n"/>
      <c r="U39" s="163" t="n"/>
      <c r="V39" s="163" t="n"/>
      <c r="W39" s="163" t="n"/>
      <c r="X39" s="163" t="n"/>
      <c r="Y39" s="163" t="n"/>
      <c r="Z39" s="163" t="n"/>
      <c r="AA39" s="173" t="n"/>
      <c r="AB39" s="164" t="n"/>
      <c r="AC39" s="164" t="n"/>
      <c r="AD39" s="164" t="n"/>
      <c r="AE39" s="164" t="n"/>
      <c r="AF39" s="164" t="n"/>
      <c r="AG39" s="164" t="n"/>
      <c r="AH39" s="164" t="n"/>
      <c r="AI39" s="164" t="n"/>
      <c r="AJ39" s="164" t="n"/>
      <c r="AK39" s="164" t="n"/>
      <c r="AL39" s="96" t="n"/>
    </row>
    <row r="40" ht="20" customFormat="1" customHeight="1" s="1">
      <c r="A40" s="27" t="n"/>
      <c r="B40" s="27" t="inlineStr">
        <is>
          <t>无客商-支付汤村旧改复建地块一项目林桂</t>
        </is>
      </c>
      <c r="C40" s="27" t="n">
        <v/>
      </c>
      <c r="D40" s="32" t="n"/>
      <c r="E40" s="33" t="n"/>
      <c r="F40" s="33" t="n"/>
      <c r="G40" s="33" t="n"/>
      <c r="H40" s="163" t="n"/>
      <c r="I40" s="163" t="n"/>
      <c r="J40" s="163" t="n"/>
      <c r="K40" s="168" t="n"/>
      <c r="L40" s="172" t="n"/>
      <c r="M40" s="163" t="n"/>
      <c r="N40" s="163" t="n"/>
      <c r="O40" s="163" t="n"/>
      <c r="P40" s="163" t="n">
        <v>52678.3</v>
      </c>
      <c r="Q40" s="163" t="n"/>
      <c r="R40" s="158" t="n"/>
      <c r="S40" s="163" t="n"/>
      <c r="T40" s="163" t="n"/>
      <c r="U40" s="163" t="n"/>
      <c r="V40" s="163" t="n"/>
      <c r="W40" s="163" t="n"/>
      <c r="X40" s="163" t="n"/>
      <c r="Y40" s="163" t="n"/>
      <c r="Z40" s="163" t="n"/>
      <c r="AA40" s="173" t="n"/>
      <c r="AB40" s="164" t="n"/>
      <c r="AC40" s="164" t="n"/>
      <c r="AD40" s="164" t="n"/>
      <c r="AE40" s="164" t="n"/>
      <c r="AF40" s="164" t="n"/>
      <c r="AG40" s="164" t="n"/>
      <c r="AH40" s="164" t="n"/>
      <c r="AI40" s="164" t="n"/>
      <c r="AJ40" s="164" t="n"/>
      <c r="AK40" s="164" t="n"/>
      <c r="AL40" s="96" t="n"/>
    </row>
    <row r="41" ht="20" customFormat="1" customHeight="1" s="1">
      <c r="A41" s="27" t="n"/>
      <c r="B41" s="27" t="inlineStr">
        <is>
          <t>无客商-支付汤村旧改复建地块一广州穗稼</t>
        </is>
      </c>
      <c r="C41" s="27" t="n">
        <v/>
      </c>
      <c r="D41" s="32" t="n"/>
      <c r="E41" s="33" t="n"/>
      <c r="F41" s="33" t="n"/>
      <c r="G41" s="33" t="n"/>
      <c r="H41" s="163" t="n"/>
      <c r="I41" s="163" t="n"/>
      <c r="J41" s="163" t="n"/>
      <c r="K41" s="168" t="n"/>
      <c r="L41" s="172" t="n"/>
      <c r="M41" s="163" t="n"/>
      <c r="N41" s="163" t="n"/>
      <c r="O41" s="163" t="n"/>
      <c r="P41" s="163" t="n">
        <v>558057.54</v>
      </c>
      <c r="Q41" s="163" t="n"/>
      <c r="R41" s="158" t="n"/>
      <c r="S41" s="163" t="n"/>
      <c r="T41" s="163" t="n"/>
      <c r="U41" s="163" t="n"/>
      <c r="V41" s="163" t="n"/>
      <c r="W41" s="163" t="n"/>
      <c r="X41" s="163" t="n"/>
      <c r="Y41" s="163" t="n"/>
      <c r="Z41" s="163" t="n"/>
      <c r="AA41" s="173" t="n"/>
      <c r="AB41" s="164" t="n"/>
      <c r="AC41" s="164" t="n"/>
      <c r="AD41" s="164" t="n"/>
      <c r="AE41" s="164" t="n"/>
      <c r="AF41" s="164" t="n"/>
      <c r="AG41" s="164" t="n"/>
      <c r="AH41" s="164" t="n"/>
      <c r="AI41" s="164" t="n"/>
      <c r="AJ41" s="164" t="n"/>
      <c r="AK41" s="164" t="n"/>
      <c r="AL41" s="96" t="n"/>
    </row>
    <row r="42" ht="20" customFormat="1" customHeight="1" s="1">
      <c r="A42" s="27" t="n"/>
      <c r="B42" s="27" t="inlineStr">
        <is>
          <t>无客商-支付汤村复一项目简显青水泵维修</t>
        </is>
      </c>
      <c r="C42" s="27" t="n">
        <v/>
      </c>
      <c r="D42" s="32" t="n"/>
      <c r="E42" s="33" t="n"/>
      <c r="F42" s="33" t="n"/>
      <c r="G42" s="33" t="n"/>
      <c r="H42" s="163" t="n"/>
      <c r="I42" s="163" t="n"/>
      <c r="J42" s="163" t="n"/>
      <c r="K42" s="168" t="n"/>
      <c r="L42" s="172" t="n"/>
      <c r="M42" s="163" t="n"/>
      <c r="N42" s="163" t="n"/>
      <c r="O42" s="163" t="n"/>
      <c r="P42" s="163" t="n">
        <v>22831.03</v>
      </c>
      <c r="Q42" s="163" t="n"/>
      <c r="R42" s="158" t="n"/>
      <c r="S42" s="163" t="n"/>
      <c r="T42" s="163" t="n"/>
      <c r="U42" s="163" t="n"/>
      <c r="V42" s="163" t="n"/>
      <c r="W42" s="163" t="n"/>
      <c r="X42" s="163" t="n"/>
      <c r="Y42" s="163" t="n"/>
      <c r="Z42" s="163" t="n"/>
      <c r="AA42" s="173" t="n"/>
      <c r="AB42" s="164" t="n"/>
      <c r="AC42" s="164" t="n"/>
      <c r="AD42" s="164" t="n"/>
      <c r="AE42" s="164" t="n"/>
      <c r="AF42" s="164" t="n"/>
      <c r="AG42" s="164" t="n"/>
      <c r="AH42" s="164" t="n"/>
      <c r="AI42" s="164" t="n"/>
      <c r="AJ42" s="164" t="n"/>
      <c r="AK42" s="164" t="n"/>
      <c r="AL42" s="96" t="n"/>
    </row>
    <row r="43" ht="20" customFormat="1" customHeight="1" s="1">
      <c r="A43" s="27" t="n"/>
      <c r="B43" s="27" t="inlineStr">
        <is>
          <t>无客商-支付汤村复1地块大型机械设备评</t>
        </is>
      </c>
      <c r="C43" s="27" t="n">
        <v/>
      </c>
      <c r="D43" s="32" t="n"/>
      <c r="E43" s="33" t="n"/>
      <c r="F43" s="33" t="n"/>
      <c r="G43" s="33" t="n"/>
      <c r="H43" s="163" t="n"/>
      <c r="I43" s="163" t="n"/>
      <c r="J43" s="163" t="n"/>
      <c r="K43" s="168" t="n"/>
      <c r="L43" s="172" t="n"/>
      <c r="M43" s="163" t="n"/>
      <c r="N43" s="163" t="n"/>
      <c r="O43" s="163" t="n"/>
      <c r="P43" s="163" t="n">
        <v>7169.81</v>
      </c>
      <c r="Q43" s="163" t="n"/>
      <c r="R43" s="158" t="n"/>
      <c r="S43" s="163" t="n"/>
      <c r="T43" s="163" t="n"/>
      <c r="U43" s="163" t="n"/>
      <c r="V43" s="163" t="n"/>
      <c r="W43" s="163" t="n"/>
      <c r="X43" s="163" t="n"/>
      <c r="Y43" s="163" t="n"/>
      <c r="Z43" s="163" t="n"/>
      <c r="AA43" s="173" t="n"/>
      <c r="AB43" s="164" t="n"/>
      <c r="AC43" s="164" t="n"/>
      <c r="AD43" s="164" t="n"/>
      <c r="AE43" s="164" t="n"/>
      <c r="AF43" s="164" t="n"/>
      <c r="AG43" s="164" t="n"/>
      <c r="AH43" s="164" t="n"/>
      <c r="AI43" s="164" t="n"/>
      <c r="AJ43" s="164" t="n"/>
      <c r="AK43" s="164" t="n"/>
      <c r="AL43" s="96" t="n"/>
    </row>
    <row r="44" ht="20" customFormat="1" customHeight="1" s="1">
      <c r="A44" s="27" t="n"/>
      <c r="B44" s="27" t="inlineStr">
        <is>
          <t>无客商-支付凤凰路西二地块项目调拨钢筋</t>
        </is>
      </c>
      <c r="C44" s="27" t="n">
        <v/>
      </c>
      <c r="D44" s="32" t="n"/>
      <c r="E44" s="33" t="n"/>
      <c r="F44" s="33" t="n"/>
      <c r="G44" s="33" t="n"/>
      <c r="H44" s="163" t="n"/>
      <c r="I44" s="163" t="n"/>
      <c r="J44" s="163" t="n"/>
      <c r="K44" s="168" t="n"/>
      <c r="L44" s="172" t="n"/>
      <c r="M44" s="163" t="n"/>
      <c r="N44" s="163" t="n"/>
      <c r="O44" s="163" t="n"/>
      <c r="P44" s="163" t="n">
        <v>381512.1</v>
      </c>
      <c r="Q44" s="163" t="n"/>
      <c r="R44" s="158" t="n"/>
      <c r="S44" s="163" t="n"/>
      <c r="T44" s="163" t="n"/>
      <c r="U44" s="163" t="n"/>
      <c r="V44" s="163" t="n"/>
      <c r="W44" s="163" t="n"/>
      <c r="X44" s="163" t="n"/>
      <c r="Y44" s="163" t="n"/>
      <c r="Z44" s="163" t="n"/>
      <c r="AA44" s="173" t="n"/>
      <c r="AB44" s="164" t="n"/>
      <c r="AC44" s="164" t="n"/>
      <c r="AD44" s="164" t="n"/>
      <c r="AE44" s="164" t="n"/>
      <c r="AF44" s="164" t="n"/>
      <c r="AG44" s="164" t="n"/>
      <c r="AH44" s="164" t="n"/>
      <c r="AI44" s="164" t="n"/>
      <c r="AJ44" s="164" t="n"/>
      <c r="AK44" s="164" t="n"/>
      <c r="AL44" s="96" t="n"/>
    </row>
    <row r="45" ht="20" customFormat="1" customHeight="1" s="1">
      <c r="A45" s="27" t="n"/>
      <c r="B45" s="27" t="inlineStr">
        <is>
          <t>无客商-支付中国大地财产保险股份有限公</t>
        </is>
      </c>
      <c r="C45" s="27" t="n">
        <v/>
      </c>
      <c r="D45" s="32" t="n"/>
      <c r="E45" s="33" t="n"/>
      <c r="F45" s="33" t="n"/>
      <c r="G45" s="33" t="n"/>
      <c r="H45" s="163" t="n"/>
      <c r="I45" s="163" t="n"/>
      <c r="J45" s="163" t="n"/>
      <c r="K45" s="168" t="n"/>
      <c r="L45" s="172" t="n"/>
      <c r="M45" s="163" t="n"/>
      <c r="N45" s="163" t="n"/>
      <c r="O45" s="163" t="n"/>
      <c r="P45" s="163" t="n">
        <v>432696.64</v>
      </c>
      <c r="Q45" s="163" t="n"/>
      <c r="R45" s="158" t="n"/>
      <c r="S45" s="163" t="n"/>
      <c r="T45" s="163" t="n"/>
      <c r="U45" s="163" t="n"/>
      <c r="V45" s="163" t="n"/>
      <c r="W45" s="163" t="n"/>
      <c r="X45" s="163" t="n"/>
      <c r="Y45" s="163" t="n"/>
      <c r="Z45" s="163" t="n"/>
      <c r="AA45" s="173" t="n"/>
      <c r="AB45" s="164" t="n"/>
      <c r="AC45" s="164" t="n"/>
      <c r="AD45" s="164" t="n"/>
      <c r="AE45" s="164" t="n"/>
      <c r="AF45" s="164" t="n"/>
      <c r="AG45" s="164" t="n"/>
      <c r="AH45" s="164" t="n"/>
      <c r="AI45" s="164" t="n"/>
      <c r="AJ45" s="164" t="n"/>
      <c r="AK45" s="164" t="n"/>
      <c r="AL45" s="96" t="n"/>
    </row>
    <row r="46" ht="20" customFormat="1" customHeight="1" s="1">
      <c r="A46" s="27" t="n"/>
      <c r="B46" s="27" t="inlineStr">
        <is>
          <t>无客商-付广州市黄埔区汤村项目复建区1</t>
        </is>
      </c>
      <c r="C46" s="27" t="n">
        <v/>
      </c>
      <c r="D46" s="32" t="n"/>
      <c r="E46" s="33" t="n"/>
      <c r="F46" s="33" t="n"/>
      <c r="G46" s="33" t="n"/>
      <c r="H46" s="163" t="n"/>
      <c r="I46" s="163" t="n"/>
      <c r="J46" s="163" t="n"/>
      <c r="K46" s="168" t="n"/>
      <c r="L46" s="172" t="n"/>
      <c r="M46" s="163" t="n"/>
      <c r="N46" s="163" t="n"/>
      <c r="O46" s="163" t="n"/>
      <c r="P46" s="163" t="n">
        <v>31612.26</v>
      </c>
      <c r="Q46" s="163" t="n"/>
      <c r="R46" s="158" t="n"/>
      <c r="S46" s="163" t="n"/>
      <c r="T46" s="163" t="n"/>
      <c r="U46" s="163" t="n"/>
      <c r="V46" s="163" t="n"/>
      <c r="W46" s="163" t="n"/>
      <c r="X46" s="163" t="n"/>
      <c r="Y46" s="163" t="n"/>
      <c r="Z46" s="163" t="n"/>
      <c r="AA46" s="173" t="n"/>
      <c r="AB46" s="164" t="n"/>
      <c r="AC46" s="164" t="n"/>
      <c r="AD46" s="164" t="n"/>
      <c r="AE46" s="164" t="n"/>
      <c r="AF46" s="164" t="n"/>
      <c r="AG46" s="164" t="n"/>
      <c r="AH46" s="164" t="n"/>
      <c r="AI46" s="164" t="n"/>
      <c r="AJ46" s="164" t="n"/>
      <c r="AK46" s="164" t="n"/>
      <c r="AL46" s="96" t="n"/>
    </row>
    <row r="47" ht="20" customFormat="1" customHeight="1" s="1">
      <c r="A47" s="27" t="n"/>
      <c r="B47" s="27" t="inlineStr">
        <is>
          <t>无客商-付广州市黄埔区汤村村旧村改造项</t>
        </is>
      </c>
      <c r="C47" s="27" t="n">
        <v/>
      </c>
      <c r="D47" s="32" t="n"/>
      <c r="E47" s="33" t="n"/>
      <c r="F47" s="33" t="n"/>
      <c r="G47" s="33" t="n"/>
      <c r="H47" s="163" t="n"/>
      <c r="I47" s="163" t="n"/>
      <c r="J47" s="163" t="n"/>
      <c r="K47" s="168" t="n"/>
      <c r="L47" s="172" t="n"/>
      <c r="M47" s="163" t="n"/>
      <c r="N47" s="163" t="n"/>
      <c r="O47" s="163" t="n"/>
      <c r="P47" s="163" t="n">
        <v>20035</v>
      </c>
      <c r="Q47" s="163" t="n"/>
      <c r="R47" s="158" t="n"/>
      <c r="S47" s="163" t="n"/>
      <c r="T47" s="163" t="n"/>
      <c r="U47" s="163" t="n"/>
      <c r="V47" s="163" t="n"/>
      <c r="W47" s="163" t="n"/>
      <c r="X47" s="163" t="n"/>
      <c r="Y47" s="163" t="n"/>
      <c r="Z47" s="163" t="n"/>
      <c r="AA47" s="173" t="n"/>
      <c r="AB47" s="164" t="n"/>
      <c r="AC47" s="164" t="n"/>
      <c r="AD47" s="164" t="n"/>
      <c r="AE47" s="164" t="n"/>
      <c r="AF47" s="164" t="n"/>
      <c r="AG47" s="164" t="n"/>
      <c r="AH47" s="164" t="n"/>
      <c r="AI47" s="164" t="n"/>
      <c r="AJ47" s="164" t="n"/>
      <c r="AK47" s="164" t="n"/>
      <c r="AL47" s="96" t="n"/>
    </row>
    <row r="48" ht="20" customFormat="1" customHeight="1" s="1">
      <c r="A48" s="27" t="n"/>
      <c r="B48" s="27" t="inlineStr">
        <is>
          <t>无客商-2025年四季度大型机械评估费</t>
        </is>
      </c>
      <c r="C48" s="27" t="n">
        <v/>
      </c>
      <c r="D48" s="32" t="n"/>
      <c r="E48" s="33" t="n"/>
      <c r="F48" s="33" t="n"/>
      <c r="G48" s="33" t="n"/>
      <c r="H48" s="163" t="n"/>
      <c r="I48" s="163" t="n"/>
      <c r="J48" s="163" t="n"/>
      <c r="K48" s="168" t="n"/>
      <c r="L48" s="172" t="n"/>
      <c r="M48" s="163" t="n"/>
      <c r="N48" s="163" t="n"/>
      <c r="O48" s="163" t="n"/>
      <c r="P48" s="163" t="n">
        <v>2830.19</v>
      </c>
      <c r="Q48" s="163" t="n"/>
      <c r="R48" s="158" t="n"/>
      <c r="S48" s="163" t="n"/>
      <c r="T48" s="163" t="n"/>
      <c r="U48" s="163" t="n"/>
      <c r="V48" s="163" t="n"/>
      <c r="W48" s="163" t="n"/>
      <c r="X48" s="163" t="n"/>
      <c r="Y48" s="163" t="n"/>
      <c r="Z48" s="163" t="n"/>
      <c r="AA48" s="173" t="n"/>
      <c r="AB48" s="164" t="n"/>
      <c r="AC48" s="164" t="n"/>
      <c r="AD48" s="164" t="n"/>
      <c r="AE48" s="164" t="n"/>
      <c r="AF48" s="164" t="n"/>
      <c r="AG48" s="164" t="n"/>
      <c r="AH48" s="164" t="n"/>
      <c r="AI48" s="164" t="n"/>
      <c r="AJ48" s="164" t="n"/>
      <c r="AK48" s="164" t="n"/>
      <c r="AL48" s="96" t="n"/>
    </row>
    <row r="49" ht="20" customFormat="1" customHeight="1" s="1">
      <c r="A49" s="27" t="n"/>
      <c r="B49" s="27" t="inlineStr">
        <is>
          <t>无客商-2025年二季度大型机械评估费</t>
        </is>
      </c>
      <c r="C49" s="27" t="n">
        <v/>
      </c>
      <c r="D49" s="32" t="n"/>
      <c r="E49" s="33" t="n"/>
      <c r="F49" s="33" t="n"/>
      <c r="G49" s="33" t="n"/>
      <c r="H49" s="163" t="n"/>
      <c r="I49" s="163" t="n"/>
      <c r="J49" s="163" t="n"/>
      <c r="K49" s="168" t="n"/>
      <c r="L49" s="172" t="n"/>
      <c r="M49" s="163" t="n"/>
      <c r="N49" s="163" t="n"/>
      <c r="O49" s="163" t="n"/>
      <c r="P49" s="163" t="n">
        <v>6509.43</v>
      </c>
      <c r="Q49" s="163" t="n"/>
      <c r="R49" s="158" t="n"/>
      <c r="S49" s="163" t="n"/>
      <c r="T49" s="163" t="n"/>
      <c r="U49" s="163" t="n"/>
      <c r="V49" s="163" t="n"/>
      <c r="W49" s="163" t="n"/>
      <c r="X49" s="163" t="n"/>
      <c r="Y49" s="163" t="n"/>
      <c r="Z49" s="163" t="n"/>
      <c r="AA49" s="173" t="n"/>
      <c r="AB49" s="164" t="n"/>
      <c r="AC49" s="164" t="n"/>
      <c r="AD49" s="164" t="n"/>
      <c r="AE49" s="164" t="n"/>
      <c r="AF49" s="164" t="n"/>
      <c r="AG49" s="164" t="n"/>
      <c r="AH49" s="164" t="n"/>
      <c r="AI49" s="164" t="n"/>
      <c r="AJ49" s="164" t="n"/>
      <c r="AK49" s="164" t="n"/>
      <c r="AL49" s="96" t="n"/>
    </row>
    <row r="50" ht="20" customFormat="1" customHeight="1" s="1">
      <c r="A50" s="27" t="n"/>
      <c r="B50" s="27" t="inlineStr">
        <is>
          <t>无客商-计提广州市黄埔区汤村项目复建区</t>
        </is>
      </c>
      <c r="C50" s="27" t="n">
        <v/>
      </c>
      <c r="D50" s="32" t="n"/>
      <c r="E50" s="33" t="n"/>
      <c r="F50" s="33" t="n"/>
      <c r="G50" s="33" t="n"/>
      <c r="H50" s="163" t="n"/>
      <c r="I50" s="163" t="n"/>
      <c r="J50" s="163" t="n"/>
      <c r="K50" s="168" t="n"/>
      <c r="L50" s="172" t="n"/>
      <c r="M50" s="163" t="n"/>
      <c r="N50" s="163" t="n"/>
      <c r="O50" s="163" t="n"/>
      <c r="P50" s="163" t="n">
        <v>8518630.220000001</v>
      </c>
      <c r="Q50" s="163" t="n"/>
      <c r="R50" s="158" t="n"/>
      <c r="S50" s="163" t="n"/>
      <c r="T50" s="163" t="n"/>
      <c r="U50" s="163" t="n"/>
      <c r="V50" s="163" t="n"/>
      <c r="W50" s="163" t="n"/>
      <c r="X50" s="163" t="n"/>
      <c r="Y50" s="163" t="n"/>
      <c r="Z50" s="163" t="n"/>
      <c r="AA50" s="173" t="n"/>
      <c r="AB50" s="164" t="n"/>
      <c r="AC50" s="164" t="n"/>
      <c r="AD50" s="164" t="n"/>
      <c r="AE50" s="164" t="n"/>
      <c r="AF50" s="164" t="n"/>
      <c r="AG50" s="164" t="n"/>
      <c r="AH50" s="164" t="n"/>
      <c r="AI50" s="164" t="n"/>
      <c r="AJ50" s="164" t="n"/>
      <c r="AK50" s="164" t="n"/>
      <c r="AL50" s="96" t="n"/>
    </row>
    <row r="51" ht="20" customFormat="1" customHeight="1" s="1">
      <c r="A51" s="27" t="n"/>
      <c r="B51" s="27" t="n"/>
      <c r="C51" s="27" t="n"/>
      <c r="D51" s="32" t="inlineStr">
        <is>
          <t>**财务未列部分需增列***</t>
        </is>
      </c>
      <c r="E51" s="33" t="n"/>
      <c r="F51" s="33" t="n"/>
      <c r="G51" s="33" t="n"/>
      <c r="H51" s="163" t="n"/>
      <c r="I51" s="163" t="n"/>
      <c r="J51" s="163" t="n"/>
      <c r="K51" s="168" t="n"/>
      <c r="L51" s="172" t="n"/>
      <c r="M51" s="163" t="n"/>
      <c r="N51" s="163" t="n"/>
      <c r="O51" s="163" t="n"/>
      <c r="P51" s="163" t="n"/>
      <c r="Q51" s="163" t="n"/>
      <c r="R51" s="158" t="n"/>
      <c r="S51" s="163" t="n"/>
      <c r="T51" s="163" t="n"/>
      <c r="U51" s="163" t="n"/>
      <c r="V51" s="163" t="n"/>
      <c r="W51" s="163" t="n"/>
      <c r="X51" s="163" t="n"/>
      <c r="Y51" s="163" t="n"/>
      <c r="Z51" s="163">
        <f>SUM(AA16:AJ16)</f>
        <v/>
      </c>
      <c r="AA51" s="173" t="n"/>
      <c r="AB51" s="164" t="n"/>
      <c r="AC51" s="164" t="n"/>
      <c r="AD51" s="164" t="n"/>
      <c r="AE51" s="164" t="n"/>
      <c r="AF51" s="164" t="n"/>
      <c r="AG51" s="164" t="n"/>
      <c r="AH51" s="164" t="n"/>
      <c r="AI51" s="164" t="n"/>
      <c r="AJ51" s="164" t="n"/>
      <c r="AK51" s="164">
        <f>AB16/1.17*0.17+AC16/1.16*0.16+AD16/1.11*0.11+AE16/1.1*0.1+AF16/1.09*0.09+AI16/1.03*0.03</f>
        <v/>
      </c>
      <c r="AL51" s="96" t="n"/>
    </row>
    <row r="52" ht="20" customFormat="1" customHeight="1" s="1">
      <c r="A52" s="34" t="n"/>
      <c r="B52" s="34" t="n"/>
      <c r="C52" s="34" t="n"/>
      <c r="D52" s="35" t="inlineStr">
        <is>
          <t>人工费小计：</t>
        </is>
      </c>
      <c r="E52" s="34" t="n"/>
      <c r="F52" s="34" t="n"/>
      <c r="G52" s="34" t="n"/>
      <c r="H52" s="174">
        <f>SUM(H11:H16)</f>
        <v/>
      </c>
      <c r="I52" s="174">
        <f>SUM(I11:I16)</f>
        <v/>
      </c>
      <c r="J52" s="174" t="n"/>
      <c r="K52" s="174" t="n"/>
      <c r="L52" s="174" t="n"/>
      <c r="M52" s="174" t="n"/>
      <c r="N52" s="174" t="n"/>
      <c r="O52" s="174" t="n"/>
      <c r="P52" s="174" t="n"/>
      <c r="Q52" s="174" t="n"/>
      <c r="R52" s="174" t="n"/>
      <c r="S52" s="174">
        <f>SUM(S11:S16)</f>
        <v/>
      </c>
      <c r="T52" s="174" t="n"/>
      <c r="U52" s="174" t="n"/>
      <c r="V52" s="174" t="n"/>
      <c r="W52" s="174" t="n"/>
      <c r="X52" s="174" t="n"/>
      <c r="Y52" s="174" t="n"/>
      <c r="Z52" s="174">
        <f>SUM(Z11:Z16)</f>
        <v/>
      </c>
      <c r="AA52" s="174">
        <f>SUM(AA16:AA16)</f>
        <v/>
      </c>
      <c r="AB52" s="174">
        <f>SUM(AB16:AB16)</f>
        <v/>
      </c>
      <c r="AC52" s="174">
        <f>SUM(AC16:AC16)</f>
        <v/>
      </c>
      <c r="AD52" s="174">
        <f>SUM(AD16:AD16)</f>
        <v/>
      </c>
      <c r="AE52" s="174">
        <f>SUM(AE16:AE16)</f>
        <v/>
      </c>
      <c r="AF52" s="174">
        <f>SUM(AF16:AF16)</f>
        <v/>
      </c>
      <c r="AG52" s="174" t="n"/>
      <c r="AH52" s="174" t="n"/>
      <c r="AI52" s="174">
        <f>SUM(AI16:AI16)</f>
        <v/>
      </c>
      <c r="AJ52" s="174">
        <f>SUM(AJ16:AJ16)</f>
        <v/>
      </c>
      <c r="AK52" s="174">
        <f>SUM(AK16:AK16)</f>
        <v/>
      </c>
      <c r="AL52" s="95" t="n"/>
    </row>
    <row r="53" ht="20" customFormat="1" customHeight="1" s="1">
      <c r="A53" s="27" t="n"/>
      <c r="B53" s="27" t="n"/>
      <c r="C53" s="27" t="n"/>
      <c r="D53" s="37" t="inlineStr">
        <is>
          <t>（二）分包工程</t>
        </is>
      </c>
      <c r="E53" s="27" t="n"/>
      <c r="F53" s="27" t="n"/>
      <c r="G53" s="27" t="n"/>
      <c r="H53" s="163" t="n"/>
      <c r="I53" s="163" t="n"/>
      <c r="J53" s="163" t="n"/>
      <c r="K53" s="168" t="n"/>
      <c r="L53" s="172" t="n"/>
      <c r="M53" s="163" t="n"/>
      <c r="N53" s="163" t="n"/>
      <c r="O53" s="163" t="n"/>
      <c r="P53" s="163" t="n"/>
      <c r="Q53" s="163" t="n"/>
      <c r="R53" s="163" t="n"/>
      <c r="S53" s="170" t="n"/>
      <c r="T53" s="170" t="n"/>
      <c r="U53" s="170" t="n"/>
      <c r="V53" s="170" t="n"/>
      <c r="W53" s="170" t="n"/>
      <c r="X53" s="170" t="n"/>
      <c r="Y53" s="170" t="n"/>
      <c r="Z53" s="170" t="n"/>
      <c r="AA53" s="170" t="n"/>
      <c r="AB53" s="170" t="n"/>
      <c r="AC53" s="170" t="n"/>
      <c r="AD53" s="170" t="n"/>
      <c r="AE53" s="170" t="n"/>
      <c r="AF53" s="170" t="n"/>
      <c r="AG53" s="170" t="n"/>
      <c r="AH53" s="170" t="n"/>
      <c r="AI53" s="170" t="n"/>
      <c r="AJ53" s="170" t="n"/>
      <c r="AK53" s="164">
        <f>AB18/1.17*0.17+AC18/1.16*0.16+AD18/1.11*0.11+AE18/1.1*0.1+AF18/1.09*0.09+AI18/1.03*0.03</f>
        <v/>
      </c>
      <c r="AL53" s="95" t="n"/>
    </row>
    <row r="54" ht="20" customFormat="1" customHeight="1" s="1">
      <c r="A54" s="27" t="n">
        <v>1</v>
      </c>
      <c r="B54" s="27" t="n"/>
      <c r="C54" s="27" t="n"/>
      <c r="D54" s="171" t="n"/>
      <c r="E54" s="38" t="n"/>
      <c r="F54" s="38" t="n"/>
      <c r="G54" s="38" t="n"/>
      <c r="H54" s="163" t="n"/>
      <c r="I54" s="73" t="n"/>
      <c r="J54" s="163" t="n"/>
      <c r="K54" s="168" t="n"/>
      <c r="L54" s="172" t="n"/>
      <c r="M54" s="163" t="n"/>
      <c r="N54" s="163" t="n"/>
      <c r="O54" s="163" t="n"/>
      <c r="P54" s="163" t="n"/>
      <c r="Q54" s="163" t="n"/>
      <c r="R54" s="163" t="n"/>
      <c r="S54" s="170" t="n"/>
      <c r="T54" s="170" t="n"/>
      <c r="U54" s="170" t="n"/>
      <c r="V54" s="170" t="n"/>
      <c r="W54" s="170" t="n"/>
      <c r="X54" s="170" t="n"/>
      <c r="Y54" s="170" t="n"/>
      <c r="Z54" s="163">
        <f>SUM(AA19:AJ19)</f>
        <v/>
      </c>
      <c r="AA54" s="170" t="n"/>
      <c r="AB54" s="170" t="n"/>
      <c r="AC54" s="170" t="n"/>
      <c r="AD54" s="170" t="n"/>
      <c r="AE54" s="170" t="n"/>
      <c r="AF54" s="170" t="n"/>
      <c r="AG54" s="170" t="n"/>
      <c r="AH54" s="170" t="n"/>
      <c r="AI54" s="170" t="n"/>
      <c r="AJ54" s="170" t="n"/>
      <c r="AK54" s="164">
        <f>AB19/1.17*0.17+AC19/1.16*0.16+AD19/1.11*0.11+AE19/1.1*0.1+AF19/1.09*0.09+AI19/1.03*0.03</f>
        <v/>
      </c>
      <c r="AL54" s="95" t="n"/>
    </row>
    <row r="55" ht="20" customFormat="1" customHeight="1" s="1">
      <c r="A55" s="27" t="n">
        <v>2</v>
      </c>
      <c r="B55" s="27" t="n"/>
      <c r="C55" s="27" t="n"/>
      <c r="D55" s="171" t="n"/>
      <c r="E55" s="173" t="n"/>
      <c r="F55" s="173" t="n"/>
      <c r="G55" s="173" t="n"/>
      <c r="H55" s="163" t="n"/>
      <c r="I55" s="163" t="n"/>
      <c r="J55" s="163" t="n"/>
      <c r="K55" s="168" t="n"/>
      <c r="L55" s="172" t="n"/>
      <c r="M55" s="163" t="n"/>
      <c r="N55" s="163" t="n"/>
      <c r="O55" s="163" t="n"/>
      <c r="P55" s="163" t="n"/>
      <c r="Q55" s="163" t="n"/>
      <c r="R55" s="163" t="n"/>
      <c r="S55" s="170" t="n"/>
      <c r="T55" s="170" t="n"/>
      <c r="U55" s="170" t="n"/>
      <c r="V55" s="170" t="n"/>
      <c r="W55" s="170" t="n"/>
      <c r="X55" s="170" t="n"/>
      <c r="Y55" s="170" t="n"/>
      <c r="Z55" s="163">
        <f>SUM(AA20:AJ20)</f>
        <v/>
      </c>
      <c r="AA55" s="170" t="n"/>
      <c r="AB55" s="170" t="n"/>
      <c r="AC55" s="170" t="n"/>
      <c r="AD55" s="170" t="n"/>
      <c r="AE55" s="170" t="n"/>
      <c r="AF55" s="170" t="n"/>
      <c r="AG55" s="170" t="n"/>
      <c r="AH55" s="170" t="n"/>
      <c r="AI55" s="170" t="n"/>
      <c r="AJ55" s="170" t="n"/>
      <c r="AK55" s="164">
        <f>AB20/1.17*0.17+AC20/1.16*0.16+AD20/1.11*0.11+AE20/1.1*0.1+AF20/1.09*0.09+AI20/1.03*0.03</f>
        <v/>
      </c>
      <c r="AL55" s="95" t="n"/>
    </row>
    <row r="56" ht="20" customFormat="1" customHeight="1" s="1">
      <c r="A56" s="27" t="n">
        <v>3</v>
      </c>
      <c r="B56" s="27" t="n"/>
      <c r="C56" s="27" t="n"/>
      <c r="D56" s="171" t="n"/>
      <c r="E56" s="38" t="n"/>
      <c r="F56" s="38" t="n"/>
      <c r="G56" s="38" t="n"/>
      <c r="H56" s="163" t="n"/>
      <c r="I56" s="163" t="n"/>
      <c r="J56" s="163" t="n"/>
      <c r="K56" s="168" t="n"/>
      <c r="L56" s="172" t="n"/>
      <c r="M56" s="163" t="n"/>
      <c r="N56" s="163" t="n"/>
      <c r="O56" s="163" t="n"/>
      <c r="P56" s="163" t="n"/>
      <c r="Q56" s="163" t="n"/>
      <c r="R56" s="163" t="n"/>
      <c r="S56" s="170" t="n"/>
      <c r="T56" s="170" t="n"/>
      <c r="U56" s="170" t="n"/>
      <c r="V56" s="170" t="n"/>
      <c r="W56" s="170" t="n"/>
      <c r="X56" s="170" t="n"/>
      <c r="Y56" s="170" t="n"/>
      <c r="Z56" s="163">
        <f>SUM(AA21:AJ21)</f>
        <v/>
      </c>
      <c r="AA56" s="170" t="n"/>
      <c r="AB56" s="170" t="n"/>
      <c r="AC56" s="170" t="n"/>
      <c r="AD56" s="170" t="n"/>
      <c r="AE56" s="170" t="n"/>
      <c r="AF56" s="170" t="n"/>
      <c r="AG56" s="170" t="n"/>
      <c r="AH56" s="170" t="n"/>
      <c r="AI56" s="170" t="n"/>
      <c r="AJ56" s="170" t="n"/>
      <c r="AK56" s="164">
        <f>AB21/1.17*0.17+AC21/1.16*0.16+AD21/1.11*0.11+AE21/1.1*0.1+AF21/1.09*0.09+AI21/1.03*0.03</f>
        <v/>
      </c>
      <c r="AL56" s="95" t="n"/>
    </row>
    <row r="57" ht="20" customFormat="1" customHeight="1" s="1">
      <c r="A57" s="27" t="n"/>
      <c r="B57" s="27" t="n"/>
      <c r="C57" s="27" t="n"/>
      <c r="D57" s="32" t="inlineStr">
        <is>
          <t>**财务未列部分需增列***</t>
        </is>
      </c>
      <c r="E57" s="175" t="n"/>
      <c r="F57" s="175" t="n"/>
      <c r="G57" s="175" t="n"/>
      <c r="H57" s="163" t="n"/>
      <c r="I57" s="163" t="n"/>
      <c r="J57" s="163" t="n"/>
      <c r="K57" s="168" t="n"/>
      <c r="L57" s="172" t="n"/>
      <c r="M57" s="163" t="n"/>
      <c r="N57" s="163" t="n"/>
      <c r="O57" s="163" t="n"/>
      <c r="P57" s="176" t="n"/>
      <c r="Q57" s="163" t="n"/>
      <c r="R57" s="163" t="n"/>
      <c r="S57" s="163" t="n"/>
      <c r="T57" s="163" t="n"/>
      <c r="U57" s="163" t="n"/>
      <c r="V57" s="163" t="n"/>
      <c r="W57" s="163" t="n"/>
      <c r="X57" s="163" t="n"/>
      <c r="Y57" s="163" t="n"/>
      <c r="Z57" s="170" t="n"/>
      <c r="AA57" s="170" t="n"/>
      <c r="AB57" s="164" t="n"/>
      <c r="AC57" s="164" t="n"/>
      <c r="AD57" s="164" t="n"/>
      <c r="AE57" s="164" t="n"/>
      <c r="AF57" s="164" t="n"/>
      <c r="AG57" s="164" t="n"/>
      <c r="AH57" s="164" t="n"/>
      <c r="AI57" s="164" t="n"/>
      <c r="AJ57" s="164" t="n"/>
      <c r="AK57" s="164">
        <f>AB22/1.17*0.17+AC22/1.16*0.16+AD22/1.11*0.11+AE22/1.1*0.1+AF22/1.09*0.09+AI22/1.03*0.03</f>
        <v/>
      </c>
      <c r="AL57" s="96" t="n"/>
    </row>
    <row r="58" ht="20" customFormat="1" customHeight="1" s="1">
      <c r="A58" s="34" t="n"/>
      <c r="B58" s="34" t="n"/>
      <c r="C58" s="34" t="n"/>
      <c r="D58" s="41" t="inlineStr">
        <is>
          <t>分包工程小计：</t>
        </is>
      </c>
      <c r="E58" s="34" t="n"/>
      <c r="F58" s="34" t="n"/>
      <c r="G58" s="34" t="n"/>
      <c r="H58" s="174">
        <f>SUM(H19:H22)</f>
        <v/>
      </c>
      <c r="I58" s="174">
        <f>SUM(I19:I22)</f>
        <v/>
      </c>
      <c r="J58" s="174" t="n"/>
      <c r="K58" s="174" t="n"/>
      <c r="L58" s="177" t="n"/>
      <c r="M58" s="174" t="n"/>
      <c r="N58" s="174" t="n"/>
      <c r="O58" s="174" t="n"/>
      <c r="P58" s="174" t="n"/>
      <c r="Q58" s="174" t="n"/>
      <c r="R58" s="174" t="n"/>
      <c r="S58" s="174">
        <f>SUM(S19:S21)</f>
        <v/>
      </c>
      <c r="T58" s="174" t="n"/>
      <c r="U58" s="174" t="n"/>
      <c r="V58" s="174" t="n"/>
      <c r="W58" s="174" t="n"/>
      <c r="X58" s="174" t="n"/>
      <c r="Y58" s="174" t="n"/>
      <c r="Z58" s="174">
        <f>SUM(Z19:Z21)</f>
        <v/>
      </c>
      <c r="AA58" s="174">
        <f>SUM(AA19:AA21)</f>
        <v/>
      </c>
      <c r="AB58" s="174">
        <f>SUM(AB19:AB21)</f>
        <v/>
      </c>
      <c r="AC58" s="174">
        <f>SUM(AC19:AC21)</f>
        <v/>
      </c>
      <c r="AD58" s="174">
        <f>SUM(AD19:AD21)</f>
        <v/>
      </c>
      <c r="AE58" s="174">
        <f>SUM(AE19:AE21)</f>
        <v/>
      </c>
      <c r="AF58" s="174">
        <f>SUM(AF19:AF21)</f>
        <v/>
      </c>
      <c r="AG58" s="174" t="n"/>
      <c r="AH58" s="174" t="n"/>
      <c r="AI58" s="174">
        <f>SUM(AI19:AI21)</f>
        <v/>
      </c>
      <c r="AJ58" s="174">
        <f>SUM(AJ19:AJ21)</f>
        <v/>
      </c>
      <c r="AK58" s="174">
        <f>SUM(AK19:AK21)</f>
        <v/>
      </c>
      <c r="AL58" s="95" t="n"/>
    </row>
    <row r="59" ht="20" customFormat="1" customHeight="1" s="1">
      <c r="A59" s="27" t="n"/>
      <c r="B59" s="27" t="n"/>
      <c r="C59" s="27" t="n"/>
      <c r="D59" s="37" t="inlineStr">
        <is>
          <t>(三)材料费</t>
        </is>
      </c>
      <c r="E59" s="27" t="n"/>
      <c r="F59" s="27" t="n"/>
      <c r="G59" s="27" t="n"/>
      <c r="H59" s="163" t="n"/>
      <c r="I59" s="163" t="n"/>
      <c r="J59" s="163" t="n"/>
      <c r="K59" s="168" t="n"/>
      <c r="L59" s="172" t="n"/>
      <c r="M59" s="163" t="n"/>
      <c r="N59" s="163" t="n"/>
      <c r="O59" s="163" t="n"/>
      <c r="P59" s="163" t="n"/>
      <c r="Q59" s="163" t="n"/>
      <c r="R59" s="163" t="n"/>
      <c r="S59" s="170" t="n"/>
      <c r="T59" s="170" t="n"/>
      <c r="U59" s="170" t="n"/>
      <c r="V59" s="170" t="n"/>
      <c r="W59" s="170" t="n"/>
      <c r="X59" s="170" t="n"/>
      <c r="Y59" s="170" t="n"/>
      <c r="Z59" s="170" t="n"/>
      <c r="AA59" s="170" t="n"/>
      <c r="AB59" s="178" t="n"/>
      <c r="AC59" s="178" t="n"/>
      <c r="AD59" s="178" t="n"/>
      <c r="AE59" s="178" t="n"/>
      <c r="AF59" s="178" t="n"/>
      <c r="AG59" s="178" t="n"/>
      <c r="AH59" s="178" t="n"/>
      <c r="AI59" s="178" t="n"/>
      <c r="AJ59" s="178" t="n"/>
      <c r="AK59" s="164">
        <f>AB24/1.17*0.17+AC24/1.16*0.16+AD24/1.11*0.11+AE24/1.1*0.1+AF24/1.09*0.09+AI24/1.03*0.03</f>
        <v/>
      </c>
      <c r="AL59" s="97" t="n"/>
    </row>
    <row r="60" ht="20" customFormat="1" customHeight="1" s="1">
      <c r="A60" s="27" t="n"/>
      <c r="B60" s="27" t="n"/>
      <c r="C60" s="27" t="n"/>
      <c r="D60" s="163" t="inlineStr">
        <is>
          <t>（1）集中采购</t>
        </is>
      </c>
      <c r="E60" s="27" t="n"/>
      <c r="F60" s="27" t="n"/>
      <c r="G60" s="27" t="n"/>
      <c r="H60" s="163" t="n"/>
      <c r="I60" s="163" t="n"/>
      <c r="J60" s="163" t="n"/>
      <c r="K60" s="168" t="n"/>
      <c r="L60" s="172" t="n"/>
      <c r="M60" s="163" t="n"/>
      <c r="N60" s="163" t="n"/>
      <c r="O60" s="163" t="n"/>
      <c r="P60" s="163" t="n"/>
      <c r="Q60" s="163" t="n"/>
      <c r="R60" s="163" t="n"/>
      <c r="S60" s="170" t="n"/>
      <c r="T60" s="170" t="n"/>
      <c r="U60" s="170" t="n"/>
      <c r="V60" s="170" t="n"/>
      <c r="W60" s="170" t="n"/>
      <c r="X60" s="170" t="n"/>
      <c r="Y60" s="170" t="n"/>
      <c r="Z60" s="170" t="n"/>
      <c r="AA60" s="170" t="n"/>
      <c r="AB60" s="178" t="n"/>
      <c r="AC60" s="178" t="n"/>
      <c r="AD60" s="178" t="n"/>
      <c r="AE60" s="178" t="n"/>
      <c r="AF60" s="178" t="n"/>
      <c r="AG60" s="178" t="n"/>
      <c r="AH60" s="178" t="n"/>
      <c r="AI60" s="178" t="n"/>
      <c r="AJ60" s="178" t="n"/>
      <c r="AK60" s="164">
        <f>AB25/1.17*0.17+AC25/1.16*0.16+AD25/1.11*0.11+AE25/1.1*0.1+AF25/1.09*0.09+AI25/1.03*0.03</f>
        <v/>
      </c>
      <c r="AL60" s="97" t="n"/>
    </row>
    <row r="61" ht="20" customFormat="1" customHeight="1" s="2">
      <c r="A61" s="27" t="n">
        <v>1</v>
      </c>
      <c r="B61" s="27" t="n"/>
      <c r="C61" s="27" t="n"/>
      <c r="D61" s="171" t="n"/>
      <c r="E61" s="173" t="n"/>
      <c r="F61" s="173" t="n"/>
      <c r="G61" s="173" t="n"/>
      <c r="H61" s="163" t="n"/>
      <c r="I61" s="163" t="n"/>
      <c r="J61" s="163" t="n"/>
      <c r="K61" s="168" t="n"/>
      <c r="L61" s="172" t="n"/>
      <c r="M61" s="163" t="n"/>
      <c r="N61" s="163" t="n"/>
      <c r="O61" s="163" t="n"/>
      <c r="P61" s="163" t="n"/>
      <c r="Q61" s="163" t="n"/>
      <c r="R61" s="163" t="n"/>
      <c r="S61" s="170" t="n"/>
      <c r="T61" s="170" t="n"/>
      <c r="U61" s="170" t="n"/>
      <c r="V61" s="170" t="n"/>
      <c r="W61" s="170" t="n"/>
      <c r="X61" s="170" t="n"/>
      <c r="Y61" s="170" t="n"/>
      <c r="Z61" s="163">
        <f>SUM(AA26:AJ26)</f>
        <v/>
      </c>
      <c r="AA61" s="170" t="n"/>
      <c r="AB61" s="178" t="n"/>
      <c r="AC61" s="178" t="n"/>
      <c r="AD61" s="178" t="n"/>
      <c r="AE61" s="178" t="n"/>
      <c r="AF61" s="178" t="n"/>
      <c r="AG61" s="178" t="n"/>
      <c r="AH61" s="178" t="n"/>
      <c r="AI61" s="178" t="n"/>
      <c r="AJ61" s="178" t="n"/>
      <c r="AK61" s="164">
        <f>AB26/1.17*0.17+AC26/1.16*0.16+AD26/1.11*0.11+AE26/1.1*0.1+AF26/1.09*0.09+AI26/1.03*0.03</f>
        <v/>
      </c>
      <c r="AL61" s="97" t="n"/>
    </row>
    <row r="62" ht="20" customFormat="1" customHeight="1" s="2">
      <c r="A62" s="27" t="n">
        <v>2</v>
      </c>
      <c r="B62" s="27" t="n"/>
      <c r="C62" s="27" t="n"/>
      <c r="D62" s="171" t="n"/>
      <c r="E62" s="173" t="n"/>
      <c r="F62" s="173" t="n"/>
      <c r="G62" s="173" t="n"/>
      <c r="H62" s="163" t="n"/>
      <c r="I62" s="163" t="n"/>
      <c r="J62" s="163" t="n"/>
      <c r="K62" s="168" t="n"/>
      <c r="L62" s="172" t="n"/>
      <c r="M62" s="163" t="n"/>
      <c r="N62" s="163" t="n"/>
      <c r="O62" s="163" t="n"/>
      <c r="P62" s="163" t="n"/>
      <c r="Q62" s="163" t="n"/>
      <c r="R62" s="163" t="n"/>
      <c r="S62" s="170" t="n"/>
      <c r="T62" s="170" t="n"/>
      <c r="U62" s="170" t="n"/>
      <c r="V62" s="170" t="n"/>
      <c r="W62" s="170" t="n"/>
      <c r="X62" s="170" t="n"/>
      <c r="Y62" s="170" t="n"/>
      <c r="Z62" s="163">
        <f>SUM(AA27:AJ27)</f>
        <v/>
      </c>
      <c r="AA62" s="170" t="n"/>
      <c r="AB62" s="178" t="n"/>
      <c r="AC62" s="178" t="n"/>
      <c r="AD62" s="178" t="n"/>
      <c r="AE62" s="178" t="n"/>
      <c r="AF62" s="178" t="n"/>
      <c r="AG62" s="178" t="n"/>
      <c r="AH62" s="178" t="n"/>
      <c r="AI62" s="178" t="n"/>
      <c r="AJ62" s="178" t="n"/>
      <c r="AK62" s="164">
        <f>AB27/1.17*0.17+AC27/1.16*0.16+AD27/1.11*0.11+AE27/1.1*0.1+AF27/1.09*0.09+AI27/1.03*0.03</f>
        <v/>
      </c>
      <c r="AL62" s="97" t="n"/>
    </row>
    <row r="63" ht="20" customFormat="1" customHeight="1" s="2">
      <c r="A63" s="27" t="n">
        <v>3</v>
      </c>
      <c r="B63" s="27" t="n"/>
      <c r="C63" s="27" t="n"/>
      <c r="D63" s="171" t="n"/>
      <c r="E63" s="173" t="n"/>
      <c r="F63" s="173" t="n"/>
      <c r="G63" s="173" t="n"/>
      <c r="H63" s="163" t="n"/>
      <c r="I63" s="163" t="n"/>
      <c r="J63" s="163" t="n"/>
      <c r="K63" s="168" t="n"/>
      <c r="L63" s="172" t="n"/>
      <c r="M63" s="163" t="n"/>
      <c r="N63" s="163" t="n"/>
      <c r="O63" s="163" t="n"/>
      <c r="P63" s="163" t="n"/>
      <c r="Q63" s="163" t="n"/>
      <c r="R63" s="163" t="n"/>
      <c r="S63" s="170" t="n"/>
      <c r="T63" s="170" t="n"/>
      <c r="U63" s="170" t="n"/>
      <c r="V63" s="170" t="n"/>
      <c r="W63" s="170" t="n"/>
      <c r="X63" s="170" t="n"/>
      <c r="Y63" s="170" t="n"/>
      <c r="Z63" s="163">
        <f>SUM(AA28:AJ28)</f>
        <v/>
      </c>
      <c r="AA63" s="170" t="n"/>
      <c r="AB63" s="178" t="n"/>
      <c r="AC63" s="178" t="n"/>
      <c r="AD63" s="178" t="n"/>
      <c r="AE63" s="178" t="n"/>
      <c r="AF63" s="178" t="n"/>
      <c r="AG63" s="178" t="n"/>
      <c r="AH63" s="178" t="n"/>
      <c r="AI63" s="178" t="n"/>
      <c r="AJ63" s="178" t="n"/>
      <c r="AK63" s="164">
        <f>AB28/1.17*0.17+AC28/1.16*0.16+AD28/1.11*0.11+AE28/1.1*0.1+AF28/1.09*0.09+AI28/1.03*0.03</f>
        <v/>
      </c>
      <c r="AL63" s="97" t="n"/>
    </row>
    <row r="64" ht="20" customFormat="1" customHeight="1" s="2">
      <c r="A64" s="27" t="n"/>
      <c r="B64" s="27" t="n"/>
      <c r="C64" s="27" t="n"/>
      <c r="D64" s="163" t="inlineStr">
        <is>
          <t>（2）自行采购</t>
        </is>
      </c>
      <c r="E64" s="175" t="n"/>
      <c r="F64" s="175" t="n"/>
      <c r="G64" s="175" t="n"/>
      <c r="H64" s="163" t="n">
        <v>0</v>
      </c>
      <c r="I64" s="163" t="n"/>
      <c r="J64" s="163" t="n"/>
      <c r="K64" s="168" t="n"/>
      <c r="L64" s="172" t="n"/>
      <c r="M64" s="163" t="n"/>
      <c r="N64" s="163" t="n"/>
      <c r="O64" s="163" t="n"/>
      <c r="P64" s="163" t="n"/>
      <c r="Q64" s="163" t="n"/>
      <c r="R64" s="163" t="n"/>
      <c r="S64" s="170" t="n"/>
      <c r="T64" s="170" t="n"/>
      <c r="U64" s="170" t="n"/>
      <c r="V64" s="170" t="n"/>
      <c r="W64" s="170" t="n"/>
      <c r="X64" s="170" t="n"/>
      <c r="Y64" s="170" t="n"/>
      <c r="Z64" s="163">
        <f>SUM(AA29:AJ29)</f>
        <v/>
      </c>
      <c r="AA64" s="170" t="n"/>
      <c r="AB64" s="178" t="n"/>
      <c r="AC64" s="178" t="n"/>
      <c r="AD64" s="178" t="n"/>
      <c r="AE64" s="178" t="n"/>
      <c r="AF64" s="178" t="n"/>
      <c r="AG64" s="178" t="n"/>
      <c r="AH64" s="178" t="n"/>
      <c r="AI64" s="178" t="n"/>
      <c r="AJ64" s="178" t="n"/>
      <c r="AK64" s="164">
        <f>AB29/1.17*0.17+AC29/1.16*0.16+AD29/1.11*0.11+AE29/1.1*0.1+AF29/1.09*0.09+AI29/1.03*0.03</f>
        <v/>
      </c>
      <c r="AL64" s="97" t="n"/>
    </row>
    <row r="65" ht="20" customFormat="1" customHeight="1" s="5">
      <c r="A65" s="27" t="n">
        <v>1</v>
      </c>
      <c r="B65" s="27" t="n"/>
      <c r="C65" s="27" t="n"/>
      <c r="D65" s="171" t="n"/>
      <c r="E65" s="175" t="n"/>
      <c r="F65" s="175" t="n"/>
      <c r="G65" s="175" t="n"/>
      <c r="H65" s="163" t="n"/>
      <c r="I65" s="163" t="n"/>
      <c r="J65" s="163" t="n"/>
      <c r="K65" s="168" t="n"/>
      <c r="L65" s="172" t="n"/>
      <c r="M65" s="163" t="n"/>
      <c r="N65" s="163" t="n"/>
      <c r="O65" s="163" t="n"/>
      <c r="P65" s="163" t="n"/>
      <c r="Q65" s="163" t="n"/>
      <c r="R65" s="163" t="n"/>
      <c r="S65" s="170" t="n"/>
      <c r="T65" s="170" t="n"/>
      <c r="U65" s="170" t="n"/>
      <c r="V65" s="170" t="n"/>
      <c r="W65" s="170" t="n"/>
      <c r="X65" s="170" t="n"/>
      <c r="Y65" s="170" t="n"/>
      <c r="Z65" s="163">
        <f>SUM(AA30:AJ30)</f>
        <v/>
      </c>
      <c r="AA65" s="170" t="n"/>
      <c r="AB65" s="178" t="n"/>
      <c r="AC65" s="178" t="n"/>
      <c r="AD65" s="178" t="n"/>
      <c r="AE65" s="178" t="n"/>
      <c r="AF65" s="178" t="n"/>
      <c r="AG65" s="178" t="n"/>
      <c r="AH65" s="178" t="n"/>
      <c r="AI65" s="178" t="n"/>
      <c r="AJ65" s="178" t="n"/>
      <c r="AK65" s="164">
        <f>AB30/1.17*0.17+AC30/1.16*0.16+AD30/1.11*0.11+AE30/1.1*0.1+AF30/1.09*0.09+AI30/1.03*0.03</f>
        <v/>
      </c>
      <c r="AL65" s="97" t="n"/>
    </row>
    <row r="66" ht="20" customFormat="1" customHeight="1" s="5">
      <c r="A66" s="27" t="n">
        <v>2</v>
      </c>
      <c r="B66" s="27" t="n"/>
      <c r="C66" s="27" t="n"/>
      <c r="D66" s="171" t="n"/>
      <c r="E66" s="175" t="n"/>
      <c r="F66" s="175" t="n"/>
      <c r="G66" s="175" t="n"/>
      <c r="H66" s="163" t="n"/>
      <c r="I66" s="163" t="n"/>
      <c r="J66" s="163" t="n"/>
      <c r="K66" s="168" t="n"/>
      <c r="L66" s="172" t="n"/>
      <c r="M66" s="163" t="n"/>
      <c r="N66" s="76" t="n"/>
      <c r="O66" s="163" t="n"/>
      <c r="P66" s="163" t="n"/>
      <c r="Q66" s="163" t="n"/>
      <c r="R66" s="163" t="n"/>
      <c r="S66" s="170" t="n"/>
      <c r="T66" s="170" t="n"/>
      <c r="U66" s="170" t="n"/>
      <c r="V66" s="170" t="n"/>
      <c r="W66" s="170" t="n"/>
      <c r="X66" s="170" t="n"/>
      <c r="Y66" s="170" t="n"/>
      <c r="Z66" s="163">
        <f>SUM(AA31:AJ31)</f>
        <v/>
      </c>
      <c r="AA66" s="170" t="n"/>
      <c r="AB66" s="178" t="n"/>
      <c r="AC66" s="178" t="n"/>
      <c r="AD66" s="178" t="n"/>
      <c r="AE66" s="178" t="n"/>
      <c r="AF66" s="178" t="n"/>
      <c r="AG66" s="178" t="n"/>
      <c r="AH66" s="178" t="n"/>
      <c r="AI66" s="178" t="n"/>
      <c r="AJ66" s="178" t="n"/>
      <c r="AK66" s="164">
        <f>AB31/1.17*0.17+AC31/1.16*0.16+AD31/1.11*0.11+AE31/1.1*0.1+AF31/1.09*0.09+AI31/1.03*0.03</f>
        <v/>
      </c>
      <c r="AL66" s="97" t="n"/>
    </row>
    <row r="67" ht="39" customFormat="1" customHeight="1" s="5">
      <c r="A67" s="27" t="n"/>
      <c r="B67" s="27" t="inlineStr">
        <is>
          <t>无客商-支付汤村复建区1号地块项目广州</t>
        </is>
      </c>
      <c r="C67" s="27" t="n">
        <v/>
      </c>
      <c r="D67" s="43" t="n"/>
      <c r="E67" s="27" t="n"/>
      <c r="F67" s="27" t="n"/>
      <c r="G67" s="27" t="n"/>
      <c r="H67" s="163" t="n"/>
      <c r="I67" s="163" t="n"/>
      <c r="J67" s="163" t="n"/>
      <c r="K67" s="168" t="n"/>
      <c r="L67" s="172" t="n"/>
      <c r="M67" s="163" t="n"/>
      <c r="N67" s="163" t="n"/>
      <c r="O67" s="163" t="n"/>
      <c r="P67" s="163" t="n">
        <v>224599.72</v>
      </c>
      <c r="Q67" s="163" t="n"/>
      <c r="R67" s="163" t="n"/>
      <c r="S67" s="170" t="n"/>
      <c r="T67" s="170" t="n"/>
      <c r="U67" s="170" t="n"/>
      <c r="V67" s="170" t="n"/>
      <c r="W67" s="170" t="n"/>
      <c r="X67" s="170" t="n"/>
      <c r="Y67" s="170" t="n"/>
      <c r="Z67" s="163" t="n"/>
      <c r="AA67" s="170" t="n"/>
      <c r="AB67" s="178" t="n"/>
      <c r="AC67" s="178" t="n"/>
      <c r="AD67" s="178" t="n"/>
      <c r="AE67" s="178" t="n"/>
      <c r="AF67" s="178" t="n"/>
      <c r="AG67" s="178" t="n"/>
      <c r="AH67" s="178" t="n"/>
      <c r="AI67" s="178" t="n"/>
      <c r="AJ67" s="178" t="n"/>
      <c r="AK67" s="164" t="n"/>
      <c r="AL67" s="97" t="n"/>
    </row>
    <row r="68" ht="20" customFormat="1" customHeight="1" s="2">
      <c r="A68" s="27" t="n"/>
      <c r="B68" s="27" t="inlineStr">
        <is>
          <t>无客商-支付汤村复建区1号地块项目20</t>
        </is>
      </c>
      <c r="C68" s="27" t="n">
        <v/>
      </c>
      <c r="D68" s="43" t="n"/>
      <c r="E68" s="27" t="n"/>
      <c r="F68" s="27" t="n"/>
      <c r="G68" s="27" t="n"/>
      <c r="H68" s="163" t="n"/>
      <c r="I68" s="163" t="n"/>
      <c r="J68" s="163" t="n"/>
      <c r="K68" s="168" t="n"/>
      <c r="L68" s="172" t="n"/>
      <c r="M68" s="163" t="n"/>
      <c r="N68" s="163" t="n"/>
      <c r="O68" s="163" t="n"/>
      <c r="P68" s="163" t="n">
        <v>83459.44</v>
      </c>
      <c r="Q68" s="163" t="n"/>
      <c r="R68" s="163" t="n"/>
      <c r="S68" s="170" t="n"/>
      <c r="T68" s="170" t="n"/>
      <c r="U68" s="170" t="n"/>
      <c r="V68" s="170" t="n"/>
      <c r="W68" s="170" t="n"/>
      <c r="X68" s="170" t="n"/>
      <c r="Y68" s="170" t="n"/>
      <c r="Z68" s="163" t="n"/>
      <c r="AA68" s="170" t="n"/>
      <c r="AB68" s="178" t="n"/>
      <c r="AC68" s="178" t="n"/>
      <c r="AD68" s="178" t="n"/>
      <c r="AE68" s="178" t="n"/>
      <c r="AF68" s="178" t="n"/>
      <c r="AG68" s="178" t="n"/>
      <c r="AH68" s="178" t="n"/>
      <c r="AI68" s="178" t="n"/>
      <c r="AJ68" s="178" t="n"/>
      <c r="AK68" s="164" t="n"/>
      <c r="AL68" s="97" t="n"/>
    </row>
    <row r="69" ht="20" customFormat="1" customHeight="1" s="2">
      <c r="A69" s="27" t="n"/>
      <c r="B69" s="27" t="inlineStr">
        <is>
          <t>无客商-支付广州市亲力劳务派遣有限公司</t>
        </is>
      </c>
      <c r="C69" s="27" t="n">
        <v/>
      </c>
      <c r="D69" s="43" t="n"/>
      <c r="E69" s="27" t="n"/>
      <c r="F69" s="27" t="n"/>
      <c r="G69" s="27" t="n"/>
      <c r="H69" s="163" t="n"/>
      <c r="I69" s="163" t="n"/>
      <c r="J69" s="163" t="n"/>
      <c r="K69" s="168" t="n"/>
      <c r="L69" s="172" t="n"/>
      <c r="M69" s="163" t="n"/>
      <c r="N69" s="163" t="n"/>
      <c r="O69" s="163" t="n"/>
      <c r="P69" s="163" t="n">
        <v>69694.37</v>
      </c>
      <c r="Q69" s="163" t="n"/>
      <c r="R69" s="163" t="n"/>
      <c r="S69" s="170" t="n"/>
      <c r="T69" s="170" t="n"/>
      <c r="U69" s="170" t="n"/>
      <c r="V69" s="170" t="n"/>
      <c r="W69" s="170" t="n"/>
      <c r="X69" s="170" t="n"/>
      <c r="Y69" s="170" t="n"/>
      <c r="Z69" s="163" t="n"/>
      <c r="AA69" s="170" t="n"/>
      <c r="AB69" s="178" t="n"/>
      <c r="AC69" s="178" t="n"/>
      <c r="AD69" s="178" t="n"/>
      <c r="AE69" s="178" t="n"/>
      <c r="AF69" s="178" t="n"/>
      <c r="AG69" s="178" t="n"/>
      <c r="AH69" s="178" t="n"/>
      <c r="AI69" s="178" t="n"/>
      <c r="AJ69" s="178" t="n"/>
      <c r="AK69" s="164" t="n"/>
      <c r="AL69" s="97" t="n"/>
    </row>
    <row r="70" ht="20" customFormat="1" customHeight="1" s="2">
      <c r="A70" s="27" t="n"/>
      <c r="B70" s="27" t="inlineStr">
        <is>
          <t>无客商-支付局代付汤村复建区1号地块项</t>
        </is>
      </c>
      <c r="C70" s="27" t="n">
        <v/>
      </c>
      <c r="D70" s="43" t="n"/>
      <c r="E70" s="27" t="n"/>
      <c r="F70" s="27" t="n"/>
      <c r="G70" s="27" t="n"/>
      <c r="H70" s="163" t="n"/>
      <c r="I70" s="163" t="n"/>
      <c r="J70" s="163" t="n"/>
      <c r="K70" s="168" t="n"/>
      <c r="L70" s="172" t="n"/>
      <c r="M70" s="163" t="n"/>
      <c r="N70" s="163" t="n"/>
      <c r="O70" s="163" t="n"/>
      <c r="P70" s="163" t="n">
        <v>900071.04</v>
      </c>
      <c r="Q70" s="163" t="n"/>
      <c r="R70" s="163" t="n"/>
      <c r="S70" s="170" t="n"/>
      <c r="T70" s="170" t="n"/>
      <c r="U70" s="170" t="n"/>
      <c r="V70" s="170" t="n"/>
      <c r="W70" s="170" t="n"/>
      <c r="X70" s="170" t="n"/>
      <c r="Y70" s="170" t="n"/>
      <c r="Z70" s="163" t="n"/>
      <c r="AA70" s="170" t="n"/>
      <c r="AB70" s="178" t="n"/>
      <c r="AC70" s="178" t="n"/>
      <c r="AD70" s="178" t="n"/>
      <c r="AE70" s="178" t="n"/>
      <c r="AF70" s="178" t="n"/>
      <c r="AG70" s="178" t="n"/>
      <c r="AH70" s="178" t="n"/>
      <c r="AI70" s="178" t="n"/>
      <c r="AJ70" s="178" t="n"/>
      <c r="AK70" s="164" t="n"/>
      <c r="AL70" s="97" t="n"/>
    </row>
    <row r="71" ht="13" customFormat="1" customHeight="1" s="6">
      <c r="A71" s="27" t="n"/>
      <c r="B71" s="27" t="inlineStr">
        <is>
          <t>无客商-应付汤村项目复建地块一广州市万</t>
        </is>
      </c>
      <c r="C71" s="27" t="n">
        <v/>
      </c>
      <c r="D71" s="43" t="n"/>
      <c r="E71" s="27" t="n"/>
      <c r="F71" s="27" t="n"/>
      <c r="G71" s="27" t="n"/>
      <c r="H71" s="163" t="n"/>
      <c r="I71" s="163" t="n"/>
      <c r="J71" s="163" t="n"/>
      <c r="K71" s="168" t="n"/>
      <c r="L71" s="172" t="n"/>
      <c r="M71" s="163" t="n"/>
      <c r="N71" s="163" t="n"/>
      <c r="O71" s="163" t="n"/>
      <c r="P71" s="163" t="n">
        <v>39139848.98</v>
      </c>
      <c r="Q71" s="163" t="n"/>
      <c r="R71" s="163" t="n"/>
      <c r="S71" s="170" t="n"/>
      <c r="T71" s="170" t="n"/>
      <c r="U71" s="170" t="n"/>
      <c r="V71" s="170" t="n"/>
      <c r="W71" s="170" t="n"/>
      <c r="X71" s="170" t="n"/>
      <c r="Y71" s="170" t="n"/>
      <c r="Z71" s="163" t="n"/>
      <c r="AA71" s="170" t="n"/>
      <c r="AB71" s="178" t="n"/>
      <c r="AC71" s="178" t="n"/>
      <c r="AD71" s="178" t="n"/>
      <c r="AE71" s="178" t="n"/>
      <c r="AF71" s="178" t="n"/>
      <c r="AG71" s="178" t="n"/>
      <c r="AH71" s="178" t="n"/>
      <c r="AI71" s="178" t="n"/>
      <c r="AJ71" s="178" t="n"/>
      <c r="AK71" s="164" t="n"/>
      <c r="AL71" s="97" t="n"/>
    </row>
    <row r="72" ht="49" customFormat="1" customHeight="1" s="6">
      <c r="A72" s="27" t="n"/>
      <c r="B72" s="27" t="inlineStr">
        <is>
          <t>无客商-应付汤村项目复建地块一-湖南阳</t>
        </is>
      </c>
      <c r="C72" s="27" t="n">
        <v/>
      </c>
      <c r="D72" s="43" t="n"/>
      <c r="E72" s="27" t="n"/>
      <c r="F72" s="27" t="n"/>
      <c r="G72" s="27" t="n"/>
      <c r="H72" s="163" t="n"/>
      <c r="I72" s="163" t="n"/>
      <c r="J72" s="163" t="n"/>
      <c r="K72" s="168" t="n"/>
      <c r="L72" s="172" t="n"/>
      <c r="M72" s="163" t="n"/>
      <c r="N72" s="163" t="n"/>
      <c r="O72" s="163" t="n"/>
      <c r="P72" s="163" t="n">
        <v>149405.03</v>
      </c>
      <c r="Q72" s="163" t="n"/>
      <c r="R72" s="163" t="n"/>
      <c r="S72" s="170" t="n"/>
      <c r="T72" s="170" t="n"/>
      <c r="U72" s="170" t="n"/>
      <c r="V72" s="170" t="n"/>
      <c r="W72" s="170" t="n"/>
      <c r="X72" s="170" t="n"/>
      <c r="Y72" s="170" t="n"/>
      <c r="Z72" s="163" t="n"/>
      <c r="AA72" s="170" t="n"/>
      <c r="AB72" s="178" t="n"/>
      <c r="AC72" s="178" t="n"/>
      <c r="AD72" s="178" t="n"/>
      <c r="AE72" s="178" t="n"/>
      <c r="AF72" s="178" t="n"/>
      <c r="AG72" s="178" t="n"/>
      <c r="AH72" s="178" t="n"/>
      <c r="AI72" s="178" t="n"/>
      <c r="AJ72" s="178" t="n"/>
      <c r="AK72" s="164" t="n"/>
      <c r="AL72" s="97" t="n"/>
    </row>
    <row r="73" ht="54" customFormat="1" customHeight="1" s="6">
      <c r="A73" s="27" t="n"/>
      <c r="B73" s="27" t="inlineStr">
        <is>
          <t>无客商-发放汤村项目复建区1号管理人员</t>
        </is>
      </c>
      <c r="C73" s="27" t="n">
        <v/>
      </c>
      <c r="D73" s="43" t="n"/>
      <c r="E73" s="27" t="n"/>
      <c r="F73" s="27" t="n"/>
      <c r="G73" s="27" t="n"/>
      <c r="H73" s="163" t="n"/>
      <c r="I73" s="163" t="n"/>
      <c r="J73" s="163" t="n"/>
      <c r="K73" s="168" t="n"/>
      <c r="L73" s="172" t="n"/>
      <c r="M73" s="163" t="n"/>
      <c r="N73" s="163" t="n"/>
      <c r="O73" s="163" t="n"/>
      <c r="P73" s="163" t="n">
        <v>74013.34</v>
      </c>
      <c r="Q73" s="163" t="n"/>
      <c r="R73" s="163" t="n"/>
      <c r="S73" s="170" t="n"/>
      <c r="T73" s="170" t="n"/>
      <c r="U73" s="170" t="n"/>
      <c r="V73" s="170" t="n"/>
      <c r="W73" s="170" t="n"/>
      <c r="X73" s="170" t="n"/>
      <c r="Y73" s="170" t="n"/>
      <c r="Z73" s="163" t="n"/>
      <c r="AA73" s="170" t="n"/>
      <c r="AB73" s="178" t="n"/>
      <c r="AC73" s="178" t="n"/>
      <c r="AD73" s="178" t="n"/>
      <c r="AE73" s="178" t="n"/>
      <c r="AF73" s="178" t="n"/>
      <c r="AG73" s="178" t="n"/>
      <c r="AH73" s="178" t="n"/>
      <c r="AI73" s="178" t="n"/>
      <c r="AJ73" s="178" t="n"/>
      <c r="AK73" s="164" t="n"/>
      <c r="AL73" s="97" t="n"/>
    </row>
    <row r="74" ht="20" customFormat="1" customHeight="1" s="6">
      <c r="A74" s="27" t="n"/>
      <c r="B74" s="27" t="inlineStr">
        <is>
          <t>无客商-发放汤村旧改复建区1号地块管理</t>
        </is>
      </c>
      <c r="C74" s="27" t="n">
        <v/>
      </c>
      <c r="D74" s="43" t="n"/>
      <c r="E74" s="27" t="n"/>
      <c r="F74" s="27" t="n"/>
      <c r="G74" s="27" t="n"/>
      <c r="H74" s="163" t="n"/>
      <c r="I74" s="163" t="n"/>
      <c r="J74" s="163" t="n"/>
      <c r="K74" s="168" t="n"/>
      <c r="L74" s="172" t="n"/>
      <c r="M74" s="163" t="n"/>
      <c r="N74" s="163" t="n"/>
      <c r="O74" s="163" t="n"/>
      <c r="P74" s="163" t="n">
        <v>60658.33</v>
      </c>
      <c r="Q74" s="163" t="n"/>
      <c r="R74" s="163" t="n"/>
      <c r="S74" s="170" t="n"/>
      <c r="T74" s="170" t="n"/>
      <c r="U74" s="170" t="n"/>
      <c r="V74" s="170" t="n"/>
      <c r="W74" s="170" t="n"/>
      <c r="X74" s="170" t="n"/>
      <c r="Y74" s="170" t="n"/>
      <c r="Z74" s="163" t="n"/>
      <c r="AA74" s="170" t="n"/>
      <c r="AB74" s="178" t="n"/>
      <c r="AC74" s="178" t="n"/>
      <c r="AD74" s="178" t="n"/>
      <c r="AE74" s="178" t="n"/>
      <c r="AF74" s="178" t="n"/>
      <c r="AG74" s="178" t="n"/>
      <c r="AH74" s="178" t="n"/>
      <c r="AI74" s="178" t="n"/>
      <c r="AJ74" s="178" t="n"/>
      <c r="AK74" s="164" t="n"/>
      <c r="AL74" s="97" t="n"/>
    </row>
    <row r="75" ht="20" customFormat="1" customHeight="1" s="6">
      <c r="A75" s="27" t="n"/>
      <c r="B75" s="27" t="inlineStr">
        <is>
          <t>无客商-发放汤村旧改复建区1号地块20</t>
        </is>
      </c>
      <c r="C75" s="27" t="n">
        <v/>
      </c>
      <c r="D75" s="43" t="n"/>
      <c r="E75" s="27" t="n"/>
      <c r="F75" s="27" t="n"/>
      <c r="G75" s="27" t="n"/>
      <c r="H75" s="163" t="n"/>
      <c r="I75" s="163" t="n"/>
      <c r="J75" s="163" t="n"/>
      <c r="K75" s="168" t="n"/>
      <c r="L75" s="172" t="n"/>
      <c r="M75" s="163" t="n"/>
      <c r="N75" s="163" t="n"/>
      <c r="O75" s="163" t="n"/>
      <c r="P75" s="163" t="n">
        <v>32580</v>
      </c>
      <c r="Q75" s="163" t="n"/>
      <c r="R75" s="163" t="n"/>
      <c r="S75" s="170" t="n"/>
      <c r="T75" s="170" t="n"/>
      <c r="U75" s="170" t="n"/>
      <c r="V75" s="170" t="n"/>
      <c r="W75" s="170" t="n"/>
      <c r="X75" s="170" t="n"/>
      <c r="Y75" s="170" t="n"/>
      <c r="Z75" s="163" t="n"/>
      <c r="AA75" s="170" t="n"/>
      <c r="AB75" s="178" t="n"/>
      <c r="AC75" s="178" t="n"/>
      <c r="AD75" s="178" t="n"/>
      <c r="AE75" s="178" t="n"/>
      <c r="AF75" s="178" t="n"/>
      <c r="AG75" s="178" t="n"/>
      <c r="AH75" s="178" t="n"/>
      <c r="AI75" s="178" t="n"/>
      <c r="AJ75" s="178" t="n"/>
      <c r="AK75" s="164" t="n"/>
      <c r="AL75" s="97" t="n"/>
    </row>
    <row r="76" ht="24" customFormat="1" customHeight="1" s="6">
      <c r="A76" s="27" t="n"/>
      <c r="B76" s="27" t="inlineStr">
        <is>
          <t>无客商-发放汤村旧改复建区1号2025</t>
        </is>
      </c>
      <c r="C76" s="27" t="n">
        <v/>
      </c>
      <c r="D76" s="43" t="n"/>
      <c r="E76" s="27" t="n"/>
      <c r="F76" s="27" t="n"/>
      <c r="G76" s="27" t="n"/>
      <c r="H76" s="163" t="n"/>
      <c r="I76" s="163" t="n"/>
      <c r="J76" s="163" t="n"/>
      <c r="K76" s="168" t="n"/>
      <c r="L76" s="172" t="n"/>
      <c r="M76" s="163" t="n"/>
      <c r="N76" s="163" t="n"/>
      <c r="O76" s="163" t="n"/>
      <c r="P76" s="163" t="n">
        <v>38500</v>
      </c>
      <c r="Q76" s="163" t="n"/>
      <c r="R76" s="163" t="n"/>
      <c r="S76" s="170" t="n"/>
      <c r="T76" s="170" t="n"/>
      <c r="U76" s="170" t="n"/>
      <c r="V76" s="170" t="n"/>
      <c r="W76" s="170" t="n"/>
      <c r="X76" s="170" t="n"/>
      <c r="Y76" s="170" t="n"/>
      <c r="Z76" s="163" t="n"/>
      <c r="AA76" s="170" t="n"/>
      <c r="AB76" s="178" t="n"/>
      <c r="AC76" s="178" t="n"/>
      <c r="AD76" s="178" t="n"/>
      <c r="AE76" s="178" t="n"/>
      <c r="AF76" s="178" t="n"/>
      <c r="AG76" s="178" t="n"/>
      <c r="AH76" s="178" t="n"/>
      <c r="AI76" s="178" t="n"/>
      <c r="AJ76" s="178" t="n"/>
      <c r="AK76" s="164" t="n"/>
      <c r="AL76" s="97" t="n"/>
    </row>
    <row r="77" ht="13" customFormat="1" customHeight="1" s="6">
      <c r="A77" s="27" t="n"/>
      <c r="B77" s="27" t="inlineStr">
        <is>
          <t>无客商-发放汤村旧改复建区1号2024</t>
        </is>
      </c>
      <c r="C77" s="27" t="n">
        <v/>
      </c>
      <c r="D77" s="43" t="n"/>
      <c r="E77" s="27" t="n"/>
      <c r="F77" s="27" t="n"/>
      <c r="G77" s="27" t="n"/>
      <c r="H77" s="163" t="n"/>
      <c r="I77" s="163" t="n"/>
      <c r="J77" s="163" t="n"/>
      <c r="K77" s="168" t="n"/>
      <c r="L77" s="172" t="n"/>
      <c r="M77" s="163" t="n"/>
      <c r="N77" s="163" t="n"/>
      <c r="O77" s="163" t="n"/>
      <c r="P77" s="163" t="n">
        <v>6300</v>
      </c>
      <c r="Q77" s="163" t="n"/>
      <c r="R77" s="163" t="n"/>
      <c r="S77" s="170" t="n"/>
      <c r="T77" s="170" t="n"/>
      <c r="U77" s="170" t="n"/>
      <c r="V77" s="170" t="n"/>
      <c r="W77" s="170" t="n"/>
      <c r="X77" s="170" t="n"/>
      <c r="Y77" s="170" t="n"/>
      <c r="Z77" s="163" t="n"/>
      <c r="AA77" s="170" t="n"/>
      <c r="AB77" s="178" t="n"/>
      <c r="AC77" s="178" t="n"/>
      <c r="AD77" s="178" t="n"/>
      <c r="AE77" s="178" t="n"/>
      <c r="AF77" s="178" t="n"/>
      <c r="AG77" s="178" t="n"/>
      <c r="AH77" s="178" t="n"/>
      <c r="AI77" s="178" t="n"/>
      <c r="AJ77" s="178" t="n"/>
      <c r="AK77" s="164" t="n"/>
      <c r="AL77" s="97" t="n"/>
    </row>
    <row r="78" ht="24" customFormat="1" customHeight="1" s="7">
      <c r="A78" s="27" t="n"/>
      <c r="B78" s="27" t="inlineStr">
        <is>
          <t>无客商-发放复建区1号地块2022年7</t>
        </is>
      </c>
      <c r="C78" s="27" t="n">
        <v/>
      </c>
      <c r="D78" s="43" t="n"/>
      <c r="E78" s="27" t="n"/>
      <c r="F78" s="27" t="n"/>
      <c r="G78" s="27" t="n"/>
      <c r="H78" s="163" t="n"/>
      <c r="I78" s="163" t="n"/>
      <c r="J78" s="163" t="n"/>
      <c r="K78" s="168" t="n"/>
      <c r="L78" s="172" t="n"/>
      <c r="M78" s="163" t="n"/>
      <c r="N78" s="163" t="n"/>
      <c r="O78" s="163" t="n"/>
      <c r="P78" s="163" t="n">
        <v>6600</v>
      </c>
      <c r="Q78" s="163" t="n"/>
      <c r="R78" s="163" t="n"/>
      <c r="S78" s="170" t="n"/>
      <c r="T78" s="170" t="n"/>
      <c r="U78" s="170" t="n"/>
      <c r="V78" s="170" t="n"/>
      <c r="W78" s="170" t="n"/>
      <c r="X78" s="170" t="n"/>
      <c r="Y78" s="170" t="n"/>
      <c r="Z78" s="163" t="n"/>
      <c r="AA78" s="170" t="n"/>
      <c r="AB78" s="178" t="n"/>
      <c r="AC78" s="178" t="n"/>
      <c r="AD78" s="178" t="n"/>
      <c r="AE78" s="178" t="n"/>
      <c r="AF78" s="178" t="n"/>
      <c r="AG78" s="178" t="n"/>
      <c r="AH78" s="178" t="n"/>
      <c r="AI78" s="178" t="n"/>
      <c r="AJ78" s="178" t="n"/>
      <c r="AK78" s="164" t="n"/>
      <c r="AL78" s="97" t="n"/>
    </row>
    <row r="79" customFormat="1" s="7">
      <c r="A79" s="27" t="n"/>
      <c r="B79" s="27" t="inlineStr">
        <is>
          <t>无客商-发放复建区1号地块2022年6</t>
        </is>
      </c>
      <c r="C79" s="27" t="n">
        <v/>
      </c>
      <c r="D79" s="43" t="n"/>
      <c r="E79" s="27" t="n"/>
      <c r="F79" s="27" t="n"/>
      <c r="G79" s="27" t="n"/>
      <c r="H79" s="163" t="n"/>
      <c r="I79" s="163" t="n"/>
      <c r="J79" s="163" t="n"/>
      <c r="K79" s="168" t="n"/>
      <c r="L79" s="172" t="n"/>
      <c r="M79" s="163" t="n"/>
      <c r="N79" s="163" t="n"/>
      <c r="O79" s="163" t="n"/>
      <c r="P79" s="163" t="n">
        <v>7220</v>
      </c>
      <c r="Q79" s="163" t="n"/>
      <c r="R79" s="163" t="n"/>
      <c r="S79" s="170" t="n"/>
      <c r="T79" s="170" t="n"/>
      <c r="U79" s="170" t="n"/>
      <c r="V79" s="170" t="n"/>
      <c r="W79" s="170" t="n"/>
      <c r="X79" s="170" t="n"/>
      <c r="Y79" s="170" t="n"/>
      <c r="Z79" s="163" t="n"/>
      <c r="AA79" s="170" t="n"/>
      <c r="AB79" s="178" t="n"/>
      <c r="AC79" s="178" t="n"/>
      <c r="AD79" s="178" t="n"/>
      <c r="AE79" s="178" t="n"/>
      <c r="AF79" s="178" t="n"/>
      <c r="AG79" s="178" t="n"/>
      <c r="AH79" s="178" t="n"/>
      <c r="AI79" s="178" t="n"/>
      <c r="AJ79" s="178" t="n"/>
      <c r="AK79" s="164" t="n"/>
      <c r="AL79" s="97" t="n"/>
    </row>
    <row r="80" customFormat="1" s="7">
      <c r="A80" s="27" t="n"/>
      <c r="B80" s="27" t="inlineStr">
        <is>
          <t>无客商-发放复建区1号地块2022年5</t>
        </is>
      </c>
      <c r="C80" s="27" t="n">
        <v/>
      </c>
      <c r="D80" s="43" t="n"/>
      <c r="E80" s="27" t="n"/>
      <c r="F80" s="27" t="n"/>
      <c r="G80" s="27" t="n"/>
      <c r="H80" s="163" t="n"/>
      <c r="I80" s="163" t="n"/>
      <c r="J80" s="163" t="n"/>
      <c r="K80" s="168" t="n"/>
      <c r="L80" s="172" t="n"/>
      <c r="M80" s="163" t="n"/>
      <c r="N80" s="163" t="n"/>
      <c r="O80" s="163" t="n"/>
      <c r="P80" s="163" t="n">
        <v>6000</v>
      </c>
      <c r="Q80" s="163" t="n"/>
      <c r="R80" s="163" t="n"/>
      <c r="S80" s="170" t="n"/>
      <c r="T80" s="170" t="n"/>
      <c r="U80" s="170" t="n"/>
      <c r="V80" s="170" t="n"/>
      <c r="W80" s="170" t="n"/>
      <c r="X80" s="170" t="n"/>
      <c r="Y80" s="170" t="n"/>
      <c r="Z80" s="163" t="n"/>
      <c r="AA80" s="170" t="n"/>
      <c r="AB80" s="178" t="n"/>
      <c r="AC80" s="178" t="n"/>
      <c r="AD80" s="178" t="n"/>
      <c r="AE80" s="178" t="n"/>
      <c r="AF80" s="178" t="n"/>
      <c r="AG80" s="178" t="n"/>
      <c r="AH80" s="178" t="n"/>
      <c r="AI80" s="178" t="n"/>
      <c r="AJ80" s="178" t="n"/>
      <c r="AK80" s="164" t="n"/>
      <c r="AL80" s="97" t="n"/>
    </row>
    <row r="81" customFormat="1" s="7">
      <c r="A81" s="27" t="n"/>
      <c r="B81" s="27" t="inlineStr">
        <is>
          <t>无客商-发放复建区1号地块2022年4</t>
        </is>
      </c>
      <c r="C81" s="27" t="n">
        <v/>
      </c>
      <c r="D81" s="43" t="n"/>
      <c r="E81" s="27" t="n"/>
      <c r="F81" s="27" t="n"/>
      <c r="G81" s="27" t="n"/>
      <c r="H81" s="163" t="n"/>
      <c r="I81" s="163" t="n"/>
      <c r="J81" s="163" t="n"/>
      <c r="K81" s="168" t="n"/>
      <c r="L81" s="172" t="n"/>
      <c r="M81" s="163" t="n"/>
      <c r="N81" s="163" t="n"/>
      <c r="O81" s="163" t="n"/>
      <c r="P81" s="163" t="n">
        <v>6000</v>
      </c>
      <c r="Q81" s="163" t="n"/>
      <c r="R81" s="163" t="n"/>
      <c r="S81" s="170" t="n"/>
      <c r="T81" s="170" t="n"/>
      <c r="U81" s="170" t="n"/>
      <c r="V81" s="170" t="n"/>
      <c r="W81" s="170" t="n"/>
      <c r="X81" s="170" t="n"/>
      <c r="Y81" s="170" t="n"/>
      <c r="Z81" s="163" t="n"/>
      <c r="AA81" s="170" t="n"/>
      <c r="AB81" s="178" t="n"/>
      <c r="AC81" s="178" t="n"/>
      <c r="AD81" s="178" t="n"/>
      <c r="AE81" s="178" t="n"/>
      <c r="AF81" s="178" t="n"/>
      <c r="AG81" s="178" t="n"/>
      <c r="AH81" s="178" t="n"/>
      <c r="AI81" s="178" t="n"/>
      <c r="AJ81" s="178" t="n"/>
      <c r="AK81" s="164" t="n"/>
      <c r="AL81" s="97" t="n"/>
    </row>
    <row r="82" customFormat="1" s="8">
      <c r="A82" s="27" t="n"/>
      <c r="B82" s="27" t="inlineStr">
        <is>
          <t>无客商-发放复建区1号地块2022年3</t>
        </is>
      </c>
      <c r="C82" s="27" t="n">
        <v/>
      </c>
      <c r="D82" s="43" t="n"/>
      <c r="E82" s="27" t="n"/>
      <c r="F82" s="27" t="n"/>
      <c r="G82" s="27" t="n"/>
      <c r="H82" s="163" t="n"/>
      <c r="I82" s="163" t="n"/>
      <c r="J82" s="163" t="n"/>
      <c r="K82" s="168" t="n"/>
      <c r="L82" s="172" t="n"/>
      <c r="M82" s="163" t="n"/>
      <c r="N82" s="163" t="n"/>
      <c r="O82" s="163" t="n"/>
      <c r="P82" s="163" t="n">
        <v>6800</v>
      </c>
      <c r="Q82" s="163" t="n"/>
      <c r="R82" s="163" t="n"/>
      <c r="S82" s="170" t="n"/>
      <c r="T82" s="170" t="n"/>
      <c r="U82" s="170" t="n"/>
      <c r="V82" s="170" t="n"/>
      <c r="W82" s="170" t="n"/>
      <c r="X82" s="170" t="n"/>
      <c r="Y82" s="170" t="n"/>
      <c r="Z82" s="163" t="n"/>
      <c r="AA82" s="170" t="n"/>
      <c r="AB82" s="178" t="n"/>
      <c r="AC82" s="178" t="n"/>
      <c r="AD82" s="178" t="n"/>
      <c r="AE82" s="178" t="n"/>
      <c r="AF82" s="178" t="n"/>
      <c r="AG82" s="178" t="n"/>
      <c r="AH82" s="178" t="n"/>
      <c r="AI82" s="178" t="n"/>
      <c r="AJ82" s="178" t="n"/>
      <c r="AK82" s="164" t="n"/>
      <c r="AL82" s="97" t="n"/>
    </row>
    <row r="83">
      <c r="A83" s="27" t="n"/>
      <c r="B83" s="27" t="inlineStr">
        <is>
          <t>无客商-发放复建区1号地块2022年2</t>
        </is>
      </c>
      <c r="C83" s="27" t="n">
        <v/>
      </c>
      <c r="D83" s="43" t="n"/>
      <c r="E83" s="27" t="n"/>
      <c r="F83" s="27" t="n"/>
      <c r="G83" s="27" t="n"/>
      <c r="H83" s="163" t="n"/>
      <c r="I83" s="163" t="n"/>
      <c r="J83" s="163" t="n"/>
      <c r="K83" s="168" t="n"/>
      <c r="L83" s="172" t="n"/>
      <c r="M83" s="163" t="n"/>
      <c r="N83" s="163" t="n"/>
      <c r="O83" s="163" t="n"/>
      <c r="P83" s="163" t="n">
        <v>6240</v>
      </c>
      <c r="Q83" s="163" t="n"/>
      <c r="R83" s="163" t="n"/>
      <c r="S83" s="170" t="n"/>
      <c r="T83" s="170" t="n"/>
      <c r="U83" s="170" t="n"/>
      <c r="V83" s="170" t="n"/>
      <c r="W83" s="170" t="n"/>
      <c r="X83" s="170" t="n"/>
      <c r="Y83" s="170" t="n"/>
      <c r="Z83" s="163" t="n"/>
      <c r="AA83" s="170" t="n"/>
      <c r="AB83" s="178" t="n"/>
      <c r="AC83" s="178" t="n"/>
      <c r="AD83" s="178" t="n"/>
      <c r="AE83" s="178" t="n"/>
      <c r="AF83" s="178" t="n"/>
      <c r="AG83" s="178" t="n"/>
      <c r="AH83" s="178" t="n"/>
      <c r="AI83" s="178" t="n"/>
      <c r="AJ83" s="178" t="n"/>
      <c r="AK83" s="164" t="n"/>
      <c r="AL83" s="97" t="n"/>
    </row>
    <row r="84">
      <c r="A84" s="27" t="n"/>
      <c r="B84" s="27" t="inlineStr">
        <is>
          <t>无客商-发放复建区1号地块2022年1</t>
        </is>
      </c>
      <c r="C84" s="27" t="n">
        <v/>
      </c>
      <c r="D84" s="43" t="n"/>
      <c r="E84" s="27" t="n"/>
      <c r="F84" s="27" t="n"/>
      <c r="G84" s="27" t="n"/>
      <c r="H84" s="163" t="n"/>
      <c r="I84" s="163" t="n"/>
      <c r="J84" s="163" t="n"/>
      <c r="K84" s="168" t="n"/>
      <c r="L84" s="172" t="n"/>
      <c r="M84" s="163" t="n"/>
      <c r="N84" s="163" t="n"/>
      <c r="O84" s="163" t="n"/>
      <c r="P84" s="163" t="n">
        <v>4800</v>
      </c>
      <c r="Q84" s="163" t="n"/>
      <c r="R84" s="163" t="n"/>
      <c r="S84" s="170" t="n"/>
      <c r="T84" s="170" t="n"/>
      <c r="U84" s="170" t="n"/>
      <c r="V84" s="170" t="n"/>
      <c r="W84" s="170" t="n"/>
      <c r="X84" s="170" t="n"/>
      <c r="Y84" s="170" t="n"/>
      <c r="Z84" s="163" t="n"/>
      <c r="AA84" s="170" t="n"/>
      <c r="AB84" s="178" t="n"/>
      <c r="AC84" s="178" t="n"/>
      <c r="AD84" s="178" t="n"/>
      <c r="AE84" s="178" t="n"/>
      <c r="AF84" s="178" t="n"/>
      <c r="AG84" s="178" t="n"/>
      <c r="AH84" s="178" t="n"/>
      <c r="AI84" s="178" t="n"/>
      <c r="AJ84" s="178" t="n"/>
      <c r="AK84" s="164" t="n"/>
      <c r="AL84" s="97" t="n"/>
    </row>
    <row r="85">
      <c r="A85" s="27" t="n"/>
      <c r="B85" s="27" t="inlineStr">
        <is>
          <t>无客商-发放复建区1号地块2021年1</t>
        </is>
      </c>
      <c r="C85" s="27" t="n">
        <v/>
      </c>
      <c r="D85" s="43" t="n"/>
      <c r="E85" s="27" t="n"/>
      <c r="F85" s="27" t="n"/>
      <c r="G85" s="27" t="n"/>
      <c r="H85" s="163" t="n"/>
      <c r="I85" s="163" t="n"/>
      <c r="J85" s="163" t="n"/>
      <c r="K85" s="168" t="n"/>
      <c r="L85" s="172" t="n"/>
      <c r="M85" s="163" t="n"/>
      <c r="N85" s="163" t="n"/>
      <c r="O85" s="163" t="n"/>
      <c r="P85" s="163" t="n">
        <v>24580</v>
      </c>
      <c r="Q85" s="163" t="n"/>
      <c r="R85" s="163" t="n"/>
      <c r="S85" s="170" t="n"/>
      <c r="T85" s="170" t="n"/>
      <c r="U85" s="170" t="n"/>
      <c r="V85" s="170" t="n"/>
      <c r="W85" s="170" t="n"/>
      <c r="X85" s="170" t="n"/>
      <c r="Y85" s="170" t="n"/>
      <c r="Z85" s="163" t="n"/>
      <c r="AA85" s="170" t="n"/>
      <c r="AB85" s="178" t="n"/>
      <c r="AC85" s="178" t="n"/>
      <c r="AD85" s="178" t="n"/>
      <c r="AE85" s="178" t="n"/>
      <c r="AF85" s="178" t="n"/>
      <c r="AG85" s="178" t="n"/>
      <c r="AH85" s="178" t="n"/>
      <c r="AI85" s="178" t="n"/>
      <c r="AJ85" s="178" t="n"/>
      <c r="AK85" s="164" t="n"/>
      <c r="AL85" s="97" t="n"/>
    </row>
    <row r="86">
      <c r="A86" s="27" t="n">
        <v>3</v>
      </c>
      <c r="B86" s="27" t="n"/>
      <c r="C86" s="27" t="n"/>
      <c r="D86" s="43" t="inlineStr">
        <is>
          <t>材料库存（注：项目已结算未使用材料冲减项目成本，负数填报）</t>
        </is>
      </c>
      <c r="E86" s="27" t="n"/>
      <c r="F86" s="27" t="n"/>
      <c r="G86" s="27" t="n"/>
      <c r="H86" s="163" t="n"/>
      <c r="I86" s="163" t="n"/>
      <c r="J86" s="163" t="n"/>
      <c r="K86" s="168" t="n"/>
      <c r="L86" s="172" t="n"/>
      <c r="M86" s="163" t="n"/>
      <c r="N86" s="163" t="n"/>
      <c r="O86" s="163" t="n"/>
      <c r="P86" s="163" t="n"/>
      <c r="Q86" s="163" t="n"/>
      <c r="R86" s="163" t="n"/>
      <c r="S86" s="170" t="n"/>
      <c r="T86" s="170" t="n"/>
      <c r="U86" s="170" t="n"/>
      <c r="V86" s="170" t="n"/>
      <c r="W86" s="170" t="n"/>
      <c r="X86" s="170" t="n"/>
      <c r="Y86" s="170" t="n"/>
      <c r="Z86" s="163">
        <f>SUM(AA32:AJ32)</f>
        <v/>
      </c>
      <c r="AA86" s="170" t="n"/>
      <c r="AB86" s="178" t="n"/>
      <c r="AC86" s="178" t="n"/>
      <c r="AD86" s="178" t="n"/>
      <c r="AE86" s="178" t="n"/>
      <c r="AF86" s="178" t="n"/>
      <c r="AG86" s="178" t="n"/>
      <c r="AH86" s="178" t="n"/>
      <c r="AI86" s="178" t="n"/>
      <c r="AJ86" s="178" t="n"/>
      <c r="AK86" s="164">
        <f>AB32/1.17*0.17+AC32/1.16*0.16+AD32/1.11*0.11+AE32/1.1*0.1+AF32/1.09*0.09+AI32/1.03*0.03</f>
        <v/>
      </c>
      <c r="AL86" s="97" t="n"/>
    </row>
    <row r="87">
      <c r="A87" s="27" t="n">
        <v>4</v>
      </c>
      <c r="B87" s="27" t="n"/>
      <c r="C87" s="27" t="n"/>
      <c r="D87" s="37" t="inlineStr">
        <is>
          <t>材料调入</t>
        </is>
      </c>
      <c r="E87" s="27" t="n"/>
      <c r="F87" s="27" t="n"/>
      <c r="G87" s="27" t="n"/>
      <c r="H87" s="163" t="n"/>
      <c r="I87" s="163" t="n"/>
      <c r="J87" s="163" t="n"/>
      <c r="K87" s="168" t="n"/>
      <c r="L87" s="172" t="n"/>
      <c r="M87" s="163" t="n"/>
      <c r="N87" s="163" t="n"/>
      <c r="O87" s="163" t="n"/>
      <c r="P87" s="163" t="n"/>
      <c r="Q87" s="163" t="n"/>
      <c r="R87" s="163" t="n"/>
      <c r="S87" s="170" t="n"/>
      <c r="T87" s="170" t="n"/>
      <c r="U87" s="170" t="n"/>
      <c r="V87" s="170" t="n"/>
      <c r="W87" s="170" t="n"/>
      <c r="X87" s="170" t="n"/>
      <c r="Y87" s="170" t="n"/>
      <c r="Z87" s="163">
        <f>SUM(AA33:AJ33)</f>
        <v/>
      </c>
      <c r="AA87" s="170" t="n"/>
      <c r="AB87" s="178" t="n"/>
      <c r="AC87" s="178" t="n"/>
      <c r="AD87" s="178" t="n"/>
      <c r="AE87" s="178" t="n"/>
      <c r="AF87" s="178" t="n"/>
      <c r="AG87" s="178" t="n"/>
      <c r="AH87" s="178" t="n"/>
      <c r="AI87" s="178" t="n"/>
      <c r="AJ87" s="178" t="n"/>
      <c r="AK87" s="164">
        <f>AB33/1.17*0.17+AC33/1.16*0.16+AD33/1.11*0.11+AE33/1.1*0.1+AF33/1.09*0.09+AI33/1.03*0.03</f>
        <v/>
      </c>
      <c r="AL87" s="97" t="n"/>
    </row>
    <row r="88">
      <c r="A88" s="27" t="n">
        <v>5</v>
      </c>
      <c r="B88" s="27" t="n"/>
      <c r="C88" s="27" t="n"/>
      <c r="D88" s="37" t="inlineStr">
        <is>
          <t>材料调出（注：负数填报）</t>
        </is>
      </c>
      <c r="E88" s="44" t="n"/>
      <c r="F88" s="44" t="n"/>
      <c r="G88" s="44" t="n"/>
      <c r="H88" s="179" t="n"/>
      <c r="I88" s="179" t="n"/>
      <c r="J88" s="163" t="n"/>
      <c r="K88" s="168" t="n"/>
      <c r="L88" s="172" t="n"/>
      <c r="M88" s="179" t="n"/>
      <c r="N88" s="179" t="n"/>
      <c r="O88" s="163" t="n"/>
      <c r="P88" s="163" t="n"/>
      <c r="Q88" s="163" t="n"/>
      <c r="R88" s="163" t="n"/>
      <c r="S88" s="179" t="n"/>
      <c r="T88" s="179" t="n"/>
      <c r="U88" s="179" t="n"/>
      <c r="V88" s="179" t="n"/>
      <c r="W88" s="179" t="n"/>
      <c r="X88" s="179" t="n"/>
      <c r="Y88" s="179" t="n"/>
      <c r="Z88" s="163">
        <f>SUM(AA34:AJ34)</f>
        <v/>
      </c>
      <c r="AA88" s="179" t="n"/>
      <c r="AB88" s="180" t="n"/>
      <c r="AC88" s="180" t="n"/>
      <c r="AD88" s="180" t="n"/>
      <c r="AE88" s="180" t="n"/>
      <c r="AF88" s="180" t="n"/>
      <c r="AG88" s="180" t="n"/>
      <c r="AH88" s="180" t="n"/>
      <c r="AI88" s="180" t="n"/>
      <c r="AJ88" s="180" t="n"/>
      <c r="AK88" s="164">
        <f>AB34/1.17*0.17+AC34/1.16*0.16+AD34/1.11*0.11+AE34/1.1*0.1+AF34/1.09*0.09+AI34/1.03*0.03</f>
        <v/>
      </c>
      <c r="AL88" s="98" t="n"/>
    </row>
    <row r="89">
      <c r="A89" s="27" t="n"/>
      <c r="B89" s="27" t="n"/>
      <c r="C89" s="27" t="n"/>
      <c r="D89" s="32" t="inlineStr">
        <is>
          <t>**财务未列部分需增列***</t>
        </is>
      </c>
      <c r="E89" s="175" t="n"/>
      <c r="F89" s="175" t="n"/>
      <c r="G89" s="175" t="n"/>
      <c r="H89" s="163" t="n">
        <v>0</v>
      </c>
      <c r="I89" s="163" t="n"/>
      <c r="J89" s="163" t="n"/>
      <c r="K89" s="168" t="n"/>
      <c r="L89" s="172" t="n"/>
      <c r="M89" s="163" t="n"/>
      <c r="N89" s="163" t="n"/>
      <c r="O89" s="163" t="n"/>
      <c r="P89" s="163" t="n"/>
      <c r="Q89" s="163" t="n"/>
      <c r="R89" s="163" t="n"/>
      <c r="S89" s="170" t="n"/>
      <c r="T89" s="170" t="n"/>
      <c r="U89" s="170" t="n"/>
      <c r="V89" s="170" t="n"/>
      <c r="W89" s="170" t="n"/>
      <c r="X89" s="170" t="n"/>
      <c r="Y89" s="170" t="n"/>
      <c r="Z89" s="170" t="n"/>
      <c r="AA89" s="170" t="n"/>
      <c r="AB89" s="178" t="n"/>
      <c r="AC89" s="178" t="n"/>
      <c r="AD89" s="178" t="n"/>
      <c r="AE89" s="178" t="n"/>
      <c r="AF89" s="178" t="n"/>
      <c r="AG89" s="178" t="n"/>
      <c r="AH89" s="178" t="n"/>
      <c r="AI89" s="178" t="n"/>
      <c r="AJ89" s="178" t="n"/>
      <c r="AK89" s="164">
        <f>AB35/1.17*0.17+AC35/1.16*0.16+AD35/1.11*0.11+AE35/1.1*0.1+AF35/1.09*0.09+AI35/1.03*0.03</f>
        <v/>
      </c>
      <c r="AL89" s="97" t="n"/>
    </row>
    <row r="90">
      <c r="A90" s="34" t="n"/>
      <c r="B90" s="34" t="n"/>
      <c r="C90" s="34" t="n"/>
      <c r="D90" s="41" t="inlineStr">
        <is>
          <t>材料费小计：</t>
        </is>
      </c>
      <c r="E90" s="46" t="n"/>
      <c r="F90" s="46" t="n"/>
      <c r="G90" s="46" t="n"/>
      <c r="H90" s="174">
        <f>SUM(H26:H34)</f>
        <v/>
      </c>
      <c r="I90" s="174">
        <f>SUM(I26:I34)</f>
        <v/>
      </c>
      <c r="J90" s="174" t="n"/>
      <c r="K90" s="174" t="n"/>
      <c r="L90" s="177" t="n"/>
      <c r="M90" s="174" t="n"/>
      <c r="N90" s="174" t="n"/>
      <c r="O90" s="174" t="n"/>
      <c r="P90" s="174" t="n"/>
      <c r="Q90" s="174" t="n"/>
      <c r="R90" s="174" t="n"/>
      <c r="S90" s="174">
        <f>SUM(S26:S34)</f>
        <v/>
      </c>
      <c r="T90" s="174" t="n"/>
      <c r="U90" s="174" t="n"/>
      <c r="V90" s="174" t="n"/>
      <c r="W90" s="174" t="n"/>
      <c r="X90" s="174" t="n"/>
      <c r="Y90" s="174" t="n"/>
      <c r="Z90" s="174">
        <f>SUM(Z26:Z34)</f>
        <v/>
      </c>
      <c r="AA90" s="174">
        <f>SUM(AA26:AA34)</f>
        <v/>
      </c>
      <c r="AB90" s="174">
        <f>SUM(AB26:AB34)</f>
        <v/>
      </c>
      <c r="AC90" s="174">
        <f>SUM(AC26:AC34)</f>
        <v/>
      </c>
      <c r="AD90" s="174">
        <f>SUM(AD26:AD34)</f>
        <v/>
      </c>
      <c r="AE90" s="174">
        <f>SUM(AE26:AE34)</f>
        <v/>
      </c>
      <c r="AF90" s="174">
        <f>SUM(AF26:AF34)</f>
        <v/>
      </c>
      <c r="AG90" s="174" t="n"/>
      <c r="AH90" s="174" t="n"/>
      <c r="AI90" s="174">
        <f>SUM(AI26:AI34)</f>
        <v/>
      </c>
      <c r="AJ90" s="174">
        <f>SUM(AJ26:AJ34)</f>
        <v/>
      </c>
      <c r="AK90" s="174">
        <f>SUM(AK26:AK34)</f>
        <v/>
      </c>
      <c r="AL90" s="95" t="n"/>
    </row>
    <row r="91">
      <c r="A91" s="27" t="n"/>
      <c r="B91" s="27" t="n"/>
      <c r="C91" s="27" t="n"/>
      <c r="D91" s="37" t="inlineStr">
        <is>
          <t>(四）机械租赁费</t>
        </is>
      </c>
      <c r="E91" s="47" t="n"/>
      <c r="F91" s="47" t="n"/>
      <c r="G91" s="47" t="n"/>
      <c r="H91" s="163" t="n"/>
      <c r="I91" s="163" t="n"/>
      <c r="J91" s="163" t="n"/>
      <c r="K91" s="168" t="n">
        <v>0</v>
      </c>
      <c r="L91" s="172">
        <f>J37-K37</f>
        <v/>
      </c>
      <c r="M91" s="158" t="n"/>
      <c r="N91" s="158" t="n"/>
      <c r="O91" s="163" t="n"/>
      <c r="P91" s="163" t="n"/>
      <c r="Q91" s="163" t="n"/>
      <c r="R91" s="163" t="n"/>
      <c r="S91" s="170" t="n"/>
      <c r="T91" s="170" t="n"/>
      <c r="U91" s="170" t="n"/>
      <c r="V91" s="170" t="n"/>
      <c r="W91" s="170" t="n"/>
      <c r="X91" s="170" t="n"/>
      <c r="Y91" s="170" t="n"/>
      <c r="Z91" s="170" t="n"/>
      <c r="AA91" s="170" t="n"/>
      <c r="AB91" s="170" t="n"/>
      <c r="AC91" s="170" t="n"/>
      <c r="AD91" s="170" t="n"/>
      <c r="AE91" s="170" t="n"/>
      <c r="AF91" s="170" t="n"/>
      <c r="AG91" s="170" t="n"/>
      <c r="AH91" s="170" t="n"/>
      <c r="AI91" s="170" t="n"/>
      <c r="AJ91" s="170" t="n"/>
      <c r="AK91" s="164">
        <f>AB37/1.17*0.17+AC37/1.16*0.16+AD37/1.11*0.11+AE37/1.1*0.1+AF37/1.09*0.09+AI37/1.03*0.03</f>
        <v/>
      </c>
      <c r="AL91" s="95" t="n"/>
    </row>
    <row r="92">
      <c r="A92" s="27" t="n"/>
      <c r="B92" s="27" t="n"/>
      <c r="C92" s="27" t="n"/>
      <c r="D92" s="48" t="n"/>
      <c r="E92" s="49" t="n"/>
      <c r="F92" s="49" t="n"/>
      <c r="G92" s="49" t="n"/>
      <c r="H92" s="163" t="n"/>
      <c r="I92" s="163" t="n"/>
      <c r="J92" s="163">
        <f>H38+I38</f>
        <v/>
      </c>
      <c r="K92" s="168" t="n">
        <v>0</v>
      </c>
      <c r="L92" s="172">
        <f>J38-K38</f>
        <v/>
      </c>
      <c r="M92" s="163" t="n"/>
      <c r="N92" s="163" t="n"/>
      <c r="O92" s="163">
        <f>L38-M38</f>
        <v/>
      </c>
      <c r="P92" s="163">
        <f>K38-N38</f>
        <v/>
      </c>
      <c r="Q92" s="163">
        <f>M38+O38</f>
        <v/>
      </c>
      <c r="R92" s="163">
        <f>M38+N38+O38+P38</f>
        <v/>
      </c>
      <c r="S92" s="170" t="n"/>
      <c r="T92" s="170" t="n"/>
      <c r="U92" s="170" t="n"/>
      <c r="V92" s="170" t="n"/>
      <c r="W92" s="170" t="n"/>
      <c r="X92" s="170" t="n"/>
      <c r="Y92" s="170" t="n"/>
      <c r="Z92" s="163">
        <f>SUM(AA38:AJ38)</f>
        <v/>
      </c>
      <c r="AA92" s="170" t="n"/>
      <c r="AB92" s="170" t="n"/>
      <c r="AC92" s="170" t="n"/>
      <c r="AD92" s="170" t="n"/>
      <c r="AE92" s="170" t="n"/>
      <c r="AF92" s="170" t="n"/>
      <c r="AG92" s="170" t="n"/>
      <c r="AH92" s="170" t="n"/>
      <c r="AI92" s="170" t="n"/>
      <c r="AJ92" s="170" t="n"/>
      <c r="AK92" s="164">
        <f>AB38/1.17*0.17+AC38/1.16*0.16+AD38/1.11*0.11+AE38/1.1*0.1+AF38/1.09*0.09+AI38/1.03*0.03</f>
        <v/>
      </c>
      <c r="AL92" s="95" t="n"/>
    </row>
    <row r="93">
      <c r="A93" s="27" t="n"/>
      <c r="B93" s="27" t="n"/>
      <c r="C93" s="27" t="n"/>
      <c r="D93" s="32" t="inlineStr">
        <is>
          <t>**财务未列部分需增列***</t>
        </is>
      </c>
      <c r="E93" s="50" t="n"/>
      <c r="F93" s="50" t="n"/>
      <c r="G93" s="50" t="n"/>
      <c r="H93" s="163" t="n"/>
      <c r="I93" s="163" t="n"/>
      <c r="J93" s="163" t="n"/>
      <c r="K93" s="168" t="n">
        <v>0</v>
      </c>
      <c r="L93" s="172">
        <f>J39-K39</f>
        <v/>
      </c>
      <c r="M93" s="181" t="n"/>
      <c r="N93" s="181" t="n"/>
      <c r="O93" s="163">
        <f>L39-M39</f>
        <v/>
      </c>
      <c r="P93" s="163">
        <f>K39-N39</f>
        <v/>
      </c>
      <c r="Q93" s="163">
        <f>M39+O39</f>
        <v/>
      </c>
      <c r="R93" s="163">
        <f>M39+N39+O39+P39</f>
        <v/>
      </c>
      <c r="S93" s="181" t="n"/>
      <c r="T93" s="181" t="n"/>
      <c r="U93" s="181" t="n"/>
      <c r="V93" s="181" t="n"/>
      <c r="W93" s="181" t="n"/>
      <c r="X93" s="181" t="n"/>
      <c r="Y93" s="181" t="n"/>
      <c r="Z93" s="181" t="n"/>
      <c r="AA93" s="170" t="n"/>
      <c r="AB93" s="164" t="n"/>
      <c r="AC93" s="164" t="n"/>
      <c r="AD93" s="164" t="n"/>
      <c r="AE93" s="164" t="n"/>
      <c r="AF93" s="164" t="n"/>
      <c r="AG93" s="164" t="n"/>
      <c r="AH93" s="164" t="n"/>
      <c r="AI93" s="164" t="n"/>
      <c r="AJ93" s="164" t="n"/>
      <c r="AK93" s="164">
        <f>AB39/1.17*0.17+AC39/1.16*0.16+AD39/1.11*0.11+AE39/1.1*0.1+AF39/1.09*0.09+AI39/1.03*0.03</f>
        <v/>
      </c>
      <c r="AL93" s="96" t="n"/>
    </row>
    <row r="94">
      <c r="A94" s="34" t="n"/>
      <c r="B94" s="34" t="n"/>
      <c r="C94" s="34" t="n"/>
      <c r="D94" s="41" t="inlineStr">
        <is>
          <t>机械费小计：</t>
        </is>
      </c>
      <c r="E94" s="46" t="n"/>
      <c r="F94" s="46" t="n"/>
      <c r="G94" s="46" t="n"/>
      <c r="H94" s="174">
        <f>SUM(H38:H39)</f>
        <v/>
      </c>
      <c r="I94" s="174">
        <f>SUM(I38:I39)</f>
        <v/>
      </c>
      <c r="J94" s="174">
        <f>SUM(J38:J39)</f>
        <v/>
      </c>
      <c r="K94" s="174">
        <f>SUM(K38:K39)</f>
        <v/>
      </c>
      <c r="L94" s="177">
        <f>SUM(L38:L39)</f>
        <v/>
      </c>
      <c r="M94" s="174">
        <f>SUM(M38:M39)</f>
        <v/>
      </c>
      <c r="N94" s="174">
        <f>SUM(N38:N39)</f>
        <v/>
      </c>
      <c r="O94" s="174">
        <f>SUM(O38:O39)</f>
        <v/>
      </c>
      <c r="P94" s="174">
        <f>SUM(P38:P39)</f>
        <v/>
      </c>
      <c r="Q94" s="174">
        <f>SUM(Q38:Q39)</f>
        <v/>
      </c>
      <c r="R94" s="174">
        <f>SUM(R38:R39)</f>
        <v/>
      </c>
      <c r="S94" s="174">
        <f>SUM(S38:S39)</f>
        <v/>
      </c>
      <c r="T94" s="174" t="n"/>
      <c r="U94" s="174" t="n"/>
      <c r="V94" s="174" t="n"/>
      <c r="W94" s="174" t="n"/>
      <c r="X94" s="174" t="n"/>
      <c r="Y94" s="174" t="n"/>
      <c r="Z94" s="174">
        <f>SUM(Z38:Z39)</f>
        <v/>
      </c>
      <c r="AA94" s="174">
        <f>SUM(AA39:AA39)</f>
        <v/>
      </c>
      <c r="AB94" s="174" t="n"/>
      <c r="AC94" s="174" t="n"/>
      <c r="AD94" s="174" t="n"/>
      <c r="AE94" s="174" t="n"/>
      <c r="AF94" s="174" t="n"/>
      <c r="AG94" s="174" t="n"/>
      <c r="AH94" s="174" t="n"/>
      <c r="AI94" s="174" t="n"/>
      <c r="AJ94" s="174" t="n"/>
      <c r="AK94" s="174" t="n"/>
      <c r="AL94" s="95" t="n"/>
    </row>
    <row r="95">
      <c r="A95" s="27" t="n"/>
      <c r="B95" s="27" t="n"/>
      <c r="C95" s="27" t="n"/>
      <c r="D95" s="37" t="inlineStr">
        <is>
          <t>（五）其他直接费</t>
        </is>
      </c>
      <c r="E95" s="47" t="n"/>
      <c r="F95" s="47" t="n"/>
      <c r="G95" s="47" t="n"/>
      <c r="H95" s="163" t="n"/>
      <c r="I95" s="163" t="n"/>
      <c r="J95" s="158" t="n">
        <v>0</v>
      </c>
      <c r="K95" s="168" t="n">
        <v>0</v>
      </c>
      <c r="L95" s="172">
        <f>J41-N41-P41</f>
        <v/>
      </c>
      <c r="M95" s="158" t="n"/>
      <c r="N95" s="158" t="n"/>
      <c r="O95" s="163" t="n"/>
      <c r="P95" s="163" t="n"/>
      <c r="Q95" s="163" t="n"/>
      <c r="R95" s="163" t="n"/>
      <c r="S95" s="170" t="n"/>
      <c r="T95" s="170" t="n"/>
      <c r="U95" s="170" t="n"/>
      <c r="V95" s="170" t="n"/>
      <c r="W95" s="170" t="n"/>
      <c r="X95" s="170" t="n"/>
      <c r="Y95" s="170" t="n"/>
      <c r="Z95" s="170" t="n"/>
      <c r="AA95" s="170" t="n"/>
      <c r="AB95" s="170" t="n"/>
      <c r="AC95" s="170" t="n"/>
      <c r="AD95" s="170" t="n"/>
      <c r="AE95" s="170" t="n"/>
      <c r="AF95" s="170" t="n"/>
      <c r="AG95" s="170" t="n"/>
      <c r="AH95" s="170" t="n"/>
      <c r="AI95" s="170" t="n"/>
      <c r="AJ95" s="170" t="n"/>
      <c r="AK95" s="164" t="n"/>
      <c r="AL95" s="95" t="n"/>
    </row>
    <row r="96">
      <c r="A96" s="27" t="n">
        <v>1</v>
      </c>
      <c r="B96" s="27" t="n"/>
      <c r="C96" s="27" t="n"/>
      <c r="D96" s="171" t="inlineStr">
        <is>
          <t>检验实验费</t>
        </is>
      </c>
      <c r="E96" s="47" t="n"/>
      <c r="F96" s="47" t="n"/>
      <c r="G96" s="47" t="n"/>
      <c r="H96" s="163" t="n"/>
      <c r="I96" s="163" t="n"/>
      <c r="J96" s="163">
        <f>H42+I42</f>
        <v/>
      </c>
      <c r="K96" s="168" t="n">
        <v>0</v>
      </c>
      <c r="L96" s="172">
        <f>J42-K42</f>
        <v/>
      </c>
      <c r="M96" s="182" t="n"/>
      <c r="N96" s="182" t="n"/>
      <c r="O96" s="163">
        <f>L42-M42</f>
        <v/>
      </c>
      <c r="P96" s="163">
        <f>K42-N42</f>
        <v/>
      </c>
      <c r="Q96" s="163">
        <f>M42+O42</f>
        <v/>
      </c>
      <c r="R96" s="163">
        <f>M42+N42+O42+P42</f>
        <v/>
      </c>
      <c r="S96" s="182" t="n"/>
      <c r="T96" s="182" t="n"/>
      <c r="U96" s="182" t="n"/>
      <c r="V96" s="182" t="n"/>
      <c r="W96" s="182" t="n"/>
      <c r="X96" s="182" t="n"/>
      <c r="Y96" s="182" t="n"/>
      <c r="Z96" s="163">
        <f>SUM(AA42:AJ42)</f>
        <v/>
      </c>
      <c r="AA96" s="170" t="n"/>
      <c r="AB96" s="170" t="n"/>
      <c r="AC96" s="170" t="n"/>
      <c r="AD96" s="170" t="n"/>
      <c r="AE96" s="170" t="n"/>
      <c r="AF96" s="170" t="n"/>
      <c r="AG96" s="170" t="n"/>
      <c r="AH96" s="170" t="n"/>
      <c r="AI96" s="170" t="n"/>
      <c r="AJ96" s="170" t="n"/>
      <c r="AK96" s="164" t="n"/>
      <c r="AL96" s="95" t="n"/>
    </row>
    <row r="97">
      <c r="A97" s="27" t="n">
        <v>2</v>
      </c>
      <c r="B97" s="27" t="n"/>
      <c r="C97" s="27" t="n"/>
      <c r="D97" s="171" t="inlineStr">
        <is>
          <t>水费</t>
        </is>
      </c>
      <c r="E97" s="47" t="n"/>
      <c r="F97" s="47" t="n"/>
      <c r="G97" s="47" t="n"/>
      <c r="H97" s="163" t="n"/>
      <c r="I97" s="163" t="n"/>
      <c r="J97" s="163">
        <f>H43+I43</f>
        <v/>
      </c>
      <c r="K97" s="168" t="n">
        <v>0</v>
      </c>
      <c r="L97" s="172">
        <f>J43-K43</f>
        <v/>
      </c>
      <c r="M97" s="182" t="n"/>
      <c r="N97" s="182" t="n"/>
      <c r="O97" s="163">
        <f>L43-M43</f>
        <v/>
      </c>
      <c r="P97" s="163">
        <f>K43-N43</f>
        <v/>
      </c>
      <c r="Q97" s="163">
        <f>M43+O43</f>
        <v/>
      </c>
      <c r="R97" s="163">
        <f>M43+N43+O43+P43</f>
        <v/>
      </c>
      <c r="S97" s="182" t="n"/>
      <c r="T97" s="182" t="n"/>
      <c r="U97" s="182" t="n"/>
      <c r="V97" s="182" t="n"/>
      <c r="W97" s="182" t="n"/>
      <c r="X97" s="182" t="n"/>
      <c r="Y97" s="182" t="n"/>
      <c r="Z97" s="163">
        <f>SUM(AA43:AJ43)</f>
        <v/>
      </c>
      <c r="AA97" s="170" t="n"/>
      <c r="AB97" s="170" t="n"/>
      <c r="AC97" s="170" t="n"/>
      <c r="AD97" s="170" t="n"/>
      <c r="AE97" s="170" t="n"/>
      <c r="AF97" s="170" t="n"/>
      <c r="AG97" s="170" t="n"/>
      <c r="AH97" s="170" t="n"/>
      <c r="AI97" s="170" t="n"/>
      <c r="AJ97" s="170" t="n"/>
      <c r="AK97" s="164" t="n"/>
      <c r="AL97" s="95" t="n"/>
    </row>
    <row r="98">
      <c r="A98" s="27" t="n">
        <v>3</v>
      </c>
      <c r="B98" s="27" t="n"/>
      <c r="C98" s="27" t="n"/>
      <c r="D98" s="171" t="inlineStr">
        <is>
          <t>电费</t>
        </is>
      </c>
      <c r="E98" s="47" t="n"/>
      <c r="F98" s="47" t="n"/>
      <c r="G98" s="47" t="n"/>
      <c r="H98" s="163" t="n"/>
      <c r="I98" s="163" t="n"/>
      <c r="J98" s="163">
        <f>H44+I44</f>
        <v/>
      </c>
      <c r="K98" s="168" t="n">
        <v>0</v>
      </c>
      <c r="L98" s="172">
        <f>J44-K44</f>
        <v/>
      </c>
      <c r="M98" s="182" t="n"/>
      <c r="N98" s="182" t="n"/>
      <c r="O98" s="163">
        <f>L44-M44</f>
        <v/>
      </c>
      <c r="P98" s="163">
        <f>K44-N44</f>
        <v/>
      </c>
      <c r="Q98" s="163">
        <f>M44+O44</f>
        <v/>
      </c>
      <c r="R98" s="163">
        <f>M44+N44+O44+P44</f>
        <v/>
      </c>
      <c r="S98" s="182" t="n"/>
      <c r="T98" s="182" t="n"/>
      <c r="U98" s="182" t="n"/>
      <c r="V98" s="182" t="n"/>
      <c r="W98" s="182" t="n"/>
      <c r="X98" s="182" t="n"/>
      <c r="Y98" s="182" t="n"/>
      <c r="Z98" s="163">
        <f>SUM(AA44:AJ44)</f>
        <v/>
      </c>
      <c r="AA98" s="170" t="n"/>
      <c r="AB98" s="170" t="n"/>
      <c r="AC98" s="170" t="n"/>
      <c r="AD98" s="170" t="n"/>
      <c r="AE98" s="170" t="n"/>
      <c r="AF98" s="170" t="n"/>
      <c r="AG98" s="170" t="n"/>
      <c r="AH98" s="170" t="n"/>
      <c r="AI98" s="170" t="n"/>
      <c r="AJ98" s="170" t="n"/>
      <c r="AK98" s="164" t="n"/>
      <c r="AL98" s="95" t="n"/>
    </row>
    <row r="99">
      <c r="A99" s="27" t="n">
        <v>4</v>
      </c>
      <c r="B99" s="27" t="n"/>
      <c r="C99" s="27" t="n"/>
      <c r="D99" s="171" t="inlineStr">
        <is>
          <t>临时设施折旧费</t>
        </is>
      </c>
      <c r="E99" s="47" t="n"/>
      <c r="F99" s="47" t="n"/>
      <c r="G99" s="47" t="n"/>
      <c r="H99" s="163" t="n"/>
      <c r="I99" s="163" t="n"/>
      <c r="J99" s="163">
        <f>H45+I45</f>
        <v/>
      </c>
      <c r="K99" s="168" t="n">
        <v>0</v>
      </c>
      <c r="L99" s="172">
        <f>J45-K45</f>
        <v/>
      </c>
      <c r="M99" s="182" t="n"/>
      <c r="N99" s="182" t="n"/>
      <c r="O99" s="163">
        <f>L45-M45</f>
        <v/>
      </c>
      <c r="P99" s="163">
        <f>K45-N45</f>
        <v/>
      </c>
      <c r="Q99" s="163">
        <f>M45+O45</f>
        <v/>
      </c>
      <c r="R99" s="163">
        <f>M45+N45+O45+P45</f>
        <v/>
      </c>
      <c r="S99" s="182" t="n"/>
      <c r="T99" s="182" t="n"/>
      <c r="U99" s="182" t="n"/>
      <c r="V99" s="182" t="n"/>
      <c r="W99" s="182" t="n"/>
      <c r="X99" s="182" t="n"/>
      <c r="Y99" s="182" t="n"/>
      <c r="Z99" s="163">
        <f>SUM(AA45:AJ45)</f>
        <v/>
      </c>
      <c r="AA99" s="170" t="n"/>
      <c r="AB99" s="170" t="n"/>
      <c r="AC99" s="170" t="n"/>
      <c r="AD99" s="170" t="n"/>
      <c r="AE99" s="170" t="n"/>
      <c r="AF99" s="170" t="n"/>
      <c r="AG99" s="170" t="n"/>
      <c r="AH99" s="170" t="n"/>
      <c r="AI99" s="170" t="n"/>
      <c r="AJ99" s="170" t="n"/>
      <c r="AK99" s="164" t="n"/>
      <c r="AL99" s="95" t="n"/>
    </row>
    <row r="100">
      <c r="A100" s="27" t="n">
        <v>5</v>
      </c>
      <c r="B100" s="27" t="n"/>
      <c r="C100" s="27" t="n"/>
      <c r="D100" s="171" t="inlineStr">
        <is>
          <t>其他</t>
        </is>
      </c>
      <c r="E100" s="47" t="n"/>
      <c r="F100" s="47" t="n"/>
      <c r="G100" s="47" t="n"/>
      <c r="H100" s="163" t="n"/>
      <c r="I100" s="163" t="n"/>
      <c r="J100" s="163">
        <f>H46+I46</f>
        <v/>
      </c>
      <c r="K100" s="168" t="n">
        <v>0</v>
      </c>
      <c r="L100" s="172">
        <f>J46-K46</f>
        <v/>
      </c>
      <c r="M100" s="182" t="n"/>
      <c r="N100" s="182" t="n">
        <v>0</v>
      </c>
      <c r="O100" s="163">
        <f>L46-M46</f>
        <v/>
      </c>
      <c r="P100" s="163">
        <f>K46-N46</f>
        <v/>
      </c>
      <c r="Q100" s="163">
        <f>M46+O46</f>
        <v/>
      </c>
      <c r="R100" s="163">
        <f>M46+N46+O46+P46</f>
        <v/>
      </c>
      <c r="S100" s="182" t="n"/>
      <c r="T100" s="182" t="n"/>
      <c r="U100" s="182" t="n"/>
      <c r="V100" s="182" t="n"/>
      <c r="W100" s="182" t="n"/>
      <c r="X100" s="182" t="n"/>
      <c r="Y100" s="182" t="n"/>
      <c r="Z100" s="163">
        <f>SUM(AA46:AJ46)</f>
        <v/>
      </c>
      <c r="AA100" s="170" t="n"/>
      <c r="AB100" s="170" t="n"/>
      <c r="AC100" s="170" t="n"/>
      <c r="AD100" s="170" t="n"/>
      <c r="AE100" s="170" t="n"/>
      <c r="AF100" s="170" t="n"/>
      <c r="AG100" s="170" t="n"/>
      <c r="AH100" s="170" t="n"/>
      <c r="AI100" s="170" t="n"/>
      <c r="AJ100" s="170" t="n"/>
      <c r="AK100" s="164" t="n"/>
      <c r="AL100" s="95" t="n"/>
    </row>
    <row r="101">
      <c r="A101" s="27" t="n"/>
      <c r="B101" s="27" t="inlineStr">
        <is>
          <t>无客商-应付汤村项目复建区1号地块广州</t>
        </is>
      </c>
      <c r="C101" s="27" t="n">
        <v/>
      </c>
      <c r="D101" s="32" t="n"/>
      <c r="E101" s="47" t="n"/>
      <c r="F101" s="47" t="n"/>
      <c r="G101" s="47" t="n"/>
      <c r="H101" s="163" t="n"/>
      <c r="I101" s="163" t="n"/>
      <c r="J101" s="158" t="n"/>
      <c r="K101" s="168" t="n"/>
      <c r="L101" s="172" t="n"/>
      <c r="M101" s="182" t="n"/>
      <c r="N101" s="182" t="n"/>
      <c r="O101" s="163" t="n"/>
      <c r="P101" s="163" t="n">
        <v>1132740.61</v>
      </c>
      <c r="Q101" s="163" t="n"/>
      <c r="R101" s="163" t="n"/>
      <c r="S101" s="182" t="n"/>
      <c r="T101" s="182" t="n"/>
      <c r="U101" s="182" t="n"/>
      <c r="V101" s="182" t="n"/>
      <c r="W101" s="182" t="n"/>
      <c r="X101" s="182" t="n"/>
      <c r="Y101" s="182" t="n"/>
      <c r="Z101" s="163" t="n"/>
      <c r="AA101" s="170" t="n"/>
      <c r="AB101" s="170" t="n"/>
      <c r="AC101" s="170" t="n"/>
      <c r="AD101" s="170" t="n"/>
      <c r="AE101" s="170" t="n"/>
      <c r="AF101" s="170" t="n"/>
      <c r="AG101" s="170" t="n"/>
      <c r="AH101" s="170" t="n"/>
      <c r="AI101" s="170" t="n"/>
      <c r="AJ101" s="170" t="n"/>
      <c r="AK101" s="164" t="n"/>
      <c r="AL101" s="95" t="n"/>
    </row>
    <row r="102">
      <c r="A102" s="27" t="n"/>
      <c r="B102" s="27" t="inlineStr">
        <is>
          <t>无客商-应付汤村复一项目深圳市鑫俊辉机</t>
        </is>
      </c>
      <c r="C102" s="27" t="n">
        <v/>
      </c>
      <c r="D102" s="32" t="n"/>
      <c r="E102" s="47" t="n"/>
      <c r="F102" s="47" t="n"/>
      <c r="G102" s="47" t="n"/>
      <c r="H102" s="163" t="n"/>
      <c r="I102" s="163" t="n"/>
      <c r="J102" s="158" t="n"/>
      <c r="K102" s="168" t="n"/>
      <c r="L102" s="172" t="n"/>
      <c r="M102" s="182" t="n"/>
      <c r="N102" s="182" t="n"/>
      <c r="O102" s="163" t="n"/>
      <c r="P102" s="163" t="n">
        <v>260430</v>
      </c>
      <c r="Q102" s="163" t="n"/>
      <c r="R102" s="163" t="n"/>
      <c r="S102" s="182" t="n"/>
      <c r="T102" s="182" t="n"/>
      <c r="U102" s="182" t="n"/>
      <c r="V102" s="182" t="n"/>
      <c r="W102" s="182" t="n"/>
      <c r="X102" s="182" t="n"/>
      <c r="Y102" s="182" t="n"/>
      <c r="Z102" s="163" t="n"/>
      <c r="AA102" s="170" t="n"/>
      <c r="AB102" s="170" t="n"/>
      <c r="AC102" s="170" t="n"/>
      <c r="AD102" s="170" t="n"/>
      <c r="AE102" s="170" t="n"/>
      <c r="AF102" s="170" t="n"/>
      <c r="AG102" s="170" t="n"/>
      <c r="AH102" s="170" t="n"/>
      <c r="AI102" s="170" t="n"/>
      <c r="AJ102" s="170" t="n"/>
      <c r="AK102" s="164" t="n"/>
      <c r="AL102" s="95" t="n"/>
    </row>
    <row r="103">
      <c r="A103" s="27" t="n"/>
      <c r="B103" s="27" t="inlineStr">
        <is>
          <t>无客商-应付汤村复一项目广州易达运输有</t>
        </is>
      </c>
      <c r="C103" s="27" t="n">
        <v/>
      </c>
      <c r="D103" s="32" t="n"/>
      <c r="E103" s="47" t="n"/>
      <c r="F103" s="47" t="n"/>
      <c r="G103" s="47" t="n"/>
      <c r="H103" s="163" t="n"/>
      <c r="I103" s="163" t="n"/>
      <c r="J103" s="158" t="n"/>
      <c r="K103" s="168" t="n"/>
      <c r="L103" s="172" t="n"/>
      <c r="M103" s="182" t="n"/>
      <c r="N103" s="182" t="n"/>
      <c r="O103" s="163" t="n"/>
      <c r="P103" s="163" t="n">
        <v>58915.4</v>
      </c>
      <c r="Q103" s="163" t="n"/>
      <c r="R103" s="163" t="n"/>
      <c r="S103" s="182" t="n"/>
      <c r="T103" s="182" t="n"/>
      <c r="U103" s="182" t="n"/>
      <c r="V103" s="182" t="n"/>
      <c r="W103" s="182" t="n"/>
      <c r="X103" s="182" t="n"/>
      <c r="Y103" s="182" t="n"/>
      <c r="Z103" s="163" t="n"/>
      <c r="AA103" s="170" t="n"/>
      <c r="AB103" s="170" t="n"/>
      <c r="AC103" s="170" t="n"/>
      <c r="AD103" s="170" t="n"/>
      <c r="AE103" s="170" t="n"/>
      <c r="AF103" s="170" t="n"/>
      <c r="AG103" s="170" t="n"/>
      <c r="AH103" s="170" t="n"/>
      <c r="AI103" s="170" t="n"/>
      <c r="AJ103" s="170" t="n"/>
      <c r="AK103" s="164" t="n"/>
      <c r="AL103" s="95" t="n"/>
    </row>
    <row r="104">
      <c r="A104" s="27" t="n"/>
      <c r="B104" s="27" t="inlineStr">
        <is>
          <t>无客商-应付汤村复一项目广州小老虎建筑</t>
        </is>
      </c>
      <c r="C104" s="27" t="n">
        <v/>
      </c>
      <c r="D104" s="32" t="n"/>
      <c r="E104" s="47" t="n"/>
      <c r="F104" s="47" t="n"/>
      <c r="G104" s="47" t="n"/>
      <c r="H104" s="163" t="n"/>
      <c r="I104" s="163" t="n"/>
      <c r="J104" s="158" t="n"/>
      <c r="K104" s="168" t="n"/>
      <c r="L104" s="172" t="n"/>
      <c r="M104" s="182" t="n"/>
      <c r="N104" s="182" t="n"/>
      <c r="O104" s="163" t="n"/>
      <c r="P104" s="163" t="n">
        <v>7190034.56</v>
      </c>
      <c r="Q104" s="163" t="n"/>
      <c r="R104" s="163" t="n"/>
      <c r="S104" s="182" t="n"/>
      <c r="T104" s="182" t="n"/>
      <c r="U104" s="182" t="n"/>
      <c r="V104" s="182" t="n"/>
      <c r="W104" s="182" t="n"/>
      <c r="X104" s="182" t="n"/>
      <c r="Y104" s="182" t="n"/>
      <c r="Z104" s="163" t="n"/>
      <c r="AA104" s="170" t="n"/>
      <c r="AB104" s="170" t="n"/>
      <c r="AC104" s="170" t="n"/>
      <c r="AD104" s="170" t="n"/>
      <c r="AE104" s="170" t="n"/>
      <c r="AF104" s="170" t="n"/>
      <c r="AG104" s="170" t="n"/>
      <c r="AH104" s="170" t="n"/>
      <c r="AI104" s="170" t="n"/>
      <c r="AJ104" s="170" t="n"/>
      <c r="AK104" s="164" t="n"/>
      <c r="AL104" s="95" t="n"/>
    </row>
    <row r="105">
      <c r="A105" s="27" t="n"/>
      <c r="B105" s="27" t="inlineStr">
        <is>
          <t>无客商-应付汤村复一项目广东君晖建筑工</t>
        </is>
      </c>
      <c r="C105" s="27" t="n">
        <v/>
      </c>
      <c r="D105" s="32" t="n"/>
      <c r="E105" s="47" t="n"/>
      <c r="F105" s="47" t="n"/>
      <c r="G105" s="47" t="n"/>
      <c r="H105" s="163" t="n"/>
      <c r="I105" s="163" t="n"/>
      <c r="J105" s="158" t="n"/>
      <c r="K105" s="168" t="n"/>
      <c r="L105" s="172" t="n"/>
      <c r="M105" s="182" t="n"/>
      <c r="N105" s="182" t="n"/>
      <c r="O105" s="163" t="n"/>
      <c r="P105" s="163" t="n">
        <v>394403.33</v>
      </c>
      <c r="Q105" s="163" t="n"/>
      <c r="R105" s="163" t="n"/>
      <c r="S105" s="182" t="n"/>
      <c r="T105" s="182" t="n"/>
      <c r="U105" s="182" t="n"/>
      <c r="V105" s="182" t="n"/>
      <c r="W105" s="182" t="n"/>
      <c r="X105" s="182" t="n"/>
      <c r="Y105" s="182" t="n"/>
      <c r="Z105" s="163" t="n"/>
      <c r="AA105" s="170" t="n"/>
      <c r="AB105" s="170" t="n"/>
      <c r="AC105" s="170" t="n"/>
      <c r="AD105" s="170" t="n"/>
      <c r="AE105" s="170" t="n"/>
      <c r="AF105" s="170" t="n"/>
      <c r="AG105" s="170" t="n"/>
      <c r="AH105" s="170" t="n"/>
      <c r="AI105" s="170" t="n"/>
      <c r="AJ105" s="170" t="n"/>
      <c r="AK105" s="164" t="n"/>
      <c r="AL105" s="95" t="n"/>
    </row>
    <row r="106">
      <c r="A106" s="27" t="n"/>
      <c r="B106" s="27" t="inlineStr">
        <is>
          <t>无客商-应付汤村复一项目佛山市南海鼎赞</t>
        </is>
      </c>
      <c r="C106" s="27" t="n">
        <v/>
      </c>
      <c r="D106" s="32" t="n"/>
      <c r="E106" s="47" t="n"/>
      <c r="F106" s="47" t="n"/>
      <c r="G106" s="47" t="n"/>
      <c r="H106" s="163" t="n"/>
      <c r="I106" s="163" t="n"/>
      <c r="J106" s="158" t="n"/>
      <c r="K106" s="168" t="n"/>
      <c r="L106" s="172" t="n"/>
      <c r="M106" s="182" t="n"/>
      <c r="N106" s="182" t="n"/>
      <c r="O106" s="163" t="n"/>
      <c r="P106" s="163" t="n">
        <v>3140750.01</v>
      </c>
      <c r="Q106" s="163" t="n"/>
      <c r="R106" s="163" t="n"/>
      <c r="S106" s="182" t="n"/>
      <c r="T106" s="182" t="n"/>
      <c r="U106" s="182" t="n"/>
      <c r="V106" s="182" t="n"/>
      <c r="W106" s="182" t="n"/>
      <c r="X106" s="182" t="n"/>
      <c r="Y106" s="182" t="n"/>
      <c r="Z106" s="163" t="n"/>
      <c r="AA106" s="170" t="n"/>
      <c r="AB106" s="170" t="n"/>
      <c r="AC106" s="170" t="n"/>
      <c r="AD106" s="170" t="n"/>
      <c r="AE106" s="170" t="n"/>
      <c r="AF106" s="170" t="n"/>
      <c r="AG106" s="170" t="n"/>
      <c r="AH106" s="170" t="n"/>
      <c r="AI106" s="170" t="n"/>
      <c r="AJ106" s="170" t="n"/>
      <c r="AK106" s="164" t="n"/>
      <c r="AL106" s="95" t="n"/>
    </row>
    <row r="107">
      <c r="A107" s="27" t="n"/>
      <c r="B107" s="27" t="n"/>
      <c r="C107" s="27" t="n"/>
      <c r="D107" s="32" t="inlineStr">
        <is>
          <t>**财务未列部分需增列***</t>
        </is>
      </c>
      <c r="E107" s="47" t="n"/>
      <c r="F107" s="47" t="n"/>
      <c r="G107" s="47" t="n"/>
      <c r="H107" s="163" t="n"/>
      <c r="I107" s="163" t="n"/>
      <c r="J107" s="158" t="n"/>
      <c r="K107" s="168" t="n"/>
      <c r="L107" s="172">
        <f>J47-K47</f>
        <v/>
      </c>
      <c r="M107" s="182" t="n"/>
      <c r="N107" s="182" t="n"/>
      <c r="O107" s="163">
        <f>L47-M47</f>
        <v/>
      </c>
      <c r="P107" s="163">
        <f>K47-N47</f>
        <v/>
      </c>
      <c r="Q107" s="163">
        <f>M47+O47</f>
        <v/>
      </c>
      <c r="R107" s="163">
        <f>M47+N47+O47+P47</f>
        <v/>
      </c>
      <c r="S107" s="182" t="n"/>
      <c r="T107" s="182" t="n"/>
      <c r="U107" s="182" t="n"/>
      <c r="V107" s="182" t="n"/>
      <c r="W107" s="182" t="n"/>
      <c r="X107" s="182" t="n"/>
      <c r="Y107" s="182" t="n"/>
      <c r="Z107" s="163">
        <f>SUM(AA47:AJ47)</f>
        <v/>
      </c>
      <c r="AA107" s="170" t="n"/>
      <c r="AB107" s="170" t="n"/>
      <c r="AC107" s="170" t="n"/>
      <c r="AD107" s="170" t="n"/>
      <c r="AE107" s="170" t="n"/>
      <c r="AF107" s="170" t="n"/>
      <c r="AG107" s="170" t="n"/>
      <c r="AH107" s="170" t="n"/>
      <c r="AI107" s="170" t="n"/>
      <c r="AJ107" s="170" t="n"/>
      <c r="AK107" s="164" t="n"/>
      <c r="AL107" s="95" t="n"/>
    </row>
    <row r="108">
      <c r="A108" s="51" t="n"/>
      <c r="B108" s="51" t="n"/>
      <c r="C108" s="51" t="n"/>
      <c r="D108" s="41" t="inlineStr">
        <is>
          <t>其他直接费小计：</t>
        </is>
      </c>
      <c r="E108" s="52" t="n"/>
      <c r="F108" s="52" t="n"/>
      <c r="G108" s="52" t="n"/>
      <c r="H108" s="174">
        <f>SUM(H41:H46)</f>
        <v/>
      </c>
      <c r="I108" s="174">
        <f>SUM(I41:I46)</f>
        <v/>
      </c>
      <c r="J108" s="174">
        <f>SUM(J41:J46)</f>
        <v/>
      </c>
      <c r="K108" s="174">
        <f>SUM(K41:K46)</f>
        <v/>
      </c>
      <c r="L108" s="177">
        <f>SUM(L41:L46)</f>
        <v/>
      </c>
      <c r="M108" s="174">
        <f>SUM(M42:M46)</f>
        <v/>
      </c>
      <c r="N108" s="174">
        <f>SUM(N42:N46)</f>
        <v/>
      </c>
      <c r="O108" s="174">
        <f>L48-M48</f>
        <v/>
      </c>
      <c r="P108" s="174">
        <f>SUM(P42:P46)</f>
        <v/>
      </c>
      <c r="Q108" s="174">
        <f>M48+O48</f>
        <v/>
      </c>
      <c r="R108" s="174">
        <f>SUM(R42:R46)</f>
        <v/>
      </c>
      <c r="S108" s="174">
        <f>SUM(S42:S46)</f>
        <v/>
      </c>
      <c r="T108" s="174" t="n"/>
      <c r="U108" s="174" t="n"/>
      <c r="V108" s="174" t="n"/>
      <c r="W108" s="174" t="n"/>
      <c r="X108" s="174" t="n"/>
      <c r="Y108" s="174" t="n"/>
      <c r="Z108" s="174">
        <f>SUM(Z42:Z46)</f>
        <v/>
      </c>
      <c r="AA108" s="174">
        <f>SUM(AA42:AA46)</f>
        <v/>
      </c>
      <c r="AB108" s="174">
        <f>SUM(AB42:AB46)</f>
        <v/>
      </c>
      <c r="AC108" s="174">
        <f>SUM(AC42:AC46)</f>
        <v/>
      </c>
      <c r="AD108" s="174">
        <f>SUM(AD42:AD46)</f>
        <v/>
      </c>
      <c r="AE108" s="174">
        <f>SUM(AE42:AE46)</f>
        <v/>
      </c>
      <c r="AF108" s="174">
        <f>SUM(AF42:AF46)</f>
        <v/>
      </c>
      <c r="AG108" s="174" t="n"/>
      <c r="AH108" s="174" t="n"/>
      <c r="AI108" s="174">
        <f>SUM(AI42:AI46)</f>
        <v/>
      </c>
      <c r="AJ108" s="174">
        <f>SUM(AJ42:AJ46)</f>
        <v/>
      </c>
      <c r="AK108" s="174">
        <f>SUM(AK42:AK46)</f>
        <v/>
      </c>
      <c r="AL108" s="95" t="n"/>
    </row>
    <row r="109">
      <c r="A109" s="27" t="n"/>
      <c r="B109" s="27" t="n"/>
      <c r="C109" s="27" t="n"/>
      <c r="D109" s="37" t="inlineStr">
        <is>
          <t>（六）间接费</t>
        </is>
      </c>
      <c r="E109" s="47" t="n"/>
      <c r="F109" s="47" t="n"/>
      <c r="G109" s="47" t="n"/>
      <c r="H109" s="158" t="n"/>
      <c r="I109" s="163" t="n"/>
      <c r="J109" s="163" t="n">
        <v>0</v>
      </c>
      <c r="K109" s="168" t="n">
        <v>0</v>
      </c>
      <c r="L109" s="172">
        <f>J49-N49-P49</f>
        <v/>
      </c>
      <c r="M109" s="158" t="n"/>
      <c r="N109" s="158" t="n"/>
      <c r="O109" s="163" t="n"/>
      <c r="P109" s="163" t="n"/>
      <c r="Q109" s="163" t="n"/>
      <c r="R109" s="163" t="n"/>
      <c r="S109" s="170" t="n"/>
      <c r="T109" s="170" t="n"/>
      <c r="U109" s="170" t="n"/>
      <c r="V109" s="170" t="n"/>
      <c r="W109" s="170" t="n"/>
      <c r="X109" s="170" t="n"/>
      <c r="Y109" s="170" t="n"/>
      <c r="Z109" s="170" t="n"/>
      <c r="AA109" s="170" t="n"/>
      <c r="AB109" s="170" t="n"/>
      <c r="AC109" s="170" t="n"/>
      <c r="AD109" s="170" t="n"/>
      <c r="AE109" s="170" t="n"/>
      <c r="AF109" s="170" t="n"/>
      <c r="AG109" s="170" t="n"/>
      <c r="AH109" s="170" t="n"/>
      <c r="AI109" s="170" t="n"/>
      <c r="AJ109" s="170" t="n"/>
      <c r="AK109" s="164" t="n"/>
      <c r="AL109" s="95" t="n"/>
    </row>
    <row r="110">
      <c r="A110" s="27" t="n">
        <v>1</v>
      </c>
      <c r="B110" s="27" t="n"/>
      <c r="C110" s="27" t="n"/>
      <c r="D110" s="171" t="inlineStr">
        <is>
          <t>工资</t>
        </is>
      </c>
      <c r="E110" s="47" t="n"/>
      <c r="F110" s="47" t="n"/>
      <c r="G110" s="47" t="n"/>
      <c r="H110" s="182" t="n"/>
      <c r="I110" s="163" t="n"/>
      <c r="J110" s="182">
        <f>H50+I50</f>
        <v/>
      </c>
      <c r="K110" s="168" t="n">
        <v>0</v>
      </c>
      <c r="L110" s="172">
        <f>J50-K50</f>
        <v/>
      </c>
      <c r="M110" s="182" t="n"/>
      <c r="N110" s="182" t="n"/>
      <c r="O110" s="163">
        <f>L50-M50</f>
        <v/>
      </c>
      <c r="P110" s="163">
        <f>K50-N50</f>
        <v/>
      </c>
      <c r="Q110" s="163">
        <f>M50+O50</f>
        <v/>
      </c>
      <c r="R110" s="163">
        <f>M50+N50+O50+P50</f>
        <v/>
      </c>
      <c r="S110" s="182" t="n"/>
      <c r="T110" s="182" t="n"/>
      <c r="U110" s="182" t="n"/>
      <c r="V110" s="182" t="n"/>
      <c r="W110" s="182" t="n"/>
      <c r="X110" s="182" t="n"/>
      <c r="Y110" s="182" t="n"/>
      <c r="Z110" s="163">
        <f>SUM(AA50:AJ50)</f>
        <v/>
      </c>
      <c r="AA110" s="170" t="n"/>
      <c r="AB110" s="170" t="n"/>
      <c r="AC110" s="170" t="n"/>
      <c r="AD110" s="170" t="n"/>
      <c r="AE110" s="170" t="n"/>
      <c r="AF110" s="170" t="n"/>
      <c r="AG110" s="170" t="n"/>
      <c r="AH110" s="170" t="n"/>
      <c r="AI110" s="170" t="n"/>
      <c r="AJ110" s="170" t="n"/>
      <c r="AK110" s="164" t="n"/>
      <c r="AL110" s="95" t="n"/>
    </row>
    <row r="111">
      <c r="A111" s="27" t="n">
        <v>2</v>
      </c>
      <c r="B111" s="27" t="n"/>
      <c r="C111" s="27" t="n"/>
      <c r="D111" s="171" t="inlineStr">
        <is>
          <t>福利费</t>
        </is>
      </c>
      <c r="E111" s="47" t="n"/>
      <c r="F111" s="47" t="n"/>
      <c r="G111" s="47" t="n"/>
      <c r="H111" s="182" t="n"/>
      <c r="I111" s="163" t="n"/>
      <c r="J111" s="182">
        <f>H51+I51</f>
        <v/>
      </c>
      <c r="K111" s="168" t="n">
        <v>0</v>
      </c>
      <c r="L111" s="172">
        <f>J51-K51</f>
        <v/>
      </c>
      <c r="M111" s="182" t="n"/>
      <c r="N111" s="182" t="n"/>
      <c r="O111" s="163">
        <f>L51-M51</f>
        <v/>
      </c>
      <c r="P111" s="163">
        <f>K51-N51</f>
        <v/>
      </c>
      <c r="Q111" s="163">
        <f>M51+O51</f>
        <v/>
      </c>
      <c r="R111" s="163">
        <f>M51+N51+O51+P51</f>
        <v/>
      </c>
      <c r="S111" s="182" t="n"/>
      <c r="T111" s="182" t="n"/>
      <c r="U111" s="182" t="n"/>
      <c r="V111" s="182" t="n"/>
      <c r="W111" s="182" t="n"/>
      <c r="X111" s="182" t="n"/>
      <c r="Y111" s="182" t="n"/>
      <c r="Z111" s="163">
        <f>SUM(AA51:AJ51)</f>
        <v/>
      </c>
      <c r="AA111" s="170" t="n"/>
      <c r="AB111" s="170" t="n"/>
      <c r="AC111" s="170" t="n"/>
      <c r="AD111" s="170" t="n"/>
      <c r="AE111" s="170" t="n"/>
      <c r="AF111" s="170" t="n"/>
      <c r="AG111" s="170" t="n"/>
      <c r="AH111" s="170" t="n"/>
      <c r="AI111" s="170" t="n"/>
      <c r="AJ111" s="170" t="n"/>
      <c r="AK111" s="164" t="n"/>
      <c r="AL111" s="95" t="n"/>
    </row>
    <row r="112">
      <c r="A112" s="27" t="n">
        <v>3</v>
      </c>
      <c r="B112" s="27" t="n"/>
      <c r="C112" s="27" t="n"/>
      <c r="D112" s="171" t="inlineStr">
        <is>
          <t>折旧费</t>
        </is>
      </c>
      <c r="E112" s="47" t="n"/>
      <c r="F112" s="47" t="n"/>
      <c r="G112" s="47" t="n"/>
      <c r="H112" s="182" t="n"/>
      <c r="I112" s="163" t="n"/>
      <c r="J112" s="182">
        <f>H52+I52</f>
        <v/>
      </c>
      <c r="K112" s="168" t="n">
        <v>0</v>
      </c>
      <c r="L112" s="172">
        <f>J52-K52</f>
        <v/>
      </c>
      <c r="M112" s="182" t="n"/>
      <c r="N112" s="163" t="n"/>
      <c r="O112" s="163">
        <f>L52-M52</f>
        <v/>
      </c>
      <c r="P112" s="163">
        <f>K52-N52</f>
        <v/>
      </c>
      <c r="Q112" s="163">
        <f>M52+O52</f>
        <v/>
      </c>
      <c r="R112" s="163">
        <f>M52+N52+O52+P52</f>
        <v/>
      </c>
      <c r="S112" s="182" t="n"/>
      <c r="T112" s="182" t="n"/>
      <c r="U112" s="182" t="n"/>
      <c r="V112" s="182" t="n"/>
      <c r="W112" s="182" t="n"/>
      <c r="X112" s="182" t="n"/>
      <c r="Y112" s="182" t="n"/>
      <c r="Z112" s="163">
        <f>SUM(AA52:AJ52)</f>
        <v/>
      </c>
      <c r="AA112" s="170" t="n"/>
      <c r="AB112" s="170" t="n"/>
      <c r="AC112" s="170" t="n"/>
      <c r="AD112" s="170" t="n"/>
      <c r="AE112" s="170" t="n"/>
      <c r="AF112" s="170" t="n"/>
      <c r="AG112" s="170" t="n"/>
      <c r="AH112" s="170" t="n"/>
      <c r="AI112" s="170" t="n"/>
      <c r="AJ112" s="170" t="n"/>
      <c r="AK112" s="164" t="n"/>
      <c r="AL112" s="95" t="n"/>
    </row>
    <row r="113">
      <c r="A113" s="27" t="n">
        <v>4</v>
      </c>
      <c r="B113" s="27" t="n"/>
      <c r="C113" s="27" t="n"/>
      <c r="D113" s="171" t="inlineStr">
        <is>
          <t>修理费</t>
        </is>
      </c>
      <c r="E113" s="47" t="n"/>
      <c r="F113" s="47" t="n"/>
      <c r="G113" s="47" t="n"/>
      <c r="H113" s="182" t="n"/>
      <c r="I113" s="163" t="n"/>
      <c r="J113" s="182">
        <f>H53+I53</f>
        <v/>
      </c>
      <c r="K113" s="168" t="n">
        <v>0</v>
      </c>
      <c r="L113" s="172">
        <f>J53-K53</f>
        <v/>
      </c>
      <c r="M113" s="182" t="n"/>
      <c r="N113" s="182" t="n"/>
      <c r="O113" s="163">
        <f>L53-M53</f>
        <v/>
      </c>
      <c r="P113" s="163">
        <f>K53-N53</f>
        <v/>
      </c>
      <c r="Q113" s="163">
        <f>M53+O53</f>
        <v/>
      </c>
      <c r="R113" s="163">
        <f>M53+N53+O53+P53</f>
        <v/>
      </c>
      <c r="S113" s="182" t="n"/>
      <c r="T113" s="182" t="n"/>
      <c r="U113" s="182" t="n"/>
      <c r="V113" s="182" t="n"/>
      <c r="W113" s="182" t="n"/>
      <c r="X113" s="182" t="n"/>
      <c r="Y113" s="182" t="n"/>
      <c r="Z113" s="163">
        <f>SUM(AA53:AJ53)</f>
        <v/>
      </c>
      <c r="AA113" s="170" t="n"/>
      <c r="AB113" s="170" t="n"/>
      <c r="AC113" s="170" t="n"/>
      <c r="AD113" s="170" t="n"/>
      <c r="AE113" s="170" t="n"/>
      <c r="AF113" s="170" t="n"/>
      <c r="AG113" s="170" t="n"/>
      <c r="AH113" s="170" t="n"/>
      <c r="AI113" s="170" t="n"/>
      <c r="AJ113" s="170" t="n"/>
      <c r="AK113" s="164" t="n"/>
      <c r="AL113" s="95" t="n"/>
    </row>
    <row r="114">
      <c r="A114" s="27" t="n">
        <v>5</v>
      </c>
      <c r="B114" s="27" t="n"/>
      <c r="C114" s="27" t="n"/>
      <c r="D114" s="171" t="inlineStr">
        <is>
          <t>物料消耗</t>
        </is>
      </c>
      <c r="E114" s="47" t="n"/>
      <c r="F114" s="47" t="n"/>
      <c r="G114" s="47" t="n"/>
      <c r="H114" s="182" t="n"/>
      <c r="I114" s="163" t="n"/>
      <c r="J114" s="182">
        <f>H54+I54</f>
        <v/>
      </c>
      <c r="K114" s="168" t="n">
        <v>0</v>
      </c>
      <c r="L114" s="172">
        <f>J54-K54</f>
        <v/>
      </c>
      <c r="M114" s="182" t="n"/>
      <c r="N114" s="182" t="n"/>
      <c r="O114" s="163">
        <f>L54-M54</f>
        <v/>
      </c>
      <c r="P114" s="163">
        <f>K54-N54</f>
        <v/>
      </c>
      <c r="Q114" s="163">
        <f>M54+O54</f>
        <v/>
      </c>
      <c r="R114" s="163">
        <f>M54+N54+O54+P54</f>
        <v/>
      </c>
      <c r="S114" s="182" t="n"/>
      <c r="T114" s="182" t="n"/>
      <c r="U114" s="182" t="n"/>
      <c r="V114" s="182" t="n"/>
      <c r="W114" s="182" t="n"/>
      <c r="X114" s="182" t="n"/>
      <c r="Y114" s="182" t="n"/>
      <c r="Z114" s="163">
        <f>SUM(AA54:AJ54)</f>
        <v/>
      </c>
      <c r="AA114" s="170" t="n"/>
      <c r="AB114" s="170" t="n"/>
      <c r="AC114" s="170" t="n"/>
      <c r="AD114" s="170" t="n"/>
      <c r="AE114" s="170" t="n"/>
      <c r="AF114" s="170" t="n"/>
      <c r="AG114" s="170" t="n"/>
      <c r="AH114" s="170" t="n"/>
      <c r="AI114" s="170" t="n"/>
      <c r="AJ114" s="170" t="n"/>
      <c r="AK114" s="164" t="n"/>
      <c r="AL114" s="95" t="n"/>
    </row>
    <row r="115">
      <c r="A115" s="27" t="n">
        <v>6</v>
      </c>
      <c r="B115" s="27" t="n"/>
      <c r="C115" s="27" t="n"/>
      <c r="D115" s="171" t="inlineStr">
        <is>
          <t>办公费</t>
        </is>
      </c>
      <c r="E115" s="47" t="n"/>
      <c r="F115" s="47" t="n"/>
      <c r="G115" s="47" t="n"/>
      <c r="H115" s="182" t="n"/>
      <c r="I115" s="163" t="n"/>
      <c r="J115" s="182">
        <f>H55+I55</f>
        <v/>
      </c>
      <c r="K115" s="168" t="n">
        <v>0</v>
      </c>
      <c r="L115" s="172">
        <f>J55-K55</f>
        <v/>
      </c>
      <c r="M115" s="182" t="n"/>
      <c r="N115" s="182" t="n"/>
      <c r="O115" s="163">
        <f>L55-M55</f>
        <v/>
      </c>
      <c r="P115" s="163">
        <f>K55-N55</f>
        <v/>
      </c>
      <c r="Q115" s="163">
        <f>M55+O55</f>
        <v/>
      </c>
      <c r="R115" s="163">
        <f>M55+N55+O55+P55</f>
        <v/>
      </c>
      <c r="S115" s="182" t="n"/>
      <c r="T115" s="182" t="n"/>
      <c r="U115" s="182" t="n"/>
      <c r="V115" s="182" t="n"/>
      <c r="W115" s="182" t="n"/>
      <c r="X115" s="182" t="n"/>
      <c r="Y115" s="182" t="n"/>
      <c r="Z115" s="163">
        <f>SUM(AA55:AJ55)</f>
        <v/>
      </c>
      <c r="AA115" s="170" t="n"/>
      <c r="AB115" s="170" t="n"/>
      <c r="AC115" s="170" t="n"/>
      <c r="AD115" s="170" t="n"/>
      <c r="AE115" s="170" t="n"/>
      <c r="AF115" s="170" t="n"/>
      <c r="AG115" s="170" t="n"/>
      <c r="AH115" s="170" t="n"/>
      <c r="AI115" s="170" t="n"/>
      <c r="AJ115" s="170" t="n"/>
      <c r="AK115" s="164" t="n"/>
      <c r="AL115" s="95" t="n"/>
    </row>
    <row r="116">
      <c r="A116" s="27" t="n">
        <v>7</v>
      </c>
      <c r="B116" s="27" t="n"/>
      <c r="C116" s="27" t="n"/>
      <c r="D116" s="171" t="inlineStr">
        <is>
          <t>差旅费</t>
        </is>
      </c>
      <c r="E116" s="47" t="n"/>
      <c r="F116" s="47" t="n"/>
      <c r="G116" s="47" t="n"/>
      <c r="H116" s="182" t="n"/>
      <c r="I116" s="163" t="n"/>
      <c r="J116" s="182">
        <f>H56+I56</f>
        <v/>
      </c>
      <c r="K116" s="168" t="n">
        <v>0</v>
      </c>
      <c r="L116" s="172">
        <f>J56-K56</f>
        <v/>
      </c>
      <c r="M116" s="182" t="n"/>
      <c r="N116" s="182" t="n"/>
      <c r="O116" s="163">
        <f>L56-M56</f>
        <v/>
      </c>
      <c r="P116" s="163">
        <f>K56-N56</f>
        <v/>
      </c>
      <c r="Q116" s="163">
        <f>M56+O56</f>
        <v/>
      </c>
      <c r="R116" s="163">
        <f>M56+N56+O56+P56</f>
        <v/>
      </c>
      <c r="S116" s="182" t="n"/>
      <c r="T116" s="182" t="n"/>
      <c r="U116" s="182" t="n"/>
      <c r="V116" s="182" t="n"/>
      <c r="W116" s="182" t="n"/>
      <c r="X116" s="182" t="n"/>
      <c r="Y116" s="182" t="n"/>
      <c r="Z116" s="163">
        <f>SUM(AA56:AJ56)</f>
        <v/>
      </c>
      <c r="AA116" s="170" t="n"/>
      <c r="AB116" s="170" t="n"/>
      <c r="AC116" s="170" t="n"/>
      <c r="AD116" s="170" t="n"/>
      <c r="AE116" s="170" t="n"/>
      <c r="AF116" s="170" t="n"/>
      <c r="AG116" s="170" t="n"/>
      <c r="AH116" s="170" t="n"/>
      <c r="AI116" s="170" t="n"/>
      <c r="AJ116" s="170" t="n"/>
      <c r="AK116" s="164" t="n"/>
      <c r="AL116" s="95" t="n"/>
    </row>
    <row r="117">
      <c r="A117" s="27" t="n">
        <v>8</v>
      </c>
      <c r="B117" s="27" t="n"/>
      <c r="C117" s="27" t="n"/>
      <c r="D117" s="171" t="inlineStr">
        <is>
          <t>劳动保护费</t>
        </is>
      </c>
      <c r="E117" s="47" t="n"/>
      <c r="F117" s="47" t="n"/>
      <c r="G117" s="47" t="n"/>
      <c r="H117" s="182" t="n"/>
      <c r="I117" s="163" t="n"/>
      <c r="J117" s="182">
        <f>H57+I57</f>
        <v/>
      </c>
      <c r="K117" s="168" t="n">
        <v>0</v>
      </c>
      <c r="L117" s="172">
        <f>J57-K57</f>
        <v/>
      </c>
      <c r="M117" s="182" t="n"/>
      <c r="N117" s="163" t="n"/>
      <c r="O117" s="163">
        <f>L57-M57</f>
        <v/>
      </c>
      <c r="P117" s="163">
        <f>K57-N57</f>
        <v/>
      </c>
      <c r="Q117" s="163">
        <f>M57+O57</f>
        <v/>
      </c>
      <c r="R117" s="163">
        <f>M57+N57+O57+P57</f>
        <v/>
      </c>
      <c r="S117" s="182" t="n"/>
      <c r="T117" s="182" t="n"/>
      <c r="U117" s="182" t="n"/>
      <c r="V117" s="182" t="n"/>
      <c r="W117" s="182" t="n"/>
      <c r="X117" s="182" t="n"/>
      <c r="Y117" s="182" t="n"/>
      <c r="Z117" s="163">
        <f>SUM(AA57:AJ57)</f>
        <v/>
      </c>
      <c r="AA117" s="170" t="n"/>
      <c r="AB117" s="170" t="n"/>
      <c r="AC117" s="170" t="n"/>
      <c r="AD117" s="170" t="n"/>
      <c r="AE117" s="170" t="n"/>
      <c r="AF117" s="170" t="n"/>
      <c r="AG117" s="170" t="n"/>
      <c r="AH117" s="170" t="n"/>
      <c r="AI117" s="170" t="n"/>
      <c r="AJ117" s="170" t="n"/>
      <c r="AK117" s="164" t="n"/>
      <c r="AL117" s="95" t="n"/>
    </row>
    <row r="118">
      <c r="A118" s="27" t="n">
        <v>9</v>
      </c>
      <c r="B118" s="27" t="n"/>
      <c r="C118" s="27" t="n"/>
      <c r="D118" s="171" t="inlineStr">
        <is>
          <t>工程保险费</t>
        </is>
      </c>
      <c r="E118" s="47" t="n"/>
      <c r="F118" s="47" t="n"/>
      <c r="G118" s="47" t="n"/>
      <c r="H118" s="182" t="n"/>
      <c r="I118" s="163" t="n"/>
      <c r="J118" s="182">
        <f>H58+I58</f>
        <v/>
      </c>
      <c r="K118" s="168" t="n">
        <v>0</v>
      </c>
      <c r="L118" s="172">
        <f>J58-K58</f>
        <v/>
      </c>
      <c r="M118" s="182" t="n"/>
      <c r="N118" s="182" t="n"/>
      <c r="O118" s="163">
        <f>L58-M58</f>
        <v/>
      </c>
      <c r="P118" s="163">
        <f>K58-N58</f>
        <v/>
      </c>
      <c r="Q118" s="163">
        <f>M58+O58</f>
        <v/>
      </c>
      <c r="R118" s="163">
        <f>M58+N58+O58+P58</f>
        <v/>
      </c>
      <c r="S118" s="182" t="n"/>
      <c r="T118" s="182" t="n"/>
      <c r="U118" s="182" t="n"/>
      <c r="V118" s="182" t="n"/>
      <c r="W118" s="182" t="n"/>
      <c r="X118" s="182" t="n"/>
      <c r="Y118" s="182" t="n"/>
      <c r="Z118" s="163">
        <f>SUM(AA58:AJ58)</f>
        <v/>
      </c>
      <c r="AA118" s="170" t="n"/>
      <c r="AB118" s="170" t="n"/>
      <c r="AC118" s="170" t="n"/>
      <c r="AD118" s="170" t="n"/>
      <c r="AE118" s="170" t="n"/>
      <c r="AF118" s="170" t="n"/>
      <c r="AG118" s="170" t="n"/>
      <c r="AH118" s="170" t="n"/>
      <c r="AI118" s="170" t="n"/>
      <c r="AJ118" s="170" t="n"/>
      <c r="AK118" s="164" t="n"/>
      <c r="AL118" s="95" t="n"/>
    </row>
    <row r="119">
      <c r="A119" s="27" t="n">
        <v>10</v>
      </c>
      <c r="B119" s="27" t="n"/>
      <c r="C119" s="27" t="n"/>
      <c r="D119" s="171" t="inlineStr">
        <is>
          <t>租赁费</t>
        </is>
      </c>
      <c r="E119" s="47" t="n"/>
      <c r="F119" s="47" t="n"/>
      <c r="G119" s="47" t="n"/>
      <c r="H119" s="182" t="n"/>
      <c r="I119" s="163" t="n"/>
      <c r="J119" s="182">
        <f>H59+I59</f>
        <v/>
      </c>
      <c r="K119" s="168" t="n">
        <v>0</v>
      </c>
      <c r="L119" s="172">
        <f>J59-K59</f>
        <v/>
      </c>
      <c r="M119" s="182" t="n"/>
      <c r="N119" s="163" t="n"/>
      <c r="O119" s="163">
        <f>L59-M59</f>
        <v/>
      </c>
      <c r="P119" s="163">
        <f>K59-N59</f>
        <v/>
      </c>
      <c r="Q119" s="163">
        <f>M59+O59</f>
        <v/>
      </c>
      <c r="R119" s="163">
        <f>M59+N59+O59+P59</f>
        <v/>
      </c>
      <c r="S119" s="182" t="n"/>
      <c r="T119" s="182" t="n"/>
      <c r="U119" s="182" t="n"/>
      <c r="V119" s="182" t="n"/>
      <c r="W119" s="182" t="n"/>
      <c r="X119" s="182" t="n"/>
      <c r="Y119" s="182" t="n"/>
      <c r="Z119" s="163">
        <f>SUM(AA59:AJ59)</f>
        <v/>
      </c>
      <c r="AA119" s="170" t="n"/>
      <c r="AB119" s="170" t="n"/>
      <c r="AC119" s="170" t="n"/>
      <c r="AD119" s="170" t="n"/>
      <c r="AE119" s="170" t="n"/>
      <c r="AF119" s="170" t="n"/>
      <c r="AG119" s="170" t="n"/>
      <c r="AH119" s="170" t="n"/>
      <c r="AI119" s="170" t="n"/>
      <c r="AJ119" s="170" t="n"/>
      <c r="AK119" s="164" t="n"/>
      <c r="AL119" s="95" t="n"/>
    </row>
    <row r="120">
      <c r="A120" s="27" t="n">
        <v>11</v>
      </c>
      <c r="B120" s="27" t="n"/>
      <c r="C120" s="27" t="n"/>
      <c r="D120" s="171" t="inlineStr">
        <is>
          <t>水电费</t>
        </is>
      </c>
      <c r="E120" s="47" t="n"/>
      <c r="F120" s="47" t="n"/>
      <c r="G120" s="47" t="n"/>
      <c r="H120" s="182" t="n"/>
      <c r="I120" s="163" t="n"/>
      <c r="J120" s="182">
        <f>H60+I60</f>
        <v/>
      </c>
      <c r="K120" s="168" t="n">
        <v>0</v>
      </c>
      <c r="L120" s="172">
        <f>J60-K60</f>
        <v/>
      </c>
      <c r="M120" s="182" t="n"/>
      <c r="N120" s="163" t="n"/>
      <c r="O120" s="163">
        <f>L60-M60</f>
        <v/>
      </c>
      <c r="P120" s="163">
        <f>K60-N60</f>
        <v/>
      </c>
      <c r="Q120" s="163">
        <f>M60+O60</f>
        <v/>
      </c>
      <c r="R120" s="163">
        <f>M60+N60+O60+P60</f>
        <v/>
      </c>
      <c r="S120" s="182" t="n"/>
      <c r="T120" s="182" t="n"/>
      <c r="U120" s="182" t="n"/>
      <c r="V120" s="182" t="n"/>
      <c r="W120" s="182" t="n"/>
      <c r="X120" s="182" t="n"/>
      <c r="Y120" s="182" t="n"/>
      <c r="Z120" s="163">
        <f>SUM(AA60:AJ60)</f>
        <v/>
      </c>
      <c r="AA120" s="170" t="n"/>
      <c r="AB120" s="170" t="n"/>
      <c r="AC120" s="170" t="n"/>
      <c r="AD120" s="170" t="n"/>
      <c r="AE120" s="170" t="n"/>
      <c r="AF120" s="170" t="n"/>
      <c r="AG120" s="170" t="n"/>
      <c r="AH120" s="170" t="n"/>
      <c r="AI120" s="170" t="n"/>
      <c r="AJ120" s="170" t="n"/>
      <c r="AK120" s="164" t="n"/>
      <c r="AL120" s="95" t="n"/>
    </row>
    <row r="121">
      <c r="A121" s="27" t="n">
        <v>12</v>
      </c>
      <c r="B121" s="27" t="n"/>
      <c r="C121" s="27" t="n"/>
      <c r="D121" s="171" t="inlineStr">
        <is>
          <t>其他</t>
        </is>
      </c>
      <c r="E121" s="47" t="n"/>
      <c r="F121" s="47" t="n"/>
      <c r="G121" s="47" t="n"/>
      <c r="H121" s="182" t="n"/>
      <c r="I121" s="163" t="n"/>
      <c r="J121" s="182">
        <f>H61+I61</f>
        <v/>
      </c>
      <c r="K121" s="168" t="n"/>
      <c r="L121" s="172">
        <f>J61-K61</f>
        <v/>
      </c>
      <c r="M121" s="182" t="n"/>
      <c r="N121" s="163" t="n"/>
      <c r="O121" s="163">
        <f>L61-M61</f>
        <v/>
      </c>
      <c r="P121" s="163">
        <f>K61-N61</f>
        <v/>
      </c>
      <c r="Q121" s="163">
        <f>M61+O61</f>
        <v/>
      </c>
      <c r="R121" s="163">
        <f>M61+N61+O61+P61</f>
        <v/>
      </c>
      <c r="S121" s="182" t="n"/>
      <c r="T121" s="182" t="n"/>
      <c r="U121" s="182" t="n"/>
      <c r="V121" s="182" t="n"/>
      <c r="W121" s="182" t="n"/>
      <c r="X121" s="182" t="n"/>
      <c r="Y121" s="182" t="n"/>
      <c r="Z121" s="163">
        <f>SUM(AA61:AJ61)</f>
        <v/>
      </c>
      <c r="AA121" s="170" t="n"/>
      <c r="AB121" s="164" t="n"/>
      <c r="AC121" s="164" t="n"/>
      <c r="AD121" s="164" t="n"/>
      <c r="AE121" s="164" t="n"/>
      <c r="AF121" s="164" t="n"/>
      <c r="AG121" s="164" t="n"/>
      <c r="AH121" s="164" t="n"/>
      <c r="AI121" s="164" t="n"/>
      <c r="AJ121" s="164" t="n"/>
      <c r="AK121" s="164" t="n"/>
      <c r="AL121" s="96" t="n"/>
    </row>
    <row r="122">
      <c r="A122" s="27" t="n"/>
      <c r="B122" s="27" t="inlineStr">
        <is>
          <t>无客商-黄旭栋报销电脑维修费</t>
        </is>
      </c>
      <c r="C122" s="27" t="n">
        <v/>
      </c>
      <c r="D122" s="32" t="n"/>
      <c r="E122" s="47" t="n"/>
      <c r="F122" s="47" t="n"/>
      <c r="G122" s="47" t="n"/>
      <c r="H122" s="182" t="n"/>
      <c r="I122" s="163" t="n"/>
      <c r="J122" s="182" t="n"/>
      <c r="K122" s="168" t="n"/>
      <c r="L122" s="172" t="n"/>
      <c r="M122" s="182" t="n"/>
      <c r="N122" s="163" t="n"/>
      <c r="O122" s="163" t="n"/>
      <c r="P122" s="163" t="n">
        <v>316.83</v>
      </c>
      <c r="Q122" s="163" t="n"/>
      <c r="R122" s="163" t="n"/>
      <c r="S122" s="182" t="n"/>
      <c r="T122" s="182" t="n"/>
      <c r="U122" s="182" t="n"/>
      <c r="V122" s="182" t="n"/>
      <c r="W122" s="182" t="n"/>
      <c r="X122" s="182" t="n"/>
      <c r="Y122" s="182" t="n"/>
      <c r="Z122" s="182" t="n"/>
      <c r="AA122" s="170" t="n"/>
      <c r="AB122" s="164" t="n"/>
      <c r="AC122" s="164" t="n"/>
      <c r="AD122" s="164" t="n"/>
      <c r="AE122" s="164" t="n"/>
      <c r="AF122" s="164" t="n"/>
      <c r="AG122" s="164" t="n"/>
      <c r="AH122" s="164" t="n"/>
      <c r="AI122" s="164" t="n"/>
      <c r="AJ122" s="164" t="n"/>
      <c r="AK122" s="164" t="n"/>
      <c r="AL122" s="96" t="n"/>
    </row>
    <row r="123">
      <c r="A123" s="27" t="n"/>
      <c r="B123" s="27" t="inlineStr">
        <is>
          <t>无客商-黄旭栋报销汤村项目管理人员酒店</t>
        </is>
      </c>
      <c r="C123" s="27" t="n">
        <v/>
      </c>
      <c r="D123" s="32" t="n"/>
      <c r="E123" s="47" t="n"/>
      <c r="F123" s="47" t="n"/>
      <c r="G123" s="47" t="n"/>
      <c r="H123" s="182" t="n"/>
      <c r="I123" s="163" t="n"/>
      <c r="J123" s="182" t="n"/>
      <c r="K123" s="168" t="n"/>
      <c r="L123" s="172" t="n"/>
      <c r="M123" s="182" t="n"/>
      <c r="N123" s="163" t="n"/>
      <c r="O123" s="163" t="n"/>
      <c r="P123" s="163" t="n">
        <v>5720.59</v>
      </c>
      <c r="Q123" s="163" t="n"/>
      <c r="R123" s="163" t="n"/>
      <c r="S123" s="182" t="n"/>
      <c r="T123" s="182" t="n"/>
      <c r="U123" s="182" t="n"/>
      <c r="V123" s="182" t="n"/>
      <c r="W123" s="182" t="n"/>
      <c r="X123" s="182" t="n"/>
      <c r="Y123" s="182" t="n"/>
      <c r="Z123" s="182" t="n"/>
      <c r="AA123" s="170" t="n"/>
      <c r="AB123" s="164" t="n"/>
      <c r="AC123" s="164" t="n"/>
      <c r="AD123" s="164" t="n"/>
      <c r="AE123" s="164" t="n"/>
      <c r="AF123" s="164" t="n"/>
      <c r="AG123" s="164" t="n"/>
      <c r="AH123" s="164" t="n"/>
      <c r="AI123" s="164" t="n"/>
      <c r="AJ123" s="164" t="n"/>
      <c r="AK123" s="164" t="n"/>
      <c r="AL123" s="96" t="n"/>
    </row>
    <row r="124">
      <c r="A124" s="27" t="n"/>
      <c r="B124" s="27" t="inlineStr">
        <is>
          <t>无客商-黄旭栋报销汤村项目公司维稳保安</t>
        </is>
      </c>
      <c r="C124" s="27" t="n">
        <v/>
      </c>
      <c r="D124" s="32" t="n"/>
      <c r="E124" s="47" t="n"/>
      <c r="F124" s="47" t="n"/>
      <c r="G124" s="47" t="n"/>
      <c r="H124" s="182" t="n"/>
      <c r="I124" s="163" t="n"/>
      <c r="J124" s="182" t="n"/>
      <c r="K124" s="168" t="n"/>
      <c r="L124" s="172" t="n"/>
      <c r="M124" s="182" t="n"/>
      <c r="N124" s="163" t="n"/>
      <c r="O124" s="163" t="n"/>
      <c r="P124" s="163" t="n">
        <v>7563.81</v>
      </c>
      <c r="Q124" s="163" t="n"/>
      <c r="R124" s="163" t="n"/>
      <c r="S124" s="182" t="n"/>
      <c r="T124" s="182" t="n"/>
      <c r="U124" s="182" t="n"/>
      <c r="V124" s="182" t="n"/>
      <c r="W124" s="182" t="n"/>
      <c r="X124" s="182" t="n"/>
      <c r="Y124" s="182" t="n"/>
      <c r="Z124" s="182" t="n"/>
      <c r="AA124" s="170" t="n"/>
      <c r="AB124" s="164" t="n"/>
      <c r="AC124" s="164" t="n"/>
      <c r="AD124" s="164" t="n"/>
      <c r="AE124" s="164" t="n"/>
      <c r="AF124" s="164" t="n"/>
      <c r="AG124" s="164" t="n"/>
      <c r="AH124" s="164" t="n"/>
      <c r="AI124" s="164" t="n"/>
      <c r="AJ124" s="164" t="n"/>
      <c r="AK124" s="164" t="n"/>
      <c r="AL124" s="96" t="n"/>
    </row>
    <row r="125">
      <c r="A125" s="27" t="n"/>
      <c r="B125" s="27" t="inlineStr">
        <is>
          <t>无客商-黄旭栋报销汤村项目公务用车费用</t>
        </is>
      </c>
      <c r="C125" s="27" t="n">
        <v/>
      </c>
      <c r="D125" s="32" t="n"/>
      <c r="E125" s="47" t="n"/>
      <c r="F125" s="47" t="n"/>
      <c r="G125" s="47" t="n"/>
      <c r="H125" s="182" t="n"/>
      <c r="I125" s="163" t="n"/>
      <c r="J125" s="182" t="n"/>
      <c r="K125" s="168" t="n"/>
      <c r="L125" s="172" t="n"/>
      <c r="M125" s="182" t="n"/>
      <c r="N125" s="163" t="n"/>
      <c r="O125" s="163" t="n"/>
      <c r="P125" s="163" t="n">
        <v>15552.26</v>
      </c>
      <c r="Q125" s="163" t="n"/>
      <c r="R125" s="163" t="n"/>
      <c r="S125" s="182" t="n"/>
      <c r="T125" s="182" t="n"/>
      <c r="U125" s="182" t="n"/>
      <c r="V125" s="182" t="n"/>
      <c r="W125" s="182" t="n"/>
      <c r="X125" s="182" t="n"/>
      <c r="Y125" s="182" t="n"/>
      <c r="Z125" s="182" t="n"/>
      <c r="AA125" s="170" t="n"/>
      <c r="AB125" s="164" t="n"/>
      <c r="AC125" s="164" t="n"/>
      <c r="AD125" s="164" t="n"/>
      <c r="AE125" s="164" t="n"/>
      <c r="AF125" s="164" t="n"/>
      <c r="AG125" s="164" t="n"/>
      <c r="AH125" s="164" t="n"/>
      <c r="AI125" s="164" t="n"/>
      <c r="AJ125" s="164" t="n"/>
      <c r="AK125" s="164" t="n"/>
      <c r="AL125" s="96" t="n"/>
    </row>
    <row r="126">
      <c r="A126" s="27" t="n"/>
      <c r="B126" s="27" t="inlineStr">
        <is>
          <t>无客商-黄旭栋报销汤村项目2026年0</t>
        </is>
      </c>
      <c r="C126" s="27" t="n">
        <v/>
      </c>
      <c r="D126" s="32" t="n"/>
      <c r="E126" s="47" t="n"/>
      <c r="F126" s="47" t="n"/>
      <c r="G126" s="47" t="n"/>
      <c r="H126" s="182" t="n"/>
      <c r="I126" s="163" t="n"/>
      <c r="J126" s="182" t="n"/>
      <c r="K126" s="168" t="n"/>
      <c r="L126" s="172" t="n"/>
      <c r="M126" s="182" t="n"/>
      <c r="N126" s="163" t="n"/>
      <c r="O126" s="163" t="n"/>
      <c r="P126" s="163" t="n">
        <v>1599.01</v>
      </c>
      <c r="Q126" s="163" t="n"/>
      <c r="R126" s="163" t="n"/>
      <c r="S126" s="182" t="n"/>
      <c r="T126" s="182" t="n"/>
      <c r="U126" s="182" t="n"/>
      <c r="V126" s="182" t="n"/>
      <c r="W126" s="182" t="n"/>
      <c r="X126" s="182" t="n"/>
      <c r="Y126" s="182" t="n"/>
      <c r="Z126" s="182" t="n"/>
      <c r="AA126" s="170" t="n"/>
      <c r="AB126" s="164" t="n"/>
      <c r="AC126" s="164" t="n"/>
      <c r="AD126" s="164" t="n"/>
      <c r="AE126" s="164" t="n"/>
      <c r="AF126" s="164" t="n"/>
      <c r="AG126" s="164" t="n"/>
      <c r="AH126" s="164" t="n"/>
      <c r="AI126" s="164" t="n"/>
      <c r="AJ126" s="164" t="n"/>
      <c r="AK126" s="164" t="n"/>
      <c r="AL126" s="96" t="n"/>
    </row>
    <row r="127">
      <c r="A127" s="27" t="n"/>
      <c r="B127" s="27" t="inlineStr">
        <is>
          <t>无客商-黄旭栋报销汤村项目2025年1</t>
        </is>
      </c>
      <c r="C127" s="27" t="n">
        <v/>
      </c>
      <c r="D127" s="32" t="n"/>
      <c r="E127" s="47" t="n"/>
      <c r="F127" s="47" t="n"/>
      <c r="G127" s="47" t="n"/>
      <c r="H127" s="182" t="n"/>
      <c r="I127" s="163" t="n"/>
      <c r="J127" s="182" t="n"/>
      <c r="K127" s="168" t="n"/>
      <c r="L127" s="172" t="n"/>
      <c r="M127" s="182" t="n"/>
      <c r="N127" s="163" t="n"/>
      <c r="O127" s="163" t="n"/>
      <c r="P127" s="163" t="n">
        <v>9441.139999999999</v>
      </c>
      <c r="Q127" s="163" t="n"/>
      <c r="R127" s="163" t="n"/>
      <c r="S127" s="182" t="n"/>
      <c r="T127" s="182" t="n"/>
      <c r="U127" s="182" t="n"/>
      <c r="V127" s="182" t="n"/>
      <c r="W127" s="182" t="n"/>
      <c r="X127" s="182" t="n"/>
      <c r="Y127" s="182" t="n"/>
      <c r="Z127" s="182" t="n"/>
      <c r="AA127" s="170" t="n"/>
      <c r="AB127" s="164" t="n"/>
      <c r="AC127" s="164" t="n"/>
      <c r="AD127" s="164" t="n"/>
      <c r="AE127" s="164" t="n"/>
      <c r="AF127" s="164" t="n"/>
      <c r="AG127" s="164" t="n"/>
      <c r="AH127" s="164" t="n"/>
      <c r="AI127" s="164" t="n"/>
      <c r="AJ127" s="164" t="n"/>
      <c r="AK127" s="164" t="n"/>
      <c r="AL127" s="96" t="n"/>
    </row>
    <row r="128">
      <c r="A128" s="27" t="n"/>
      <c r="B128" s="27" t="inlineStr">
        <is>
          <t>无客商-黄旭栋报销汤村项目2025年0</t>
        </is>
      </c>
      <c r="C128" s="27" t="n">
        <v/>
      </c>
      <c r="D128" s="32" t="n"/>
      <c r="E128" s="47" t="n"/>
      <c r="F128" s="47" t="n"/>
      <c r="G128" s="47" t="n"/>
      <c r="H128" s="182" t="n"/>
      <c r="I128" s="163" t="n"/>
      <c r="J128" s="182" t="n"/>
      <c r="K128" s="168" t="n"/>
      <c r="L128" s="172" t="n"/>
      <c r="M128" s="182" t="n"/>
      <c r="N128" s="163" t="n"/>
      <c r="O128" s="163" t="n"/>
      <c r="P128" s="163" t="n">
        <v>55512.95</v>
      </c>
      <c r="Q128" s="163" t="n"/>
      <c r="R128" s="163" t="n"/>
      <c r="S128" s="182" t="n"/>
      <c r="T128" s="182" t="n"/>
      <c r="U128" s="182" t="n"/>
      <c r="V128" s="182" t="n"/>
      <c r="W128" s="182" t="n"/>
      <c r="X128" s="182" t="n"/>
      <c r="Y128" s="182" t="n"/>
      <c r="Z128" s="182" t="n"/>
      <c r="AA128" s="170" t="n"/>
      <c r="AB128" s="164" t="n"/>
      <c r="AC128" s="164" t="n"/>
      <c r="AD128" s="164" t="n"/>
      <c r="AE128" s="164" t="n"/>
      <c r="AF128" s="164" t="n"/>
      <c r="AG128" s="164" t="n"/>
      <c r="AH128" s="164" t="n"/>
      <c r="AI128" s="164" t="n"/>
      <c r="AJ128" s="164" t="n"/>
      <c r="AK128" s="164" t="n"/>
      <c r="AL128" s="96" t="n"/>
    </row>
    <row r="129">
      <c r="A129" s="27" t="n"/>
      <c r="B129" s="27" t="inlineStr">
        <is>
          <t>无客商-黄旭栋报销汤村项目2024年9</t>
        </is>
      </c>
      <c r="C129" s="27" t="n">
        <v/>
      </c>
      <c r="D129" s="32" t="n"/>
      <c r="E129" s="47" t="n"/>
      <c r="F129" s="47" t="n"/>
      <c r="G129" s="47" t="n"/>
      <c r="H129" s="182" t="n"/>
      <c r="I129" s="163" t="n"/>
      <c r="J129" s="182" t="n"/>
      <c r="K129" s="168" t="n"/>
      <c r="L129" s="172" t="n"/>
      <c r="M129" s="182" t="n"/>
      <c r="N129" s="163" t="n"/>
      <c r="O129" s="163" t="n"/>
      <c r="P129" s="163" t="n">
        <v>6352.96</v>
      </c>
      <c r="Q129" s="163" t="n"/>
      <c r="R129" s="163" t="n"/>
      <c r="S129" s="182" t="n"/>
      <c r="T129" s="182" t="n"/>
      <c r="U129" s="182" t="n"/>
      <c r="V129" s="182" t="n"/>
      <c r="W129" s="182" t="n"/>
      <c r="X129" s="182" t="n"/>
      <c r="Y129" s="182" t="n"/>
      <c r="Z129" s="182" t="n"/>
      <c r="AA129" s="170" t="n"/>
      <c r="AB129" s="164" t="n"/>
      <c r="AC129" s="164" t="n"/>
      <c r="AD129" s="164" t="n"/>
      <c r="AE129" s="164" t="n"/>
      <c r="AF129" s="164" t="n"/>
      <c r="AG129" s="164" t="n"/>
      <c r="AH129" s="164" t="n"/>
      <c r="AI129" s="164" t="n"/>
      <c r="AJ129" s="164" t="n"/>
      <c r="AK129" s="164" t="n"/>
      <c r="AL129" s="96" t="n"/>
    </row>
    <row r="130">
      <c r="A130" s="27" t="n"/>
      <c r="B130" s="27" t="inlineStr">
        <is>
          <t>无客商-黄旭栋报销汤村项目2024年7</t>
        </is>
      </c>
      <c r="C130" s="27" t="n">
        <v/>
      </c>
      <c r="D130" s="32" t="n"/>
      <c r="E130" s="47" t="n"/>
      <c r="F130" s="47" t="n"/>
      <c r="G130" s="47" t="n"/>
      <c r="H130" s="182" t="n"/>
      <c r="I130" s="163" t="n"/>
      <c r="J130" s="182" t="n"/>
      <c r="K130" s="168" t="n"/>
      <c r="L130" s="172" t="n"/>
      <c r="M130" s="182" t="n"/>
      <c r="N130" s="163" t="n"/>
      <c r="O130" s="163" t="n"/>
      <c r="P130" s="163" t="n">
        <v>3892.72</v>
      </c>
      <c r="Q130" s="163" t="n"/>
      <c r="R130" s="163" t="n"/>
      <c r="S130" s="182" t="n"/>
      <c r="T130" s="182" t="n"/>
      <c r="U130" s="182" t="n"/>
      <c r="V130" s="182" t="n"/>
      <c r="W130" s="182" t="n"/>
      <c r="X130" s="182" t="n"/>
      <c r="Y130" s="182" t="n"/>
      <c r="Z130" s="182" t="n"/>
      <c r="AA130" s="170" t="n"/>
      <c r="AB130" s="164" t="n"/>
      <c r="AC130" s="164" t="n"/>
      <c r="AD130" s="164" t="n"/>
      <c r="AE130" s="164" t="n"/>
      <c r="AF130" s="164" t="n"/>
      <c r="AG130" s="164" t="n"/>
      <c r="AH130" s="164" t="n"/>
      <c r="AI130" s="164" t="n"/>
      <c r="AJ130" s="164" t="n"/>
      <c r="AK130" s="164" t="n"/>
      <c r="AL130" s="96" t="n"/>
    </row>
    <row r="131">
      <c r="A131" s="27" t="n"/>
      <c r="B131" s="27" t="inlineStr">
        <is>
          <t>无客商-黄旭栋报销汤村项目2024年1</t>
        </is>
      </c>
      <c r="C131" s="27" t="n">
        <v/>
      </c>
      <c r="D131" s="32" t="n"/>
      <c r="E131" s="47" t="n"/>
      <c r="F131" s="47" t="n"/>
      <c r="G131" s="47" t="n"/>
      <c r="H131" s="182" t="n"/>
      <c r="I131" s="163" t="n"/>
      <c r="J131" s="182" t="n"/>
      <c r="K131" s="168" t="n"/>
      <c r="L131" s="172" t="n"/>
      <c r="M131" s="182" t="n"/>
      <c r="N131" s="163" t="n"/>
      <c r="O131" s="163" t="n"/>
      <c r="P131" s="163" t="n">
        <v>6215.44</v>
      </c>
      <c r="Q131" s="163" t="n"/>
      <c r="R131" s="163" t="n"/>
      <c r="S131" s="182" t="n"/>
      <c r="T131" s="182" t="n"/>
      <c r="U131" s="182" t="n"/>
      <c r="V131" s="182" t="n"/>
      <c r="W131" s="182" t="n"/>
      <c r="X131" s="182" t="n"/>
      <c r="Y131" s="182" t="n"/>
      <c r="Z131" s="182" t="n"/>
      <c r="AA131" s="170" t="n"/>
      <c r="AB131" s="164" t="n"/>
      <c r="AC131" s="164" t="n"/>
      <c r="AD131" s="164" t="n"/>
      <c r="AE131" s="164" t="n"/>
      <c r="AF131" s="164" t="n"/>
      <c r="AG131" s="164" t="n"/>
      <c r="AH131" s="164" t="n"/>
      <c r="AI131" s="164" t="n"/>
      <c r="AJ131" s="164" t="n"/>
      <c r="AK131" s="164" t="n"/>
      <c r="AL131" s="96" t="n"/>
    </row>
    <row r="132">
      <c r="A132" s="27" t="n"/>
      <c r="B132" s="27" t="inlineStr">
        <is>
          <t>无客商-黄旭栋报销汤村项目2024年0</t>
        </is>
      </c>
      <c r="C132" s="27" t="n">
        <v/>
      </c>
      <c r="D132" s="32" t="n"/>
      <c r="E132" s="47" t="n"/>
      <c r="F132" s="47" t="n"/>
      <c r="G132" s="47" t="n"/>
      <c r="H132" s="182" t="n"/>
      <c r="I132" s="163" t="n"/>
      <c r="J132" s="182" t="n"/>
      <c r="K132" s="168" t="n"/>
      <c r="L132" s="172" t="n"/>
      <c r="M132" s="182" t="n"/>
      <c r="N132" s="163" t="n"/>
      <c r="O132" s="163" t="n"/>
      <c r="P132" s="163" t="n">
        <v>4740.59</v>
      </c>
      <c r="Q132" s="163" t="n"/>
      <c r="R132" s="163" t="n"/>
      <c r="S132" s="182" t="n"/>
      <c r="T132" s="182" t="n"/>
      <c r="U132" s="182" t="n"/>
      <c r="V132" s="182" t="n"/>
      <c r="W132" s="182" t="n"/>
      <c r="X132" s="182" t="n"/>
      <c r="Y132" s="182" t="n"/>
      <c r="Z132" s="182" t="n"/>
      <c r="AA132" s="170" t="n"/>
      <c r="AB132" s="164" t="n"/>
      <c r="AC132" s="164" t="n"/>
      <c r="AD132" s="164" t="n"/>
      <c r="AE132" s="164" t="n"/>
      <c r="AF132" s="164" t="n"/>
      <c r="AG132" s="164" t="n"/>
      <c r="AH132" s="164" t="n"/>
      <c r="AI132" s="164" t="n"/>
      <c r="AJ132" s="164" t="n"/>
      <c r="AK132" s="164" t="n"/>
      <c r="AL132" s="96" t="n"/>
    </row>
    <row r="133">
      <c r="A133" s="27" t="n"/>
      <c r="B133" s="27" t="inlineStr">
        <is>
          <t>无客商-黄旭栋报销汤村旧村改造项目快递</t>
        </is>
      </c>
      <c r="C133" s="27" t="n">
        <v/>
      </c>
      <c r="D133" s="32" t="n"/>
      <c r="E133" s="47" t="n"/>
      <c r="F133" s="47" t="n"/>
      <c r="G133" s="47" t="n"/>
      <c r="H133" s="182" t="n"/>
      <c r="I133" s="163" t="n"/>
      <c r="J133" s="182" t="n"/>
      <c r="K133" s="168" t="n"/>
      <c r="L133" s="172" t="n"/>
      <c r="M133" s="182" t="n"/>
      <c r="N133" s="163" t="n"/>
      <c r="O133" s="163" t="n"/>
      <c r="P133" s="163" t="n">
        <v>138.68</v>
      </c>
      <c r="Q133" s="163" t="n"/>
      <c r="R133" s="163" t="n"/>
      <c r="S133" s="182" t="n"/>
      <c r="T133" s="182" t="n"/>
      <c r="U133" s="182" t="n"/>
      <c r="V133" s="182" t="n"/>
      <c r="W133" s="182" t="n"/>
      <c r="X133" s="182" t="n"/>
      <c r="Y133" s="182" t="n"/>
      <c r="Z133" s="182" t="n"/>
      <c r="AA133" s="170" t="n"/>
      <c r="AB133" s="164" t="n"/>
      <c r="AC133" s="164" t="n"/>
      <c r="AD133" s="164" t="n"/>
      <c r="AE133" s="164" t="n"/>
      <c r="AF133" s="164" t="n"/>
      <c r="AG133" s="164" t="n"/>
      <c r="AH133" s="164" t="n"/>
      <c r="AI133" s="164" t="n"/>
      <c r="AJ133" s="164" t="n"/>
      <c r="AK133" s="164" t="n"/>
      <c r="AL133" s="96" t="n"/>
    </row>
    <row r="134">
      <c r="A134" s="27" t="n"/>
      <c r="B134" s="27" t="inlineStr">
        <is>
          <t>无客商-黄旭栋报销汤村旧村改造项目20</t>
        </is>
      </c>
      <c r="C134" s="27" t="n">
        <v/>
      </c>
      <c r="D134" s="32" t="n"/>
      <c r="E134" s="47" t="n"/>
      <c r="F134" s="47" t="n"/>
      <c r="G134" s="47" t="n"/>
      <c r="H134" s="182" t="n"/>
      <c r="I134" s="163" t="n"/>
      <c r="J134" s="182" t="n"/>
      <c r="K134" s="168" t="n"/>
      <c r="L134" s="172" t="n"/>
      <c r="M134" s="182" t="n"/>
      <c r="N134" s="163" t="n"/>
      <c r="O134" s="163" t="n"/>
      <c r="P134" s="163" t="n">
        <v>11959.61</v>
      </c>
      <c r="Q134" s="163" t="n"/>
      <c r="R134" s="163" t="n"/>
      <c r="S134" s="182" t="n"/>
      <c r="T134" s="182" t="n"/>
      <c r="U134" s="182" t="n"/>
      <c r="V134" s="182" t="n"/>
      <c r="W134" s="182" t="n"/>
      <c r="X134" s="182" t="n"/>
      <c r="Y134" s="182" t="n"/>
      <c r="Z134" s="182" t="n"/>
      <c r="AA134" s="170" t="n"/>
      <c r="AB134" s="164" t="n"/>
      <c r="AC134" s="164" t="n"/>
      <c r="AD134" s="164" t="n"/>
      <c r="AE134" s="164" t="n"/>
      <c r="AF134" s="164" t="n"/>
      <c r="AG134" s="164" t="n"/>
      <c r="AH134" s="164" t="n"/>
      <c r="AI134" s="164" t="n"/>
      <c r="AJ134" s="164" t="n"/>
      <c r="AK134" s="164" t="n"/>
      <c r="AL134" s="96" t="n"/>
    </row>
    <row r="135">
      <c r="A135" s="27" t="n"/>
      <c r="B135" s="27" t="inlineStr">
        <is>
          <t>无客商-黄旭栋报销公司培训住宿费用</t>
        </is>
      </c>
      <c r="C135" s="27" t="n">
        <v/>
      </c>
      <c r="D135" s="32" t="n"/>
      <c r="E135" s="47" t="n"/>
      <c r="F135" s="47" t="n"/>
      <c r="G135" s="47" t="n"/>
      <c r="H135" s="182" t="n"/>
      <c r="I135" s="163" t="n"/>
      <c r="J135" s="182" t="n"/>
      <c r="K135" s="168" t="n"/>
      <c r="L135" s="172" t="n"/>
      <c r="M135" s="182" t="n"/>
      <c r="N135" s="163" t="n"/>
      <c r="O135" s="163" t="n"/>
      <c r="P135" s="163" t="n">
        <v>1191.29</v>
      </c>
      <c r="Q135" s="163" t="n"/>
      <c r="R135" s="163" t="n"/>
      <c r="S135" s="182" t="n"/>
      <c r="T135" s="182" t="n"/>
      <c r="U135" s="182" t="n"/>
      <c r="V135" s="182" t="n"/>
      <c r="W135" s="182" t="n"/>
      <c r="X135" s="182" t="n"/>
      <c r="Y135" s="182" t="n"/>
      <c r="Z135" s="182" t="n"/>
      <c r="AA135" s="170" t="n"/>
      <c r="AB135" s="164" t="n"/>
      <c r="AC135" s="164" t="n"/>
      <c r="AD135" s="164" t="n"/>
      <c r="AE135" s="164" t="n"/>
      <c r="AF135" s="164" t="n"/>
      <c r="AG135" s="164" t="n"/>
      <c r="AH135" s="164" t="n"/>
      <c r="AI135" s="164" t="n"/>
      <c r="AJ135" s="164" t="n"/>
      <c r="AK135" s="164" t="n"/>
      <c r="AL135" s="96" t="n"/>
    </row>
    <row r="136">
      <c r="A136" s="27" t="n"/>
      <c r="B136" s="27" t="inlineStr">
        <is>
          <t>无客商-调整汤村复1地块进项税额</t>
        </is>
      </c>
      <c r="C136" s="27" t="n">
        <v/>
      </c>
      <c r="D136" s="32" t="n"/>
      <c r="E136" s="47" t="n"/>
      <c r="F136" s="47" t="n"/>
      <c r="G136" s="47" t="n"/>
      <c r="H136" s="182" t="n"/>
      <c r="I136" s="163" t="n"/>
      <c r="J136" s="182" t="n"/>
      <c r="K136" s="168" t="n"/>
      <c r="L136" s="172" t="n"/>
      <c r="M136" s="182" t="n"/>
      <c r="N136" s="163" t="n"/>
      <c r="O136" s="163" t="n"/>
      <c r="P136" s="163" t="n">
        <v>19.85</v>
      </c>
      <c r="Q136" s="163" t="n"/>
      <c r="R136" s="163" t="n"/>
      <c r="S136" s="182" t="n"/>
      <c r="T136" s="182" t="n"/>
      <c r="U136" s="182" t="n"/>
      <c r="V136" s="182" t="n"/>
      <c r="W136" s="182" t="n"/>
      <c r="X136" s="182" t="n"/>
      <c r="Y136" s="182" t="n"/>
      <c r="Z136" s="182" t="n"/>
      <c r="AA136" s="170" t="n"/>
      <c r="AB136" s="164" t="n"/>
      <c r="AC136" s="164" t="n"/>
      <c r="AD136" s="164" t="n"/>
      <c r="AE136" s="164" t="n"/>
      <c r="AF136" s="164" t="n"/>
      <c r="AG136" s="164" t="n"/>
      <c r="AH136" s="164" t="n"/>
      <c r="AI136" s="164" t="n"/>
      <c r="AJ136" s="164" t="n"/>
      <c r="AK136" s="164" t="n"/>
      <c r="AL136" s="96" t="n"/>
    </row>
    <row r="137">
      <c r="A137" s="27" t="n"/>
      <c r="B137" s="27" t="inlineStr">
        <is>
          <t>无客商-计提汤村项目复建区1号地块项目</t>
        </is>
      </c>
      <c r="C137" s="27" t="n">
        <v/>
      </c>
      <c r="D137" s="32" t="n"/>
      <c r="E137" s="47" t="n"/>
      <c r="F137" s="47" t="n"/>
      <c r="G137" s="47" t="n"/>
      <c r="H137" s="182" t="n"/>
      <c r="I137" s="163" t="n"/>
      <c r="J137" s="182" t="n"/>
      <c r="K137" s="168" t="n"/>
      <c r="L137" s="172" t="n"/>
      <c r="M137" s="182" t="n"/>
      <c r="N137" s="163" t="n"/>
      <c r="O137" s="163" t="n"/>
      <c r="P137" s="163" t="n">
        <v>70711.42999999999</v>
      </c>
      <c r="Q137" s="163" t="n"/>
      <c r="R137" s="163" t="n"/>
      <c r="S137" s="182" t="n"/>
      <c r="T137" s="182" t="n"/>
      <c r="U137" s="182" t="n"/>
      <c r="V137" s="182" t="n"/>
      <c r="W137" s="182" t="n"/>
      <c r="X137" s="182" t="n"/>
      <c r="Y137" s="182" t="n"/>
      <c r="Z137" s="182" t="n"/>
      <c r="AA137" s="170" t="n"/>
      <c r="AB137" s="164" t="n"/>
      <c r="AC137" s="164" t="n"/>
      <c r="AD137" s="164" t="n"/>
      <c r="AE137" s="164" t="n"/>
      <c r="AF137" s="164" t="n"/>
      <c r="AG137" s="164" t="n"/>
      <c r="AH137" s="164" t="n"/>
      <c r="AI137" s="164" t="n"/>
      <c r="AJ137" s="164" t="n"/>
      <c r="AK137" s="164" t="n"/>
      <c r="AL137" s="96" t="n"/>
    </row>
    <row r="138">
      <c r="A138" s="27" t="n"/>
      <c r="B138" s="27" t="inlineStr">
        <is>
          <t>无客商-计提汤村复建区1号地块项目个人</t>
        </is>
      </c>
      <c r="C138" s="27" t="n">
        <v/>
      </c>
      <c r="D138" s="32" t="n"/>
      <c r="E138" s="47" t="n"/>
      <c r="F138" s="47" t="n"/>
      <c r="G138" s="47" t="n"/>
      <c r="H138" s="182" t="n"/>
      <c r="I138" s="163" t="n"/>
      <c r="J138" s="182" t="n"/>
      <c r="K138" s="168" t="n"/>
      <c r="L138" s="172" t="n"/>
      <c r="M138" s="182" t="n"/>
      <c r="N138" s="163" t="n"/>
      <c r="O138" s="163" t="n"/>
      <c r="P138" s="163" t="n">
        <v>-11710.75</v>
      </c>
      <c r="Q138" s="163" t="n"/>
      <c r="R138" s="163" t="n"/>
      <c r="S138" s="182" t="n"/>
      <c r="T138" s="182" t="n"/>
      <c r="U138" s="182" t="n"/>
      <c r="V138" s="182" t="n"/>
      <c r="W138" s="182" t="n"/>
      <c r="X138" s="182" t="n"/>
      <c r="Y138" s="182" t="n"/>
      <c r="Z138" s="182" t="n"/>
      <c r="AA138" s="170" t="n"/>
      <c r="AB138" s="164" t="n"/>
      <c r="AC138" s="164" t="n"/>
      <c r="AD138" s="164" t="n"/>
      <c r="AE138" s="164" t="n"/>
      <c r="AF138" s="164" t="n"/>
      <c r="AG138" s="164" t="n"/>
      <c r="AH138" s="164" t="n"/>
      <c r="AI138" s="164" t="n"/>
      <c r="AJ138" s="164" t="n"/>
      <c r="AK138" s="164" t="n"/>
      <c r="AL138" s="96" t="n"/>
    </row>
    <row r="139">
      <c r="A139" s="27" t="n"/>
      <c r="B139" s="27" t="inlineStr">
        <is>
          <t>无客商-计提汤村复建区1号地块项目20</t>
        </is>
      </c>
      <c r="C139" s="27" t="n">
        <v/>
      </c>
      <c r="D139" s="32" t="n"/>
      <c r="E139" s="47" t="n"/>
      <c r="F139" s="47" t="n"/>
      <c r="G139" s="47" t="n"/>
      <c r="H139" s="182" t="n"/>
      <c r="I139" s="163" t="n"/>
      <c r="J139" s="182" t="n"/>
      <c r="K139" s="168" t="n"/>
      <c r="L139" s="172" t="n"/>
      <c r="M139" s="182" t="n"/>
      <c r="N139" s="163" t="n"/>
      <c r="O139" s="163" t="n"/>
      <c r="P139" s="163" t="n">
        <v>2677568.88</v>
      </c>
      <c r="Q139" s="163" t="n"/>
      <c r="R139" s="163" t="n"/>
      <c r="S139" s="182" t="n"/>
      <c r="T139" s="182" t="n"/>
      <c r="U139" s="182" t="n"/>
      <c r="V139" s="182" t="n"/>
      <c r="W139" s="182" t="n"/>
      <c r="X139" s="182" t="n"/>
      <c r="Y139" s="182" t="n"/>
      <c r="Z139" s="182" t="n"/>
      <c r="AA139" s="170" t="n"/>
      <c r="AB139" s="164" t="n"/>
      <c r="AC139" s="164" t="n"/>
      <c r="AD139" s="164" t="n"/>
      <c r="AE139" s="164" t="n"/>
      <c r="AF139" s="164" t="n"/>
      <c r="AG139" s="164" t="n"/>
      <c r="AH139" s="164" t="n"/>
      <c r="AI139" s="164" t="n"/>
      <c r="AJ139" s="164" t="n"/>
      <c r="AK139" s="164" t="n"/>
      <c r="AL139" s="96" t="n"/>
    </row>
    <row r="140">
      <c r="A140" s="27" t="n"/>
      <c r="B140" s="27" t="inlineStr">
        <is>
          <t>无客商-计提汤村复建区1号地块工会经费</t>
        </is>
      </c>
      <c r="C140" s="27" t="n">
        <v/>
      </c>
      <c r="D140" s="32" t="n"/>
      <c r="E140" s="47" t="n"/>
      <c r="F140" s="47" t="n"/>
      <c r="G140" s="47" t="n"/>
      <c r="H140" s="182" t="n"/>
      <c r="I140" s="163" t="n"/>
      <c r="J140" s="182" t="n"/>
      <c r="K140" s="168" t="n"/>
      <c r="L140" s="172" t="n"/>
      <c r="M140" s="182" t="n"/>
      <c r="N140" s="163" t="n"/>
      <c r="O140" s="163" t="n"/>
      <c r="P140" s="163" t="n">
        <v>24564.69</v>
      </c>
      <c r="Q140" s="163" t="n"/>
      <c r="R140" s="163" t="n"/>
      <c r="S140" s="182" t="n"/>
      <c r="T140" s="182" t="n"/>
      <c r="U140" s="182" t="n"/>
      <c r="V140" s="182" t="n"/>
      <c r="W140" s="182" t="n"/>
      <c r="X140" s="182" t="n"/>
      <c r="Y140" s="182" t="n"/>
      <c r="Z140" s="182" t="n"/>
      <c r="AA140" s="170" t="n"/>
      <c r="AB140" s="164" t="n"/>
      <c r="AC140" s="164" t="n"/>
      <c r="AD140" s="164" t="n"/>
      <c r="AE140" s="164" t="n"/>
      <c r="AF140" s="164" t="n"/>
      <c r="AG140" s="164" t="n"/>
      <c r="AH140" s="164" t="n"/>
      <c r="AI140" s="164" t="n"/>
      <c r="AJ140" s="164" t="n"/>
      <c r="AK140" s="164" t="n"/>
      <c r="AL140" s="96" t="n"/>
    </row>
    <row r="141">
      <c r="A141" s="27" t="n"/>
      <c r="B141" s="27" t="inlineStr">
        <is>
          <t>无客商-计提汤村复建区1号地块9月薪酬</t>
        </is>
      </c>
      <c r="C141" s="27" t="n">
        <v/>
      </c>
      <c r="D141" s="32" t="n"/>
      <c r="E141" s="47" t="n"/>
      <c r="F141" s="47" t="n"/>
      <c r="G141" s="47" t="n"/>
      <c r="H141" s="182" t="n"/>
      <c r="I141" s="163" t="n"/>
      <c r="J141" s="182" t="n"/>
      <c r="K141" s="168" t="n"/>
      <c r="L141" s="172" t="n"/>
      <c r="M141" s="182" t="n"/>
      <c r="N141" s="163" t="n"/>
      <c r="O141" s="163" t="n"/>
      <c r="P141" s="163" t="n">
        <v>85825</v>
      </c>
      <c r="Q141" s="163" t="n"/>
      <c r="R141" s="163" t="n"/>
      <c r="S141" s="182" t="n"/>
      <c r="T141" s="182" t="n"/>
      <c r="U141" s="182" t="n"/>
      <c r="V141" s="182" t="n"/>
      <c r="W141" s="182" t="n"/>
      <c r="X141" s="182" t="n"/>
      <c r="Y141" s="182" t="n"/>
      <c r="Z141" s="182" t="n"/>
      <c r="AA141" s="170" t="n"/>
      <c r="AB141" s="164" t="n"/>
      <c r="AC141" s="164" t="n"/>
      <c r="AD141" s="164" t="n"/>
      <c r="AE141" s="164" t="n"/>
      <c r="AF141" s="164" t="n"/>
      <c r="AG141" s="164" t="n"/>
      <c r="AH141" s="164" t="n"/>
      <c r="AI141" s="164" t="n"/>
      <c r="AJ141" s="164" t="n"/>
      <c r="AK141" s="164" t="n"/>
      <c r="AL141" s="96" t="n"/>
    </row>
    <row r="142">
      <c r="A142" s="27" t="n"/>
      <c r="B142" s="27" t="inlineStr">
        <is>
          <t>无客商-计提汤村复建区1号地块2023</t>
        </is>
      </c>
      <c r="C142" s="27" t="n">
        <v/>
      </c>
      <c r="D142" s="32" t="n"/>
      <c r="E142" s="47" t="n"/>
      <c r="F142" s="47" t="n"/>
      <c r="G142" s="47" t="n"/>
      <c r="H142" s="182" t="n"/>
      <c r="I142" s="163" t="n"/>
      <c r="J142" s="182" t="n"/>
      <c r="K142" s="168" t="n"/>
      <c r="L142" s="172" t="n"/>
      <c r="M142" s="182" t="n"/>
      <c r="N142" s="163" t="n"/>
      <c r="O142" s="163" t="n"/>
      <c r="P142" s="163" t="n">
        <v>21202.27</v>
      </c>
      <c r="Q142" s="163" t="n"/>
      <c r="R142" s="163" t="n"/>
      <c r="S142" s="182" t="n"/>
      <c r="T142" s="182" t="n"/>
      <c r="U142" s="182" t="n"/>
      <c r="V142" s="182" t="n"/>
      <c r="W142" s="182" t="n"/>
      <c r="X142" s="182" t="n"/>
      <c r="Y142" s="182" t="n"/>
      <c r="Z142" s="182" t="n"/>
      <c r="AA142" s="170" t="n"/>
      <c r="AB142" s="164" t="n"/>
      <c r="AC142" s="164" t="n"/>
      <c r="AD142" s="164" t="n"/>
      <c r="AE142" s="164" t="n"/>
      <c r="AF142" s="164" t="n"/>
      <c r="AG142" s="164" t="n"/>
      <c r="AH142" s="164" t="n"/>
      <c r="AI142" s="164" t="n"/>
      <c r="AJ142" s="164" t="n"/>
      <c r="AK142" s="164" t="n"/>
      <c r="AL142" s="96" t="n"/>
    </row>
    <row r="143">
      <c r="A143" s="27" t="n"/>
      <c r="B143" s="27" t="inlineStr">
        <is>
          <t>无客商-计提汤村复建1号地块2023年</t>
        </is>
      </c>
      <c r="C143" s="27" t="n">
        <v/>
      </c>
      <c r="D143" s="32" t="n"/>
      <c r="E143" s="47" t="n"/>
      <c r="F143" s="47" t="n"/>
      <c r="G143" s="47" t="n"/>
      <c r="H143" s="182" t="n"/>
      <c r="I143" s="163" t="n"/>
      <c r="J143" s="182" t="n"/>
      <c r="K143" s="168" t="n"/>
      <c r="L143" s="172" t="n"/>
      <c r="M143" s="182" t="n"/>
      <c r="N143" s="163" t="n"/>
      <c r="O143" s="163" t="n"/>
      <c r="P143" s="163" t="n">
        <v>34659.81</v>
      </c>
      <c r="Q143" s="163" t="n"/>
      <c r="R143" s="163" t="n"/>
      <c r="S143" s="182" t="n"/>
      <c r="T143" s="182" t="n"/>
      <c r="U143" s="182" t="n"/>
      <c r="V143" s="182" t="n"/>
      <c r="W143" s="182" t="n"/>
      <c r="X143" s="182" t="n"/>
      <c r="Y143" s="182" t="n"/>
      <c r="Z143" s="182" t="n"/>
      <c r="AA143" s="170" t="n"/>
      <c r="AB143" s="164" t="n"/>
      <c r="AC143" s="164" t="n"/>
      <c r="AD143" s="164" t="n"/>
      <c r="AE143" s="164" t="n"/>
      <c r="AF143" s="164" t="n"/>
      <c r="AG143" s="164" t="n"/>
      <c r="AH143" s="164" t="n"/>
      <c r="AI143" s="164" t="n"/>
      <c r="AJ143" s="164" t="n"/>
      <c r="AK143" s="164" t="n"/>
      <c r="AL143" s="96" t="n"/>
    </row>
    <row r="144">
      <c r="A144" s="27" t="n"/>
      <c r="B144" s="27" t="inlineStr">
        <is>
          <t>无客商-计提汤村复地块12月五险一金</t>
        </is>
      </c>
      <c r="C144" s="27" t="n">
        <v/>
      </c>
      <c r="D144" s="32" t="n"/>
      <c r="E144" s="47" t="n"/>
      <c r="F144" s="47" t="n"/>
      <c r="G144" s="47" t="n"/>
      <c r="H144" s="182" t="n"/>
      <c r="I144" s="163" t="n"/>
      <c r="J144" s="182" t="n"/>
      <c r="K144" s="168" t="n"/>
      <c r="L144" s="172" t="n"/>
      <c r="M144" s="182" t="n"/>
      <c r="N144" s="163" t="n"/>
      <c r="O144" s="163" t="n"/>
      <c r="P144" s="163" t="n">
        <v>44271.65</v>
      </c>
      <c r="Q144" s="163" t="n"/>
      <c r="R144" s="163" t="n"/>
      <c r="S144" s="182" t="n"/>
      <c r="T144" s="182" t="n"/>
      <c r="U144" s="182" t="n"/>
      <c r="V144" s="182" t="n"/>
      <c r="W144" s="182" t="n"/>
      <c r="X144" s="182" t="n"/>
      <c r="Y144" s="182" t="n"/>
      <c r="Z144" s="182" t="n"/>
      <c r="AA144" s="170" t="n"/>
      <c r="AB144" s="164" t="n"/>
      <c r="AC144" s="164" t="n"/>
      <c r="AD144" s="164" t="n"/>
      <c r="AE144" s="164" t="n"/>
      <c r="AF144" s="164" t="n"/>
      <c r="AG144" s="164" t="n"/>
      <c r="AH144" s="164" t="n"/>
      <c r="AI144" s="164" t="n"/>
      <c r="AJ144" s="164" t="n"/>
      <c r="AK144" s="164" t="n"/>
      <c r="AL144" s="96" t="n"/>
    </row>
    <row r="145">
      <c r="A145" s="27" t="n"/>
      <c r="B145" s="27" t="inlineStr">
        <is>
          <t>无客商-计提汤村复1项目2023年9月</t>
        </is>
      </c>
      <c r="C145" s="27" t="n">
        <v/>
      </c>
      <c r="D145" s="32" t="n"/>
      <c r="E145" s="47" t="n"/>
      <c r="F145" s="47" t="n"/>
      <c r="G145" s="47" t="n"/>
      <c r="H145" s="182" t="n"/>
      <c r="I145" s="163" t="n"/>
      <c r="J145" s="182" t="n"/>
      <c r="K145" s="168" t="n"/>
      <c r="L145" s="172" t="n"/>
      <c r="M145" s="182" t="n"/>
      <c r="N145" s="163" t="n"/>
      <c r="O145" s="163" t="n"/>
      <c r="P145" s="163" t="n">
        <v>21202.27</v>
      </c>
      <c r="Q145" s="163" t="n"/>
      <c r="R145" s="163" t="n"/>
      <c r="S145" s="182" t="n"/>
      <c r="T145" s="182" t="n"/>
      <c r="U145" s="182" t="n"/>
      <c r="V145" s="182" t="n"/>
      <c r="W145" s="182" t="n"/>
      <c r="X145" s="182" t="n"/>
      <c r="Y145" s="182" t="n"/>
      <c r="Z145" s="182" t="n"/>
      <c r="AA145" s="170" t="n"/>
      <c r="AB145" s="164" t="n"/>
      <c r="AC145" s="164" t="n"/>
      <c r="AD145" s="164" t="n"/>
      <c r="AE145" s="164" t="n"/>
      <c r="AF145" s="164" t="n"/>
      <c r="AG145" s="164" t="n"/>
      <c r="AH145" s="164" t="n"/>
      <c r="AI145" s="164" t="n"/>
      <c r="AJ145" s="164" t="n"/>
      <c r="AK145" s="164" t="n"/>
      <c r="AL145" s="96" t="n"/>
    </row>
    <row r="146">
      <c r="A146" s="27" t="n"/>
      <c r="B146" s="27" t="inlineStr">
        <is>
          <t>无客商-计提汤村复1地块项目8月薪酬费</t>
        </is>
      </c>
      <c r="C146" s="27" t="n">
        <v/>
      </c>
      <c r="D146" s="32" t="n"/>
      <c r="E146" s="47" t="n"/>
      <c r="F146" s="47" t="n"/>
      <c r="G146" s="47" t="n"/>
      <c r="H146" s="182" t="n"/>
      <c r="I146" s="163" t="n"/>
      <c r="J146" s="182" t="n"/>
      <c r="K146" s="168" t="n"/>
      <c r="L146" s="172" t="n"/>
      <c r="M146" s="182" t="n"/>
      <c r="N146" s="163" t="n"/>
      <c r="O146" s="163" t="n"/>
      <c r="P146" s="163" t="n">
        <v>98003.85000000001</v>
      </c>
      <c r="Q146" s="163" t="n"/>
      <c r="R146" s="163" t="n"/>
      <c r="S146" s="182" t="n"/>
      <c r="T146" s="182" t="n"/>
      <c r="U146" s="182" t="n"/>
      <c r="V146" s="182" t="n"/>
      <c r="W146" s="182" t="n"/>
      <c r="X146" s="182" t="n"/>
      <c r="Y146" s="182" t="n"/>
      <c r="Z146" s="182" t="n"/>
      <c r="AA146" s="170" t="n"/>
      <c r="AB146" s="164" t="n"/>
      <c r="AC146" s="164" t="n"/>
      <c r="AD146" s="164" t="n"/>
      <c r="AE146" s="164" t="n"/>
      <c r="AF146" s="164" t="n"/>
      <c r="AG146" s="164" t="n"/>
      <c r="AH146" s="164" t="n"/>
      <c r="AI146" s="164" t="n"/>
      <c r="AJ146" s="164" t="n"/>
      <c r="AK146" s="164" t="n"/>
      <c r="AL146" s="96" t="n"/>
    </row>
    <row r="147">
      <c r="A147" s="27" t="n"/>
      <c r="B147" s="27" t="inlineStr">
        <is>
          <t>无客商-计提汤村复1地块薪酬</t>
        </is>
      </c>
      <c r="C147" s="27" t="n">
        <v/>
      </c>
      <c r="D147" s="32" t="n"/>
      <c r="E147" s="47" t="n"/>
      <c r="F147" s="47" t="n"/>
      <c r="G147" s="47" t="n"/>
      <c r="H147" s="182" t="n"/>
      <c r="I147" s="163" t="n"/>
      <c r="J147" s="182" t="n"/>
      <c r="K147" s="168" t="n"/>
      <c r="L147" s="172" t="n"/>
      <c r="M147" s="182" t="n"/>
      <c r="N147" s="163" t="n"/>
      <c r="O147" s="163" t="n"/>
      <c r="P147" s="163" t="n">
        <v>181631.1</v>
      </c>
      <c r="Q147" s="163" t="n"/>
      <c r="R147" s="163" t="n"/>
      <c r="S147" s="182" t="n"/>
      <c r="T147" s="182" t="n"/>
      <c r="U147" s="182" t="n"/>
      <c r="V147" s="182" t="n"/>
      <c r="W147" s="182" t="n"/>
      <c r="X147" s="182" t="n"/>
      <c r="Y147" s="182" t="n"/>
      <c r="Z147" s="182" t="n"/>
      <c r="AA147" s="170" t="n"/>
      <c r="AB147" s="164" t="n"/>
      <c r="AC147" s="164" t="n"/>
      <c r="AD147" s="164" t="n"/>
      <c r="AE147" s="164" t="n"/>
      <c r="AF147" s="164" t="n"/>
      <c r="AG147" s="164" t="n"/>
      <c r="AH147" s="164" t="n"/>
      <c r="AI147" s="164" t="n"/>
      <c r="AJ147" s="164" t="n"/>
      <c r="AK147" s="164" t="n"/>
      <c r="AL147" s="96" t="n"/>
    </row>
    <row r="148">
      <c r="A148" s="27" t="n"/>
      <c r="B148" s="27" t="inlineStr">
        <is>
          <t>无客商-计提汤村复1地块社保公积金</t>
        </is>
      </c>
      <c r="C148" s="27" t="n">
        <v/>
      </c>
      <c r="D148" s="32" t="n"/>
      <c r="E148" s="47" t="n"/>
      <c r="F148" s="47" t="n"/>
      <c r="G148" s="47" t="n"/>
      <c r="H148" s="182" t="n"/>
      <c r="I148" s="163" t="n"/>
      <c r="J148" s="182" t="n"/>
      <c r="K148" s="168" t="n"/>
      <c r="L148" s="172" t="n"/>
      <c r="M148" s="182" t="n"/>
      <c r="N148" s="163" t="n"/>
      <c r="O148" s="163" t="n"/>
      <c r="P148" s="163" t="n">
        <v>420004.78</v>
      </c>
      <c r="Q148" s="163" t="n"/>
      <c r="R148" s="163" t="n"/>
      <c r="S148" s="182" t="n"/>
      <c r="T148" s="182" t="n"/>
      <c r="U148" s="182" t="n"/>
      <c r="V148" s="182" t="n"/>
      <c r="W148" s="182" t="n"/>
      <c r="X148" s="182" t="n"/>
      <c r="Y148" s="182" t="n"/>
      <c r="Z148" s="182" t="n"/>
      <c r="AA148" s="170" t="n"/>
      <c r="AB148" s="164" t="n"/>
      <c r="AC148" s="164" t="n"/>
      <c r="AD148" s="164" t="n"/>
      <c r="AE148" s="164" t="n"/>
      <c r="AF148" s="164" t="n"/>
      <c r="AG148" s="164" t="n"/>
      <c r="AH148" s="164" t="n"/>
      <c r="AI148" s="164" t="n"/>
      <c r="AJ148" s="164" t="n"/>
      <c r="AK148" s="164" t="n"/>
      <c r="AL148" s="96" t="n"/>
    </row>
    <row r="149">
      <c r="A149" s="27" t="n"/>
      <c r="B149" s="27" t="inlineStr">
        <is>
          <t>无客商-计提汤村复1地块人员薪酬</t>
        </is>
      </c>
      <c r="C149" s="27" t="n">
        <v/>
      </c>
      <c r="D149" s="32" t="n"/>
      <c r="E149" s="47" t="n"/>
      <c r="F149" s="47" t="n"/>
      <c r="G149" s="47" t="n"/>
      <c r="H149" s="182" t="n"/>
      <c r="I149" s="163" t="n"/>
      <c r="J149" s="182" t="n"/>
      <c r="K149" s="168" t="n"/>
      <c r="L149" s="172" t="n"/>
      <c r="M149" s="182" t="n"/>
      <c r="N149" s="163" t="n"/>
      <c r="O149" s="163" t="n"/>
      <c r="P149" s="163" t="n">
        <v>-3977.88</v>
      </c>
      <c r="Q149" s="163" t="n"/>
      <c r="R149" s="163" t="n"/>
      <c r="S149" s="182" t="n"/>
      <c r="T149" s="182" t="n"/>
      <c r="U149" s="182" t="n"/>
      <c r="V149" s="182" t="n"/>
      <c r="W149" s="182" t="n"/>
      <c r="X149" s="182" t="n"/>
      <c r="Y149" s="182" t="n"/>
      <c r="Z149" s="182" t="n"/>
      <c r="AA149" s="170" t="n"/>
      <c r="AB149" s="164" t="n"/>
      <c r="AC149" s="164" t="n"/>
      <c r="AD149" s="164" t="n"/>
      <c r="AE149" s="164" t="n"/>
      <c r="AF149" s="164" t="n"/>
      <c r="AG149" s="164" t="n"/>
      <c r="AH149" s="164" t="n"/>
      <c r="AI149" s="164" t="n"/>
      <c r="AJ149" s="164" t="n"/>
      <c r="AK149" s="164" t="n"/>
      <c r="AL149" s="96" t="n"/>
    </row>
    <row r="150">
      <c r="A150" s="27" t="n"/>
      <c r="B150" s="27" t="inlineStr">
        <is>
          <t>无客商-计提汤村复1地块9月社保公积金</t>
        </is>
      </c>
      <c r="C150" s="27" t="n">
        <v/>
      </c>
      <c r="D150" s="32" t="n"/>
      <c r="E150" s="47" t="n"/>
      <c r="F150" s="47" t="n"/>
      <c r="G150" s="47" t="n"/>
      <c r="H150" s="182" t="n"/>
      <c r="I150" s="163" t="n"/>
      <c r="J150" s="182" t="n"/>
      <c r="K150" s="168" t="n"/>
      <c r="L150" s="172" t="n"/>
      <c r="M150" s="182" t="n"/>
      <c r="N150" s="163" t="n"/>
      <c r="O150" s="163" t="n"/>
      <c r="P150" s="163" t="n">
        <v>14553.8</v>
      </c>
      <c r="Q150" s="163" t="n"/>
      <c r="R150" s="163" t="n"/>
      <c r="S150" s="182" t="n"/>
      <c r="T150" s="182" t="n"/>
      <c r="U150" s="182" t="n"/>
      <c r="V150" s="182" t="n"/>
      <c r="W150" s="182" t="n"/>
      <c r="X150" s="182" t="n"/>
      <c r="Y150" s="182" t="n"/>
      <c r="Z150" s="182" t="n"/>
      <c r="AA150" s="170" t="n"/>
      <c r="AB150" s="164" t="n"/>
      <c r="AC150" s="164" t="n"/>
      <c r="AD150" s="164" t="n"/>
      <c r="AE150" s="164" t="n"/>
      <c r="AF150" s="164" t="n"/>
      <c r="AG150" s="164" t="n"/>
      <c r="AH150" s="164" t="n"/>
      <c r="AI150" s="164" t="n"/>
      <c r="AJ150" s="164" t="n"/>
      <c r="AK150" s="164" t="n"/>
      <c r="AL150" s="96" t="n"/>
    </row>
    <row r="151">
      <c r="A151" s="27" t="n"/>
      <c r="B151" s="27" t="inlineStr">
        <is>
          <t>无客商-计提汤村复1地块8月薪酬（局）</t>
        </is>
      </c>
      <c r="C151" s="27" t="n">
        <v/>
      </c>
      <c r="D151" s="32" t="n"/>
      <c r="E151" s="47" t="n"/>
      <c r="F151" s="47" t="n"/>
      <c r="G151" s="47" t="n"/>
      <c r="H151" s="182" t="n"/>
      <c r="I151" s="163" t="n"/>
      <c r="J151" s="182" t="n"/>
      <c r="K151" s="168" t="n"/>
      <c r="L151" s="172" t="n"/>
      <c r="M151" s="182" t="n"/>
      <c r="N151" s="163" t="n"/>
      <c r="O151" s="163" t="n"/>
      <c r="P151" s="163" t="n">
        <v>61575</v>
      </c>
      <c r="Q151" s="163" t="n"/>
      <c r="R151" s="163" t="n"/>
      <c r="S151" s="182" t="n"/>
      <c r="T151" s="182" t="n"/>
      <c r="U151" s="182" t="n"/>
      <c r="V151" s="182" t="n"/>
      <c r="W151" s="182" t="n"/>
      <c r="X151" s="182" t="n"/>
      <c r="Y151" s="182" t="n"/>
      <c r="Z151" s="182" t="n"/>
      <c r="AA151" s="170" t="n"/>
      <c r="AB151" s="164" t="n"/>
      <c r="AC151" s="164" t="n"/>
      <c r="AD151" s="164" t="n"/>
      <c r="AE151" s="164" t="n"/>
      <c r="AF151" s="164" t="n"/>
      <c r="AG151" s="164" t="n"/>
      <c r="AH151" s="164" t="n"/>
      <c r="AI151" s="164" t="n"/>
      <c r="AJ151" s="164" t="n"/>
      <c r="AK151" s="164" t="n"/>
      <c r="AL151" s="96" t="n"/>
    </row>
    <row r="152">
      <c r="A152" s="27" t="n"/>
      <c r="B152" s="27" t="inlineStr">
        <is>
          <t>无客商-计提汤村复1地块8月薪酬</t>
        </is>
      </c>
      <c r="C152" s="27" t="n">
        <v/>
      </c>
      <c r="D152" s="32" t="n"/>
      <c r="E152" s="47" t="n"/>
      <c r="F152" s="47" t="n"/>
      <c r="G152" s="47" t="n"/>
      <c r="H152" s="182" t="n"/>
      <c r="I152" s="163" t="n"/>
      <c r="J152" s="182" t="n"/>
      <c r="K152" s="168" t="n"/>
      <c r="L152" s="172" t="n"/>
      <c r="M152" s="182" t="n"/>
      <c r="N152" s="163" t="n"/>
      <c r="O152" s="163" t="n"/>
      <c r="P152" s="163" t="n">
        <v>98835</v>
      </c>
      <c r="Q152" s="163" t="n"/>
      <c r="R152" s="163" t="n"/>
      <c r="S152" s="182" t="n"/>
      <c r="T152" s="182" t="n"/>
      <c r="U152" s="182" t="n"/>
      <c r="V152" s="182" t="n"/>
      <c r="W152" s="182" t="n"/>
      <c r="X152" s="182" t="n"/>
      <c r="Y152" s="182" t="n"/>
      <c r="Z152" s="182" t="n"/>
      <c r="AA152" s="170" t="n"/>
      <c r="AB152" s="164" t="n"/>
      <c r="AC152" s="164" t="n"/>
      <c r="AD152" s="164" t="n"/>
      <c r="AE152" s="164" t="n"/>
      <c r="AF152" s="164" t="n"/>
      <c r="AG152" s="164" t="n"/>
      <c r="AH152" s="164" t="n"/>
      <c r="AI152" s="164" t="n"/>
      <c r="AJ152" s="164" t="n"/>
      <c r="AK152" s="164" t="n"/>
      <c r="AL152" s="96" t="n"/>
    </row>
    <row r="153">
      <c r="A153" s="27" t="n"/>
      <c r="B153" s="27" t="inlineStr">
        <is>
          <t>无客商-计提汤村复1地块8月五险一金</t>
        </is>
      </c>
      <c r="C153" s="27" t="n">
        <v/>
      </c>
      <c r="D153" s="32" t="n"/>
      <c r="E153" s="47" t="n"/>
      <c r="F153" s="47" t="n"/>
      <c r="G153" s="47" t="n"/>
      <c r="H153" s="182" t="n"/>
      <c r="I153" s="163" t="n"/>
      <c r="J153" s="182" t="n"/>
      <c r="K153" s="168" t="n"/>
      <c r="L153" s="172" t="n"/>
      <c r="M153" s="182" t="n"/>
      <c r="N153" s="163" t="n"/>
      <c r="O153" s="163" t="n"/>
      <c r="P153" s="163" t="n">
        <v>14553.8</v>
      </c>
      <c r="Q153" s="163" t="n"/>
      <c r="R153" s="163" t="n"/>
      <c r="S153" s="182" t="n"/>
      <c r="T153" s="182" t="n"/>
      <c r="U153" s="182" t="n"/>
      <c r="V153" s="182" t="n"/>
      <c r="W153" s="182" t="n"/>
      <c r="X153" s="182" t="n"/>
      <c r="Y153" s="182" t="n"/>
      <c r="Z153" s="182" t="n"/>
      <c r="AA153" s="170" t="n"/>
      <c r="AB153" s="164" t="n"/>
      <c r="AC153" s="164" t="n"/>
      <c r="AD153" s="164" t="n"/>
      <c r="AE153" s="164" t="n"/>
      <c r="AF153" s="164" t="n"/>
      <c r="AG153" s="164" t="n"/>
      <c r="AH153" s="164" t="n"/>
      <c r="AI153" s="164" t="n"/>
      <c r="AJ153" s="164" t="n"/>
      <c r="AK153" s="164" t="n"/>
      <c r="AL153" s="96" t="n"/>
    </row>
    <row r="154">
      <c r="A154" s="27" t="n"/>
      <c r="B154" s="27" t="inlineStr">
        <is>
          <t>无客商-计提汤村复1地块7月薪酬（局）</t>
        </is>
      </c>
      <c r="C154" s="27" t="n">
        <v/>
      </c>
      <c r="D154" s="32" t="n"/>
      <c r="E154" s="47" t="n"/>
      <c r="F154" s="47" t="n"/>
      <c r="G154" s="47" t="n"/>
      <c r="H154" s="182" t="n"/>
      <c r="I154" s="163" t="n"/>
      <c r="J154" s="182" t="n"/>
      <c r="K154" s="168" t="n"/>
      <c r="L154" s="172" t="n"/>
      <c r="M154" s="182" t="n"/>
      <c r="N154" s="163" t="n"/>
      <c r="O154" s="163" t="n"/>
      <c r="P154" s="163" t="n">
        <v>80415.87</v>
      </c>
      <c r="Q154" s="163" t="n"/>
      <c r="R154" s="163" t="n"/>
      <c r="S154" s="182" t="n"/>
      <c r="T154" s="182" t="n"/>
      <c r="U154" s="182" t="n"/>
      <c r="V154" s="182" t="n"/>
      <c r="W154" s="182" t="n"/>
      <c r="X154" s="182" t="n"/>
      <c r="Y154" s="182" t="n"/>
      <c r="Z154" s="182" t="n"/>
      <c r="AA154" s="170" t="n"/>
      <c r="AB154" s="164" t="n"/>
      <c r="AC154" s="164" t="n"/>
      <c r="AD154" s="164" t="n"/>
      <c r="AE154" s="164" t="n"/>
      <c r="AF154" s="164" t="n"/>
      <c r="AG154" s="164" t="n"/>
      <c r="AH154" s="164" t="n"/>
      <c r="AI154" s="164" t="n"/>
      <c r="AJ154" s="164" t="n"/>
      <c r="AK154" s="164" t="n"/>
      <c r="AL154" s="96" t="n"/>
    </row>
    <row r="155">
      <c r="A155" s="27" t="n"/>
      <c r="B155" s="27" t="inlineStr">
        <is>
          <t>无客商-计提汤村复1地块7月五险一金</t>
        </is>
      </c>
      <c r="C155" s="27" t="n">
        <v/>
      </c>
      <c r="D155" s="32" t="n"/>
      <c r="E155" s="47" t="n"/>
      <c r="F155" s="47" t="n"/>
      <c r="G155" s="47" t="n"/>
      <c r="H155" s="182" t="n"/>
      <c r="I155" s="163" t="n"/>
      <c r="J155" s="182" t="n"/>
      <c r="K155" s="168" t="n"/>
      <c r="L155" s="172" t="n"/>
      <c r="M155" s="182" t="n"/>
      <c r="N155" s="163" t="n"/>
      <c r="O155" s="163" t="n"/>
      <c r="P155" s="163" t="n">
        <v>14553.8</v>
      </c>
      <c r="Q155" s="163" t="n"/>
      <c r="R155" s="163" t="n"/>
      <c r="S155" s="182" t="n"/>
      <c r="T155" s="182" t="n"/>
      <c r="U155" s="182" t="n"/>
      <c r="V155" s="182" t="n"/>
      <c r="W155" s="182" t="n"/>
      <c r="X155" s="182" t="n"/>
      <c r="Y155" s="182" t="n"/>
      <c r="Z155" s="182" t="n"/>
      <c r="AA155" s="170" t="n"/>
      <c r="AB155" s="164" t="n"/>
      <c r="AC155" s="164" t="n"/>
      <c r="AD155" s="164" t="n"/>
      <c r="AE155" s="164" t="n"/>
      <c r="AF155" s="164" t="n"/>
      <c r="AG155" s="164" t="n"/>
      <c r="AH155" s="164" t="n"/>
      <c r="AI155" s="164" t="n"/>
      <c r="AJ155" s="164" t="n"/>
      <c r="AK155" s="164" t="n"/>
      <c r="AL155" s="96" t="n"/>
    </row>
    <row r="156">
      <c r="A156" s="27" t="n"/>
      <c r="B156" s="27" t="inlineStr">
        <is>
          <t>无客商-计提汤村复1地块6月薪酬</t>
        </is>
      </c>
      <c r="C156" s="27" t="n">
        <v/>
      </c>
      <c r="D156" s="32" t="n"/>
      <c r="E156" s="47" t="n"/>
      <c r="F156" s="47" t="n"/>
      <c r="G156" s="47" t="n"/>
      <c r="H156" s="182" t="n"/>
      <c r="I156" s="163" t="n"/>
      <c r="J156" s="182" t="n"/>
      <c r="K156" s="168" t="n"/>
      <c r="L156" s="172" t="n"/>
      <c r="M156" s="182" t="n"/>
      <c r="N156" s="163" t="n"/>
      <c r="O156" s="163" t="n"/>
      <c r="P156" s="163" t="n">
        <v>59555</v>
      </c>
      <c r="Q156" s="163" t="n"/>
      <c r="R156" s="163" t="n"/>
      <c r="S156" s="182" t="n"/>
      <c r="T156" s="182" t="n"/>
      <c r="U156" s="182" t="n"/>
      <c r="V156" s="182" t="n"/>
      <c r="W156" s="182" t="n"/>
      <c r="X156" s="182" t="n"/>
      <c r="Y156" s="182" t="n"/>
      <c r="Z156" s="182" t="n"/>
      <c r="AA156" s="170" t="n"/>
      <c r="AB156" s="164" t="n"/>
      <c r="AC156" s="164" t="n"/>
      <c r="AD156" s="164" t="n"/>
      <c r="AE156" s="164" t="n"/>
      <c r="AF156" s="164" t="n"/>
      <c r="AG156" s="164" t="n"/>
      <c r="AH156" s="164" t="n"/>
      <c r="AI156" s="164" t="n"/>
      <c r="AJ156" s="164" t="n"/>
      <c r="AK156" s="164" t="n"/>
      <c r="AL156" s="96" t="n"/>
    </row>
    <row r="157">
      <c r="A157" s="27" t="n"/>
      <c r="B157" s="27" t="inlineStr">
        <is>
          <t>无客商-计提汤村复1地块6月社保公积金</t>
        </is>
      </c>
      <c r="C157" s="27" t="n">
        <v/>
      </c>
      <c r="D157" s="32" t="n"/>
      <c r="E157" s="47" t="n"/>
      <c r="F157" s="47" t="n"/>
      <c r="G157" s="47" t="n"/>
      <c r="H157" s="182" t="n"/>
      <c r="I157" s="163" t="n"/>
      <c r="J157" s="182" t="n"/>
      <c r="K157" s="168" t="n"/>
      <c r="L157" s="172" t="n"/>
      <c r="M157" s="182" t="n"/>
      <c r="N157" s="163" t="n"/>
      <c r="O157" s="163" t="n"/>
      <c r="P157" s="163" t="n">
        <v>14625.74</v>
      </c>
      <c r="Q157" s="163" t="n"/>
      <c r="R157" s="163" t="n"/>
      <c r="S157" s="182" t="n"/>
      <c r="T157" s="182" t="n"/>
      <c r="U157" s="182" t="n"/>
      <c r="V157" s="182" t="n"/>
      <c r="W157" s="182" t="n"/>
      <c r="X157" s="182" t="n"/>
      <c r="Y157" s="182" t="n"/>
      <c r="Z157" s="182" t="n"/>
      <c r="AA157" s="170" t="n"/>
      <c r="AB157" s="164" t="n"/>
      <c r="AC157" s="164" t="n"/>
      <c r="AD157" s="164" t="n"/>
      <c r="AE157" s="164" t="n"/>
      <c r="AF157" s="164" t="n"/>
      <c r="AG157" s="164" t="n"/>
      <c r="AH157" s="164" t="n"/>
      <c r="AI157" s="164" t="n"/>
      <c r="AJ157" s="164" t="n"/>
      <c r="AK157" s="164" t="n"/>
      <c r="AL157" s="96" t="n"/>
    </row>
    <row r="158">
      <c r="A158" s="27" t="n"/>
      <c r="B158" s="27" t="inlineStr">
        <is>
          <t>无客商-计提汤村复1地块5月薪酬（局）</t>
        </is>
      </c>
      <c r="C158" s="27" t="n">
        <v/>
      </c>
      <c r="D158" s="32" t="n"/>
      <c r="E158" s="47" t="n"/>
      <c r="F158" s="47" t="n"/>
      <c r="G158" s="47" t="n"/>
      <c r="H158" s="182" t="n"/>
      <c r="I158" s="163" t="n"/>
      <c r="J158" s="182" t="n"/>
      <c r="K158" s="168" t="n"/>
      <c r="L158" s="172" t="n"/>
      <c r="M158" s="182" t="n"/>
      <c r="N158" s="163" t="n"/>
      <c r="O158" s="163" t="n"/>
      <c r="P158" s="163" t="n">
        <v>59555</v>
      </c>
      <c r="Q158" s="163" t="n"/>
      <c r="R158" s="163" t="n"/>
      <c r="S158" s="182" t="n"/>
      <c r="T158" s="182" t="n"/>
      <c r="U158" s="182" t="n"/>
      <c r="V158" s="182" t="n"/>
      <c r="W158" s="182" t="n"/>
      <c r="X158" s="182" t="n"/>
      <c r="Y158" s="182" t="n"/>
      <c r="Z158" s="182" t="n"/>
      <c r="AA158" s="170" t="n"/>
      <c r="AB158" s="164" t="n"/>
      <c r="AC158" s="164" t="n"/>
      <c r="AD158" s="164" t="n"/>
      <c r="AE158" s="164" t="n"/>
      <c r="AF158" s="164" t="n"/>
      <c r="AG158" s="164" t="n"/>
      <c r="AH158" s="164" t="n"/>
      <c r="AI158" s="164" t="n"/>
      <c r="AJ158" s="164" t="n"/>
      <c r="AK158" s="164" t="n"/>
      <c r="AL158" s="96" t="n"/>
    </row>
    <row r="159">
      <c r="A159" s="27" t="n"/>
      <c r="B159" s="27" t="inlineStr">
        <is>
          <t>无客商-计提汤村复1地块5月薪酬</t>
        </is>
      </c>
      <c r="C159" s="27" t="n">
        <v/>
      </c>
      <c r="D159" s="32" t="n"/>
      <c r="E159" s="47" t="n"/>
      <c r="F159" s="47" t="n"/>
      <c r="G159" s="47" t="n"/>
      <c r="H159" s="182" t="n"/>
      <c r="I159" s="163" t="n"/>
      <c r="J159" s="182" t="n"/>
      <c r="K159" s="168" t="n"/>
      <c r="L159" s="172" t="n"/>
      <c r="M159" s="182" t="n"/>
      <c r="N159" s="163" t="n"/>
      <c r="O159" s="163" t="n"/>
      <c r="P159" s="163" t="n">
        <v>50785</v>
      </c>
      <c r="Q159" s="163" t="n"/>
      <c r="R159" s="163" t="n"/>
      <c r="S159" s="182" t="n"/>
      <c r="T159" s="182" t="n"/>
      <c r="U159" s="182" t="n"/>
      <c r="V159" s="182" t="n"/>
      <c r="W159" s="182" t="n"/>
      <c r="X159" s="182" t="n"/>
      <c r="Y159" s="182" t="n"/>
      <c r="Z159" s="182" t="n"/>
      <c r="AA159" s="170" t="n"/>
      <c r="AB159" s="164" t="n"/>
      <c r="AC159" s="164" t="n"/>
      <c r="AD159" s="164" t="n"/>
      <c r="AE159" s="164" t="n"/>
      <c r="AF159" s="164" t="n"/>
      <c r="AG159" s="164" t="n"/>
      <c r="AH159" s="164" t="n"/>
      <c r="AI159" s="164" t="n"/>
      <c r="AJ159" s="164" t="n"/>
      <c r="AK159" s="164" t="n"/>
      <c r="AL159" s="96" t="n"/>
    </row>
    <row r="160">
      <c r="A160" s="27" t="n"/>
      <c r="B160" s="27" t="inlineStr">
        <is>
          <t>无客商-计提汤村复1地块5月社保公积金</t>
        </is>
      </c>
      <c r="C160" s="27" t="n">
        <v/>
      </c>
      <c r="D160" s="32" t="n"/>
      <c r="E160" s="47" t="n"/>
      <c r="F160" s="47" t="n"/>
      <c r="G160" s="47" t="n"/>
      <c r="H160" s="182" t="n"/>
      <c r="I160" s="163" t="n"/>
      <c r="J160" s="182" t="n"/>
      <c r="K160" s="168" t="n"/>
      <c r="L160" s="172" t="n"/>
      <c r="M160" s="182" t="n"/>
      <c r="N160" s="163" t="n"/>
      <c r="O160" s="163" t="n"/>
      <c r="P160" s="163" t="n">
        <v>14625.74</v>
      </c>
      <c r="Q160" s="163" t="n"/>
      <c r="R160" s="163" t="n"/>
      <c r="S160" s="182" t="n"/>
      <c r="T160" s="182" t="n"/>
      <c r="U160" s="182" t="n"/>
      <c r="V160" s="182" t="n"/>
      <c r="W160" s="182" t="n"/>
      <c r="X160" s="182" t="n"/>
      <c r="Y160" s="182" t="n"/>
      <c r="Z160" s="182" t="n"/>
      <c r="AA160" s="170" t="n"/>
      <c r="AB160" s="164" t="n"/>
      <c r="AC160" s="164" t="n"/>
      <c r="AD160" s="164" t="n"/>
      <c r="AE160" s="164" t="n"/>
      <c r="AF160" s="164" t="n"/>
      <c r="AG160" s="164" t="n"/>
      <c r="AH160" s="164" t="n"/>
      <c r="AI160" s="164" t="n"/>
      <c r="AJ160" s="164" t="n"/>
      <c r="AK160" s="164" t="n"/>
      <c r="AL160" s="96" t="n"/>
    </row>
    <row r="161">
      <c r="A161" s="27" t="n"/>
      <c r="B161" s="27" t="inlineStr">
        <is>
          <t>无客商-计提汤村复1地块4月薪酬（局）</t>
        </is>
      </c>
      <c r="C161" s="27" t="n">
        <v/>
      </c>
      <c r="D161" s="32" t="n"/>
      <c r="E161" s="47" t="n"/>
      <c r="F161" s="47" t="n"/>
      <c r="G161" s="47" t="n"/>
      <c r="H161" s="182" t="n"/>
      <c r="I161" s="163" t="n"/>
      <c r="J161" s="182" t="n"/>
      <c r="K161" s="168" t="n"/>
      <c r="L161" s="172" t="n"/>
      <c r="M161" s="182" t="n"/>
      <c r="N161" s="163" t="n"/>
      <c r="O161" s="163" t="n"/>
      <c r="P161" s="163" t="n">
        <v>58055</v>
      </c>
      <c r="Q161" s="163" t="n"/>
      <c r="R161" s="163" t="n"/>
      <c r="S161" s="182" t="n"/>
      <c r="T161" s="182" t="n"/>
      <c r="U161" s="182" t="n"/>
      <c r="V161" s="182" t="n"/>
      <c r="W161" s="182" t="n"/>
      <c r="X161" s="182" t="n"/>
      <c r="Y161" s="182" t="n"/>
      <c r="Z161" s="182" t="n"/>
      <c r="AA161" s="170" t="n"/>
      <c r="AB161" s="164" t="n"/>
      <c r="AC161" s="164" t="n"/>
      <c r="AD161" s="164" t="n"/>
      <c r="AE161" s="164" t="n"/>
      <c r="AF161" s="164" t="n"/>
      <c r="AG161" s="164" t="n"/>
      <c r="AH161" s="164" t="n"/>
      <c r="AI161" s="164" t="n"/>
      <c r="AJ161" s="164" t="n"/>
      <c r="AK161" s="164" t="n"/>
      <c r="AL161" s="96" t="n"/>
    </row>
    <row r="162">
      <c r="A162" s="27" t="n"/>
      <c r="B162" s="27" t="inlineStr">
        <is>
          <t>无客商-计提汤村复1地块4月薪酬</t>
        </is>
      </c>
      <c r="C162" s="27" t="n">
        <v/>
      </c>
      <c r="D162" s="32" t="n"/>
      <c r="E162" s="47" t="n"/>
      <c r="F162" s="47" t="n"/>
      <c r="G162" s="47" t="n"/>
      <c r="H162" s="182" t="n"/>
      <c r="I162" s="163" t="n"/>
      <c r="J162" s="182" t="n"/>
      <c r="K162" s="168" t="n"/>
      <c r="L162" s="172" t="n"/>
      <c r="M162" s="182" t="n"/>
      <c r="N162" s="163" t="n"/>
      <c r="O162" s="163" t="n"/>
      <c r="P162" s="163" t="n">
        <v>49385</v>
      </c>
      <c r="Q162" s="163" t="n"/>
      <c r="R162" s="163" t="n"/>
      <c r="S162" s="182" t="n"/>
      <c r="T162" s="182" t="n"/>
      <c r="U162" s="182" t="n"/>
      <c r="V162" s="182" t="n"/>
      <c r="W162" s="182" t="n"/>
      <c r="X162" s="182" t="n"/>
      <c r="Y162" s="182" t="n"/>
      <c r="Z162" s="182" t="n"/>
      <c r="AA162" s="170" t="n"/>
      <c r="AB162" s="164" t="n"/>
      <c r="AC162" s="164" t="n"/>
      <c r="AD162" s="164" t="n"/>
      <c r="AE162" s="164" t="n"/>
      <c r="AF162" s="164" t="n"/>
      <c r="AG162" s="164" t="n"/>
      <c r="AH162" s="164" t="n"/>
      <c r="AI162" s="164" t="n"/>
      <c r="AJ162" s="164" t="n"/>
      <c r="AK162" s="164" t="n"/>
      <c r="AL162" s="96" t="n"/>
    </row>
    <row r="163">
      <c r="A163" s="27" t="n"/>
      <c r="B163" s="27" t="inlineStr">
        <is>
          <t>无客商-计提汤村复1地块3月薪酬（局）</t>
        </is>
      </c>
      <c r="C163" s="27" t="n">
        <v/>
      </c>
      <c r="D163" s="32" t="n"/>
      <c r="E163" s="47" t="n"/>
      <c r="F163" s="47" t="n"/>
      <c r="G163" s="47" t="n"/>
      <c r="H163" s="182" t="n"/>
      <c r="I163" s="163" t="n"/>
      <c r="J163" s="182" t="n"/>
      <c r="K163" s="168" t="n"/>
      <c r="L163" s="172" t="n"/>
      <c r="M163" s="182" t="n"/>
      <c r="N163" s="163" t="n"/>
      <c r="O163" s="163" t="n"/>
      <c r="P163" s="163" t="n">
        <v>60955</v>
      </c>
      <c r="Q163" s="163" t="n"/>
      <c r="R163" s="163" t="n"/>
      <c r="S163" s="182" t="n"/>
      <c r="T163" s="182" t="n"/>
      <c r="U163" s="182" t="n"/>
      <c r="V163" s="182" t="n"/>
      <c r="W163" s="182" t="n"/>
      <c r="X163" s="182" t="n"/>
      <c r="Y163" s="182" t="n"/>
      <c r="Z163" s="182" t="n"/>
      <c r="AA163" s="170" t="n"/>
      <c r="AB163" s="164" t="n"/>
      <c r="AC163" s="164" t="n"/>
      <c r="AD163" s="164" t="n"/>
      <c r="AE163" s="164" t="n"/>
      <c r="AF163" s="164" t="n"/>
      <c r="AG163" s="164" t="n"/>
      <c r="AH163" s="164" t="n"/>
      <c r="AI163" s="164" t="n"/>
      <c r="AJ163" s="164" t="n"/>
      <c r="AK163" s="164" t="n"/>
      <c r="AL163" s="96" t="n"/>
    </row>
    <row r="164">
      <c r="A164" s="27" t="n"/>
      <c r="B164" s="27" t="inlineStr">
        <is>
          <t>无客商-计提汤村复1地块3月社保公积金</t>
        </is>
      </c>
      <c r="C164" s="27" t="n">
        <v/>
      </c>
      <c r="D164" s="32" t="n"/>
      <c r="E164" s="47" t="n"/>
      <c r="F164" s="47" t="n"/>
      <c r="G164" s="47" t="n"/>
      <c r="H164" s="182" t="n"/>
      <c r="I164" s="163" t="n"/>
      <c r="J164" s="182" t="n"/>
      <c r="K164" s="168" t="n"/>
      <c r="L164" s="172" t="n"/>
      <c r="M164" s="182" t="n"/>
      <c r="N164" s="163" t="n"/>
      <c r="O164" s="163" t="n"/>
      <c r="P164" s="163" t="n">
        <v>12532.74</v>
      </c>
      <c r="Q164" s="163" t="n"/>
      <c r="R164" s="163" t="n"/>
      <c r="S164" s="182" t="n"/>
      <c r="T164" s="182" t="n"/>
      <c r="U164" s="182" t="n"/>
      <c r="V164" s="182" t="n"/>
      <c r="W164" s="182" t="n"/>
      <c r="X164" s="182" t="n"/>
      <c r="Y164" s="182" t="n"/>
      <c r="Z164" s="182" t="n"/>
      <c r="AA164" s="170" t="n"/>
      <c r="AB164" s="164" t="n"/>
      <c r="AC164" s="164" t="n"/>
      <c r="AD164" s="164" t="n"/>
      <c r="AE164" s="164" t="n"/>
      <c r="AF164" s="164" t="n"/>
      <c r="AG164" s="164" t="n"/>
      <c r="AH164" s="164" t="n"/>
      <c r="AI164" s="164" t="n"/>
      <c r="AJ164" s="164" t="n"/>
      <c r="AK164" s="164" t="n"/>
      <c r="AL164" s="96" t="n"/>
    </row>
    <row r="165">
      <c r="A165" s="27" t="n"/>
      <c r="B165" s="27" t="inlineStr">
        <is>
          <t>无客商-计提汤村复1地块3月人员薪酬</t>
        </is>
      </c>
      <c r="C165" s="27" t="n">
        <v/>
      </c>
      <c r="D165" s="32" t="n"/>
      <c r="E165" s="47" t="n"/>
      <c r="F165" s="47" t="n"/>
      <c r="G165" s="47" t="n"/>
      <c r="H165" s="182" t="n"/>
      <c r="I165" s="163" t="n"/>
      <c r="J165" s="182" t="n"/>
      <c r="K165" s="168" t="n"/>
      <c r="L165" s="172" t="n"/>
      <c r="M165" s="182" t="n"/>
      <c r="N165" s="163" t="n"/>
      <c r="O165" s="163" t="n"/>
      <c r="P165" s="163" t="n">
        <v>61591.67</v>
      </c>
      <c r="Q165" s="163" t="n"/>
      <c r="R165" s="163" t="n"/>
      <c r="S165" s="182" t="n"/>
      <c r="T165" s="182" t="n"/>
      <c r="U165" s="182" t="n"/>
      <c r="V165" s="182" t="n"/>
      <c r="W165" s="182" t="n"/>
      <c r="X165" s="182" t="n"/>
      <c r="Y165" s="182" t="n"/>
      <c r="Z165" s="182" t="n"/>
      <c r="AA165" s="170" t="n"/>
      <c r="AB165" s="164" t="n"/>
      <c r="AC165" s="164" t="n"/>
      <c r="AD165" s="164" t="n"/>
      <c r="AE165" s="164" t="n"/>
      <c r="AF165" s="164" t="n"/>
      <c r="AG165" s="164" t="n"/>
      <c r="AH165" s="164" t="n"/>
      <c r="AI165" s="164" t="n"/>
      <c r="AJ165" s="164" t="n"/>
      <c r="AK165" s="164" t="n"/>
      <c r="AL165" s="96" t="n"/>
    </row>
    <row r="166">
      <c r="A166" s="27" t="n"/>
      <c r="B166" s="27" t="inlineStr">
        <is>
          <t>无客商-计提汤村复1地块2026年2月</t>
        </is>
      </c>
      <c r="C166" s="27" t="n">
        <v/>
      </c>
      <c r="D166" s="32" t="n"/>
      <c r="E166" s="47" t="n"/>
      <c r="F166" s="47" t="n"/>
      <c r="G166" s="47" t="n"/>
      <c r="H166" s="182" t="n"/>
      <c r="I166" s="163" t="n"/>
      <c r="J166" s="182" t="n"/>
      <c r="K166" s="168" t="n"/>
      <c r="L166" s="172" t="n"/>
      <c r="M166" s="182" t="n"/>
      <c r="N166" s="163" t="n"/>
      <c r="O166" s="163" t="n"/>
      <c r="P166" s="163" t="n">
        <v>14071</v>
      </c>
      <c r="Q166" s="163" t="n"/>
      <c r="R166" s="163" t="n"/>
      <c r="S166" s="182" t="n"/>
      <c r="T166" s="182" t="n"/>
      <c r="U166" s="182" t="n"/>
      <c r="V166" s="182" t="n"/>
      <c r="W166" s="182" t="n"/>
      <c r="X166" s="182" t="n"/>
      <c r="Y166" s="182" t="n"/>
      <c r="Z166" s="182" t="n"/>
      <c r="AA166" s="170" t="n"/>
      <c r="AB166" s="164" t="n"/>
      <c r="AC166" s="164" t="n"/>
      <c r="AD166" s="164" t="n"/>
      <c r="AE166" s="164" t="n"/>
      <c r="AF166" s="164" t="n"/>
      <c r="AG166" s="164" t="n"/>
      <c r="AH166" s="164" t="n"/>
      <c r="AI166" s="164" t="n"/>
      <c r="AJ166" s="164" t="n"/>
      <c r="AK166" s="164" t="n"/>
      <c r="AL166" s="96" t="n"/>
    </row>
    <row r="167">
      <c r="A167" s="27" t="n"/>
      <c r="B167" s="27" t="inlineStr">
        <is>
          <t>无客商-计提汤村复1地块2026年1月</t>
        </is>
      </c>
      <c r="C167" s="27" t="n">
        <v/>
      </c>
      <c r="D167" s="32" t="n"/>
      <c r="E167" s="47" t="n"/>
      <c r="F167" s="47" t="n"/>
      <c r="G167" s="47" t="n"/>
      <c r="H167" s="182" t="n"/>
      <c r="I167" s="163" t="n"/>
      <c r="J167" s="182" t="n"/>
      <c r="K167" s="168" t="n"/>
      <c r="L167" s="172" t="n"/>
      <c r="M167" s="182" t="n"/>
      <c r="N167" s="163" t="n"/>
      <c r="O167" s="163" t="n"/>
      <c r="P167" s="163" t="n">
        <v>14071</v>
      </c>
      <c r="Q167" s="163" t="n"/>
      <c r="R167" s="163" t="n"/>
      <c r="S167" s="182" t="n"/>
      <c r="T167" s="182" t="n"/>
      <c r="U167" s="182" t="n"/>
      <c r="V167" s="182" t="n"/>
      <c r="W167" s="182" t="n"/>
      <c r="X167" s="182" t="n"/>
      <c r="Y167" s="182" t="n"/>
      <c r="Z167" s="182" t="n"/>
      <c r="AA167" s="170" t="n"/>
      <c r="AB167" s="164" t="n"/>
      <c r="AC167" s="164" t="n"/>
      <c r="AD167" s="164" t="n"/>
      <c r="AE167" s="164" t="n"/>
      <c r="AF167" s="164" t="n"/>
      <c r="AG167" s="164" t="n"/>
      <c r="AH167" s="164" t="n"/>
      <c r="AI167" s="164" t="n"/>
      <c r="AJ167" s="164" t="n"/>
      <c r="AK167" s="164" t="n"/>
      <c r="AL167" s="96" t="n"/>
    </row>
    <row r="168">
      <c r="A168" s="27" t="n"/>
      <c r="B168" s="27" t="inlineStr">
        <is>
          <t>无客商-计提汤村复1地块2025年9月</t>
        </is>
      </c>
      <c r="C168" s="27" t="n">
        <v/>
      </c>
      <c r="D168" s="32" t="n"/>
      <c r="E168" s="47" t="n"/>
      <c r="F168" s="47" t="n"/>
      <c r="G168" s="47" t="n"/>
      <c r="H168" s="182" t="n"/>
      <c r="I168" s="163" t="n"/>
      <c r="J168" s="182" t="n"/>
      <c r="K168" s="168" t="n"/>
      <c r="L168" s="172" t="n"/>
      <c r="M168" s="182" t="n"/>
      <c r="N168" s="163" t="n"/>
      <c r="O168" s="163" t="n"/>
      <c r="P168" s="163" t="n">
        <v>18913.63</v>
      </c>
      <c r="Q168" s="163" t="n"/>
      <c r="R168" s="163" t="n"/>
      <c r="S168" s="182" t="n"/>
      <c r="T168" s="182" t="n"/>
      <c r="U168" s="182" t="n"/>
      <c r="V168" s="182" t="n"/>
      <c r="W168" s="182" t="n"/>
      <c r="X168" s="182" t="n"/>
      <c r="Y168" s="182" t="n"/>
      <c r="Z168" s="182" t="n"/>
      <c r="AA168" s="170" t="n"/>
      <c r="AB168" s="164" t="n"/>
      <c r="AC168" s="164" t="n"/>
      <c r="AD168" s="164" t="n"/>
      <c r="AE168" s="164" t="n"/>
      <c r="AF168" s="164" t="n"/>
      <c r="AG168" s="164" t="n"/>
      <c r="AH168" s="164" t="n"/>
      <c r="AI168" s="164" t="n"/>
      <c r="AJ168" s="164" t="n"/>
      <c r="AK168" s="164" t="n"/>
      <c r="AL168" s="96" t="n"/>
    </row>
    <row r="169">
      <c r="A169" s="27" t="n"/>
      <c r="B169" s="27" t="inlineStr">
        <is>
          <t>无客商-计提汤村复1地块2025年8月</t>
        </is>
      </c>
      <c r="C169" s="27" t="n">
        <v/>
      </c>
      <c r="D169" s="32" t="n"/>
      <c r="E169" s="47" t="n"/>
      <c r="F169" s="47" t="n"/>
      <c r="G169" s="47" t="n"/>
      <c r="H169" s="182" t="n"/>
      <c r="I169" s="163" t="n"/>
      <c r="J169" s="182" t="n"/>
      <c r="K169" s="168" t="n"/>
      <c r="L169" s="172" t="n"/>
      <c r="M169" s="182" t="n"/>
      <c r="N169" s="163" t="n"/>
      <c r="O169" s="163" t="n"/>
      <c r="P169" s="163" t="n">
        <v>18913.63</v>
      </c>
      <c r="Q169" s="163" t="n"/>
      <c r="R169" s="163" t="n"/>
      <c r="S169" s="182" t="n"/>
      <c r="T169" s="182" t="n"/>
      <c r="U169" s="182" t="n"/>
      <c r="V169" s="182" t="n"/>
      <c r="W169" s="182" t="n"/>
      <c r="X169" s="182" t="n"/>
      <c r="Y169" s="182" t="n"/>
      <c r="Z169" s="182" t="n"/>
      <c r="AA169" s="170" t="n"/>
      <c r="AB169" s="164" t="n"/>
      <c r="AC169" s="164" t="n"/>
      <c r="AD169" s="164" t="n"/>
      <c r="AE169" s="164" t="n"/>
      <c r="AF169" s="164" t="n"/>
      <c r="AG169" s="164" t="n"/>
      <c r="AH169" s="164" t="n"/>
      <c r="AI169" s="164" t="n"/>
      <c r="AJ169" s="164" t="n"/>
      <c r="AK169" s="164" t="n"/>
      <c r="AL169" s="96" t="n"/>
    </row>
    <row r="170">
      <c r="A170" s="27" t="n"/>
      <c r="B170" s="27" t="inlineStr">
        <is>
          <t>无客商-计提汤村复1地块2025年7月</t>
        </is>
      </c>
      <c r="C170" s="27" t="n">
        <v/>
      </c>
      <c r="D170" s="32" t="n"/>
      <c r="E170" s="47" t="n"/>
      <c r="F170" s="47" t="n"/>
      <c r="G170" s="47" t="n"/>
      <c r="H170" s="182" t="n"/>
      <c r="I170" s="163" t="n"/>
      <c r="J170" s="182" t="n"/>
      <c r="K170" s="168" t="n"/>
      <c r="L170" s="172" t="n"/>
      <c r="M170" s="182" t="n"/>
      <c r="N170" s="163" t="n"/>
      <c r="O170" s="163" t="n"/>
      <c r="P170" s="163" t="n">
        <v>18913.63</v>
      </c>
      <c r="Q170" s="163" t="n"/>
      <c r="R170" s="163" t="n"/>
      <c r="S170" s="182" t="n"/>
      <c r="T170" s="182" t="n"/>
      <c r="U170" s="182" t="n"/>
      <c r="V170" s="182" t="n"/>
      <c r="W170" s="182" t="n"/>
      <c r="X170" s="182" t="n"/>
      <c r="Y170" s="182" t="n"/>
      <c r="Z170" s="182" t="n"/>
      <c r="AA170" s="170" t="n"/>
      <c r="AB170" s="164" t="n"/>
      <c r="AC170" s="164" t="n"/>
      <c r="AD170" s="164" t="n"/>
      <c r="AE170" s="164" t="n"/>
      <c r="AF170" s="164" t="n"/>
      <c r="AG170" s="164" t="n"/>
      <c r="AH170" s="164" t="n"/>
      <c r="AI170" s="164" t="n"/>
      <c r="AJ170" s="164" t="n"/>
      <c r="AK170" s="164" t="n"/>
      <c r="AL170" s="96" t="n"/>
    </row>
    <row r="171">
      <c r="A171" s="27" t="n"/>
      <c r="B171" s="27" t="inlineStr">
        <is>
          <t>无客商-计提汤村复1地块2025年6月</t>
        </is>
      </c>
      <c r="C171" s="27" t="n">
        <v/>
      </c>
      <c r="D171" s="32" t="n"/>
      <c r="E171" s="47" t="n"/>
      <c r="F171" s="47" t="n"/>
      <c r="G171" s="47" t="n"/>
      <c r="H171" s="182" t="n"/>
      <c r="I171" s="163" t="n"/>
      <c r="J171" s="182" t="n"/>
      <c r="K171" s="168" t="n"/>
      <c r="L171" s="172" t="n"/>
      <c r="M171" s="182" t="n"/>
      <c r="N171" s="163" t="n"/>
      <c r="O171" s="163" t="n"/>
      <c r="P171" s="163" t="n">
        <v>19019.55</v>
      </c>
      <c r="Q171" s="163" t="n"/>
      <c r="R171" s="163" t="n"/>
      <c r="S171" s="182" t="n"/>
      <c r="T171" s="182" t="n"/>
      <c r="U171" s="182" t="n"/>
      <c r="V171" s="182" t="n"/>
      <c r="W171" s="182" t="n"/>
      <c r="X171" s="182" t="n"/>
      <c r="Y171" s="182" t="n"/>
      <c r="Z171" s="182" t="n"/>
      <c r="AA171" s="170" t="n"/>
      <c r="AB171" s="164" t="n"/>
      <c r="AC171" s="164" t="n"/>
      <c r="AD171" s="164" t="n"/>
      <c r="AE171" s="164" t="n"/>
      <c r="AF171" s="164" t="n"/>
      <c r="AG171" s="164" t="n"/>
      <c r="AH171" s="164" t="n"/>
      <c r="AI171" s="164" t="n"/>
      <c r="AJ171" s="164" t="n"/>
      <c r="AK171" s="164" t="n"/>
      <c r="AL171" s="96" t="n"/>
    </row>
    <row r="172">
      <c r="A172" s="27" t="n"/>
      <c r="B172" s="27" t="inlineStr">
        <is>
          <t>无客商-计提汤村复1地块2025年5月</t>
        </is>
      </c>
      <c r="C172" s="27" t="n">
        <v/>
      </c>
      <c r="D172" s="32" t="n"/>
      <c r="E172" s="47" t="n"/>
      <c r="F172" s="47" t="n"/>
      <c r="G172" s="47" t="n"/>
      <c r="H172" s="182" t="n"/>
      <c r="I172" s="163" t="n"/>
      <c r="J172" s="182" t="n"/>
      <c r="K172" s="168" t="n"/>
      <c r="L172" s="172" t="n"/>
      <c r="M172" s="182" t="n"/>
      <c r="N172" s="163" t="n"/>
      <c r="O172" s="163" t="n"/>
      <c r="P172" s="163" t="n">
        <v>19019.55</v>
      </c>
      <c r="Q172" s="163" t="n"/>
      <c r="R172" s="163" t="n"/>
      <c r="S172" s="182" t="n"/>
      <c r="T172" s="182" t="n"/>
      <c r="U172" s="182" t="n"/>
      <c r="V172" s="182" t="n"/>
      <c r="W172" s="182" t="n"/>
      <c r="X172" s="182" t="n"/>
      <c r="Y172" s="182" t="n"/>
      <c r="Z172" s="182" t="n"/>
      <c r="AA172" s="170" t="n"/>
      <c r="AB172" s="164" t="n"/>
      <c r="AC172" s="164" t="n"/>
      <c r="AD172" s="164" t="n"/>
      <c r="AE172" s="164" t="n"/>
      <c r="AF172" s="164" t="n"/>
      <c r="AG172" s="164" t="n"/>
      <c r="AH172" s="164" t="n"/>
      <c r="AI172" s="164" t="n"/>
      <c r="AJ172" s="164" t="n"/>
      <c r="AK172" s="164" t="n"/>
      <c r="AL172" s="96" t="n"/>
    </row>
    <row r="173">
      <c r="A173" s="27" t="n"/>
      <c r="B173" s="27" t="inlineStr">
        <is>
          <t>无客商-计提汤村复1地块2025年4月</t>
        </is>
      </c>
      <c r="C173" s="27" t="n">
        <v/>
      </c>
      <c r="D173" s="32" t="n"/>
      <c r="E173" s="47" t="n"/>
      <c r="F173" s="47" t="n"/>
      <c r="G173" s="47" t="n"/>
      <c r="H173" s="182" t="n"/>
      <c r="I173" s="163" t="n"/>
      <c r="J173" s="182" t="n"/>
      <c r="K173" s="168" t="n"/>
      <c r="L173" s="172" t="n"/>
      <c r="M173" s="182" t="n"/>
      <c r="N173" s="163" t="n"/>
      <c r="O173" s="163" t="n"/>
      <c r="P173" s="163" t="n">
        <v>19019.55</v>
      </c>
      <c r="Q173" s="163" t="n"/>
      <c r="R173" s="163" t="n"/>
      <c r="S173" s="182" t="n"/>
      <c r="T173" s="182" t="n"/>
      <c r="U173" s="182" t="n"/>
      <c r="V173" s="182" t="n"/>
      <c r="W173" s="182" t="n"/>
      <c r="X173" s="182" t="n"/>
      <c r="Y173" s="182" t="n"/>
      <c r="Z173" s="182" t="n"/>
      <c r="AA173" s="170" t="n"/>
      <c r="AB173" s="164" t="n"/>
      <c r="AC173" s="164" t="n"/>
      <c r="AD173" s="164" t="n"/>
      <c r="AE173" s="164" t="n"/>
      <c r="AF173" s="164" t="n"/>
      <c r="AG173" s="164" t="n"/>
      <c r="AH173" s="164" t="n"/>
      <c r="AI173" s="164" t="n"/>
      <c r="AJ173" s="164" t="n"/>
      <c r="AK173" s="164" t="n"/>
      <c r="AL173" s="96" t="n"/>
    </row>
    <row r="174">
      <c r="A174" s="27" t="n"/>
      <c r="B174" s="27" t="inlineStr">
        <is>
          <t>无客商-计提汤村复1地块2025年3月</t>
        </is>
      </c>
      <c r="C174" s="27" t="n">
        <v/>
      </c>
      <c r="D174" s="32" t="n"/>
      <c r="E174" s="47" t="n"/>
      <c r="F174" s="47" t="n"/>
      <c r="G174" s="47" t="n"/>
      <c r="H174" s="182" t="n"/>
      <c r="I174" s="163" t="n"/>
      <c r="J174" s="182" t="n"/>
      <c r="K174" s="168" t="n"/>
      <c r="L174" s="172" t="n"/>
      <c r="M174" s="182" t="n"/>
      <c r="N174" s="163" t="n"/>
      <c r="O174" s="163" t="n"/>
      <c r="P174" s="163" t="n">
        <v>25171.3</v>
      </c>
      <c r="Q174" s="163" t="n"/>
      <c r="R174" s="163" t="n"/>
      <c r="S174" s="182" t="n"/>
      <c r="T174" s="182" t="n"/>
      <c r="U174" s="182" t="n"/>
      <c r="V174" s="182" t="n"/>
      <c r="W174" s="182" t="n"/>
      <c r="X174" s="182" t="n"/>
      <c r="Y174" s="182" t="n"/>
      <c r="Z174" s="182" t="n"/>
      <c r="AA174" s="170" t="n"/>
      <c r="AB174" s="164" t="n"/>
      <c r="AC174" s="164" t="n"/>
      <c r="AD174" s="164" t="n"/>
      <c r="AE174" s="164" t="n"/>
      <c r="AF174" s="164" t="n"/>
      <c r="AG174" s="164" t="n"/>
      <c r="AH174" s="164" t="n"/>
      <c r="AI174" s="164" t="n"/>
      <c r="AJ174" s="164" t="n"/>
      <c r="AK174" s="164" t="n"/>
      <c r="AL174" s="96" t="n"/>
    </row>
    <row r="175">
      <c r="A175" s="27" t="n"/>
      <c r="B175" s="27" t="inlineStr">
        <is>
          <t>无客商-计提汤村复1地块2025年2月</t>
        </is>
      </c>
      <c r="C175" s="27" t="n">
        <v/>
      </c>
      <c r="D175" s="32" t="n"/>
      <c r="E175" s="47" t="n"/>
      <c r="F175" s="47" t="n"/>
      <c r="G175" s="47" t="n"/>
      <c r="H175" s="182" t="n"/>
      <c r="I175" s="163" t="n"/>
      <c r="J175" s="182" t="n"/>
      <c r="K175" s="168" t="n"/>
      <c r="L175" s="172" t="n"/>
      <c r="M175" s="182" t="n"/>
      <c r="N175" s="163" t="n"/>
      <c r="O175" s="163" t="n"/>
      <c r="P175" s="163" t="n">
        <v>22359.3</v>
      </c>
      <c r="Q175" s="163" t="n"/>
      <c r="R175" s="163" t="n"/>
      <c r="S175" s="182" t="n"/>
      <c r="T175" s="182" t="n"/>
      <c r="U175" s="182" t="n"/>
      <c r="V175" s="182" t="n"/>
      <c r="W175" s="182" t="n"/>
      <c r="X175" s="182" t="n"/>
      <c r="Y175" s="182" t="n"/>
      <c r="Z175" s="182" t="n"/>
      <c r="AA175" s="170" t="n"/>
      <c r="AB175" s="164" t="n"/>
      <c r="AC175" s="164" t="n"/>
      <c r="AD175" s="164" t="n"/>
      <c r="AE175" s="164" t="n"/>
      <c r="AF175" s="164" t="n"/>
      <c r="AG175" s="164" t="n"/>
      <c r="AH175" s="164" t="n"/>
      <c r="AI175" s="164" t="n"/>
      <c r="AJ175" s="164" t="n"/>
      <c r="AK175" s="164" t="n"/>
      <c r="AL175" s="96" t="n"/>
    </row>
    <row r="176">
      <c r="A176" s="27" t="n"/>
      <c r="B176" s="27" t="inlineStr">
        <is>
          <t>无客商-计提汤村复1地块2025年1月</t>
        </is>
      </c>
      <c r="C176" s="27" t="n">
        <v/>
      </c>
      <c r="D176" s="32" t="n"/>
      <c r="E176" s="47" t="n"/>
      <c r="F176" s="47" t="n"/>
      <c r="G176" s="47" t="n"/>
      <c r="H176" s="182" t="n"/>
      <c r="I176" s="163" t="n"/>
      <c r="J176" s="182" t="n"/>
      <c r="K176" s="168" t="n"/>
      <c r="L176" s="172" t="n"/>
      <c r="M176" s="182" t="n"/>
      <c r="N176" s="163" t="n"/>
      <c r="O176" s="163" t="n"/>
      <c r="P176" s="163" t="n">
        <v>356948.54</v>
      </c>
      <c r="Q176" s="163" t="n"/>
      <c r="R176" s="163" t="n"/>
      <c r="S176" s="182" t="n"/>
      <c r="T176" s="182" t="n"/>
      <c r="U176" s="182" t="n"/>
      <c r="V176" s="182" t="n"/>
      <c r="W176" s="182" t="n"/>
      <c r="X176" s="182" t="n"/>
      <c r="Y176" s="182" t="n"/>
      <c r="Z176" s="182" t="n"/>
      <c r="AA176" s="170" t="n"/>
      <c r="AB176" s="164" t="n"/>
      <c r="AC176" s="164" t="n"/>
      <c r="AD176" s="164" t="n"/>
      <c r="AE176" s="164" t="n"/>
      <c r="AF176" s="164" t="n"/>
      <c r="AG176" s="164" t="n"/>
      <c r="AH176" s="164" t="n"/>
      <c r="AI176" s="164" t="n"/>
      <c r="AJ176" s="164" t="n"/>
      <c r="AK176" s="164" t="n"/>
      <c r="AL176" s="96" t="n"/>
    </row>
    <row r="177">
      <c r="A177" s="27" t="n"/>
      <c r="B177" s="27" t="inlineStr">
        <is>
          <t>无客商-计提汤村复1地块2025年12</t>
        </is>
      </c>
      <c r="C177" s="27" t="n">
        <v/>
      </c>
      <c r="D177" s="32" t="n"/>
      <c r="E177" s="47" t="n"/>
      <c r="F177" s="47" t="n"/>
      <c r="G177" s="47" t="n"/>
      <c r="H177" s="182" t="n"/>
      <c r="I177" s="163" t="n"/>
      <c r="J177" s="182" t="n"/>
      <c r="K177" s="168" t="n"/>
      <c r="L177" s="172" t="n"/>
      <c r="M177" s="182" t="n"/>
      <c r="N177" s="163" t="n"/>
      <c r="O177" s="163" t="n"/>
      <c r="P177" s="163" t="n">
        <v>16031.8</v>
      </c>
      <c r="Q177" s="163" t="n"/>
      <c r="R177" s="163" t="n"/>
      <c r="S177" s="182" t="n"/>
      <c r="T177" s="182" t="n"/>
      <c r="U177" s="182" t="n"/>
      <c r="V177" s="182" t="n"/>
      <c r="W177" s="182" t="n"/>
      <c r="X177" s="182" t="n"/>
      <c r="Y177" s="182" t="n"/>
      <c r="Z177" s="182" t="n"/>
      <c r="AA177" s="170" t="n"/>
      <c r="AB177" s="164" t="n"/>
      <c r="AC177" s="164" t="n"/>
      <c r="AD177" s="164" t="n"/>
      <c r="AE177" s="164" t="n"/>
      <c r="AF177" s="164" t="n"/>
      <c r="AG177" s="164" t="n"/>
      <c r="AH177" s="164" t="n"/>
      <c r="AI177" s="164" t="n"/>
      <c r="AJ177" s="164" t="n"/>
      <c r="AK177" s="164" t="n"/>
      <c r="AL177" s="96" t="n"/>
    </row>
    <row r="178">
      <c r="A178" s="27" t="n"/>
      <c r="B178" s="27" t="inlineStr">
        <is>
          <t>无客商-计提汤村复1地块2025年11</t>
        </is>
      </c>
      <c r="C178" s="27" t="n">
        <v/>
      </c>
      <c r="D178" s="32" t="n"/>
      <c r="E178" s="47" t="n"/>
      <c r="F178" s="47" t="n"/>
      <c r="G178" s="47" t="n"/>
      <c r="H178" s="182" t="n"/>
      <c r="I178" s="163" t="n"/>
      <c r="J178" s="182" t="n"/>
      <c r="K178" s="168" t="n"/>
      <c r="L178" s="172" t="n"/>
      <c r="M178" s="182" t="n"/>
      <c r="N178" s="163" t="n"/>
      <c r="O178" s="163" t="n"/>
      <c r="P178" s="163" t="n">
        <v>16031.8</v>
      </c>
      <c r="Q178" s="163" t="n"/>
      <c r="R178" s="163" t="n"/>
      <c r="S178" s="182" t="n"/>
      <c r="T178" s="182" t="n"/>
      <c r="U178" s="182" t="n"/>
      <c r="V178" s="182" t="n"/>
      <c r="W178" s="182" t="n"/>
      <c r="X178" s="182" t="n"/>
      <c r="Y178" s="182" t="n"/>
      <c r="Z178" s="182" t="n"/>
      <c r="AA178" s="170" t="n"/>
      <c r="AB178" s="164" t="n"/>
      <c r="AC178" s="164" t="n"/>
      <c r="AD178" s="164" t="n"/>
      <c r="AE178" s="164" t="n"/>
      <c r="AF178" s="164" t="n"/>
      <c r="AG178" s="164" t="n"/>
      <c r="AH178" s="164" t="n"/>
      <c r="AI178" s="164" t="n"/>
      <c r="AJ178" s="164" t="n"/>
      <c r="AK178" s="164" t="n"/>
      <c r="AL178" s="96" t="n"/>
    </row>
    <row r="179">
      <c r="A179" s="27" t="n"/>
      <c r="B179" s="27" t="inlineStr">
        <is>
          <t>无客商-计提汤村复1地块2025年10</t>
        </is>
      </c>
      <c r="C179" s="27" t="n">
        <v/>
      </c>
      <c r="D179" s="32" t="n"/>
      <c r="E179" s="47" t="n"/>
      <c r="F179" s="47" t="n"/>
      <c r="G179" s="47" t="n"/>
      <c r="H179" s="182" t="n"/>
      <c r="I179" s="163" t="n"/>
      <c r="J179" s="182" t="n"/>
      <c r="K179" s="168" t="n"/>
      <c r="L179" s="172" t="n"/>
      <c r="M179" s="182" t="n"/>
      <c r="N179" s="163" t="n"/>
      <c r="O179" s="163" t="n"/>
      <c r="P179" s="163" t="n">
        <v>18913.63</v>
      </c>
      <c r="Q179" s="163" t="n"/>
      <c r="R179" s="163" t="n"/>
      <c r="S179" s="182" t="n"/>
      <c r="T179" s="182" t="n"/>
      <c r="U179" s="182" t="n"/>
      <c r="V179" s="182" t="n"/>
      <c r="W179" s="182" t="n"/>
      <c r="X179" s="182" t="n"/>
      <c r="Y179" s="182" t="n"/>
      <c r="Z179" s="182" t="n"/>
      <c r="AA179" s="170" t="n"/>
      <c r="AB179" s="164" t="n"/>
      <c r="AC179" s="164" t="n"/>
      <c r="AD179" s="164" t="n"/>
      <c r="AE179" s="164" t="n"/>
      <c r="AF179" s="164" t="n"/>
      <c r="AG179" s="164" t="n"/>
      <c r="AH179" s="164" t="n"/>
      <c r="AI179" s="164" t="n"/>
      <c r="AJ179" s="164" t="n"/>
      <c r="AK179" s="164" t="n"/>
      <c r="AL179" s="96" t="n"/>
    </row>
    <row r="180">
      <c r="A180" s="27" t="n"/>
      <c r="B180" s="27" t="inlineStr">
        <is>
          <t>无客商-计提汤村复1地块2024年年度</t>
        </is>
      </c>
      <c r="C180" s="27" t="n">
        <v/>
      </c>
      <c r="D180" s="32" t="n"/>
      <c r="E180" s="47" t="n"/>
      <c r="F180" s="47" t="n"/>
      <c r="G180" s="47" t="n"/>
      <c r="H180" s="182" t="n"/>
      <c r="I180" s="163" t="n"/>
      <c r="J180" s="182" t="n"/>
      <c r="K180" s="168" t="n"/>
      <c r="L180" s="172" t="n"/>
      <c r="M180" s="182" t="n"/>
      <c r="N180" s="163" t="n"/>
      <c r="O180" s="163" t="n"/>
      <c r="P180" s="163" t="n">
        <v>10000</v>
      </c>
      <c r="Q180" s="163" t="n"/>
      <c r="R180" s="163" t="n"/>
      <c r="S180" s="182" t="n"/>
      <c r="T180" s="182" t="n"/>
      <c r="U180" s="182" t="n"/>
      <c r="V180" s="182" t="n"/>
      <c r="W180" s="182" t="n"/>
      <c r="X180" s="182" t="n"/>
      <c r="Y180" s="182" t="n"/>
      <c r="Z180" s="182" t="n"/>
      <c r="AA180" s="170" t="n"/>
      <c r="AB180" s="164" t="n"/>
      <c r="AC180" s="164" t="n"/>
      <c r="AD180" s="164" t="n"/>
      <c r="AE180" s="164" t="n"/>
      <c r="AF180" s="164" t="n"/>
      <c r="AG180" s="164" t="n"/>
      <c r="AH180" s="164" t="n"/>
      <c r="AI180" s="164" t="n"/>
      <c r="AJ180" s="164" t="n"/>
      <c r="AK180" s="164" t="n"/>
      <c r="AL180" s="96" t="n"/>
    </row>
    <row r="181">
      <c r="A181" s="27" t="n"/>
      <c r="B181" s="27" t="inlineStr">
        <is>
          <t>无客商-计提汤村复1地块2024年工会</t>
        </is>
      </c>
      <c r="C181" s="27" t="n">
        <v/>
      </c>
      <c r="D181" s="32" t="n"/>
      <c r="E181" s="47" t="n"/>
      <c r="F181" s="47" t="n"/>
      <c r="G181" s="47" t="n"/>
      <c r="H181" s="182" t="n"/>
      <c r="I181" s="163" t="n"/>
      <c r="J181" s="182" t="n"/>
      <c r="K181" s="168" t="n"/>
      <c r="L181" s="172" t="n"/>
      <c r="M181" s="182" t="n"/>
      <c r="N181" s="163" t="n"/>
      <c r="O181" s="163" t="n"/>
      <c r="P181" s="163" t="n">
        <v>14158.44</v>
      </c>
      <c r="Q181" s="163" t="n"/>
      <c r="R181" s="163" t="n"/>
      <c r="S181" s="182" t="n"/>
      <c r="T181" s="182" t="n"/>
      <c r="U181" s="182" t="n"/>
      <c r="V181" s="182" t="n"/>
      <c r="W181" s="182" t="n"/>
      <c r="X181" s="182" t="n"/>
      <c r="Y181" s="182" t="n"/>
      <c r="Z181" s="182" t="n"/>
      <c r="AA181" s="170" t="n"/>
      <c r="AB181" s="164" t="n"/>
      <c r="AC181" s="164" t="n"/>
      <c r="AD181" s="164" t="n"/>
      <c r="AE181" s="164" t="n"/>
      <c r="AF181" s="164" t="n"/>
      <c r="AG181" s="164" t="n"/>
      <c r="AH181" s="164" t="n"/>
      <c r="AI181" s="164" t="n"/>
      <c r="AJ181" s="164" t="n"/>
      <c r="AK181" s="164" t="n"/>
      <c r="AL181" s="96" t="n"/>
    </row>
    <row r="182">
      <c r="A182" s="27" t="n"/>
      <c r="B182" s="27" t="inlineStr">
        <is>
          <t>无客商-计提汤村复1地块2024年3季</t>
        </is>
      </c>
      <c r="C182" s="27" t="n">
        <v/>
      </c>
      <c r="D182" s="32" t="n"/>
      <c r="E182" s="47" t="n"/>
      <c r="F182" s="47" t="n"/>
      <c r="G182" s="47" t="n"/>
      <c r="H182" s="182" t="n"/>
      <c r="I182" s="163" t="n"/>
      <c r="J182" s="182" t="n"/>
      <c r="K182" s="168" t="n"/>
      <c r="L182" s="172" t="n"/>
      <c r="M182" s="182" t="n"/>
      <c r="N182" s="163" t="n"/>
      <c r="O182" s="163" t="n"/>
      <c r="P182" s="163" t="n">
        <v>32354.75</v>
      </c>
      <c r="Q182" s="163" t="n"/>
      <c r="R182" s="163" t="n"/>
      <c r="S182" s="182" t="n"/>
      <c r="T182" s="182" t="n"/>
      <c r="U182" s="182" t="n"/>
      <c r="V182" s="182" t="n"/>
      <c r="W182" s="182" t="n"/>
      <c r="X182" s="182" t="n"/>
      <c r="Y182" s="182" t="n"/>
      <c r="Z182" s="182" t="n"/>
      <c r="AA182" s="170" t="n"/>
      <c r="AB182" s="164" t="n"/>
      <c r="AC182" s="164" t="n"/>
      <c r="AD182" s="164" t="n"/>
      <c r="AE182" s="164" t="n"/>
      <c r="AF182" s="164" t="n"/>
      <c r="AG182" s="164" t="n"/>
      <c r="AH182" s="164" t="n"/>
      <c r="AI182" s="164" t="n"/>
      <c r="AJ182" s="164" t="n"/>
      <c r="AK182" s="164" t="n"/>
      <c r="AL182" s="96" t="n"/>
    </row>
    <row r="183">
      <c r="A183" s="27" t="n"/>
      <c r="B183" s="27" t="inlineStr">
        <is>
          <t>无客商-计提汤村复1地块2024年2月</t>
        </is>
      </c>
      <c r="C183" s="27" t="n">
        <v/>
      </c>
      <c r="D183" s="32" t="n"/>
      <c r="E183" s="47" t="n"/>
      <c r="F183" s="47" t="n"/>
      <c r="G183" s="47" t="n"/>
      <c r="H183" s="182" t="n"/>
      <c r="I183" s="163" t="n"/>
      <c r="J183" s="182" t="n"/>
      <c r="K183" s="168" t="n"/>
      <c r="L183" s="172" t="n"/>
      <c r="M183" s="182" t="n"/>
      <c r="N183" s="163" t="n"/>
      <c r="O183" s="163" t="n"/>
      <c r="P183" s="163" t="n">
        <v>15530.02</v>
      </c>
      <c r="Q183" s="163" t="n"/>
      <c r="R183" s="163" t="n"/>
      <c r="S183" s="182" t="n"/>
      <c r="T183" s="182" t="n"/>
      <c r="U183" s="182" t="n"/>
      <c r="V183" s="182" t="n"/>
      <c r="W183" s="182" t="n"/>
      <c r="X183" s="182" t="n"/>
      <c r="Y183" s="182" t="n"/>
      <c r="Z183" s="182" t="n"/>
      <c r="AA183" s="170" t="n"/>
      <c r="AB183" s="164" t="n"/>
      <c r="AC183" s="164" t="n"/>
      <c r="AD183" s="164" t="n"/>
      <c r="AE183" s="164" t="n"/>
      <c r="AF183" s="164" t="n"/>
      <c r="AG183" s="164" t="n"/>
      <c r="AH183" s="164" t="n"/>
      <c r="AI183" s="164" t="n"/>
      <c r="AJ183" s="164" t="n"/>
      <c r="AK183" s="164" t="n"/>
      <c r="AL183" s="96" t="n"/>
    </row>
    <row r="184">
      <c r="A184" s="27" t="n"/>
      <c r="B184" s="27" t="inlineStr">
        <is>
          <t>无客商-计提汤村复1地块2024年1月</t>
        </is>
      </c>
      <c r="C184" s="27" t="n">
        <v/>
      </c>
      <c r="D184" s="32" t="n"/>
      <c r="E184" s="47" t="n"/>
      <c r="F184" s="47" t="n"/>
      <c r="G184" s="47" t="n"/>
      <c r="H184" s="182" t="n"/>
      <c r="I184" s="163" t="n"/>
      <c r="J184" s="182" t="n"/>
      <c r="K184" s="168" t="n"/>
      <c r="L184" s="172" t="n"/>
      <c r="M184" s="182" t="n"/>
      <c r="N184" s="163" t="n"/>
      <c r="O184" s="163" t="n"/>
      <c r="P184" s="163" t="n">
        <v>11738.09</v>
      </c>
      <c r="Q184" s="163" t="n"/>
      <c r="R184" s="163" t="n"/>
      <c r="S184" s="182" t="n"/>
      <c r="T184" s="182" t="n"/>
      <c r="U184" s="182" t="n"/>
      <c r="V184" s="182" t="n"/>
      <c r="W184" s="182" t="n"/>
      <c r="X184" s="182" t="n"/>
      <c r="Y184" s="182" t="n"/>
      <c r="Z184" s="182" t="n"/>
      <c r="AA184" s="170" t="n"/>
      <c r="AB184" s="164" t="n"/>
      <c r="AC184" s="164" t="n"/>
      <c r="AD184" s="164" t="n"/>
      <c r="AE184" s="164" t="n"/>
      <c r="AF184" s="164" t="n"/>
      <c r="AG184" s="164" t="n"/>
      <c r="AH184" s="164" t="n"/>
      <c r="AI184" s="164" t="n"/>
      <c r="AJ184" s="164" t="n"/>
      <c r="AK184" s="164" t="n"/>
      <c r="AL184" s="96" t="n"/>
    </row>
    <row r="185">
      <c r="A185" s="27" t="n"/>
      <c r="B185" s="27" t="inlineStr">
        <is>
          <t>无客商-计提汤村复1地块2023年12</t>
        </is>
      </c>
      <c r="C185" s="27" t="n">
        <v/>
      </c>
      <c r="D185" s="32" t="n"/>
      <c r="E185" s="47" t="n"/>
      <c r="F185" s="47" t="n"/>
      <c r="G185" s="47" t="n"/>
      <c r="H185" s="182" t="n"/>
      <c r="I185" s="163" t="n"/>
      <c r="J185" s="182" t="n"/>
      <c r="K185" s="168" t="n"/>
      <c r="L185" s="172" t="n"/>
      <c r="M185" s="182" t="n"/>
      <c r="N185" s="163" t="n"/>
      <c r="O185" s="163" t="n"/>
      <c r="P185" s="163" t="n">
        <v>11565.4</v>
      </c>
      <c r="Q185" s="163" t="n"/>
      <c r="R185" s="163" t="n"/>
      <c r="S185" s="182" t="n"/>
      <c r="T185" s="182" t="n"/>
      <c r="U185" s="182" t="n"/>
      <c r="V185" s="182" t="n"/>
      <c r="W185" s="182" t="n"/>
      <c r="X185" s="182" t="n"/>
      <c r="Y185" s="182" t="n"/>
      <c r="Z185" s="182" t="n"/>
      <c r="AA185" s="170" t="n"/>
      <c r="AB185" s="164" t="n"/>
      <c r="AC185" s="164" t="n"/>
      <c r="AD185" s="164" t="n"/>
      <c r="AE185" s="164" t="n"/>
      <c r="AF185" s="164" t="n"/>
      <c r="AG185" s="164" t="n"/>
      <c r="AH185" s="164" t="n"/>
      <c r="AI185" s="164" t="n"/>
      <c r="AJ185" s="164" t="n"/>
      <c r="AK185" s="164" t="n"/>
      <c r="AL185" s="96" t="n"/>
    </row>
    <row r="186">
      <c r="A186" s="27" t="n"/>
      <c r="B186" s="27" t="inlineStr">
        <is>
          <t>无客商-计提汤村复1地块2023年11</t>
        </is>
      </c>
      <c r="C186" s="27" t="n">
        <v/>
      </c>
      <c r="D186" s="32" t="n"/>
      <c r="E186" s="47" t="n"/>
      <c r="F186" s="47" t="n"/>
      <c r="G186" s="47" t="n"/>
      <c r="H186" s="182" t="n"/>
      <c r="I186" s="163" t="n"/>
      <c r="J186" s="182" t="n"/>
      <c r="K186" s="168" t="n"/>
      <c r="L186" s="172" t="n"/>
      <c r="M186" s="182" t="n"/>
      <c r="N186" s="163" t="n"/>
      <c r="O186" s="163" t="n"/>
      <c r="P186" s="163" t="n">
        <v>21202.27</v>
      </c>
      <c r="Q186" s="163" t="n"/>
      <c r="R186" s="163" t="n"/>
      <c r="S186" s="182" t="n"/>
      <c r="T186" s="182" t="n"/>
      <c r="U186" s="182" t="n"/>
      <c r="V186" s="182" t="n"/>
      <c r="W186" s="182" t="n"/>
      <c r="X186" s="182" t="n"/>
      <c r="Y186" s="182" t="n"/>
      <c r="Z186" s="182" t="n"/>
      <c r="AA186" s="170" t="n"/>
      <c r="AB186" s="164" t="n"/>
      <c r="AC186" s="164" t="n"/>
      <c r="AD186" s="164" t="n"/>
      <c r="AE186" s="164" t="n"/>
      <c r="AF186" s="164" t="n"/>
      <c r="AG186" s="164" t="n"/>
      <c r="AH186" s="164" t="n"/>
      <c r="AI186" s="164" t="n"/>
      <c r="AJ186" s="164" t="n"/>
      <c r="AK186" s="164" t="n"/>
      <c r="AL186" s="96" t="n"/>
    </row>
    <row r="187">
      <c r="A187" s="27" t="n"/>
      <c r="B187" s="27" t="inlineStr">
        <is>
          <t>无客商-计提汤村复1地块1月薪酬（局）</t>
        </is>
      </c>
      <c r="C187" s="27" t="n">
        <v/>
      </c>
      <c r="D187" s="32" t="n"/>
      <c r="E187" s="47" t="n"/>
      <c r="F187" s="47" t="n"/>
      <c r="G187" s="47" t="n"/>
      <c r="H187" s="182" t="n"/>
      <c r="I187" s="163" t="n"/>
      <c r="J187" s="182" t="n"/>
      <c r="K187" s="168" t="n"/>
      <c r="L187" s="172" t="n"/>
      <c r="M187" s="182" t="n"/>
      <c r="N187" s="163" t="n"/>
      <c r="O187" s="163" t="n"/>
      <c r="P187" s="163" t="n">
        <v>44960</v>
      </c>
      <c r="Q187" s="163" t="n"/>
      <c r="R187" s="163" t="n"/>
      <c r="S187" s="182" t="n"/>
      <c r="T187" s="182" t="n"/>
      <c r="U187" s="182" t="n"/>
      <c r="V187" s="182" t="n"/>
      <c r="W187" s="182" t="n"/>
      <c r="X187" s="182" t="n"/>
      <c r="Y187" s="182" t="n"/>
      <c r="Z187" s="182" t="n"/>
      <c r="AA187" s="170" t="n"/>
      <c r="AB187" s="164" t="n"/>
      <c r="AC187" s="164" t="n"/>
      <c r="AD187" s="164" t="n"/>
      <c r="AE187" s="164" t="n"/>
      <c r="AF187" s="164" t="n"/>
      <c r="AG187" s="164" t="n"/>
      <c r="AH187" s="164" t="n"/>
      <c r="AI187" s="164" t="n"/>
      <c r="AJ187" s="164" t="n"/>
      <c r="AK187" s="164" t="n"/>
      <c r="AL187" s="96" t="n"/>
    </row>
    <row r="188">
      <c r="A188" s="27" t="n"/>
      <c r="B188" s="27" t="inlineStr">
        <is>
          <t>无客商-计提汤村复1地块1月薪酬</t>
        </is>
      </c>
      <c r="C188" s="27" t="n">
        <v/>
      </c>
      <c r="D188" s="32" t="n"/>
      <c r="E188" s="47" t="n"/>
      <c r="F188" s="47" t="n"/>
      <c r="G188" s="47" t="n"/>
      <c r="H188" s="182" t="n"/>
      <c r="I188" s="163" t="n"/>
      <c r="J188" s="182" t="n"/>
      <c r="K188" s="168" t="n"/>
      <c r="L188" s="172" t="n"/>
      <c r="M188" s="182" t="n"/>
      <c r="N188" s="163" t="n"/>
      <c r="O188" s="163" t="n"/>
      <c r="P188" s="163" t="n">
        <v>67555</v>
      </c>
      <c r="Q188" s="163" t="n"/>
      <c r="R188" s="163" t="n"/>
      <c r="S188" s="182" t="n"/>
      <c r="T188" s="182" t="n"/>
      <c r="U188" s="182" t="n"/>
      <c r="V188" s="182" t="n"/>
      <c r="W188" s="182" t="n"/>
      <c r="X188" s="182" t="n"/>
      <c r="Y188" s="182" t="n"/>
      <c r="Z188" s="182" t="n"/>
      <c r="AA188" s="170" t="n"/>
      <c r="AB188" s="164" t="n"/>
      <c r="AC188" s="164" t="n"/>
      <c r="AD188" s="164" t="n"/>
      <c r="AE188" s="164" t="n"/>
      <c r="AF188" s="164" t="n"/>
      <c r="AG188" s="164" t="n"/>
      <c r="AH188" s="164" t="n"/>
      <c r="AI188" s="164" t="n"/>
      <c r="AJ188" s="164" t="n"/>
      <c r="AK188" s="164" t="n"/>
      <c r="AL188" s="96" t="n"/>
    </row>
    <row r="189">
      <c r="A189" s="27" t="n"/>
      <c r="B189" s="27" t="inlineStr">
        <is>
          <t>无客商-计提汤村复1地块1月职工薪酬</t>
        </is>
      </c>
      <c r="C189" s="27" t="n">
        <v/>
      </c>
      <c r="D189" s="32" t="n"/>
      <c r="E189" s="47" t="n"/>
      <c r="F189" s="47" t="n"/>
      <c r="G189" s="47" t="n"/>
      <c r="H189" s="182" t="n"/>
      <c r="I189" s="163" t="n"/>
      <c r="J189" s="182" t="n"/>
      <c r="K189" s="168" t="n"/>
      <c r="L189" s="172" t="n"/>
      <c r="M189" s="182" t="n"/>
      <c r="N189" s="163" t="n"/>
      <c r="O189" s="163" t="n"/>
      <c r="P189" s="163" t="n">
        <v>70964.03</v>
      </c>
      <c r="Q189" s="163" t="n"/>
      <c r="R189" s="163" t="n"/>
      <c r="S189" s="182" t="n"/>
      <c r="T189" s="182" t="n"/>
      <c r="U189" s="182" t="n"/>
      <c r="V189" s="182" t="n"/>
      <c r="W189" s="182" t="n"/>
      <c r="X189" s="182" t="n"/>
      <c r="Y189" s="182" t="n"/>
      <c r="Z189" s="182" t="n"/>
      <c r="AA189" s="170" t="n"/>
      <c r="AB189" s="164" t="n"/>
      <c r="AC189" s="164" t="n"/>
      <c r="AD189" s="164" t="n"/>
      <c r="AE189" s="164" t="n"/>
      <c r="AF189" s="164" t="n"/>
      <c r="AG189" s="164" t="n"/>
      <c r="AH189" s="164" t="n"/>
      <c r="AI189" s="164" t="n"/>
      <c r="AJ189" s="164" t="n"/>
      <c r="AK189" s="164" t="n"/>
      <c r="AL189" s="96" t="n"/>
    </row>
    <row r="190">
      <c r="A190" s="27" t="n"/>
      <c r="B190" s="27" t="inlineStr">
        <is>
          <t>无客商-计提汤村复1地块12月薪酬（局</t>
        </is>
      </c>
      <c r="C190" s="27" t="n">
        <v/>
      </c>
      <c r="D190" s="32" t="n"/>
      <c r="E190" s="47" t="n"/>
      <c r="F190" s="47" t="n"/>
      <c r="G190" s="47" t="n"/>
      <c r="H190" s="182" t="n"/>
      <c r="I190" s="163" t="n"/>
      <c r="J190" s="182" t="n"/>
      <c r="K190" s="168" t="n"/>
      <c r="L190" s="172" t="n"/>
      <c r="M190" s="182" t="n"/>
      <c r="N190" s="163" t="n"/>
      <c r="O190" s="163" t="n"/>
      <c r="P190" s="163" t="n">
        <v>44960</v>
      </c>
      <c r="Q190" s="163" t="n"/>
      <c r="R190" s="163" t="n"/>
      <c r="S190" s="182" t="n"/>
      <c r="T190" s="182" t="n"/>
      <c r="U190" s="182" t="n"/>
      <c r="V190" s="182" t="n"/>
      <c r="W190" s="182" t="n"/>
      <c r="X190" s="182" t="n"/>
      <c r="Y190" s="182" t="n"/>
      <c r="Z190" s="182" t="n"/>
      <c r="AA190" s="170" t="n"/>
      <c r="AB190" s="164" t="n"/>
      <c r="AC190" s="164" t="n"/>
      <c r="AD190" s="164" t="n"/>
      <c r="AE190" s="164" t="n"/>
      <c r="AF190" s="164" t="n"/>
      <c r="AG190" s="164" t="n"/>
      <c r="AH190" s="164" t="n"/>
      <c r="AI190" s="164" t="n"/>
      <c r="AJ190" s="164" t="n"/>
      <c r="AK190" s="164" t="n"/>
      <c r="AL190" s="96" t="n"/>
    </row>
    <row r="191">
      <c r="A191" s="27" t="n"/>
      <c r="B191" s="27" t="inlineStr">
        <is>
          <t>无客商-计提汤村复1地块12月薪酬</t>
        </is>
      </c>
      <c r="C191" s="27" t="n">
        <v/>
      </c>
      <c r="D191" s="32" t="n"/>
      <c r="E191" s="47" t="n"/>
      <c r="F191" s="47" t="n"/>
      <c r="G191" s="47" t="n"/>
      <c r="H191" s="182" t="n"/>
      <c r="I191" s="163" t="n"/>
      <c r="J191" s="182" t="n"/>
      <c r="K191" s="168" t="n"/>
      <c r="L191" s="172" t="n"/>
      <c r="M191" s="182" t="n"/>
      <c r="N191" s="163" t="n"/>
      <c r="O191" s="163" t="n"/>
      <c r="P191" s="163" t="n">
        <v>118958.22</v>
      </c>
      <c r="Q191" s="163" t="n"/>
      <c r="R191" s="163" t="n"/>
      <c r="S191" s="182" t="n"/>
      <c r="T191" s="182" t="n"/>
      <c r="U191" s="182" t="n"/>
      <c r="V191" s="182" t="n"/>
      <c r="W191" s="182" t="n"/>
      <c r="X191" s="182" t="n"/>
      <c r="Y191" s="182" t="n"/>
      <c r="Z191" s="182" t="n"/>
      <c r="AA191" s="170" t="n"/>
      <c r="AB191" s="164" t="n"/>
      <c r="AC191" s="164" t="n"/>
      <c r="AD191" s="164" t="n"/>
      <c r="AE191" s="164" t="n"/>
      <c r="AF191" s="164" t="n"/>
      <c r="AG191" s="164" t="n"/>
      <c r="AH191" s="164" t="n"/>
      <c r="AI191" s="164" t="n"/>
      <c r="AJ191" s="164" t="n"/>
      <c r="AK191" s="164" t="n"/>
      <c r="AL191" s="96" t="n"/>
    </row>
    <row r="192">
      <c r="A192" s="27" t="n"/>
      <c r="B192" s="27" t="inlineStr">
        <is>
          <t>无客商-计提汤村复1地块11月薪酬（局</t>
        </is>
      </c>
      <c r="C192" s="27" t="n">
        <v/>
      </c>
      <c r="D192" s="32" t="n"/>
      <c r="E192" s="47" t="n"/>
      <c r="F192" s="47" t="n"/>
      <c r="G192" s="47" t="n"/>
      <c r="H192" s="182" t="n"/>
      <c r="I192" s="163" t="n"/>
      <c r="J192" s="182" t="n"/>
      <c r="K192" s="168" t="n"/>
      <c r="L192" s="172" t="n"/>
      <c r="M192" s="182" t="n"/>
      <c r="N192" s="163" t="n"/>
      <c r="O192" s="163" t="n"/>
      <c r="P192" s="163" t="n">
        <v>202249.06</v>
      </c>
      <c r="Q192" s="163" t="n"/>
      <c r="R192" s="163" t="n"/>
      <c r="S192" s="182" t="n"/>
      <c r="T192" s="182" t="n"/>
      <c r="U192" s="182" t="n"/>
      <c r="V192" s="182" t="n"/>
      <c r="W192" s="182" t="n"/>
      <c r="X192" s="182" t="n"/>
      <c r="Y192" s="182" t="n"/>
      <c r="Z192" s="182" t="n"/>
      <c r="AA192" s="170" t="n"/>
      <c r="AB192" s="164" t="n"/>
      <c r="AC192" s="164" t="n"/>
      <c r="AD192" s="164" t="n"/>
      <c r="AE192" s="164" t="n"/>
      <c r="AF192" s="164" t="n"/>
      <c r="AG192" s="164" t="n"/>
      <c r="AH192" s="164" t="n"/>
      <c r="AI192" s="164" t="n"/>
      <c r="AJ192" s="164" t="n"/>
      <c r="AK192" s="164" t="n"/>
      <c r="AL192" s="96" t="n"/>
    </row>
    <row r="193">
      <c r="A193" s="27" t="n"/>
      <c r="B193" s="27" t="inlineStr">
        <is>
          <t>无客商-计提汤村复1地块10月薪酬</t>
        </is>
      </c>
      <c r="C193" s="27" t="n">
        <v/>
      </c>
      <c r="D193" s="32" t="n"/>
      <c r="E193" s="47" t="n"/>
      <c r="F193" s="47" t="n"/>
      <c r="G193" s="47" t="n"/>
      <c r="H193" s="182" t="n"/>
      <c r="I193" s="163" t="n"/>
      <c r="J193" s="182" t="n"/>
      <c r="K193" s="168" t="n"/>
      <c r="L193" s="172" t="n"/>
      <c r="M193" s="182" t="n"/>
      <c r="N193" s="163" t="n"/>
      <c r="O193" s="163" t="n"/>
      <c r="P193" s="163" t="n">
        <v>66825</v>
      </c>
      <c r="Q193" s="163" t="n"/>
      <c r="R193" s="163" t="n"/>
      <c r="S193" s="182" t="n"/>
      <c r="T193" s="182" t="n"/>
      <c r="U193" s="182" t="n"/>
      <c r="V193" s="182" t="n"/>
      <c r="W193" s="182" t="n"/>
      <c r="X193" s="182" t="n"/>
      <c r="Y193" s="182" t="n"/>
      <c r="Z193" s="182" t="n"/>
      <c r="AA193" s="170" t="n"/>
      <c r="AB193" s="164" t="n"/>
      <c r="AC193" s="164" t="n"/>
      <c r="AD193" s="164" t="n"/>
      <c r="AE193" s="164" t="n"/>
      <c r="AF193" s="164" t="n"/>
      <c r="AG193" s="164" t="n"/>
      <c r="AH193" s="164" t="n"/>
      <c r="AI193" s="164" t="n"/>
      <c r="AJ193" s="164" t="n"/>
      <c r="AK193" s="164" t="n"/>
      <c r="AL193" s="96" t="n"/>
    </row>
    <row r="194">
      <c r="A194" s="27" t="n"/>
      <c r="B194" s="27" t="inlineStr">
        <is>
          <t>无客商-计提一公司广州分公司2022年</t>
        </is>
      </c>
      <c r="C194" s="27" t="n">
        <v/>
      </c>
      <c r="D194" s="32" t="n"/>
      <c r="E194" s="47" t="n"/>
      <c r="F194" s="47" t="n"/>
      <c r="G194" s="47" t="n"/>
      <c r="H194" s="182" t="n"/>
      <c r="I194" s="163" t="n"/>
      <c r="J194" s="182" t="n"/>
      <c r="K194" s="168" t="n"/>
      <c r="L194" s="172" t="n"/>
      <c r="M194" s="182" t="n"/>
      <c r="N194" s="163" t="n"/>
      <c r="O194" s="163" t="n"/>
      <c r="P194" s="163" t="n">
        <v>13686.3</v>
      </c>
      <c r="Q194" s="163" t="n"/>
      <c r="R194" s="163" t="n"/>
      <c r="S194" s="182" t="n"/>
      <c r="T194" s="182" t="n"/>
      <c r="U194" s="182" t="n"/>
      <c r="V194" s="182" t="n"/>
      <c r="W194" s="182" t="n"/>
      <c r="X194" s="182" t="n"/>
      <c r="Y194" s="182" t="n"/>
      <c r="Z194" s="182" t="n"/>
      <c r="AA194" s="170" t="n"/>
      <c r="AB194" s="164" t="n"/>
      <c r="AC194" s="164" t="n"/>
      <c r="AD194" s="164" t="n"/>
      <c r="AE194" s="164" t="n"/>
      <c r="AF194" s="164" t="n"/>
      <c r="AG194" s="164" t="n"/>
      <c r="AH194" s="164" t="n"/>
      <c r="AI194" s="164" t="n"/>
      <c r="AJ194" s="164" t="n"/>
      <c r="AK194" s="164" t="n"/>
      <c r="AL194" s="96" t="n"/>
    </row>
    <row r="195">
      <c r="A195" s="27" t="n"/>
      <c r="B195" s="27" t="inlineStr">
        <is>
          <t>无客商-计提5月广州市黄埔区汤村项目复</t>
        </is>
      </c>
      <c r="C195" s="27" t="n">
        <v/>
      </c>
      <c r="D195" s="32" t="n"/>
      <c r="E195" s="47" t="n"/>
      <c r="F195" s="47" t="n"/>
      <c r="G195" s="47" t="n"/>
      <c r="H195" s="182" t="n"/>
      <c r="I195" s="163" t="n"/>
      <c r="J195" s="182" t="n"/>
      <c r="K195" s="168" t="n"/>
      <c r="L195" s="172" t="n"/>
      <c r="M195" s="182" t="n"/>
      <c r="N195" s="163" t="n"/>
      <c r="O195" s="163" t="n"/>
      <c r="P195" s="163" t="n">
        <v>120021.14</v>
      </c>
      <c r="Q195" s="163" t="n"/>
      <c r="R195" s="163" t="n"/>
      <c r="S195" s="182" t="n"/>
      <c r="T195" s="182" t="n"/>
      <c r="U195" s="182" t="n"/>
      <c r="V195" s="182" t="n"/>
      <c r="W195" s="182" t="n"/>
      <c r="X195" s="182" t="n"/>
      <c r="Y195" s="182" t="n"/>
      <c r="Z195" s="182" t="n"/>
      <c r="AA195" s="170" t="n"/>
      <c r="AB195" s="164" t="n"/>
      <c r="AC195" s="164" t="n"/>
      <c r="AD195" s="164" t="n"/>
      <c r="AE195" s="164" t="n"/>
      <c r="AF195" s="164" t="n"/>
      <c r="AG195" s="164" t="n"/>
      <c r="AH195" s="164" t="n"/>
      <c r="AI195" s="164" t="n"/>
      <c r="AJ195" s="164" t="n"/>
      <c r="AK195" s="164" t="n"/>
      <c r="AL195" s="96" t="n"/>
    </row>
    <row r="196">
      <c r="A196" s="27" t="n"/>
      <c r="B196" s="27" t="inlineStr">
        <is>
          <t>无客商-计提2023年7月社保单位部分</t>
        </is>
      </c>
      <c r="C196" s="27" t="n">
        <v/>
      </c>
      <c r="D196" s="32" t="n"/>
      <c r="E196" s="47" t="n"/>
      <c r="F196" s="47" t="n"/>
      <c r="G196" s="47" t="n"/>
      <c r="H196" s="182" t="n"/>
      <c r="I196" s="163" t="n"/>
      <c r="J196" s="182" t="n"/>
      <c r="K196" s="168" t="n"/>
      <c r="L196" s="172" t="n"/>
      <c r="M196" s="182" t="n"/>
      <c r="N196" s="163" t="n"/>
      <c r="O196" s="163" t="n"/>
      <c r="P196" s="163" t="n">
        <v>29748.29</v>
      </c>
      <c r="Q196" s="163" t="n"/>
      <c r="R196" s="163" t="n"/>
      <c r="S196" s="182" t="n"/>
      <c r="T196" s="182" t="n"/>
      <c r="U196" s="182" t="n"/>
      <c r="V196" s="182" t="n"/>
      <c r="W196" s="182" t="n"/>
      <c r="X196" s="182" t="n"/>
      <c r="Y196" s="182" t="n"/>
      <c r="Z196" s="182" t="n"/>
      <c r="AA196" s="170" t="n"/>
      <c r="AB196" s="164" t="n"/>
      <c r="AC196" s="164" t="n"/>
      <c r="AD196" s="164" t="n"/>
      <c r="AE196" s="164" t="n"/>
      <c r="AF196" s="164" t="n"/>
      <c r="AG196" s="164" t="n"/>
      <c r="AH196" s="164" t="n"/>
      <c r="AI196" s="164" t="n"/>
      <c r="AJ196" s="164" t="n"/>
      <c r="AK196" s="164" t="n"/>
      <c r="AL196" s="96" t="n"/>
    </row>
    <row r="197">
      <c r="A197" s="27" t="n"/>
      <c r="B197" s="27" t="inlineStr">
        <is>
          <t>无客商-计提2023年6月社保单位部分</t>
        </is>
      </c>
      <c r="C197" s="27" t="n">
        <v/>
      </c>
      <c r="D197" s="32" t="n"/>
      <c r="E197" s="47" t="n"/>
      <c r="F197" s="47" t="n"/>
      <c r="G197" s="47" t="n"/>
      <c r="H197" s="182" t="n"/>
      <c r="I197" s="163" t="n"/>
      <c r="J197" s="182" t="n"/>
      <c r="K197" s="168" t="n"/>
      <c r="L197" s="172" t="n"/>
      <c r="M197" s="182" t="n"/>
      <c r="N197" s="163" t="n"/>
      <c r="O197" s="163" t="n"/>
      <c r="P197" s="163" t="n">
        <v>29363.32</v>
      </c>
      <c r="Q197" s="163" t="n"/>
      <c r="R197" s="163" t="n"/>
      <c r="S197" s="182" t="n"/>
      <c r="T197" s="182" t="n"/>
      <c r="U197" s="182" t="n"/>
      <c r="V197" s="182" t="n"/>
      <c r="W197" s="182" t="n"/>
      <c r="X197" s="182" t="n"/>
      <c r="Y197" s="182" t="n"/>
      <c r="Z197" s="182" t="n"/>
      <c r="AA197" s="170" t="n"/>
      <c r="AB197" s="164" t="n"/>
      <c r="AC197" s="164" t="n"/>
      <c r="AD197" s="164" t="n"/>
      <c r="AE197" s="164" t="n"/>
      <c r="AF197" s="164" t="n"/>
      <c r="AG197" s="164" t="n"/>
      <c r="AH197" s="164" t="n"/>
      <c r="AI197" s="164" t="n"/>
      <c r="AJ197" s="164" t="n"/>
      <c r="AK197" s="164" t="n"/>
      <c r="AL197" s="96" t="n"/>
    </row>
    <row r="198">
      <c r="A198" s="27" t="n"/>
      <c r="B198" s="27" t="inlineStr">
        <is>
          <t>无客商-补充计提汤村复1地块12月社保</t>
        </is>
      </c>
      <c r="C198" s="27" t="n">
        <v/>
      </c>
      <c r="D198" s="32" t="n"/>
      <c r="E198" s="47" t="n"/>
      <c r="F198" s="47" t="n"/>
      <c r="G198" s="47" t="n"/>
      <c r="H198" s="182" t="n"/>
      <c r="I198" s="163" t="n"/>
      <c r="J198" s="182" t="n"/>
      <c r="K198" s="168" t="n"/>
      <c r="L198" s="172" t="n"/>
      <c r="M198" s="182" t="n"/>
      <c r="N198" s="163" t="n"/>
      <c r="O198" s="163" t="n"/>
      <c r="P198" s="163" t="n">
        <v>-32877.45</v>
      </c>
      <c r="Q198" s="163" t="n"/>
      <c r="R198" s="163" t="n"/>
      <c r="S198" s="182" t="n"/>
      <c r="T198" s="182" t="n"/>
      <c r="U198" s="182" t="n"/>
      <c r="V198" s="182" t="n"/>
      <c r="W198" s="182" t="n"/>
      <c r="X198" s="182" t="n"/>
      <c r="Y198" s="182" t="n"/>
      <c r="Z198" s="182" t="n"/>
      <c r="AA198" s="170" t="n"/>
      <c r="AB198" s="164" t="n"/>
      <c r="AC198" s="164" t="n"/>
      <c r="AD198" s="164" t="n"/>
      <c r="AE198" s="164" t="n"/>
      <c r="AF198" s="164" t="n"/>
      <c r="AG198" s="164" t="n"/>
      <c r="AH198" s="164" t="n"/>
      <c r="AI198" s="164" t="n"/>
      <c r="AJ198" s="164" t="n"/>
      <c r="AK198" s="164" t="n"/>
      <c r="AL198" s="96" t="n"/>
    </row>
    <row r="199">
      <c r="A199" s="27" t="n"/>
      <c r="B199" s="27" t="inlineStr">
        <is>
          <t>无客商-结转汤村复建区1号地块项目工会</t>
        </is>
      </c>
      <c r="C199" s="27" t="n">
        <v/>
      </c>
      <c r="D199" s="32" t="n"/>
      <c r="E199" s="47" t="n"/>
      <c r="F199" s="47" t="n"/>
      <c r="G199" s="47" t="n"/>
      <c r="H199" s="182" t="n"/>
      <c r="I199" s="163" t="n"/>
      <c r="J199" s="182" t="n"/>
      <c r="K199" s="168" t="n"/>
      <c r="L199" s="172" t="n"/>
      <c r="M199" s="182" t="n"/>
      <c r="N199" s="163" t="n"/>
      <c r="O199" s="163" t="n"/>
      <c r="P199" s="163" t="n">
        <v>174.86</v>
      </c>
      <c r="Q199" s="163" t="n"/>
      <c r="R199" s="163" t="n"/>
      <c r="S199" s="182" t="n"/>
      <c r="T199" s="182" t="n"/>
      <c r="U199" s="182" t="n"/>
      <c r="V199" s="182" t="n"/>
      <c r="W199" s="182" t="n"/>
      <c r="X199" s="182" t="n"/>
      <c r="Y199" s="182" t="n"/>
      <c r="Z199" s="182" t="n"/>
      <c r="AA199" s="170" t="n"/>
      <c r="AB199" s="164" t="n"/>
      <c r="AC199" s="164" t="n"/>
      <c r="AD199" s="164" t="n"/>
      <c r="AE199" s="164" t="n"/>
      <c r="AF199" s="164" t="n"/>
      <c r="AG199" s="164" t="n"/>
      <c r="AH199" s="164" t="n"/>
      <c r="AI199" s="164" t="n"/>
      <c r="AJ199" s="164" t="n"/>
      <c r="AK199" s="164" t="n"/>
      <c r="AL199" s="96" t="n"/>
    </row>
    <row r="200">
      <c r="A200" s="27" t="n"/>
      <c r="B200" s="27" t="inlineStr">
        <is>
          <t>无客商-汤村项目复建一地块对外成本费用</t>
        </is>
      </c>
      <c r="C200" s="27" t="n">
        <v/>
      </c>
      <c r="D200" s="32" t="n"/>
      <c r="E200" s="47" t="n"/>
      <c r="F200" s="47" t="n"/>
      <c r="G200" s="47" t="n"/>
      <c r="H200" s="182" t="n"/>
      <c r="I200" s="163" t="n"/>
      <c r="J200" s="182" t="n"/>
      <c r="K200" s="168" t="n"/>
      <c r="L200" s="172" t="n"/>
      <c r="M200" s="182" t="n"/>
      <c r="N200" s="163" t="n"/>
      <c r="O200" s="163" t="n"/>
      <c r="P200" s="163" t="n">
        <v>3346.53</v>
      </c>
      <c r="Q200" s="163" t="n"/>
      <c r="R200" s="163" t="n"/>
      <c r="S200" s="182" t="n"/>
      <c r="T200" s="182" t="n"/>
      <c r="U200" s="182" t="n"/>
      <c r="V200" s="182" t="n"/>
      <c r="W200" s="182" t="n"/>
      <c r="X200" s="182" t="n"/>
      <c r="Y200" s="182" t="n"/>
      <c r="Z200" s="182" t="n"/>
      <c r="AA200" s="170" t="n"/>
      <c r="AB200" s="164" t="n"/>
      <c r="AC200" s="164" t="n"/>
      <c r="AD200" s="164" t="n"/>
      <c r="AE200" s="164" t="n"/>
      <c r="AF200" s="164" t="n"/>
      <c r="AG200" s="164" t="n"/>
      <c r="AH200" s="164" t="n"/>
      <c r="AI200" s="164" t="n"/>
      <c r="AJ200" s="164" t="n"/>
      <c r="AK200" s="164" t="n"/>
      <c r="AL200" s="96" t="n"/>
    </row>
    <row r="201">
      <c r="A201" s="27" t="n"/>
      <c r="B201" s="27" t="inlineStr">
        <is>
          <t>无客商-汤村旧改项目支付广州市洪康通办</t>
        </is>
      </c>
      <c r="C201" s="27" t="n">
        <v/>
      </c>
      <c r="D201" s="32" t="n"/>
      <c r="E201" s="47" t="n"/>
      <c r="F201" s="47" t="n"/>
      <c r="G201" s="47" t="n"/>
      <c r="H201" s="182" t="n"/>
      <c r="I201" s="163" t="n"/>
      <c r="J201" s="182" t="n"/>
      <c r="K201" s="168" t="n"/>
      <c r="L201" s="172" t="n"/>
      <c r="M201" s="182" t="n"/>
      <c r="N201" s="163" t="n"/>
      <c r="O201" s="163" t="n"/>
      <c r="P201" s="163" t="n">
        <v>13706.82</v>
      </c>
      <c r="Q201" s="163" t="n"/>
      <c r="R201" s="163" t="n"/>
      <c r="S201" s="182" t="n"/>
      <c r="T201" s="182" t="n"/>
      <c r="U201" s="182" t="n"/>
      <c r="V201" s="182" t="n"/>
      <c r="W201" s="182" t="n"/>
      <c r="X201" s="182" t="n"/>
      <c r="Y201" s="182" t="n"/>
      <c r="Z201" s="182" t="n"/>
      <c r="AA201" s="170" t="n"/>
      <c r="AB201" s="164" t="n"/>
      <c r="AC201" s="164" t="n"/>
      <c r="AD201" s="164" t="n"/>
      <c r="AE201" s="164" t="n"/>
      <c r="AF201" s="164" t="n"/>
      <c r="AG201" s="164" t="n"/>
      <c r="AH201" s="164" t="n"/>
      <c r="AI201" s="164" t="n"/>
      <c r="AJ201" s="164" t="n"/>
      <c r="AK201" s="164" t="n"/>
      <c r="AL201" s="96" t="n"/>
    </row>
    <row r="202">
      <c r="A202" s="27" t="n"/>
      <c r="B202" s="27" t="inlineStr">
        <is>
          <t>无客商-汤村旧改项目对外支付广州市萝岗</t>
        </is>
      </c>
      <c r="C202" s="27" t="n">
        <v/>
      </c>
      <c r="D202" s="32" t="n"/>
      <c r="E202" s="47" t="n"/>
      <c r="F202" s="47" t="n"/>
      <c r="G202" s="47" t="n"/>
      <c r="H202" s="182" t="n"/>
      <c r="I202" s="163" t="n"/>
      <c r="J202" s="182" t="n"/>
      <c r="K202" s="168" t="n"/>
      <c r="L202" s="172" t="n"/>
      <c r="M202" s="182" t="n"/>
      <c r="N202" s="163" t="n"/>
      <c r="O202" s="163" t="n"/>
      <c r="P202" s="163" t="n">
        <v>36834.65</v>
      </c>
      <c r="Q202" s="163" t="n"/>
      <c r="R202" s="163" t="n"/>
      <c r="S202" s="182" t="n"/>
      <c r="T202" s="182" t="n"/>
      <c r="U202" s="182" t="n"/>
      <c r="V202" s="182" t="n"/>
      <c r="W202" s="182" t="n"/>
      <c r="X202" s="182" t="n"/>
      <c r="Y202" s="182" t="n"/>
      <c r="Z202" s="182" t="n"/>
      <c r="AA202" s="170" t="n"/>
      <c r="AB202" s="164" t="n"/>
      <c r="AC202" s="164" t="n"/>
      <c r="AD202" s="164" t="n"/>
      <c r="AE202" s="164" t="n"/>
      <c r="AF202" s="164" t="n"/>
      <c r="AG202" s="164" t="n"/>
      <c r="AH202" s="164" t="n"/>
      <c r="AI202" s="164" t="n"/>
      <c r="AJ202" s="164" t="n"/>
      <c r="AK202" s="164" t="n"/>
      <c r="AL202" s="96" t="n"/>
    </row>
    <row r="203">
      <c r="A203" s="27" t="n"/>
      <c r="B203" s="27" t="inlineStr">
        <is>
          <t>无客商-汤村旧改项目对外成本费用付款广</t>
        </is>
      </c>
      <c r="C203" s="27" t="n">
        <v/>
      </c>
      <c r="D203" s="32" t="n"/>
      <c r="E203" s="47" t="n"/>
      <c r="F203" s="47" t="n"/>
      <c r="G203" s="47" t="n"/>
      <c r="H203" s="182" t="n"/>
      <c r="I203" s="163" t="n"/>
      <c r="J203" s="182" t="n"/>
      <c r="K203" s="168" t="n"/>
      <c r="L203" s="172" t="n"/>
      <c r="M203" s="182" t="n"/>
      <c r="N203" s="163" t="n"/>
      <c r="O203" s="163" t="n"/>
      <c r="P203" s="163" t="n">
        <v>2120.79</v>
      </c>
      <c r="Q203" s="163" t="n"/>
      <c r="R203" s="163" t="n"/>
      <c r="S203" s="182" t="n"/>
      <c r="T203" s="182" t="n"/>
      <c r="U203" s="182" t="n"/>
      <c r="V203" s="182" t="n"/>
      <c r="W203" s="182" t="n"/>
      <c r="X203" s="182" t="n"/>
      <c r="Y203" s="182" t="n"/>
      <c r="Z203" s="182" t="n"/>
      <c r="AA203" s="170" t="n"/>
      <c r="AB203" s="164" t="n"/>
      <c r="AC203" s="164" t="n"/>
      <c r="AD203" s="164" t="n"/>
      <c r="AE203" s="164" t="n"/>
      <c r="AF203" s="164" t="n"/>
      <c r="AG203" s="164" t="n"/>
      <c r="AH203" s="164" t="n"/>
      <c r="AI203" s="164" t="n"/>
      <c r="AJ203" s="164" t="n"/>
      <c r="AK203" s="164" t="n"/>
      <c r="AL203" s="96" t="n"/>
    </row>
    <row r="204">
      <c r="A204" s="27" t="n"/>
      <c r="B204" s="27" t="inlineStr">
        <is>
          <t>无客商-汤村旧改项目复建一地块支付广州</t>
        </is>
      </c>
      <c r="C204" s="27" t="n">
        <v/>
      </c>
      <c r="D204" s="32" t="n"/>
      <c r="E204" s="47" t="n"/>
      <c r="F204" s="47" t="n"/>
      <c r="G204" s="47" t="n"/>
      <c r="H204" s="182" t="n"/>
      <c r="I204" s="163" t="n"/>
      <c r="J204" s="182" t="n"/>
      <c r="K204" s="168" t="n"/>
      <c r="L204" s="172" t="n"/>
      <c r="M204" s="182" t="n"/>
      <c r="N204" s="163" t="n"/>
      <c r="O204" s="163" t="n"/>
      <c r="P204" s="163" t="n">
        <v>4954.91</v>
      </c>
      <c r="Q204" s="163" t="n"/>
      <c r="R204" s="163" t="n"/>
      <c r="S204" s="182" t="n"/>
      <c r="T204" s="182" t="n"/>
      <c r="U204" s="182" t="n"/>
      <c r="V204" s="182" t="n"/>
      <c r="W204" s="182" t="n"/>
      <c r="X204" s="182" t="n"/>
      <c r="Y204" s="182" t="n"/>
      <c r="Z204" s="182" t="n"/>
      <c r="AA204" s="170" t="n"/>
      <c r="AB204" s="164" t="n"/>
      <c r="AC204" s="164" t="n"/>
      <c r="AD204" s="164" t="n"/>
      <c r="AE204" s="164" t="n"/>
      <c r="AF204" s="164" t="n"/>
      <c r="AG204" s="164" t="n"/>
      <c r="AH204" s="164" t="n"/>
      <c r="AI204" s="164" t="n"/>
      <c r="AJ204" s="164" t="n"/>
      <c r="AK204" s="164" t="n"/>
      <c r="AL204" s="96" t="n"/>
    </row>
    <row r="205">
      <c r="A205" s="27" t="n"/>
      <c r="B205" s="27" t="inlineStr">
        <is>
          <t>无客商-汤村旧改项目复建一地块对外支付</t>
        </is>
      </c>
      <c r="C205" s="27" t="n">
        <v/>
      </c>
      <c r="D205" s="32" t="n"/>
      <c r="E205" s="47" t="n"/>
      <c r="F205" s="47" t="n"/>
      <c r="G205" s="47" t="n"/>
      <c r="H205" s="182" t="n"/>
      <c r="I205" s="163" t="n"/>
      <c r="J205" s="182" t="n"/>
      <c r="K205" s="168" t="n"/>
      <c r="L205" s="172" t="n"/>
      <c r="M205" s="182" t="n"/>
      <c r="N205" s="163" t="n"/>
      <c r="O205" s="163" t="n"/>
      <c r="P205" s="163" t="n">
        <v>82708.91</v>
      </c>
      <c r="Q205" s="163" t="n"/>
      <c r="R205" s="163" t="n"/>
      <c r="S205" s="182" t="n"/>
      <c r="T205" s="182" t="n"/>
      <c r="U205" s="182" t="n"/>
      <c r="V205" s="182" t="n"/>
      <c r="W205" s="182" t="n"/>
      <c r="X205" s="182" t="n"/>
      <c r="Y205" s="182" t="n"/>
      <c r="Z205" s="182" t="n"/>
      <c r="AA205" s="170" t="n"/>
      <c r="AB205" s="164" t="n"/>
      <c r="AC205" s="164" t="n"/>
      <c r="AD205" s="164" t="n"/>
      <c r="AE205" s="164" t="n"/>
      <c r="AF205" s="164" t="n"/>
      <c r="AG205" s="164" t="n"/>
      <c r="AH205" s="164" t="n"/>
      <c r="AI205" s="164" t="n"/>
      <c r="AJ205" s="164" t="n"/>
      <c r="AK205" s="164" t="n"/>
      <c r="AL205" s="96" t="n"/>
    </row>
    <row r="206">
      <c r="A206" s="27" t="n"/>
      <c r="B206" s="27" t="inlineStr">
        <is>
          <t>无客商-汤村复建区1号地块项目6月薪酬</t>
        </is>
      </c>
      <c r="C206" s="27" t="n">
        <v/>
      </c>
      <c r="D206" s="32" t="n"/>
      <c r="E206" s="47" t="n"/>
      <c r="F206" s="47" t="n"/>
      <c r="G206" s="47" t="n"/>
      <c r="H206" s="182" t="n"/>
      <c r="I206" s="163" t="n"/>
      <c r="J206" s="182" t="n"/>
      <c r="K206" s="168" t="n"/>
      <c r="L206" s="172" t="n"/>
      <c r="M206" s="182" t="n"/>
      <c r="N206" s="163" t="n"/>
      <c r="O206" s="163" t="n"/>
      <c r="P206" s="163" t="n">
        <v>94650</v>
      </c>
      <c r="Q206" s="163" t="n"/>
      <c r="R206" s="163" t="n"/>
      <c r="S206" s="182" t="n"/>
      <c r="T206" s="182" t="n"/>
      <c r="U206" s="182" t="n"/>
      <c r="V206" s="182" t="n"/>
      <c r="W206" s="182" t="n"/>
      <c r="X206" s="182" t="n"/>
      <c r="Y206" s="182" t="n"/>
      <c r="Z206" s="182" t="n"/>
      <c r="AA206" s="170" t="n"/>
      <c r="AB206" s="164" t="n"/>
      <c r="AC206" s="164" t="n"/>
      <c r="AD206" s="164" t="n"/>
      <c r="AE206" s="164" t="n"/>
      <c r="AF206" s="164" t="n"/>
      <c r="AG206" s="164" t="n"/>
      <c r="AH206" s="164" t="n"/>
      <c r="AI206" s="164" t="n"/>
      <c r="AJ206" s="164" t="n"/>
      <c r="AK206" s="164" t="n"/>
      <c r="AL206" s="96" t="n"/>
    </row>
    <row r="207">
      <c r="A207" s="27" t="n"/>
      <c r="B207" s="27" t="inlineStr">
        <is>
          <t>无客商-汤村复建区1号地块广州市亲力劳</t>
        </is>
      </c>
      <c r="C207" s="27" t="n">
        <v/>
      </c>
      <c r="D207" s="32" t="n"/>
      <c r="E207" s="47" t="n"/>
      <c r="F207" s="47" t="n"/>
      <c r="G207" s="47" t="n"/>
      <c r="H207" s="182" t="n"/>
      <c r="I207" s="163" t="n"/>
      <c r="J207" s="182" t="n"/>
      <c r="K207" s="168" t="n"/>
      <c r="L207" s="172" t="n"/>
      <c r="M207" s="182" t="n"/>
      <c r="N207" s="163" t="n"/>
      <c r="O207" s="163" t="n"/>
      <c r="P207" s="163" t="n">
        <v>42343.43</v>
      </c>
      <c r="Q207" s="163" t="n"/>
      <c r="R207" s="163" t="n"/>
      <c r="S207" s="182" t="n"/>
      <c r="T207" s="182" t="n"/>
      <c r="U207" s="182" t="n"/>
      <c r="V207" s="182" t="n"/>
      <c r="W207" s="182" t="n"/>
      <c r="X207" s="182" t="n"/>
      <c r="Y207" s="182" t="n"/>
      <c r="Z207" s="182" t="n"/>
      <c r="AA207" s="170" t="n"/>
      <c r="AB207" s="164" t="n"/>
      <c r="AC207" s="164" t="n"/>
      <c r="AD207" s="164" t="n"/>
      <c r="AE207" s="164" t="n"/>
      <c r="AF207" s="164" t="n"/>
      <c r="AG207" s="164" t="n"/>
      <c r="AH207" s="164" t="n"/>
      <c r="AI207" s="164" t="n"/>
      <c r="AJ207" s="164" t="n"/>
      <c r="AK207" s="164" t="n"/>
      <c r="AL207" s="96" t="n"/>
    </row>
    <row r="208">
      <c r="A208" s="27" t="n"/>
      <c r="B208" s="27" t="inlineStr">
        <is>
          <t>无客商-汤村复建区1号地块广东南方人力</t>
        </is>
      </c>
      <c r="C208" s="27" t="n">
        <v/>
      </c>
      <c r="D208" s="32" t="n"/>
      <c r="E208" s="47" t="n"/>
      <c r="F208" s="47" t="n"/>
      <c r="G208" s="47" t="n"/>
      <c r="H208" s="182" t="n"/>
      <c r="I208" s="163" t="n"/>
      <c r="J208" s="182" t="n"/>
      <c r="K208" s="168" t="n"/>
      <c r="L208" s="172" t="n"/>
      <c r="M208" s="182" t="n"/>
      <c r="N208" s="163" t="n"/>
      <c r="O208" s="163" t="n"/>
      <c r="P208" s="163" t="n">
        <v>17900.86</v>
      </c>
      <c r="Q208" s="163" t="n"/>
      <c r="R208" s="163" t="n"/>
      <c r="S208" s="182" t="n"/>
      <c r="T208" s="182" t="n"/>
      <c r="U208" s="182" t="n"/>
      <c r="V208" s="182" t="n"/>
      <c r="W208" s="182" t="n"/>
      <c r="X208" s="182" t="n"/>
      <c r="Y208" s="182" t="n"/>
      <c r="Z208" s="182" t="n"/>
      <c r="AA208" s="170" t="n"/>
      <c r="AB208" s="164" t="n"/>
      <c r="AC208" s="164" t="n"/>
      <c r="AD208" s="164" t="n"/>
      <c r="AE208" s="164" t="n"/>
      <c r="AF208" s="164" t="n"/>
      <c r="AG208" s="164" t="n"/>
      <c r="AH208" s="164" t="n"/>
      <c r="AI208" s="164" t="n"/>
      <c r="AJ208" s="164" t="n"/>
      <c r="AK208" s="164" t="n"/>
      <c r="AL208" s="96" t="n"/>
    </row>
    <row r="209">
      <c r="A209" s="27" t="n"/>
      <c r="B209" s="27" t="inlineStr">
        <is>
          <t>无客商-汤村复建1号地块徐尚坚报销打印</t>
        </is>
      </c>
      <c r="C209" s="27" t="n">
        <v/>
      </c>
      <c r="D209" s="32" t="n"/>
      <c r="E209" s="47" t="n"/>
      <c r="F209" s="47" t="n"/>
      <c r="G209" s="47" t="n"/>
      <c r="H209" s="182" t="n"/>
      <c r="I209" s="163" t="n"/>
      <c r="J209" s="182" t="n"/>
      <c r="K209" s="168" t="n"/>
      <c r="L209" s="172" t="n"/>
      <c r="M209" s="182" t="n"/>
      <c r="N209" s="163" t="n"/>
      <c r="O209" s="163" t="n"/>
      <c r="P209" s="163" t="n">
        <v>106.93</v>
      </c>
      <c r="Q209" s="163" t="n"/>
      <c r="R209" s="163" t="n"/>
      <c r="S209" s="182" t="n"/>
      <c r="T209" s="182" t="n"/>
      <c r="U209" s="182" t="n"/>
      <c r="V209" s="182" t="n"/>
      <c r="W209" s="182" t="n"/>
      <c r="X209" s="182" t="n"/>
      <c r="Y209" s="182" t="n"/>
      <c r="Z209" s="182" t="n"/>
      <c r="AA209" s="170" t="n"/>
      <c r="AB209" s="164" t="n"/>
      <c r="AC209" s="164" t="n"/>
      <c r="AD209" s="164" t="n"/>
      <c r="AE209" s="164" t="n"/>
      <c r="AF209" s="164" t="n"/>
      <c r="AG209" s="164" t="n"/>
      <c r="AH209" s="164" t="n"/>
      <c r="AI209" s="164" t="n"/>
      <c r="AJ209" s="164" t="n"/>
      <c r="AK209" s="164" t="n"/>
      <c r="AL209" s="96" t="n"/>
    </row>
    <row r="210">
      <c r="A210" s="27" t="n"/>
      <c r="B210" s="27" t="inlineStr">
        <is>
          <t>无客商-汤村复建1号地块8月薪酬计提</t>
        </is>
      </c>
      <c r="C210" s="27" t="n">
        <v/>
      </c>
      <c r="D210" s="32" t="n"/>
      <c r="E210" s="47" t="n"/>
      <c r="F210" s="47" t="n"/>
      <c r="G210" s="47" t="n"/>
      <c r="H210" s="182" t="n"/>
      <c r="I210" s="163" t="n"/>
      <c r="J210" s="182" t="n"/>
      <c r="K210" s="168" t="n"/>
      <c r="L210" s="172" t="n"/>
      <c r="M210" s="182" t="n"/>
      <c r="N210" s="163" t="n"/>
      <c r="O210" s="163" t="n"/>
      <c r="P210" s="163" t="n">
        <v>113.94</v>
      </c>
      <c r="Q210" s="163" t="n"/>
      <c r="R210" s="163" t="n"/>
      <c r="S210" s="182" t="n"/>
      <c r="T210" s="182" t="n"/>
      <c r="U210" s="182" t="n"/>
      <c r="V210" s="182" t="n"/>
      <c r="W210" s="182" t="n"/>
      <c r="X210" s="182" t="n"/>
      <c r="Y210" s="182" t="n"/>
      <c r="Z210" s="182" t="n"/>
      <c r="AA210" s="170" t="n"/>
      <c r="AB210" s="164" t="n"/>
      <c r="AC210" s="164" t="n"/>
      <c r="AD210" s="164" t="n"/>
      <c r="AE210" s="164" t="n"/>
      <c r="AF210" s="164" t="n"/>
      <c r="AG210" s="164" t="n"/>
      <c r="AH210" s="164" t="n"/>
      <c r="AI210" s="164" t="n"/>
      <c r="AJ210" s="164" t="n"/>
      <c r="AK210" s="164" t="n"/>
      <c r="AL210" s="96" t="n"/>
    </row>
    <row r="211">
      <c r="A211" s="27" t="n"/>
      <c r="B211" s="27" t="inlineStr">
        <is>
          <t>无客商-汤村复1地块计提社保公积金及工</t>
        </is>
      </c>
      <c r="C211" s="27" t="n">
        <v/>
      </c>
      <c r="D211" s="32" t="n"/>
      <c r="E211" s="47" t="n"/>
      <c r="F211" s="47" t="n"/>
      <c r="G211" s="47" t="n"/>
      <c r="H211" s="182" t="n"/>
      <c r="I211" s="163" t="n"/>
      <c r="J211" s="182" t="n"/>
      <c r="K211" s="168" t="n"/>
      <c r="L211" s="172" t="n"/>
      <c r="M211" s="182" t="n"/>
      <c r="N211" s="163" t="n"/>
      <c r="O211" s="163" t="n"/>
      <c r="P211" s="163" t="n">
        <v>39584.04</v>
      </c>
      <c r="Q211" s="163" t="n"/>
      <c r="R211" s="163" t="n"/>
      <c r="S211" s="182" t="n"/>
      <c r="T211" s="182" t="n"/>
      <c r="U211" s="182" t="n"/>
      <c r="V211" s="182" t="n"/>
      <c r="W211" s="182" t="n"/>
      <c r="X211" s="182" t="n"/>
      <c r="Y211" s="182" t="n"/>
      <c r="Z211" s="182" t="n"/>
      <c r="AA211" s="170" t="n"/>
      <c r="AB211" s="164" t="n"/>
      <c r="AC211" s="164" t="n"/>
      <c r="AD211" s="164" t="n"/>
      <c r="AE211" s="164" t="n"/>
      <c r="AF211" s="164" t="n"/>
      <c r="AG211" s="164" t="n"/>
      <c r="AH211" s="164" t="n"/>
      <c r="AI211" s="164" t="n"/>
      <c r="AJ211" s="164" t="n"/>
      <c r="AK211" s="164" t="n"/>
      <c r="AL211" s="96" t="n"/>
    </row>
    <row r="212">
      <c r="A212" s="27" t="n"/>
      <c r="B212" s="27" t="inlineStr">
        <is>
          <t>无客商-汤村复1地块计提9月薪酬</t>
        </is>
      </c>
      <c r="C212" s="27" t="n">
        <v/>
      </c>
      <c r="D212" s="32" t="n"/>
      <c r="E212" s="47" t="n"/>
      <c r="F212" s="47" t="n"/>
      <c r="G212" s="47" t="n"/>
      <c r="H212" s="182" t="n"/>
      <c r="I212" s="163" t="n"/>
      <c r="J212" s="182" t="n"/>
      <c r="K212" s="168" t="n"/>
      <c r="L212" s="172" t="n"/>
      <c r="M212" s="182" t="n"/>
      <c r="N212" s="163" t="n"/>
      <c r="O212" s="163" t="n"/>
      <c r="P212" s="163" t="n">
        <v>150895</v>
      </c>
      <c r="Q212" s="163" t="n"/>
      <c r="R212" s="163" t="n"/>
      <c r="S212" s="182" t="n"/>
      <c r="T212" s="182" t="n"/>
      <c r="U212" s="182" t="n"/>
      <c r="V212" s="182" t="n"/>
      <c r="W212" s="182" t="n"/>
      <c r="X212" s="182" t="n"/>
      <c r="Y212" s="182" t="n"/>
      <c r="Z212" s="182" t="n"/>
      <c r="AA212" s="170" t="n"/>
      <c r="AB212" s="164" t="n"/>
      <c r="AC212" s="164" t="n"/>
      <c r="AD212" s="164" t="n"/>
      <c r="AE212" s="164" t="n"/>
      <c r="AF212" s="164" t="n"/>
      <c r="AG212" s="164" t="n"/>
      <c r="AH212" s="164" t="n"/>
      <c r="AI212" s="164" t="n"/>
      <c r="AJ212" s="164" t="n"/>
      <c r="AK212" s="164" t="n"/>
      <c r="AL212" s="96" t="n"/>
    </row>
    <row r="213">
      <c r="A213" s="27" t="n"/>
      <c r="B213" s="27" t="inlineStr">
        <is>
          <t>无客商-汤村复1地块计提9月人员薪酬</t>
        </is>
      </c>
      <c r="C213" s="27" t="n">
        <v/>
      </c>
      <c r="D213" s="32" t="n"/>
      <c r="E213" s="47" t="n"/>
      <c r="F213" s="47" t="n"/>
      <c r="G213" s="47" t="n"/>
      <c r="H213" s="182" t="n"/>
      <c r="I213" s="163" t="n"/>
      <c r="J213" s="182" t="n"/>
      <c r="K213" s="168" t="n"/>
      <c r="L213" s="172" t="n"/>
      <c r="M213" s="182" t="n"/>
      <c r="N213" s="163" t="n"/>
      <c r="O213" s="163" t="n"/>
      <c r="P213" s="163" t="n">
        <v>48407.69</v>
      </c>
      <c r="Q213" s="163" t="n"/>
      <c r="R213" s="163" t="n"/>
      <c r="S213" s="182" t="n"/>
      <c r="T213" s="182" t="n"/>
      <c r="U213" s="182" t="n"/>
      <c r="V213" s="182" t="n"/>
      <c r="W213" s="182" t="n"/>
      <c r="X213" s="182" t="n"/>
      <c r="Y213" s="182" t="n"/>
      <c r="Z213" s="182" t="n"/>
      <c r="AA213" s="170" t="n"/>
      <c r="AB213" s="164" t="n"/>
      <c r="AC213" s="164" t="n"/>
      <c r="AD213" s="164" t="n"/>
      <c r="AE213" s="164" t="n"/>
      <c r="AF213" s="164" t="n"/>
      <c r="AG213" s="164" t="n"/>
      <c r="AH213" s="164" t="n"/>
      <c r="AI213" s="164" t="n"/>
      <c r="AJ213" s="164" t="n"/>
      <c r="AK213" s="164" t="n"/>
      <c r="AL213" s="96" t="n"/>
    </row>
    <row r="214">
      <c r="A214" s="27" t="n"/>
      <c r="B214" s="27" t="inlineStr">
        <is>
          <t>无客商-汤村复1地块计提2024年4月</t>
        </is>
      </c>
      <c r="C214" s="27" t="n">
        <v/>
      </c>
      <c r="D214" s="32" t="n"/>
      <c r="E214" s="47" t="n"/>
      <c r="F214" s="47" t="n"/>
      <c r="G214" s="47" t="n"/>
      <c r="H214" s="182" t="n"/>
      <c r="I214" s="163" t="n"/>
      <c r="J214" s="182" t="n"/>
      <c r="K214" s="168" t="n"/>
      <c r="L214" s="172" t="n"/>
      <c r="M214" s="182" t="n"/>
      <c r="N214" s="163" t="n"/>
      <c r="O214" s="163" t="n"/>
      <c r="P214" s="163" t="n">
        <v>16942.5</v>
      </c>
      <c r="Q214" s="163" t="n"/>
      <c r="R214" s="163" t="n"/>
      <c r="S214" s="182" t="n"/>
      <c r="T214" s="182" t="n"/>
      <c r="U214" s="182" t="n"/>
      <c r="V214" s="182" t="n"/>
      <c r="W214" s="182" t="n"/>
      <c r="X214" s="182" t="n"/>
      <c r="Y214" s="182" t="n"/>
      <c r="Z214" s="182" t="n"/>
      <c r="AA214" s="170" t="n"/>
      <c r="AB214" s="164" t="n"/>
      <c r="AC214" s="164" t="n"/>
      <c r="AD214" s="164" t="n"/>
      <c r="AE214" s="164" t="n"/>
      <c r="AF214" s="164" t="n"/>
      <c r="AG214" s="164" t="n"/>
      <c r="AH214" s="164" t="n"/>
      <c r="AI214" s="164" t="n"/>
      <c r="AJ214" s="164" t="n"/>
      <c r="AK214" s="164" t="n"/>
      <c r="AL214" s="96" t="n"/>
    </row>
    <row r="215">
      <c r="A215" s="27" t="n"/>
      <c r="B215" s="27" t="inlineStr">
        <is>
          <t>无客商-汤村复1地块计提10月薪酬（局</t>
        </is>
      </c>
      <c r="C215" s="27" t="n">
        <v/>
      </c>
      <c r="D215" s="32" t="n"/>
      <c r="E215" s="47" t="n"/>
      <c r="F215" s="47" t="n"/>
      <c r="G215" s="47" t="n"/>
      <c r="H215" s="182" t="n"/>
      <c r="I215" s="163" t="n"/>
      <c r="J215" s="182" t="n"/>
      <c r="K215" s="168" t="n"/>
      <c r="L215" s="172" t="n"/>
      <c r="M215" s="182" t="n"/>
      <c r="N215" s="163" t="n"/>
      <c r="O215" s="163" t="n"/>
      <c r="P215" s="163" t="n">
        <v>52660</v>
      </c>
      <c r="Q215" s="163" t="n"/>
      <c r="R215" s="163" t="n"/>
      <c r="S215" s="182" t="n"/>
      <c r="T215" s="182" t="n"/>
      <c r="U215" s="182" t="n"/>
      <c r="V215" s="182" t="n"/>
      <c r="W215" s="182" t="n"/>
      <c r="X215" s="182" t="n"/>
      <c r="Y215" s="182" t="n"/>
      <c r="Z215" s="182" t="n"/>
      <c r="AA215" s="170" t="n"/>
      <c r="AB215" s="164" t="n"/>
      <c r="AC215" s="164" t="n"/>
      <c r="AD215" s="164" t="n"/>
      <c r="AE215" s="164" t="n"/>
      <c r="AF215" s="164" t="n"/>
      <c r="AG215" s="164" t="n"/>
      <c r="AH215" s="164" t="n"/>
      <c r="AI215" s="164" t="n"/>
      <c r="AJ215" s="164" t="n"/>
      <c r="AK215" s="164" t="n"/>
      <c r="AL215" s="96" t="n"/>
    </row>
    <row r="216">
      <c r="A216" s="27" t="n"/>
      <c r="B216" s="27" t="inlineStr">
        <is>
          <t>无客商-汤村复1地块计提10月五险一金</t>
        </is>
      </c>
      <c r="C216" s="27" t="n">
        <v/>
      </c>
      <c r="D216" s="32" t="n"/>
      <c r="E216" s="47" t="n"/>
      <c r="F216" s="47" t="n"/>
      <c r="G216" s="47" t="n"/>
      <c r="H216" s="182" t="n"/>
      <c r="I216" s="163" t="n"/>
      <c r="J216" s="182" t="n"/>
      <c r="K216" s="168" t="n"/>
      <c r="L216" s="172" t="n"/>
      <c r="M216" s="182" t="n"/>
      <c r="N216" s="163" t="n"/>
      <c r="O216" s="163" t="n"/>
      <c r="P216" s="163" t="n">
        <v>14553.8</v>
      </c>
      <c r="Q216" s="163" t="n"/>
      <c r="R216" s="163" t="n"/>
      <c r="S216" s="182" t="n"/>
      <c r="T216" s="182" t="n"/>
      <c r="U216" s="182" t="n"/>
      <c r="V216" s="182" t="n"/>
      <c r="W216" s="182" t="n"/>
      <c r="X216" s="182" t="n"/>
      <c r="Y216" s="182" t="n"/>
      <c r="Z216" s="182" t="n"/>
      <c r="AA216" s="170" t="n"/>
      <c r="AB216" s="164" t="n"/>
      <c r="AC216" s="164" t="n"/>
      <c r="AD216" s="164" t="n"/>
      <c r="AE216" s="164" t="n"/>
      <c r="AF216" s="164" t="n"/>
      <c r="AG216" s="164" t="n"/>
      <c r="AH216" s="164" t="n"/>
      <c r="AI216" s="164" t="n"/>
      <c r="AJ216" s="164" t="n"/>
      <c r="AK216" s="164" t="n"/>
      <c r="AL216" s="96" t="n"/>
    </row>
    <row r="217">
      <c r="A217" s="27" t="n"/>
      <c r="B217" s="27" t="inlineStr">
        <is>
          <t>无客商-汤村复1地块申请福利费发票进项</t>
        </is>
      </c>
      <c r="C217" s="27" t="n">
        <v/>
      </c>
      <c r="D217" s="32" t="n"/>
      <c r="E217" s="47" t="n"/>
      <c r="F217" s="47" t="n"/>
      <c r="G217" s="47" t="n"/>
      <c r="H217" s="182" t="n"/>
      <c r="I217" s="163" t="n"/>
      <c r="J217" s="182" t="n"/>
      <c r="K217" s="168" t="n"/>
      <c r="L217" s="172" t="n"/>
      <c r="M217" s="182" t="n"/>
      <c r="N217" s="163" t="n"/>
      <c r="O217" s="163" t="n"/>
      <c r="P217" s="163" t="n">
        <v>24.44</v>
      </c>
      <c r="Q217" s="163" t="n"/>
      <c r="R217" s="163" t="n"/>
      <c r="S217" s="182" t="n"/>
      <c r="T217" s="182" t="n"/>
      <c r="U217" s="182" t="n"/>
      <c r="V217" s="182" t="n"/>
      <c r="W217" s="182" t="n"/>
      <c r="X217" s="182" t="n"/>
      <c r="Y217" s="182" t="n"/>
      <c r="Z217" s="182" t="n"/>
      <c r="AA217" s="170" t="n"/>
      <c r="AB217" s="164" t="n"/>
      <c r="AC217" s="164" t="n"/>
      <c r="AD217" s="164" t="n"/>
      <c r="AE217" s="164" t="n"/>
      <c r="AF217" s="164" t="n"/>
      <c r="AG217" s="164" t="n"/>
      <c r="AH217" s="164" t="n"/>
      <c r="AI217" s="164" t="n"/>
      <c r="AJ217" s="164" t="n"/>
      <c r="AK217" s="164" t="n"/>
      <c r="AL217" s="96" t="n"/>
    </row>
    <row r="218">
      <c r="A218" s="27" t="n"/>
      <c r="B218" s="27" t="inlineStr">
        <is>
          <t>无客商-汤村复1地块付广州市萝岗区佳优</t>
        </is>
      </c>
      <c r="C218" s="27" t="n">
        <v/>
      </c>
      <c r="D218" s="32" t="n"/>
      <c r="E218" s="47" t="n"/>
      <c r="F218" s="47" t="n"/>
      <c r="G218" s="47" t="n"/>
      <c r="H218" s="182" t="n"/>
      <c r="I218" s="163" t="n"/>
      <c r="J218" s="182" t="n"/>
      <c r="K218" s="168" t="n"/>
      <c r="L218" s="172" t="n"/>
      <c r="M218" s="182" t="n"/>
      <c r="N218" s="163" t="n"/>
      <c r="O218" s="163" t="n"/>
      <c r="P218" s="163" t="n">
        <v>22004.95</v>
      </c>
      <c r="Q218" s="163" t="n"/>
      <c r="R218" s="163" t="n"/>
      <c r="S218" s="182" t="n"/>
      <c r="T218" s="182" t="n"/>
      <c r="U218" s="182" t="n"/>
      <c r="V218" s="182" t="n"/>
      <c r="W218" s="182" t="n"/>
      <c r="X218" s="182" t="n"/>
      <c r="Y218" s="182" t="n"/>
      <c r="Z218" s="182" t="n"/>
      <c r="AA218" s="170" t="n"/>
      <c r="AB218" s="164" t="n"/>
      <c r="AC218" s="164" t="n"/>
      <c r="AD218" s="164" t="n"/>
      <c r="AE218" s="164" t="n"/>
      <c r="AF218" s="164" t="n"/>
      <c r="AG218" s="164" t="n"/>
      <c r="AH218" s="164" t="n"/>
      <c r="AI218" s="164" t="n"/>
      <c r="AJ218" s="164" t="n"/>
      <c r="AK218" s="164" t="n"/>
      <c r="AL218" s="96" t="n"/>
    </row>
    <row r="219">
      <c r="A219" s="27" t="n"/>
      <c r="B219" s="27" t="inlineStr">
        <is>
          <t>无客商-汤村复1地块8月薪酬计提（局）</t>
        </is>
      </c>
      <c r="C219" s="27" t="n">
        <v/>
      </c>
      <c r="D219" s="32" t="n"/>
      <c r="E219" s="47" t="n"/>
      <c r="F219" s="47" t="n"/>
      <c r="G219" s="47" t="n"/>
      <c r="H219" s="182" t="n"/>
      <c r="I219" s="163" t="n"/>
      <c r="J219" s="182" t="n"/>
      <c r="K219" s="168" t="n"/>
      <c r="L219" s="172" t="n"/>
      <c r="M219" s="182" t="n"/>
      <c r="N219" s="163" t="n"/>
      <c r="O219" s="163" t="n"/>
      <c r="P219" s="163" t="n">
        <v>52355</v>
      </c>
      <c r="Q219" s="163" t="n"/>
      <c r="R219" s="163" t="n"/>
      <c r="S219" s="182" t="n"/>
      <c r="T219" s="182" t="n"/>
      <c r="U219" s="182" t="n"/>
      <c r="V219" s="182" t="n"/>
      <c r="W219" s="182" t="n"/>
      <c r="X219" s="182" t="n"/>
      <c r="Y219" s="182" t="n"/>
      <c r="Z219" s="182" t="n"/>
      <c r="AA219" s="170" t="n"/>
      <c r="AB219" s="164" t="n"/>
      <c r="AC219" s="164" t="n"/>
      <c r="AD219" s="164" t="n"/>
      <c r="AE219" s="164" t="n"/>
      <c r="AF219" s="164" t="n"/>
      <c r="AG219" s="164" t="n"/>
      <c r="AH219" s="164" t="n"/>
      <c r="AI219" s="164" t="n"/>
      <c r="AJ219" s="164" t="n"/>
      <c r="AK219" s="164" t="n"/>
      <c r="AL219" s="96" t="n"/>
    </row>
    <row r="220">
      <c r="A220" s="27" t="n"/>
      <c r="B220" s="27" t="inlineStr">
        <is>
          <t>无客商-汤村复1地块7月薪酬计提（局）</t>
        </is>
      </c>
      <c r="C220" s="27" t="n">
        <v/>
      </c>
      <c r="D220" s="32" t="n"/>
      <c r="E220" s="47" t="n"/>
      <c r="F220" s="47" t="n"/>
      <c r="G220" s="47" t="n"/>
      <c r="H220" s="182" t="n"/>
      <c r="I220" s="163" t="n"/>
      <c r="J220" s="182" t="n"/>
      <c r="K220" s="168" t="n"/>
      <c r="L220" s="172" t="n"/>
      <c r="M220" s="182" t="n"/>
      <c r="N220" s="163" t="n"/>
      <c r="O220" s="163" t="n"/>
      <c r="P220" s="163" t="n">
        <v>52085</v>
      </c>
      <c r="Q220" s="163" t="n"/>
      <c r="R220" s="163" t="n"/>
      <c r="S220" s="182" t="n"/>
      <c r="T220" s="182" t="n"/>
      <c r="U220" s="182" t="n"/>
      <c r="V220" s="182" t="n"/>
      <c r="W220" s="182" t="n"/>
      <c r="X220" s="182" t="n"/>
      <c r="Y220" s="182" t="n"/>
      <c r="Z220" s="182" t="n"/>
      <c r="AA220" s="170" t="n"/>
      <c r="AB220" s="164" t="n"/>
      <c r="AC220" s="164" t="n"/>
      <c r="AD220" s="164" t="n"/>
      <c r="AE220" s="164" t="n"/>
      <c r="AF220" s="164" t="n"/>
      <c r="AG220" s="164" t="n"/>
      <c r="AH220" s="164" t="n"/>
      <c r="AI220" s="164" t="n"/>
      <c r="AJ220" s="164" t="n"/>
      <c r="AK220" s="164" t="n"/>
      <c r="AL220" s="96" t="n"/>
    </row>
    <row r="221">
      <c r="A221" s="27" t="n"/>
      <c r="B221" s="27" t="inlineStr">
        <is>
          <t>无客商-汤村复1地块7月薪酬计提</t>
        </is>
      </c>
      <c r="C221" s="27" t="n">
        <v/>
      </c>
      <c r="D221" s="32" t="n"/>
      <c r="E221" s="47" t="n"/>
      <c r="F221" s="47" t="n"/>
      <c r="G221" s="47" t="n"/>
      <c r="H221" s="182" t="n"/>
      <c r="I221" s="163" t="n"/>
      <c r="J221" s="182" t="n"/>
      <c r="K221" s="168" t="n"/>
      <c r="L221" s="172" t="n"/>
      <c r="M221" s="182" t="n"/>
      <c r="N221" s="163" t="n"/>
      <c r="O221" s="163" t="n"/>
      <c r="P221" s="163" t="n">
        <v>311.18</v>
      </c>
      <c r="Q221" s="163" t="n"/>
      <c r="R221" s="163" t="n"/>
      <c r="S221" s="182" t="n"/>
      <c r="T221" s="182" t="n"/>
      <c r="U221" s="182" t="n"/>
      <c r="V221" s="182" t="n"/>
      <c r="W221" s="182" t="n"/>
      <c r="X221" s="182" t="n"/>
      <c r="Y221" s="182" t="n"/>
      <c r="Z221" s="182" t="n"/>
      <c r="AA221" s="170" t="n"/>
      <c r="AB221" s="164" t="n"/>
      <c r="AC221" s="164" t="n"/>
      <c r="AD221" s="164" t="n"/>
      <c r="AE221" s="164" t="n"/>
      <c r="AF221" s="164" t="n"/>
      <c r="AG221" s="164" t="n"/>
      <c r="AH221" s="164" t="n"/>
      <c r="AI221" s="164" t="n"/>
      <c r="AJ221" s="164" t="n"/>
      <c r="AK221" s="164" t="n"/>
      <c r="AL221" s="96" t="n"/>
    </row>
    <row r="222">
      <c r="A222" s="27" t="n"/>
      <c r="B222" s="27" t="inlineStr">
        <is>
          <t>无客商-汤村复1地块6月薪酬计提（局）</t>
        </is>
      </c>
      <c r="C222" s="27" t="n">
        <v/>
      </c>
      <c r="D222" s="32" t="n"/>
      <c r="E222" s="47" t="n"/>
      <c r="F222" s="47" t="n"/>
      <c r="G222" s="47" t="n"/>
      <c r="H222" s="182" t="n"/>
      <c r="I222" s="163" t="n"/>
      <c r="J222" s="182" t="n"/>
      <c r="K222" s="168" t="n"/>
      <c r="L222" s="172" t="n"/>
      <c r="M222" s="182" t="n"/>
      <c r="N222" s="163" t="n"/>
      <c r="O222" s="163" t="n"/>
      <c r="P222" s="163" t="n">
        <v>50585</v>
      </c>
      <c r="Q222" s="163" t="n"/>
      <c r="R222" s="163" t="n"/>
      <c r="S222" s="182" t="n"/>
      <c r="T222" s="182" t="n"/>
      <c r="U222" s="182" t="n"/>
      <c r="V222" s="182" t="n"/>
      <c r="W222" s="182" t="n"/>
      <c r="X222" s="182" t="n"/>
      <c r="Y222" s="182" t="n"/>
      <c r="Z222" s="182" t="n"/>
      <c r="AA222" s="170" t="n"/>
      <c r="AB222" s="164" t="n"/>
      <c r="AC222" s="164" t="n"/>
      <c r="AD222" s="164" t="n"/>
      <c r="AE222" s="164" t="n"/>
      <c r="AF222" s="164" t="n"/>
      <c r="AG222" s="164" t="n"/>
      <c r="AH222" s="164" t="n"/>
      <c r="AI222" s="164" t="n"/>
      <c r="AJ222" s="164" t="n"/>
      <c r="AK222" s="164" t="n"/>
      <c r="AL222" s="96" t="n"/>
    </row>
    <row r="223">
      <c r="A223" s="27" t="n"/>
      <c r="B223" s="27" t="inlineStr">
        <is>
          <t>无客商-汤村复1地块2月薪酬（局）第一</t>
        </is>
      </c>
      <c r="C223" s="27" t="n">
        <v/>
      </c>
      <c r="D223" s="32" t="n"/>
      <c r="E223" s="47" t="n"/>
      <c r="F223" s="47" t="n"/>
      <c r="G223" s="47" t="n"/>
      <c r="H223" s="182" t="n"/>
      <c r="I223" s="163" t="n"/>
      <c r="J223" s="182" t="n"/>
      <c r="K223" s="168" t="n"/>
      <c r="L223" s="172" t="n"/>
      <c r="M223" s="182" t="n"/>
      <c r="N223" s="163" t="n"/>
      <c r="O223" s="163" t="n"/>
      <c r="P223" s="163" t="n">
        <v>86055</v>
      </c>
      <c r="Q223" s="163" t="n"/>
      <c r="R223" s="163" t="n"/>
      <c r="S223" s="182" t="n"/>
      <c r="T223" s="182" t="n"/>
      <c r="U223" s="182" t="n"/>
      <c r="V223" s="182" t="n"/>
      <c r="W223" s="182" t="n"/>
      <c r="X223" s="182" t="n"/>
      <c r="Y223" s="182" t="n"/>
      <c r="Z223" s="182" t="n"/>
      <c r="AA223" s="170" t="n"/>
      <c r="AB223" s="164" t="n"/>
      <c r="AC223" s="164" t="n"/>
      <c r="AD223" s="164" t="n"/>
      <c r="AE223" s="164" t="n"/>
      <c r="AF223" s="164" t="n"/>
      <c r="AG223" s="164" t="n"/>
      <c r="AH223" s="164" t="n"/>
      <c r="AI223" s="164" t="n"/>
      <c r="AJ223" s="164" t="n"/>
      <c r="AK223" s="164" t="n"/>
      <c r="AL223" s="96" t="n"/>
    </row>
    <row r="224">
      <c r="A224" s="27" t="n"/>
      <c r="B224" s="27" t="inlineStr">
        <is>
          <t>无客商-汤村复1地块2月薪酬计提（局）</t>
        </is>
      </c>
      <c r="C224" s="27" t="n">
        <v/>
      </c>
      <c r="D224" s="32" t="n"/>
      <c r="E224" s="47" t="n"/>
      <c r="F224" s="47" t="n"/>
      <c r="G224" s="47" t="n"/>
      <c r="H224" s="182" t="n"/>
      <c r="I224" s="163" t="n"/>
      <c r="J224" s="182" t="n"/>
      <c r="K224" s="168" t="n"/>
      <c r="L224" s="172" t="n"/>
      <c r="M224" s="182" t="n"/>
      <c r="N224" s="163" t="n"/>
      <c r="O224" s="163" t="n"/>
      <c r="P224" s="163" t="n">
        <v>46360</v>
      </c>
      <c r="Q224" s="163" t="n"/>
      <c r="R224" s="163" t="n"/>
      <c r="S224" s="182" t="n"/>
      <c r="T224" s="182" t="n"/>
      <c r="U224" s="182" t="n"/>
      <c r="V224" s="182" t="n"/>
      <c r="W224" s="182" t="n"/>
      <c r="X224" s="182" t="n"/>
      <c r="Y224" s="182" t="n"/>
      <c r="Z224" s="182" t="n"/>
      <c r="AA224" s="170" t="n"/>
      <c r="AB224" s="164" t="n"/>
      <c r="AC224" s="164" t="n"/>
      <c r="AD224" s="164" t="n"/>
      <c r="AE224" s="164" t="n"/>
      <c r="AF224" s="164" t="n"/>
      <c r="AG224" s="164" t="n"/>
      <c r="AH224" s="164" t="n"/>
      <c r="AI224" s="164" t="n"/>
      <c r="AJ224" s="164" t="n"/>
      <c r="AK224" s="164" t="n"/>
      <c r="AL224" s="96" t="n"/>
    </row>
    <row r="225">
      <c r="A225" s="27" t="n"/>
      <c r="B225" s="27" t="inlineStr">
        <is>
          <t>无客商-汤村复1地块2月奖金计提（局）</t>
        </is>
      </c>
      <c r="C225" s="27" t="n">
        <v/>
      </c>
      <c r="D225" s="32" t="n"/>
      <c r="E225" s="47" t="n"/>
      <c r="F225" s="47" t="n"/>
      <c r="G225" s="47" t="n"/>
      <c r="H225" s="182" t="n"/>
      <c r="I225" s="163" t="n"/>
      <c r="J225" s="182" t="n"/>
      <c r="K225" s="168" t="n"/>
      <c r="L225" s="172" t="n"/>
      <c r="M225" s="182" t="n"/>
      <c r="N225" s="163" t="n"/>
      <c r="O225" s="163" t="n"/>
      <c r="P225" s="163" t="n">
        <v>44960.06</v>
      </c>
      <c r="Q225" s="163" t="n"/>
      <c r="R225" s="163" t="n"/>
      <c r="S225" s="182" t="n"/>
      <c r="T225" s="182" t="n"/>
      <c r="U225" s="182" t="n"/>
      <c r="V225" s="182" t="n"/>
      <c r="W225" s="182" t="n"/>
      <c r="X225" s="182" t="n"/>
      <c r="Y225" s="182" t="n"/>
      <c r="Z225" s="182" t="n"/>
      <c r="AA225" s="170" t="n"/>
      <c r="AB225" s="164" t="n"/>
      <c r="AC225" s="164" t="n"/>
      <c r="AD225" s="164" t="n"/>
      <c r="AE225" s="164" t="n"/>
      <c r="AF225" s="164" t="n"/>
      <c r="AG225" s="164" t="n"/>
      <c r="AH225" s="164" t="n"/>
      <c r="AI225" s="164" t="n"/>
      <c r="AJ225" s="164" t="n"/>
      <c r="AK225" s="164" t="n"/>
      <c r="AL225" s="96" t="n"/>
    </row>
    <row r="226">
      <c r="A226" s="27" t="n"/>
      <c r="B226" s="27" t="inlineStr">
        <is>
          <t>无客商-汤村复1地块2024年11月社</t>
        </is>
      </c>
      <c r="C226" s="27" t="n">
        <v/>
      </c>
      <c r="D226" s="32" t="n"/>
      <c r="E226" s="47" t="n"/>
      <c r="F226" s="47" t="n"/>
      <c r="G226" s="47" t="n"/>
      <c r="H226" s="182" t="n"/>
      <c r="I226" s="163" t="n"/>
      <c r="J226" s="182" t="n"/>
      <c r="K226" s="168" t="n"/>
      <c r="L226" s="172" t="n"/>
      <c r="M226" s="182" t="n"/>
      <c r="N226" s="163" t="n"/>
      <c r="O226" s="163" t="n"/>
      <c r="P226" s="163" t="n">
        <v>14553.8</v>
      </c>
      <c r="Q226" s="163" t="n"/>
      <c r="R226" s="163" t="n"/>
      <c r="S226" s="182" t="n"/>
      <c r="T226" s="182" t="n"/>
      <c r="U226" s="182" t="n"/>
      <c r="V226" s="182" t="n"/>
      <c r="W226" s="182" t="n"/>
      <c r="X226" s="182" t="n"/>
      <c r="Y226" s="182" t="n"/>
      <c r="Z226" s="182" t="n"/>
      <c r="AA226" s="170" t="n"/>
      <c r="AB226" s="164" t="n"/>
      <c r="AC226" s="164" t="n"/>
      <c r="AD226" s="164" t="n"/>
      <c r="AE226" s="164" t="n"/>
      <c r="AF226" s="164" t="n"/>
      <c r="AG226" s="164" t="n"/>
      <c r="AH226" s="164" t="n"/>
      <c r="AI226" s="164" t="n"/>
      <c r="AJ226" s="164" t="n"/>
      <c r="AK226" s="164" t="n"/>
      <c r="AL226" s="96" t="n"/>
    </row>
    <row r="227">
      <c r="A227" s="27" t="n"/>
      <c r="B227" s="27" t="inlineStr">
        <is>
          <t>无客商-汤村复1地块10月薪酬计提（局</t>
        </is>
      </c>
      <c r="C227" s="27" t="n">
        <v/>
      </c>
      <c r="D227" s="32" t="n"/>
      <c r="E227" s="47" t="n"/>
      <c r="F227" s="47" t="n"/>
      <c r="G227" s="47" t="n"/>
      <c r="H227" s="182" t="n"/>
      <c r="I227" s="163" t="n"/>
      <c r="J227" s="182" t="n"/>
      <c r="K227" s="168" t="n"/>
      <c r="L227" s="172" t="n"/>
      <c r="M227" s="182" t="n"/>
      <c r="N227" s="163" t="n"/>
      <c r="O227" s="163" t="n"/>
      <c r="P227" s="163" t="n">
        <v>52355</v>
      </c>
      <c r="Q227" s="163" t="n"/>
      <c r="R227" s="163" t="n"/>
      <c r="S227" s="182" t="n"/>
      <c r="T227" s="182" t="n"/>
      <c r="U227" s="182" t="n"/>
      <c r="V227" s="182" t="n"/>
      <c r="W227" s="182" t="n"/>
      <c r="X227" s="182" t="n"/>
      <c r="Y227" s="182" t="n"/>
      <c r="Z227" s="182" t="n"/>
      <c r="AA227" s="170" t="n"/>
      <c r="AB227" s="164" t="n"/>
      <c r="AC227" s="164" t="n"/>
      <c r="AD227" s="164" t="n"/>
      <c r="AE227" s="164" t="n"/>
      <c r="AF227" s="164" t="n"/>
      <c r="AG227" s="164" t="n"/>
      <c r="AH227" s="164" t="n"/>
      <c r="AI227" s="164" t="n"/>
      <c r="AJ227" s="164" t="n"/>
      <c r="AK227" s="164" t="n"/>
      <c r="AL227" s="96" t="n"/>
    </row>
    <row r="228">
      <c r="A228" s="27" t="n"/>
      <c r="B228" s="27" t="inlineStr">
        <is>
          <t>无客商-核销汤村复1地块零星客户保证金</t>
        </is>
      </c>
      <c r="C228" s="27" t="n">
        <v/>
      </c>
      <c r="D228" s="32" t="n"/>
      <c r="E228" s="47" t="n"/>
      <c r="F228" s="47" t="n"/>
      <c r="G228" s="47" t="n"/>
      <c r="H228" s="182" t="n"/>
      <c r="I228" s="163" t="n"/>
      <c r="J228" s="182" t="n"/>
      <c r="K228" s="168" t="n"/>
      <c r="L228" s="172" t="n"/>
      <c r="M228" s="182" t="n"/>
      <c r="N228" s="163" t="n"/>
      <c r="O228" s="163" t="n"/>
      <c r="P228" s="163" t="n">
        <v>-20000</v>
      </c>
      <c r="Q228" s="163" t="n"/>
      <c r="R228" s="163" t="n"/>
      <c r="S228" s="182" t="n"/>
      <c r="T228" s="182" t="n"/>
      <c r="U228" s="182" t="n"/>
      <c r="V228" s="182" t="n"/>
      <c r="W228" s="182" t="n"/>
      <c r="X228" s="182" t="n"/>
      <c r="Y228" s="182" t="n"/>
      <c r="Z228" s="182" t="n"/>
      <c r="AA228" s="170" t="n"/>
      <c r="AB228" s="164" t="n"/>
      <c r="AC228" s="164" t="n"/>
      <c r="AD228" s="164" t="n"/>
      <c r="AE228" s="164" t="n"/>
      <c r="AF228" s="164" t="n"/>
      <c r="AG228" s="164" t="n"/>
      <c r="AH228" s="164" t="n"/>
      <c r="AI228" s="164" t="n"/>
      <c r="AJ228" s="164" t="n"/>
      <c r="AK228" s="164" t="n"/>
      <c r="AL228" s="96" t="n"/>
    </row>
    <row r="229">
      <c r="A229" s="27" t="n"/>
      <c r="B229" s="27" t="inlineStr">
        <is>
          <t>无客商-核销广州分公司2024年7月燃</t>
        </is>
      </c>
      <c r="C229" s="27" t="n">
        <v/>
      </c>
      <c r="D229" s="32" t="n"/>
      <c r="E229" s="47" t="n"/>
      <c r="F229" s="47" t="n"/>
      <c r="G229" s="47" t="n"/>
      <c r="H229" s="182" t="n"/>
      <c r="I229" s="163" t="n"/>
      <c r="J229" s="182" t="n"/>
      <c r="K229" s="168" t="n"/>
      <c r="L229" s="172" t="n"/>
      <c r="M229" s="182" t="n"/>
      <c r="N229" s="163" t="n"/>
      <c r="O229" s="163" t="n"/>
      <c r="P229" s="163" t="n">
        <v>2368.32</v>
      </c>
      <c r="Q229" s="163" t="n"/>
      <c r="R229" s="163" t="n"/>
      <c r="S229" s="182" t="n"/>
      <c r="T229" s="182" t="n"/>
      <c r="U229" s="182" t="n"/>
      <c r="V229" s="182" t="n"/>
      <c r="W229" s="182" t="n"/>
      <c r="X229" s="182" t="n"/>
      <c r="Y229" s="182" t="n"/>
      <c r="Z229" s="182" t="n"/>
      <c r="AA229" s="170" t="n"/>
      <c r="AB229" s="164" t="n"/>
      <c r="AC229" s="164" t="n"/>
      <c r="AD229" s="164" t="n"/>
      <c r="AE229" s="164" t="n"/>
      <c r="AF229" s="164" t="n"/>
      <c r="AG229" s="164" t="n"/>
      <c r="AH229" s="164" t="n"/>
      <c r="AI229" s="164" t="n"/>
      <c r="AJ229" s="164" t="n"/>
      <c r="AK229" s="164" t="n"/>
      <c r="AL229" s="96" t="n"/>
    </row>
    <row r="230">
      <c r="A230" s="27" t="n"/>
      <c r="B230" s="27" t="inlineStr">
        <is>
          <t>无客商-核销广州分公司2024年6月燃</t>
        </is>
      </c>
      <c r="C230" s="27" t="n">
        <v/>
      </c>
      <c r="D230" s="32" t="n"/>
      <c r="E230" s="47" t="n"/>
      <c r="F230" s="47" t="n"/>
      <c r="G230" s="47" t="n"/>
      <c r="H230" s="182" t="n"/>
      <c r="I230" s="163" t="n"/>
      <c r="J230" s="182" t="n"/>
      <c r="K230" s="168" t="n"/>
      <c r="L230" s="172" t="n"/>
      <c r="M230" s="182" t="n"/>
      <c r="N230" s="163" t="n"/>
      <c r="O230" s="163" t="n"/>
      <c r="P230" s="163" t="n">
        <v>2897.25</v>
      </c>
      <c r="Q230" s="163" t="n"/>
      <c r="R230" s="163" t="n"/>
      <c r="S230" s="182" t="n"/>
      <c r="T230" s="182" t="n"/>
      <c r="U230" s="182" t="n"/>
      <c r="V230" s="182" t="n"/>
      <c r="W230" s="182" t="n"/>
      <c r="X230" s="182" t="n"/>
      <c r="Y230" s="182" t="n"/>
      <c r="Z230" s="182" t="n"/>
      <c r="AA230" s="170" t="n"/>
      <c r="AB230" s="164" t="n"/>
      <c r="AC230" s="164" t="n"/>
      <c r="AD230" s="164" t="n"/>
      <c r="AE230" s="164" t="n"/>
      <c r="AF230" s="164" t="n"/>
      <c r="AG230" s="164" t="n"/>
      <c r="AH230" s="164" t="n"/>
      <c r="AI230" s="164" t="n"/>
      <c r="AJ230" s="164" t="n"/>
      <c r="AK230" s="164" t="n"/>
      <c r="AL230" s="96" t="n"/>
    </row>
    <row r="231">
      <c r="A231" s="27" t="n"/>
      <c r="B231" s="27" t="inlineStr">
        <is>
          <t>无客商-核销广州分公司2024年5月燃</t>
        </is>
      </c>
      <c r="C231" s="27" t="n">
        <v/>
      </c>
      <c r="D231" s="32" t="n"/>
      <c r="E231" s="47" t="n"/>
      <c r="F231" s="47" t="n"/>
      <c r="G231" s="47" t="n"/>
      <c r="H231" s="182" t="n"/>
      <c r="I231" s="163" t="n"/>
      <c r="J231" s="182" t="n"/>
      <c r="K231" s="168" t="n"/>
      <c r="L231" s="172" t="n"/>
      <c r="M231" s="182" t="n"/>
      <c r="N231" s="163" t="n"/>
      <c r="O231" s="163" t="n"/>
      <c r="P231" s="163" t="n">
        <v>3994.79</v>
      </c>
      <c r="Q231" s="163" t="n"/>
      <c r="R231" s="163" t="n"/>
      <c r="S231" s="182" t="n"/>
      <c r="T231" s="182" t="n"/>
      <c r="U231" s="182" t="n"/>
      <c r="V231" s="182" t="n"/>
      <c r="W231" s="182" t="n"/>
      <c r="X231" s="182" t="n"/>
      <c r="Y231" s="182" t="n"/>
      <c r="Z231" s="182" t="n"/>
      <c r="AA231" s="170" t="n"/>
      <c r="AB231" s="164" t="n"/>
      <c r="AC231" s="164" t="n"/>
      <c r="AD231" s="164" t="n"/>
      <c r="AE231" s="164" t="n"/>
      <c r="AF231" s="164" t="n"/>
      <c r="AG231" s="164" t="n"/>
      <c r="AH231" s="164" t="n"/>
      <c r="AI231" s="164" t="n"/>
      <c r="AJ231" s="164" t="n"/>
      <c r="AK231" s="164" t="n"/>
      <c r="AL231" s="96" t="n"/>
    </row>
    <row r="232">
      <c r="A232" s="27" t="n"/>
      <c r="B232" s="27" t="inlineStr">
        <is>
          <t>无客商-核销广州分公司2024年3-4</t>
        </is>
      </c>
      <c r="C232" s="27" t="n">
        <v/>
      </c>
      <c r="D232" s="32" t="n"/>
      <c r="E232" s="47" t="n"/>
      <c r="F232" s="47" t="n"/>
      <c r="G232" s="47" t="n"/>
      <c r="H232" s="182" t="n"/>
      <c r="I232" s="163" t="n"/>
      <c r="J232" s="182" t="n"/>
      <c r="K232" s="168" t="n"/>
      <c r="L232" s="172" t="n"/>
      <c r="M232" s="182" t="n"/>
      <c r="N232" s="163" t="n"/>
      <c r="O232" s="163" t="n"/>
      <c r="P232" s="163" t="n">
        <v>5953.69</v>
      </c>
      <c r="Q232" s="163" t="n"/>
      <c r="R232" s="163" t="n"/>
      <c r="S232" s="182" t="n"/>
      <c r="T232" s="182" t="n"/>
      <c r="U232" s="182" t="n"/>
      <c r="V232" s="182" t="n"/>
      <c r="W232" s="182" t="n"/>
      <c r="X232" s="182" t="n"/>
      <c r="Y232" s="182" t="n"/>
      <c r="Z232" s="182" t="n"/>
      <c r="AA232" s="170" t="n"/>
      <c r="AB232" s="164" t="n"/>
      <c r="AC232" s="164" t="n"/>
      <c r="AD232" s="164" t="n"/>
      <c r="AE232" s="164" t="n"/>
      <c r="AF232" s="164" t="n"/>
      <c r="AG232" s="164" t="n"/>
      <c r="AH232" s="164" t="n"/>
      <c r="AI232" s="164" t="n"/>
      <c r="AJ232" s="164" t="n"/>
      <c r="AK232" s="164" t="n"/>
      <c r="AL232" s="96" t="n"/>
    </row>
    <row r="233">
      <c r="A233" s="27" t="n"/>
      <c r="B233" s="27" t="inlineStr">
        <is>
          <t>无客商-李建民到局总部参加省工会算量大</t>
        </is>
      </c>
      <c r="C233" s="27" t="n">
        <v/>
      </c>
      <c r="D233" s="32" t="n"/>
      <c r="E233" s="47" t="n"/>
      <c r="F233" s="47" t="n"/>
      <c r="G233" s="47" t="n"/>
      <c r="H233" s="182" t="n"/>
      <c r="I233" s="163" t="n"/>
      <c r="J233" s="182" t="n"/>
      <c r="K233" s="168" t="n"/>
      <c r="L233" s="172" t="n"/>
      <c r="M233" s="182" t="n"/>
      <c r="N233" s="163" t="n"/>
      <c r="O233" s="163" t="n"/>
      <c r="P233" s="163" t="n">
        <v>547</v>
      </c>
      <c r="Q233" s="163" t="n"/>
      <c r="R233" s="163" t="n"/>
      <c r="S233" s="182" t="n"/>
      <c r="T233" s="182" t="n"/>
      <c r="U233" s="182" t="n"/>
      <c r="V233" s="182" t="n"/>
      <c r="W233" s="182" t="n"/>
      <c r="X233" s="182" t="n"/>
      <c r="Y233" s="182" t="n"/>
      <c r="Z233" s="182" t="n"/>
      <c r="AA233" s="170" t="n"/>
      <c r="AB233" s="164" t="n"/>
      <c r="AC233" s="164" t="n"/>
      <c r="AD233" s="164" t="n"/>
      <c r="AE233" s="164" t="n"/>
      <c r="AF233" s="164" t="n"/>
      <c r="AG233" s="164" t="n"/>
      <c r="AH233" s="164" t="n"/>
      <c r="AI233" s="164" t="n"/>
      <c r="AJ233" s="164" t="n"/>
      <c r="AK233" s="164" t="n"/>
      <c r="AL233" s="96" t="n"/>
    </row>
    <row r="234">
      <c r="A234" s="27" t="n"/>
      <c r="B234" s="27" t="inlineStr">
        <is>
          <t>无客商-收退回诉讼费</t>
        </is>
      </c>
      <c r="C234" s="27" t="n">
        <v/>
      </c>
      <c r="D234" s="32" t="n"/>
      <c r="E234" s="47" t="n"/>
      <c r="F234" s="47" t="n"/>
      <c r="G234" s="47" t="n"/>
      <c r="H234" s="182" t="n"/>
      <c r="I234" s="163" t="n"/>
      <c r="J234" s="182" t="n"/>
      <c r="K234" s="168" t="n"/>
      <c r="L234" s="172" t="n"/>
      <c r="M234" s="182" t="n"/>
      <c r="N234" s="163" t="n"/>
      <c r="O234" s="163" t="n"/>
      <c r="P234" s="163" t="n">
        <v>-151.5</v>
      </c>
      <c r="Q234" s="163" t="n"/>
      <c r="R234" s="163" t="n"/>
      <c r="S234" s="182" t="n"/>
      <c r="T234" s="182" t="n"/>
      <c r="U234" s="182" t="n"/>
      <c r="V234" s="182" t="n"/>
      <c r="W234" s="182" t="n"/>
      <c r="X234" s="182" t="n"/>
      <c r="Y234" s="182" t="n"/>
      <c r="Z234" s="182" t="n"/>
      <c r="AA234" s="170" t="n"/>
      <c r="AB234" s="164" t="n"/>
      <c r="AC234" s="164" t="n"/>
      <c r="AD234" s="164" t="n"/>
      <c r="AE234" s="164" t="n"/>
      <c r="AF234" s="164" t="n"/>
      <c r="AG234" s="164" t="n"/>
      <c r="AH234" s="164" t="n"/>
      <c r="AI234" s="164" t="n"/>
      <c r="AJ234" s="164" t="n"/>
      <c r="AK234" s="164" t="n"/>
      <c r="AL234" s="96" t="n"/>
    </row>
    <row r="235">
      <c r="A235" s="27" t="n"/>
      <c r="B235" s="27" t="inlineStr">
        <is>
          <t>无客商-收贺栋交来汤村1号地块签证变更</t>
        </is>
      </c>
      <c r="C235" s="27" t="n">
        <v/>
      </c>
      <c r="D235" s="32" t="n"/>
      <c r="E235" s="47" t="n"/>
      <c r="F235" s="47" t="n"/>
      <c r="G235" s="47" t="n"/>
      <c r="H235" s="182" t="n"/>
      <c r="I235" s="163" t="n"/>
      <c r="J235" s="182" t="n"/>
      <c r="K235" s="168" t="n"/>
      <c r="L235" s="172" t="n"/>
      <c r="M235" s="182" t="n"/>
      <c r="N235" s="163" t="n"/>
      <c r="O235" s="163" t="n"/>
      <c r="P235" s="163" t="n">
        <v>-2200</v>
      </c>
      <c r="Q235" s="163" t="n"/>
      <c r="R235" s="163" t="n"/>
      <c r="S235" s="182" t="n"/>
      <c r="T235" s="182" t="n"/>
      <c r="U235" s="182" t="n"/>
      <c r="V235" s="182" t="n"/>
      <c r="W235" s="182" t="n"/>
      <c r="X235" s="182" t="n"/>
      <c r="Y235" s="182" t="n"/>
      <c r="Z235" s="182" t="n"/>
      <c r="AA235" s="170" t="n"/>
      <c r="AB235" s="164" t="n"/>
      <c r="AC235" s="164" t="n"/>
      <c r="AD235" s="164" t="n"/>
      <c r="AE235" s="164" t="n"/>
      <c r="AF235" s="164" t="n"/>
      <c r="AG235" s="164" t="n"/>
      <c r="AH235" s="164" t="n"/>
      <c r="AI235" s="164" t="n"/>
      <c r="AJ235" s="164" t="n"/>
      <c r="AK235" s="164" t="n"/>
      <c r="AL235" s="96" t="n"/>
    </row>
    <row r="236">
      <c r="A236" s="27" t="n"/>
      <c r="B236" s="27" t="inlineStr">
        <is>
          <t>无客商-收汤村复建区1号地块项目食堂小</t>
        </is>
      </c>
      <c r="C236" s="27" t="n">
        <v/>
      </c>
      <c r="D236" s="32" t="n"/>
      <c r="E236" s="47" t="n"/>
      <c r="F236" s="47" t="n"/>
      <c r="G236" s="47" t="n"/>
      <c r="H236" s="182" t="n"/>
      <c r="I236" s="163" t="n"/>
      <c r="J236" s="182" t="n"/>
      <c r="K236" s="168" t="n"/>
      <c r="L236" s="172" t="n"/>
      <c r="M236" s="182" t="n"/>
      <c r="N236" s="163" t="n"/>
      <c r="O236" s="163" t="n"/>
      <c r="P236" s="163" t="n">
        <v>-10000</v>
      </c>
      <c r="Q236" s="163" t="n"/>
      <c r="R236" s="163" t="n"/>
      <c r="S236" s="182" t="n"/>
      <c r="T236" s="182" t="n"/>
      <c r="U236" s="182" t="n"/>
      <c r="V236" s="182" t="n"/>
      <c r="W236" s="182" t="n"/>
      <c r="X236" s="182" t="n"/>
      <c r="Y236" s="182" t="n"/>
      <c r="Z236" s="182" t="n"/>
      <c r="AA236" s="170" t="n"/>
      <c r="AB236" s="164" t="n"/>
      <c r="AC236" s="164" t="n"/>
      <c r="AD236" s="164" t="n"/>
      <c r="AE236" s="164" t="n"/>
      <c r="AF236" s="164" t="n"/>
      <c r="AG236" s="164" t="n"/>
      <c r="AH236" s="164" t="n"/>
      <c r="AI236" s="164" t="n"/>
      <c r="AJ236" s="164" t="n"/>
      <c r="AK236" s="164" t="n"/>
      <c r="AL236" s="96" t="n"/>
    </row>
    <row r="237">
      <c r="A237" s="27" t="n"/>
      <c r="B237" s="27" t="inlineStr">
        <is>
          <t>无客商-收汤村复1地块清欠罚款</t>
        </is>
      </c>
      <c r="C237" s="27" t="n">
        <v/>
      </c>
      <c r="D237" s="32" t="n"/>
      <c r="E237" s="47" t="n"/>
      <c r="F237" s="47" t="n"/>
      <c r="G237" s="47" t="n"/>
      <c r="H237" s="182" t="n"/>
      <c r="I237" s="163" t="n"/>
      <c r="J237" s="182" t="n"/>
      <c r="K237" s="168" t="n"/>
      <c r="L237" s="172" t="n"/>
      <c r="M237" s="182" t="n"/>
      <c r="N237" s="163" t="n"/>
      <c r="O237" s="163" t="n"/>
      <c r="P237" s="163" t="n">
        <v>-2921.63</v>
      </c>
      <c r="Q237" s="163" t="n"/>
      <c r="R237" s="163" t="n"/>
      <c r="S237" s="182" t="n"/>
      <c r="T237" s="182" t="n"/>
      <c r="U237" s="182" t="n"/>
      <c r="V237" s="182" t="n"/>
      <c r="W237" s="182" t="n"/>
      <c r="X237" s="182" t="n"/>
      <c r="Y237" s="182" t="n"/>
      <c r="Z237" s="182" t="n"/>
      <c r="AA237" s="170" t="n"/>
      <c r="AB237" s="164" t="n"/>
      <c r="AC237" s="164" t="n"/>
      <c r="AD237" s="164" t="n"/>
      <c r="AE237" s="164" t="n"/>
      <c r="AF237" s="164" t="n"/>
      <c r="AG237" s="164" t="n"/>
      <c r="AH237" s="164" t="n"/>
      <c r="AI237" s="164" t="n"/>
      <c r="AJ237" s="164" t="n"/>
      <c r="AK237" s="164" t="n"/>
      <c r="AL237" s="96" t="n"/>
    </row>
    <row r="238">
      <c r="A238" s="27" t="n"/>
      <c r="B238" s="27" t="inlineStr">
        <is>
          <t>无客商-收安嘉（北京）建筑工程有限公司</t>
        </is>
      </c>
      <c r="C238" s="27" t="n">
        <v/>
      </c>
      <c r="D238" s="32" t="n"/>
      <c r="E238" s="47" t="n"/>
      <c r="F238" s="47" t="n"/>
      <c r="G238" s="47" t="n"/>
      <c r="H238" s="182" t="n"/>
      <c r="I238" s="163" t="n"/>
      <c r="J238" s="182" t="n"/>
      <c r="K238" s="168" t="n"/>
      <c r="L238" s="172" t="n"/>
      <c r="M238" s="182" t="n"/>
      <c r="N238" s="163" t="n"/>
      <c r="O238" s="163" t="n"/>
      <c r="P238" s="163" t="n">
        <v>-30000</v>
      </c>
      <c r="Q238" s="163" t="n"/>
      <c r="R238" s="163" t="n"/>
      <c r="S238" s="182" t="n"/>
      <c r="T238" s="182" t="n"/>
      <c r="U238" s="182" t="n"/>
      <c r="V238" s="182" t="n"/>
      <c r="W238" s="182" t="n"/>
      <c r="X238" s="182" t="n"/>
      <c r="Y238" s="182" t="n"/>
      <c r="Z238" s="182" t="n"/>
      <c r="AA238" s="170" t="n"/>
      <c r="AB238" s="164" t="n"/>
      <c r="AC238" s="164" t="n"/>
      <c r="AD238" s="164" t="n"/>
      <c r="AE238" s="164" t="n"/>
      <c r="AF238" s="164" t="n"/>
      <c r="AG238" s="164" t="n"/>
      <c r="AH238" s="164" t="n"/>
      <c r="AI238" s="164" t="n"/>
      <c r="AJ238" s="164" t="n"/>
      <c r="AK238" s="164" t="n"/>
      <c r="AL238" s="96" t="n"/>
    </row>
    <row r="239">
      <c r="A239" s="27" t="n"/>
      <c r="B239" s="27" t="inlineStr">
        <is>
          <t>无客商-支付金辩所被诉案件律师费</t>
        </is>
      </c>
      <c r="C239" s="27" t="n">
        <v/>
      </c>
      <c r="D239" s="32" t="n"/>
      <c r="E239" s="47" t="n"/>
      <c r="F239" s="47" t="n"/>
      <c r="G239" s="47" t="n"/>
      <c r="H239" s="182" t="n"/>
      <c r="I239" s="163" t="n"/>
      <c r="J239" s="182" t="n"/>
      <c r="K239" s="168" t="n"/>
      <c r="L239" s="172" t="n"/>
      <c r="M239" s="182" t="n"/>
      <c r="N239" s="163" t="n"/>
      <c r="O239" s="163" t="n"/>
      <c r="P239" s="163" t="n">
        <v>9905.66</v>
      </c>
      <c r="Q239" s="163" t="n"/>
      <c r="R239" s="163" t="n"/>
      <c r="S239" s="182" t="n"/>
      <c r="T239" s="182" t="n"/>
      <c r="U239" s="182" t="n"/>
      <c r="V239" s="182" t="n"/>
      <c r="W239" s="182" t="n"/>
      <c r="X239" s="182" t="n"/>
      <c r="Y239" s="182" t="n"/>
      <c r="Z239" s="182" t="n"/>
      <c r="AA239" s="170" t="n"/>
      <c r="AB239" s="164" t="n"/>
      <c r="AC239" s="164" t="n"/>
      <c r="AD239" s="164" t="n"/>
      <c r="AE239" s="164" t="n"/>
      <c r="AF239" s="164" t="n"/>
      <c r="AG239" s="164" t="n"/>
      <c r="AH239" s="164" t="n"/>
      <c r="AI239" s="164" t="n"/>
      <c r="AJ239" s="164" t="n"/>
      <c r="AK239" s="164" t="n"/>
      <c r="AL239" s="96" t="n"/>
    </row>
    <row r="240">
      <c r="A240" s="27" t="n"/>
      <c r="B240" s="27" t="inlineStr">
        <is>
          <t>无客商-支付财务资金部陈乐报销国际注册</t>
        </is>
      </c>
      <c r="C240" s="27" t="n">
        <v/>
      </c>
      <c r="D240" s="32" t="n"/>
      <c r="E240" s="47" t="n"/>
      <c r="F240" s="47" t="n"/>
      <c r="G240" s="47" t="n"/>
      <c r="H240" s="182" t="n"/>
      <c r="I240" s="163" t="n"/>
      <c r="J240" s="182" t="n"/>
      <c r="K240" s="168" t="n"/>
      <c r="L240" s="172" t="n"/>
      <c r="M240" s="182" t="n"/>
      <c r="N240" s="163" t="n"/>
      <c r="O240" s="163" t="n"/>
      <c r="P240" s="163" t="n">
        <v>3153.79</v>
      </c>
      <c r="Q240" s="163" t="n"/>
      <c r="R240" s="163" t="n"/>
      <c r="S240" s="182" t="n"/>
      <c r="T240" s="182" t="n"/>
      <c r="U240" s="182" t="n"/>
      <c r="V240" s="182" t="n"/>
      <c r="W240" s="182" t="n"/>
      <c r="X240" s="182" t="n"/>
      <c r="Y240" s="182" t="n"/>
      <c r="Z240" s="182" t="n"/>
      <c r="AA240" s="170" t="n"/>
      <c r="AB240" s="164" t="n"/>
      <c r="AC240" s="164" t="n"/>
      <c r="AD240" s="164" t="n"/>
      <c r="AE240" s="164" t="n"/>
      <c r="AF240" s="164" t="n"/>
      <c r="AG240" s="164" t="n"/>
      <c r="AH240" s="164" t="n"/>
      <c r="AI240" s="164" t="n"/>
      <c r="AJ240" s="164" t="n"/>
      <c r="AK240" s="164" t="n"/>
      <c r="AL240" s="96" t="n"/>
    </row>
    <row r="241">
      <c r="A241" s="27" t="n"/>
      <c r="B241" s="27" t="inlineStr">
        <is>
          <t>无客商-支付汤项目九年一贯制学校熊峰报</t>
        </is>
      </c>
      <c r="C241" s="27" t="n">
        <v/>
      </c>
      <c r="D241" s="32" t="n"/>
      <c r="E241" s="47" t="n"/>
      <c r="F241" s="47" t="n"/>
      <c r="G241" s="47" t="n"/>
      <c r="H241" s="182" t="n"/>
      <c r="I241" s="163" t="n"/>
      <c r="J241" s="182" t="n"/>
      <c r="K241" s="168" t="n"/>
      <c r="L241" s="172" t="n"/>
      <c r="M241" s="182" t="n"/>
      <c r="N241" s="163" t="n"/>
      <c r="O241" s="163" t="n"/>
      <c r="P241" s="163" t="n">
        <v>1487.26</v>
      </c>
      <c r="Q241" s="163" t="n"/>
      <c r="R241" s="163" t="n"/>
      <c r="S241" s="182" t="n"/>
      <c r="T241" s="182" t="n"/>
      <c r="U241" s="182" t="n"/>
      <c r="V241" s="182" t="n"/>
      <c r="W241" s="182" t="n"/>
      <c r="X241" s="182" t="n"/>
      <c r="Y241" s="182" t="n"/>
      <c r="Z241" s="182" t="n"/>
      <c r="AA241" s="170" t="n"/>
      <c r="AB241" s="164" t="n"/>
      <c r="AC241" s="164" t="n"/>
      <c r="AD241" s="164" t="n"/>
      <c r="AE241" s="164" t="n"/>
      <c r="AF241" s="164" t="n"/>
      <c r="AG241" s="164" t="n"/>
      <c r="AH241" s="164" t="n"/>
      <c r="AI241" s="164" t="n"/>
      <c r="AJ241" s="164" t="n"/>
      <c r="AK241" s="164" t="n"/>
      <c r="AL241" s="96" t="n"/>
    </row>
    <row r="242">
      <c r="A242" s="27" t="n"/>
      <c r="B242" s="27" t="inlineStr">
        <is>
          <t>无客商-支付汤村项目广州富莱盛家具有限</t>
        </is>
      </c>
      <c r="C242" s="27" t="n">
        <v/>
      </c>
      <c r="D242" s="32" t="n"/>
      <c r="E242" s="47" t="n"/>
      <c r="F242" s="47" t="n"/>
      <c r="G242" s="47" t="n"/>
      <c r="H242" s="182" t="n"/>
      <c r="I242" s="163" t="n"/>
      <c r="J242" s="182" t="n"/>
      <c r="K242" s="168" t="n"/>
      <c r="L242" s="172" t="n"/>
      <c r="M242" s="182" t="n"/>
      <c r="N242" s="163" t="n"/>
      <c r="O242" s="163" t="n"/>
      <c r="P242" s="163" t="n">
        <v>53761.06</v>
      </c>
      <c r="Q242" s="163" t="n"/>
      <c r="R242" s="163" t="n"/>
      <c r="S242" s="182" t="n"/>
      <c r="T242" s="182" t="n"/>
      <c r="U242" s="182" t="n"/>
      <c r="V242" s="182" t="n"/>
      <c r="W242" s="182" t="n"/>
      <c r="X242" s="182" t="n"/>
      <c r="Y242" s="182" t="n"/>
      <c r="Z242" s="182" t="n"/>
      <c r="AA242" s="170" t="n"/>
      <c r="AB242" s="164" t="n"/>
      <c r="AC242" s="164" t="n"/>
      <c r="AD242" s="164" t="n"/>
      <c r="AE242" s="164" t="n"/>
      <c r="AF242" s="164" t="n"/>
      <c r="AG242" s="164" t="n"/>
      <c r="AH242" s="164" t="n"/>
      <c r="AI242" s="164" t="n"/>
      <c r="AJ242" s="164" t="n"/>
      <c r="AK242" s="164" t="n"/>
      <c r="AL242" s="96" t="n"/>
    </row>
    <row r="243">
      <c r="A243" s="27" t="n"/>
      <c r="B243" s="27" t="inlineStr">
        <is>
          <t>无客商-支付汤村项目复建地块一李建民差</t>
        </is>
      </c>
      <c r="C243" s="27" t="n">
        <v/>
      </c>
      <c r="D243" s="32" t="n"/>
      <c r="E243" s="47" t="n"/>
      <c r="F243" s="47" t="n"/>
      <c r="G243" s="47" t="n"/>
      <c r="H243" s="182" t="n"/>
      <c r="I243" s="163" t="n"/>
      <c r="J243" s="182" t="n"/>
      <c r="K243" s="168" t="n"/>
      <c r="L243" s="172" t="n"/>
      <c r="M243" s="182" t="n"/>
      <c r="N243" s="163" t="n"/>
      <c r="O243" s="163" t="n"/>
      <c r="P243" s="163" t="n">
        <v>1096.58</v>
      </c>
      <c r="Q243" s="163" t="n"/>
      <c r="R243" s="163" t="n"/>
      <c r="S243" s="182" t="n"/>
      <c r="T243" s="182" t="n"/>
      <c r="U243" s="182" t="n"/>
      <c r="V243" s="182" t="n"/>
      <c r="W243" s="182" t="n"/>
      <c r="X243" s="182" t="n"/>
      <c r="Y243" s="182" t="n"/>
      <c r="Z243" s="182" t="n"/>
      <c r="AA243" s="170" t="n"/>
      <c r="AB243" s="164" t="n"/>
      <c r="AC243" s="164" t="n"/>
      <c r="AD243" s="164" t="n"/>
      <c r="AE243" s="164" t="n"/>
      <c r="AF243" s="164" t="n"/>
      <c r="AG243" s="164" t="n"/>
      <c r="AH243" s="164" t="n"/>
      <c r="AI243" s="164" t="n"/>
      <c r="AJ243" s="164" t="n"/>
      <c r="AK243" s="164" t="n"/>
      <c r="AL243" s="96" t="n"/>
    </row>
    <row r="244">
      <c r="A244" s="27" t="n"/>
      <c r="B244" s="27" t="inlineStr">
        <is>
          <t>无客商-支付汤村项目复建地块一报销项目</t>
        </is>
      </c>
      <c r="C244" s="27" t="n">
        <v/>
      </c>
      <c r="D244" s="32" t="n"/>
      <c r="E244" s="47" t="n"/>
      <c r="F244" s="47" t="n"/>
      <c r="G244" s="47" t="n"/>
      <c r="H244" s="182" t="n"/>
      <c r="I244" s="163" t="n"/>
      <c r="J244" s="182" t="n"/>
      <c r="K244" s="168" t="n"/>
      <c r="L244" s="172" t="n"/>
      <c r="M244" s="182" t="n"/>
      <c r="N244" s="163" t="n"/>
      <c r="O244" s="163" t="n"/>
      <c r="P244" s="163" t="n">
        <v>3558.59</v>
      </c>
      <c r="Q244" s="163" t="n"/>
      <c r="R244" s="163" t="n"/>
      <c r="S244" s="182" t="n"/>
      <c r="T244" s="182" t="n"/>
      <c r="U244" s="182" t="n"/>
      <c r="V244" s="182" t="n"/>
      <c r="W244" s="182" t="n"/>
      <c r="X244" s="182" t="n"/>
      <c r="Y244" s="182" t="n"/>
      <c r="Z244" s="182" t="n"/>
      <c r="AA244" s="170" t="n"/>
      <c r="AB244" s="164" t="n"/>
      <c r="AC244" s="164" t="n"/>
      <c r="AD244" s="164" t="n"/>
      <c r="AE244" s="164" t="n"/>
      <c r="AF244" s="164" t="n"/>
      <c r="AG244" s="164" t="n"/>
      <c r="AH244" s="164" t="n"/>
      <c r="AI244" s="164" t="n"/>
      <c r="AJ244" s="164" t="n"/>
      <c r="AK244" s="164" t="n"/>
      <c r="AL244" s="96" t="n"/>
    </row>
    <row r="245">
      <c r="A245" s="27" t="n"/>
      <c r="B245" s="27" t="inlineStr">
        <is>
          <t>无客商-支付汤村项目复建地块一报材料部</t>
        </is>
      </c>
      <c r="C245" s="27" t="n">
        <v/>
      </c>
      <c r="D245" s="32" t="n"/>
      <c r="E245" s="47" t="n"/>
      <c r="F245" s="47" t="n"/>
      <c r="G245" s="47" t="n"/>
      <c r="H245" s="182" t="n"/>
      <c r="I245" s="163" t="n"/>
      <c r="J245" s="182" t="n"/>
      <c r="K245" s="168" t="n"/>
      <c r="L245" s="172" t="n"/>
      <c r="M245" s="182" t="n"/>
      <c r="N245" s="163" t="n"/>
      <c r="O245" s="163" t="n"/>
      <c r="P245" s="163" t="n">
        <v>1900.99</v>
      </c>
      <c r="Q245" s="163" t="n"/>
      <c r="R245" s="163" t="n"/>
      <c r="S245" s="182" t="n"/>
      <c r="T245" s="182" t="n"/>
      <c r="U245" s="182" t="n"/>
      <c r="V245" s="182" t="n"/>
      <c r="W245" s="182" t="n"/>
      <c r="X245" s="182" t="n"/>
      <c r="Y245" s="182" t="n"/>
      <c r="Z245" s="182" t="n"/>
      <c r="AA245" s="170" t="n"/>
      <c r="AB245" s="164" t="n"/>
      <c r="AC245" s="164" t="n"/>
      <c r="AD245" s="164" t="n"/>
      <c r="AE245" s="164" t="n"/>
      <c r="AF245" s="164" t="n"/>
      <c r="AG245" s="164" t="n"/>
      <c r="AH245" s="164" t="n"/>
      <c r="AI245" s="164" t="n"/>
      <c r="AJ245" s="164" t="n"/>
      <c r="AK245" s="164" t="n"/>
      <c r="AL245" s="96" t="n"/>
    </row>
    <row r="246">
      <c r="A246" s="27" t="n"/>
      <c r="B246" s="27" t="inlineStr">
        <is>
          <t>无客商-支付汤村项目复建区1号地块项目</t>
        </is>
      </c>
      <c r="C246" s="27" t="n">
        <v/>
      </c>
      <c r="D246" s="32" t="n"/>
      <c r="E246" s="47" t="n"/>
      <c r="F246" s="47" t="n"/>
      <c r="G246" s="47" t="n"/>
      <c r="H246" s="182" t="n"/>
      <c r="I246" s="163" t="n"/>
      <c r="J246" s="182" t="n"/>
      <c r="K246" s="168" t="n"/>
      <c r="L246" s="172" t="n"/>
      <c r="M246" s="182" t="n"/>
      <c r="N246" s="163" t="n"/>
      <c r="O246" s="163" t="n"/>
      <c r="P246" s="163" t="n">
        <v>962.12</v>
      </c>
      <c r="Q246" s="163" t="n"/>
      <c r="R246" s="163" t="n"/>
      <c r="S246" s="182" t="n"/>
      <c r="T246" s="182" t="n"/>
      <c r="U246" s="182" t="n"/>
      <c r="V246" s="182" t="n"/>
      <c r="W246" s="182" t="n"/>
      <c r="X246" s="182" t="n"/>
      <c r="Y246" s="182" t="n"/>
      <c r="Z246" s="182" t="n"/>
      <c r="AA246" s="170" t="n"/>
      <c r="AB246" s="164" t="n"/>
      <c r="AC246" s="164" t="n"/>
      <c r="AD246" s="164" t="n"/>
      <c r="AE246" s="164" t="n"/>
      <c r="AF246" s="164" t="n"/>
      <c r="AG246" s="164" t="n"/>
      <c r="AH246" s="164" t="n"/>
      <c r="AI246" s="164" t="n"/>
      <c r="AJ246" s="164" t="n"/>
      <c r="AK246" s="164" t="n"/>
      <c r="AL246" s="96" t="n"/>
    </row>
    <row r="247">
      <c r="A247" s="27" t="n"/>
      <c r="B247" s="27" t="inlineStr">
        <is>
          <t>无客商-支付汤村项目复建区1号地块陈泽</t>
        </is>
      </c>
      <c r="C247" s="27" t="n">
        <v/>
      </c>
      <c r="D247" s="32" t="n"/>
      <c r="E247" s="47" t="n"/>
      <c r="F247" s="47" t="n"/>
      <c r="G247" s="47" t="n"/>
      <c r="H247" s="182" t="n"/>
      <c r="I247" s="163" t="n"/>
      <c r="J247" s="182" t="n"/>
      <c r="K247" s="168" t="n"/>
      <c r="L247" s="172" t="n"/>
      <c r="M247" s="182" t="n"/>
      <c r="N247" s="163" t="n"/>
      <c r="O247" s="163" t="n"/>
      <c r="P247" s="163" t="n">
        <v>3610.26</v>
      </c>
      <c r="Q247" s="163" t="n"/>
      <c r="R247" s="163" t="n"/>
      <c r="S247" s="182" t="n"/>
      <c r="T247" s="182" t="n"/>
      <c r="U247" s="182" t="n"/>
      <c r="V247" s="182" t="n"/>
      <c r="W247" s="182" t="n"/>
      <c r="X247" s="182" t="n"/>
      <c r="Y247" s="182" t="n"/>
      <c r="Z247" s="182" t="n"/>
      <c r="AA247" s="170" t="n"/>
      <c r="AB247" s="164" t="n"/>
      <c r="AC247" s="164" t="n"/>
      <c r="AD247" s="164" t="n"/>
      <c r="AE247" s="164" t="n"/>
      <c r="AF247" s="164" t="n"/>
      <c r="AG247" s="164" t="n"/>
      <c r="AH247" s="164" t="n"/>
      <c r="AI247" s="164" t="n"/>
      <c r="AJ247" s="164" t="n"/>
      <c r="AK247" s="164" t="n"/>
      <c r="AL247" s="96" t="n"/>
    </row>
    <row r="248">
      <c r="A248" s="27" t="n"/>
      <c r="B248" s="27" t="inlineStr">
        <is>
          <t>无客商-支付汤村项目复建区1号地块熊峰</t>
        </is>
      </c>
      <c r="C248" s="27" t="n">
        <v/>
      </c>
      <c r="D248" s="32" t="n"/>
      <c r="E248" s="47" t="n"/>
      <c r="F248" s="47" t="n"/>
      <c r="G248" s="47" t="n"/>
      <c r="H248" s="182" t="n"/>
      <c r="I248" s="163" t="n"/>
      <c r="J248" s="182" t="n"/>
      <c r="K248" s="168" t="n"/>
      <c r="L248" s="172" t="n"/>
      <c r="M248" s="182" t="n"/>
      <c r="N248" s="163" t="n"/>
      <c r="O248" s="163" t="n"/>
      <c r="P248" s="163" t="n">
        <v>87201.42</v>
      </c>
      <c r="Q248" s="163" t="n"/>
      <c r="R248" s="163" t="n"/>
      <c r="S248" s="182" t="n"/>
      <c r="T248" s="182" t="n"/>
      <c r="U248" s="182" t="n"/>
      <c r="V248" s="182" t="n"/>
      <c r="W248" s="182" t="n"/>
      <c r="X248" s="182" t="n"/>
      <c r="Y248" s="182" t="n"/>
      <c r="Z248" s="182" t="n"/>
      <c r="AA248" s="170" t="n"/>
      <c r="AB248" s="164" t="n"/>
      <c r="AC248" s="164" t="n"/>
      <c r="AD248" s="164" t="n"/>
      <c r="AE248" s="164" t="n"/>
      <c r="AF248" s="164" t="n"/>
      <c r="AG248" s="164" t="n"/>
      <c r="AH248" s="164" t="n"/>
      <c r="AI248" s="164" t="n"/>
      <c r="AJ248" s="164" t="n"/>
      <c r="AK248" s="164" t="n"/>
      <c r="AL248" s="96" t="n"/>
    </row>
    <row r="249">
      <c r="A249" s="27" t="n"/>
      <c r="B249" s="27" t="inlineStr">
        <is>
          <t>无客商-支付汤村项目复建区1号地块汤燕</t>
        </is>
      </c>
      <c r="C249" s="27" t="n">
        <v/>
      </c>
      <c r="D249" s="32" t="n"/>
      <c r="E249" s="47" t="n"/>
      <c r="F249" s="47" t="n"/>
      <c r="G249" s="47" t="n"/>
      <c r="H249" s="182" t="n"/>
      <c r="I249" s="163" t="n"/>
      <c r="J249" s="182" t="n"/>
      <c r="K249" s="168" t="n"/>
      <c r="L249" s="172" t="n"/>
      <c r="M249" s="182" t="n"/>
      <c r="N249" s="163" t="n"/>
      <c r="O249" s="163" t="n"/>
      <c r="P249" s="163" t="n">
        <v>82468.42</v>
      </c>
      <c r="Q249" s="163" t="n"/>
      <c r="R249" s="163" t="n"/>
      <c r="S249" s="182" t="n"/>
      <c r="T249" s="182" t="n"/>
      <c r="U249" s="182" t="n"/>
      <c r="V249" s="182" t="n"/>
      <c r="W249" s="182" t="n"/>
      <c r="X249" s="182" t="n"/>
      <c r="Y249" s="182" t="n"/>
      <c r="Z249" s="182" t="n"/>
      <c r="AA249" s="170" t="n"/>
      <c r="AB249" s="164" t="n"/>
      <c r="AC249" s="164" t="n"/>
      <c r="AD249" s="164" t="n"/>
      <c r="AE249" s="164" t="n"/>
      <c r="AF249" s="164" t="n"/>
      <c r="AG249" s="164" t="n"/>
      <c r="AH249" s="164" t="n"/>
      <c r="AI249" s="164" t="n"/>
      <c r="AJ249" s="164" t="n"/>
      <c r="AK249" s="164" t="n"/>
      <c r="AL249" s="96" t="n"/>
    </row>
    <row r="250">
      <c r="A250" s="27" t="n"/>
      <c r="B250" s="27" t="inlineStr">
        <is>
          <t>无客商-支付汤村项目复建区1号地块林桂</t>
        </is>
      </c>
      <c r="C250" s="27" t="n">
        <v/>
      </c>
      <c r="D250" s="32" t="n"/>
      <c r="E250" s="47" t="n"/>
      <c r="F250" s="47" t="n"/>
      <c r="G250" s="47" t="n"/>
      <c r="H250" s="182" t="n"/>
      <c r="I250" s="163" t="n"/>
      <c r="J250" s="182" t="n"/>
      <c r="K250" s="168" t="n"/>
      <c r="L250" s="172" t="n"/>
      <c r="M250" s="182" t="n"/>
      <c r="N250" s="163" t="n"/>
      <c r="O250" s="163" t="n"/>
      <c r="P250" s="163" t="n">
        <v>754.72</v>
      </c>
      <c r="Q250" s="163" t="n"/>
      <c r="R250" s="163" t="n"/>
      <c r="S250" s="182" t="n"/>
      <c r="T250" s="182" t="n"/>
      <c r="U250" s="182" t="n"/>
      <c r="V250" s="182" t="n"/>
      <c r="W250" s="182" t="n"/>
      <c r="X250" s="182" t="n"/>
      <c r="Y250" s="182" t="n"/>
      <c r="Z250" s="182" t="n"/>
      <c r="AA250" s="170" t="n"/>
      <c r="AB250" s="164" t="n"/>
      <c r="AC250" s="164" t="n"/>
      <c r="AD250" s="164" t="n"/>
      <c r="AE250" s="164" t="n"/>
      <c r="AF250" s="164" t="n"/>
      <c r="AG250" s="164" t="n"/>
      <c r="AH250" s="164" t="n"/>
      <c r="AI250" s="164" t="n"/>
      <c r="AJ250" s="164" t="n"/>
      <c r="AK250" s="164" t="n"/>
      <c r="AL250" s="96" t="n"/>
    </row>
    <row r="251">
      <c r="A251" s="27" t="n"/>
      <c r="B251" s="27" t="inlineStr">
        <is>
          <t>无客商-支付汤村项目复建区1号地块徐小</t>
        </is>
      </c>
      <c r="C251" s="27" t="n">
        <v/>
      </c>
      <c r="D251" s="32" t="n"/>
      <c r="E251" s="47" t="n"/>
      <c r="F251" s="47" t="n"/>
      <c r="G251" s="47" t="n"/>
      <c r="H251" s="182" t="n"/>
      <c r="I251" s="163" t="n"/>
      <c r="J251" s="182" t="n"/>
      <c r="K251" s="168" t="n"/>
      <c r="L251" s="172" t="n"/>
      <c r="M251" s="182" t="n"/>
      <c r="N251" s="163" t="n"/>
      <c r="O251" s="163" t="n"/>
      <c r="P251" s="163" t="n">
        <v>2668</v>
      </c>
      <c r="Q251" s="163" t="n"/>
      <c r="R251" s="163" t="n"/>
      <c r="S251" s="182" t="n"/>
      <c r="T251" s="182" t="n"/>
      <c r="U251" s="182" t="n"/>
      <c r="V251" s="182" t="n"/>
      <c r="W251" s="182" t="n"/>
      <c r="X251" s="182" t="n"/>
      <c r="Y251" s="182" t="n"/>
      <c r="Z251" s="182" t="n"/>
      <c r="AA251" s="170" t="n"/>
      <c r="AB251" s="164" t="n"/>
      <c r="AC251" s="164" t="n"/>
      <c r="AD251" s="164" t="n"/>
      <c r="AE251" s="164" t="n"/>
      <c r="AF251" s="164" t="n"/>
      <c r="AG251" s="164" t="n"/>
      <c r="AH251" s="164" t="n"/>
      <c r="AI251" s="164" t="n"/>
      <c r="AJ251" s="164" t="n"/>
      <c r="AK251" s="164" t="n"/>
      <c r="AL251" s="96" t="n"/>
    </row>
    <row r="252">
      <c r="A252" s="27" t="n"/>
      <c r="B252" s="27" t="inlineStr">
        <is>
          <t>无客商-支付汤村项目复建区1号地块广州</t>
        </is>
      </c>
      <c r="C252" s="27" t="n">
        <v/>
      </c>
      <c r="D252" s="32" t="n"/>
      <c r="E252" s="47" t="n"/>
      <c r="F252" s="47" t="n"/>
      <c r="G252" s="47" t="n"/>
      <c r="H252" s="182" t="n"/>
      <c r="I252" s="163" t="n"/>
      <c r="J252" s="182" t="n"/>
      <c r="K252" s="168" t="n"/>
      <c r="L252" s="172" t="n"/>
      <c r="M252" s="182" t="n"/>
      <c r="N252" s="163" t="n"/>
      <c r="O252" s="163" t="n"/>
      <c r="P252" s="163" t="n">
        <v>8274.33</v>
      </c>
      <c r="Q252" s="163" t="n"/>
      <c r="R252" s="163" t="n"/>
      <c r="S252" s="182" t="n"/>
      <c r="T252" s="182" t="n"/>
      <c r="U252" s="182" t="n"/>
      <c r="V252" s="182" t="n"/>
      <c r="W252" s="182" t="n"/>
      <c r="X252" s="182" t="n"/>
      <c r="Y252" s="182" t="n"/>
      <c r="Z252" s="182" t="n"/>
      <c r="AA252" s="170" t="n"/>
      <c r="AB252" s="164" t="n"/>
      <c r="AC252" s="164" t="n"/>
      <c r="AD252" s="164" t="n"/>
      <c r="AE252" s="164" t="n"/>
      <c r="AF252" s="164" t="n"/>
      <c r="AG252" s="164" t="n"/>
      <c r="AH252" s="164" t="n"/>
      <c r="AI252" s="164" t="n"/>
      <c r="AJ252" s="164" t="n"/>
      <c r="AK252" s="164" t="n"/>
      <c r="AL252" s="96" t="n"/>
    </row>
    <row r="253">
      <c r="A253" s="27" t="n"/>
      <c r="B253" s="27" t="inlineStr">
        <is>
          <t>无客商-支付汤村项目专利代理费</t>
        </is>
      </c>
      <c r="C253" s="27" t="n">
        <v/>
      </c>
      <c r="D253" s="32" t="n"/>
      <c r="E253" s="47" t="n"/>
      <c r="F253" s="47" t="n"/>
      <c r="G253" s="47" t="n"/>
      <c r="H253" s="182" t="n"/>
      <c r="I253" s="163" t="n"/>
      <c r="J253" s="182" t="n"/>
      <c r="K253" s="168" t="n"/>
      <c r="L253" s="172" t="n"/>
      <c r="M253" s="182" t="n"/>
      <c r="N253" s="163" t="n"/>
      <c r="O253" s="163" t="n"/>
      <c r="P253" s="163" t="n">
        <v>1294.34</v>
      </c>
      <c r="Q253" s="163" t="n"/>
      <c r="R253" s="163" t="n"/>
      <c r="S253" s="182" t="n"/>
      <c r="T253" s="182" t="n"/>
      <c r="U253" s="182" t="n"/>
      <c r="V253" s="182" t="n"/>
      <c r="W253" s="182" t="n"/>
      <c r="X253" s="182" t="n"/>
      <c r="Y253" s="182" t="n"/>
      <c r="Z253" s="182" t="n"/>
      <c r="AA253" s="170" t="n"/>
      <c r="AB253" s="164" t="n"/>
      <c r="AC253" s="164" t="n"/>
      <c r="AD253" s="164" t="n"/>
      <c r="AE253" s="164" t="n"/>
      <c r="AF253" s="164" t="n"/>
      <c r="AG253" s="164" t="n"/>
      <c r="AH253" s="164" t="n"/>
      <c r="AI253" s="164" t="n"/>
      <c r="AJ253" s="164" t="n"/>
      <c r="AK253" s="164" t="n"/>
      <c r="AL253" s="96" t="n"/>
    </row>
    <row r="254">
      <c r="A254" s="27" t="n"/>
      <c r="B254" s="27" t="inlineStr">
        <is>
          <t>无客商-支付汤村旧村改造复建区1号地块</t>
        </is>
      </c>
      <c r="C254" s="27" t="n">
        <v/>
      </c>
      <c r="D254" s="32" t="n"/>
      <c r="E254" s="47" t="n"/>
      <c r="F254" s="47" t="n"/>
      <c r="G254" s="47" t="n"/>
      <c r="H254" s="182" t="n"/>
      <c r="I254" s="163" t="n"/>
      <c r="J254" s="182" t="n"/>
      <c r="K254" s="168" t="n"/>
      <c r="L254" s="172" t="n"/>
      <c r="M254" s="182" t="n"/>
      <c r="N254" s="163" t="n"/>
      <c r="O254" s="163" t="n"/>
      <c r="P254" s="163" t="n">
        <v>9730.379999999999</v>
      </c>
      <c r="Q254" s="163" t="n"/>
      <c r="R254" s="163" t="n"/>
      <c r="S254" s="182" t="n"/>
      <c r="T254" s="182" t="n"/>
      <c r="U254" s="182" t="n"/>
      <c r="V254" s="182" t="n"/>
      <c r="W254" s="182" t="n"/>
      <c r="X254" s="182" t="n"/>
      <c r="Y254" s="182" t="n"/>
      <c r="Z254" s="182" t="n"/>
      <c r="AA254" s="170" t="n"/>
      <c r="AB254" s="164" t="n"/>
      <c r="AC254" s="164" t="n"/>
      <c r="AD254" s="164" t="n"/>
      <c r="AE254" s="164" t="n"/>
      <c r="AF254" s="164" t="n"/>
      <c r="AG254" s="164" t="n"/>
      <c r="AH254" s="164" t="n"/>
      <c r="AI254" s="164" t="n"/>
      <c r="AJ254" s="164" t="n"/>
      <c r="AK254" s="164" t="n"/>
      <c r="AL254" s="96" t="n"/>
    </row>
    <row r="255">
      <c r="A255" s="27" t="n"/>
      <c r="B255" s="27" t="inlineStr">
        <is>
          <t>无客商-支付汤村旧改项目复建地块一项目</t>
        </is>
      </c>
      <c r="C255" s="27" t="n">
        <v/>
      </c>
      <c r="D255" s="32" t="n"/>
      <c r="E255" s="47" t="n"/>
      <c r="F255" s="47" t="n"/>
      <c r="G255" s="47" t="n"/>
      <c r="H255" s="182" t="n"/>
      <c r="I255" s="163" t="n"/>
      <c r="J255" s="182" t="n"/>
      <c r="K255" s="168" t="n"/>
      <c r="L255" s="172" t="n"/>
      <c r="M255" s="182" t="n"/>
      <c r="N255" s="163" t="n"/>
      <c r="O255" s="163" t="n"/>
      <c r="P255" s="163" t="n">
        <v>14610</v>
      </c>
      <c r="Q255" s="163" t="n"/>
      <c r="R255" s="163" t="n"/>
      <c r="S255" s="182" t="n"/>
      <c r="T255" s="182" t="n"/>
      <c r="U255" s="182" t="n"/>
      <c r="V255" s="182" t="n"/>
      <c r="W255" s="182" t="n"/>
      <c r="X255" s="182" t="n"/>
      <c r="Y255" s="182" t="n"/>
      <c r="Z255" s="182" t="n"/>
      <c r="AA255" s="170" t="n"/>
      <c r="AB255" s="164" t="n"/>
      <c r="AC255" s="164" t="n"/>
      <c r="AD255" s="164" t="n"/>
      <c r="AE255" s="164" t="n"/>
      <c r="AF255" s="164" t="n"/>
      <c r="AG255" s="164" t="n"/>
      <c r="AH255" s="164" t="n"/>
      <c r="AI255" s="164" t="n"/>
      <c r="AJ255" s="164" t="n"/>
      <c r="AK255" s="164" t="n"/>
      <c r="AL255" s="96" t="n"/>
    </row>
    <row r="256">
      <c r="A256" s="27" t="n"/>
      <c r="B256" s="27" t="inlineStr">
        <is>
          <t>无客商-支付汤村旧改复建区1号地块项目</t>
        </is>
      </c>
      <c r="C256" s="27" t="n">
        <v/>
      </c>
      <c r="D256" s="32" t="n"/>
      <c r="E256" s="47" t="n"/>
      <c r="F256" s="47" t="n"/>
      <c r="G256" s="47" t="n"/>
      <c r="H256" s="182" t="n"/>
      <c r="I256" s="163" t="n"/>
      <c r="J256" s="182" t="n"/>
      <c r="K256" s="168" t="n"/>
      <c r="L256" s="172" t="n"/>
      <c r="M256" s="182" t="n"/>
      <c r="N256" s="163" t="n"/>
      <c r="O256" s="163" t="n"/>
      <c r="P256" s="163" t="n">
        <v>14955.74</v>
      </c>
      <c r="Q256" s="163" t="n"/>
      <c r="R256" s="163" t="n"/>
      <c r="S256" s="182" t="n"/>
      <c r="T256" s="182" t="n"/>
      <c r="U256" s="182" t="n"/>
      <c r="V256" s="182" t="n"/>
      <c r="W256" s="182" t="n"/>
      <c r="X256" s="182" t="n"/>
      <c r="Y256" s="182" t="n"/>
      <c r="Z256" s="182" t="n"/>
      <c r="AA256" s="170" t="n"/>
      <c r="AB256" s="164" t="n"/>
      <c r="AC256" s="164" t="n"/>
      <c r="AD256" s="164" t="n"/>
      <c r="AE256" s="164" t="n"/>
      <c r="AF256" s="164" t="n"/>
      <c r="AG256" s="164" t="n"/>
      <c r="AH256" s="164" t="n"/>
      <c r="AI256" s="164" t="n"/>
      <c r="AJ256" s="164" t="n"/>
      <c r="AK256" s="164" t="n"/>
      <c r="AL256" s="96" t="n"/>
    </row>
    <row r="257">
      <c r="A257" s="27" t="n"/>
      <c r="B257" s="27" t="inlineStr">
        <is>
          <t>无客商-支付汤村旧改复建区1号地块广州</t>
        </is>
      </c>
      <c r="C257" s="27" t="n">
        <v/>
      </c>
      <c r="D257" s="32" t="n"/>
      <c r="E257" s="47" t="n"/>
      <c r="F257" s="47" t="n"/>
      <c r="G257" s="47" t="n"/>
      <c r="H257" s="182" t="n"/>
      <c r="I257" s="163" t="n"/>
      <c r="J257" s="182" t="n"/>
      <c r="K257" s="168" t="n"/>
      <c r="L257" s="172" t="n"/>
      <c r="M257" s="182" t="n"/>
      <c r="N257" s="163" t="n"/>
      <c r="O257" s="163" t="n"/>
      <c r="P257" s="163" t="n">
        <v>18893.82</v>
      </c>
      <c r="Q257" s="163" t="n"/>
      <c r="R257" s="163" t="n"/>
      <c r="S257" s="182" t="n"/>
      <c r="T257" s="182" t="n"/>
      <c r="U257" s="182" t="n"/>
      <c r="V257" s="182" t="n"/>
      <c r="W257" s="182" t="n"/>
      <c r="X257" s="182" t="n"/>
      <c r="Y257" s="182" t="n"/>
      <c r="Z257" s="182" t="n"/>
      <c r="AA257" s="170" t="n"/>
      <c r="AB257" s="164" t="n"/>
      <c r="AC257" s="164" t="n"/>
      <c r="AD257" s="164" t="n"/>
      <c r="AE257" s="164" t="n"/>
      <c r="AF257" s="164" t="n"/>
      <c r="AG257" s="164" t="n"/>
      <c r="AH257" s="164" t="n"/>
      <c r="AI257" s="164" t="n"/>
      <c r="AJ257" s="164" t="n"/>
      <c r="AK257" s="164" t="n"/>
      <c r="AL257" s="96" t="n"/>
    </row>
    <row r="258">
      <c r="A258" s="27" t="n"/>
      <c r="B258" s="27" t="inlineStr">
        <is>
          <t>无客商-支付汤村旧改复建1号地块广州富</t>
        </is>
      </c>
      <c r="C258" s="27" t="n">
        <v/>
      </c>
      <c r="D258" s="32" t="n"/>
      <c r="E258" s="47" t="n"/>
      <c r="F258" s="47" t="n"/>
      <c r="G258" s="47" t="n"/>
      <c r="H258" s="182" t="n"/>
      <c r="I258" s="163" t="n"/>
      <c r="J258" s="182" t="n"/>
      <c r="K258" s="168" t="n"/>
      <c r="L258" s="172" t="n"/>
      <c r="M258" s="182" t="n"/>
      <c r="N258" s="163" t="n"/>
      <c r="O258" s="163" t="n"/>
      <c r="P258" s="163" t="n">
        <v>190367.25</v>
      </c>
      <c r="Q258" s="163" t="n"/>
      <c r="R258" s="163" t="n"/>
      <c r="S258" s="182" t="n"/>
      <c r="T258" s="182" t="n"/>
      <c r="U258" s="182" t="n"/>
      <c r="V258" s="182" t="n"/>
      <c r="W258" s="182" t="n"/>
      <c r="X258" s="182" t="n"/>
      <c r="Y258" s="182" t="n"/>
      <c r="Z258" s="182" t="n"/>
      <c r="AA258" s="170" t="n"/>
      <c r="AB258" s="164" t="n"/>
      <c r="AC258" s="164" t="n"/>
      <c r="AD258" s="164" t="n"/>
      <c r="AE258" s="164" t="n"/>
      <c r="AF258" s="164" t="n"/>
      <c r="AG258" s="164" t="n"/>
      <c r="AH258" s="164" t="n"/>
      <c r="AI258" s="164" t="n"/>
      <c r="AJ258" s="164" t="n"/>
      <c r="AK258" s="164" t="n"/>
      <c r="AL258" s="96" t="n"/>
    </row>
    <row r="259">
      <c r="A259" s="27" t="n"/>
      <c r="B259" s="27" t="inlineStr">
        <is>
          <t>无客商-支付汤村复建区1号项目广州市亲</t>
        </is>
      </c>
      <c r="C259" s="27" t="n">
        <v/>
      </c>
      <c r="D259" s="32" t="n"/>
      <c r="E259" s="47" t="n"/>
      <c r="F259" s="47" t="n"/>
      <c r="G259" s="47" t="n"/>
      <c r="H259" s="182" t="n"/>
      <c r="I259" s="163" t="n"/>
      <c r="J259" s="182" t="n"/>
      <c r="K259" s="168" t="n"/>
      <c r="L259" s="172" t="n"/>
      <c r="M259" s="182" t="n"/>
      <c r="N259" s="163" t="n"/>
      <c r="O259" s="163" t="n"/>
      <c r="P259" s="163" t="n">
        <v>27101.72</v>
      </c>
      <c r="Q259" s="163" t="n"/>
      <c r="R259" s="163" t="n"/>
      <c r="S259" s="182" t="n"/>
      <c r="T259" s="182" t="n"/>
      <c r="U259" s="182" t="n"/>
      <c r="V259" s="182" t="n"/>
      <c r="W259" s="182" t="n"/>
      <c r="X259" s="182" t="n"/>
      <c r="Y259" s="182" t="n"/>
      <c r="Z259" s="182" t="n"/>
      <c r="AA259" s="170" t="n"/>
      <c r="AB259" s="164" t="n"/>
      <c r="AC259" s="164" t="n"/>
      <c r="AD259" s="164" t="n"/>
      <c r="AE259" s="164" t="n"/>
      <c r="AF259" s="164" t="n"/>
      <c r="AG259" s="164" t="n"/>
      <c r="AH259" s="164" t="n"/>
      <c r="AI259" s="164" t="n"/>
      <c r="AJ259" s="164" t="n"/>
      <c r="AK259" s="164" t="n"/>
      <c r="AL259" s="96" t="n"/>
    </row>
    <row r="260">
      <c r="A260" s="27" t="n"/>
      <c r="B260" s="27" t="inlineStr">
        <is>
          <t>无客商-支付汤村复建区1号项目广东南方</t>
        </is>
      </c>
      <c r="C260" s="27" t="n">
        <v/>
      </c>
      <c r="D260" s="32" t="n"/>
      <c r="E260" s="47" t="n"/>
      <c r="F260" s="47" t="n"/>
      <c r="G260" s="47" t="n"/>
      <c r="H260" s="182" t="n"/>
      <c r="I260" s="163" t="n"/>
      <c r="J260" s="182" t="n"/>
      <c r="K260" s="168" t="n"/>
      <c r="L260" s="172" t="n"/>
      <c r="M260" s="182" t="n"/>
      <c r="N260" s="163" t="n"/>
      <c r="O260" s="163" t="n"/>
      <c r="P260" s="163" t="n">
        <v>17303.42</v>
      </c>
      <c r="Q260" s="163" t="n"/>
      <c r="R260" s="163" t="n"/>
      <c r="S260" s="182" t="n"/>
      <c r="T260" s="182" t="n"/>
      <c r="U260" s="182" t="n"/>
      <c r="V260" s="182" t="n"/>
      <c r="W260" s="182" t="n"/>
      <c r="X260" s="182" t="n"/>
      <c r="Y260" s="182" t="n"/>
      <c r="Z260" s="182" t="n"/>
      <c r="AA260" s="170" t="n"/>
      <c r="AB260" s="164" t="n"/>
      <c r="AC260" s="164" t="n"/>
      <c r="AD260" s="164" t="n"/>
      <c r="AE260" s="164" t="n"/>
      <c r="AF260" s="164" t="n"/>
      <c r="AG260" s="164" t="n"/>
      <c r="AH260" s="164" t="n"/>
      <c r="AI260" s="164" t="n"/>
      <c r="AJ260" s="164" t="n"/>
      <c r="AK260" s="164" t="n"/>
      <c r="AL260" s="96" t="n"/>
    </row>
    <row r="261">
      <c r="A261" s="27" t="n"/>
      <c r="B261" s="27" t="inlineStr">
        <is>
          <t>无客商-支付汤村复建区1号广州市亲力劳</t>
        </is>
      </c>
      <c r="C261" s="27" t="n">
        <v/>
      </c>
      <c r="D261" s="32" t="n"/>
      <c r="E261" s="47" t="n"/>
      <c r="F261" s="47" t="n"/>
      <c r="G261" s="47" t="n"/>
      <c r="H261" s="182" t="n"/>
      <c r="I261" s="163" t="n"/>
      <c r="J261" s="182" t="n"/>
      <c r="K261" s="168" t="n"/>
      <c r="L261" s="172" t="n"/>
      <c r="M261" s="182" t="n"/>
      <c r="N261" s="163" t="n"/>
      <c r="O261" s="163" t="n"/>
      <c r="P261" s="163" t="n">
        <v>341.48</v>
      </c>
      <c r="Q261" s="163" t="n"/>
      <c r="R261" s="163" t="n"/>
      <c r="S261" s="182" t="n"/>
      <c r="T261" s="182" t="n"/>
      <c r="U261" s="182" t="n"/>
      <c r="V261" s="182" t="n"/>
      <c r="W261" s="182" t="n"/>
      <c r="X261" s="182" t="n"/>
      <c r="Y261" s="182" t="n"/>
      <c r="Z261" s="182" t="n"/>
      <c r="AA261" s="170" t="n"/>
      <c r="AB261" s="164" t="n"/>
      <c r="AC261" s="164" t="n"/>
      <c r="AD261" s="164" t="n"/>
      <c r="AE261" s="164" t="n"/>
      <c r="AF261" s="164" t="n"/>
      <c r="AG261" s="164" t="n"/>
      <c r="AH261" s="164" t="n"/>
      <c r="AI261" s="164" t="n"/>
      <c r="AJ261" s="164" t="n"/>
      <c r="AK261" s="164" t="n"/>
      <c r="AL261" s="96" t="n"/>
    </row>
    <row r="262">
      <c r="A262" s="27" t="n"/>
      <c r="B262" s="27" t="inlineStr">
        <is>
          <t>无客商-支付汤村复建区1号地块项目陈正</t>
        </is>
      </c>
      <c r="C262" s="27" t="n">
        <v/>
      </c>
      <c r="D262" s="32" t="n"/>
      <c r="E262" s="47" t="n"/>
      <c r="F262" s="47" t="n"/>
      <c r="G262" s="47" t="n"/>
      <c r="H262" s="182" t="n"/>
      <c r="I262" s="163" t="n"/>
      <c r="J262" s="182" t="n"/>
      <c r="K262" s="168" t="n"/>
      <c r="L262" s="172" t="n"/>
      <c r="M262" s="182" t="n"/>
      <c r="N262" s="163" t="n"/>
      <c r="O262" s="163" t="n"/>
      <c r="P262" s="163" t="n">
        <v>2206.19</v>
      </c>
      <c r="Q262" s="163" t="n"/>
      <c r="R262" s="163" t="n"/>
      <c r="S262" s="182" t="n"/>
      <c r="T262" s="182" t="n"/>
      <c r="U262" s="182" t="n"/>
      <c r="V262" s="182" t="n"/>
      <c r="W262" s="182" t="n"/>
      <c r="X262" s="182" t="n"/>
      <c r="Y262" s="182" t="n"/>
      <c r="Z262" s="182" t="n"/>
      <c r="AA262" s="170" t="n"/>
      <c r="AB262" s="164" t="n"/>
      <c r="AC262" s="164" t="n"/>
      <c r="AD262" s="164" t="n"/>
      <c r="AE262" s="164" t="n"/>
      <c r="AF262" s="164" t="n"/>
      <c r="AG262" s="164" t="n"/>
      <c r="AH262" s="164" t="n"/>
      <c r="AI262" s="164" t="n"/>
      <c r="AJ262" s="164" t="n"/>
      <c r="AK262" s="164" t="n"/>
      <c r="AL262" s="96" t="n"/>
    </row>
    <row r="263">
      <c r="A263" s="27" t="n"/>
      <c r="B263" s="27" t="inlineStr">
        <is>
          <t>无客商-支付汤村复建区1号地块项目徐小</t>
        </is>
      </c>
      <c r="C263" s="27" t="n">
        <v/>
      </c>
      <c r="D263" s="32" t="n"/>
      <c r="E263" s="47" t="n"/>
      <c r="F263" s="47" t="n"/>
      <c r="G263" s="47" t="n"/>
      <c r="H263" s="182" t="n"/>
      <c r="I263" s="163" t="n"/>
      <c r="J263" s="182" t="n"/>
      <c r="K263" s="168" t="n"/>
      <c r="L263" s="172" t="n"/>
      <c r="M263" s="182" t="n"/>
      <c r="N263" s="163" t="n"/>
      <c r="O263" s="163" t="n"/>
      <c r="P263" s="163" t="n">
        <v>16373</v>
      </c>
      <c r="Q263" s="163" t="n"/>
      <c r="R263" s="163" t="n"/>
      <c r="S263" s="182" t="n"/>
      <c r="T263" s="182" t="n"/>
      <c r="U263" s="182" t="n"/>
      <c r="V263" s="182" t="n"/>
      <c r="W263" s="182" t="n"/>
      <c r="X263" s="182" t="n"/>
      <c r="Y263" s="182" t="n"/>
      <c r="Z263" s="182" t="n"/>
      <c r="AA263" s="170" t="n"/>
      <c r="AB263" s="164" t="n"/>
      <c r="AC263" s="164" t="n"/>
      <c r="AD263" s="164" t="n"/>
      <c r="AE263" s="164" t="n"/>
      <c r="AF263" s="164" t="n"/>
      <c r="AG263" s="164" t="n"/>
      <c r="AH263" s="164" t="n"/>
      <c r="AI263" s="164" t="n"/>
      <c r="AJ263" s="164" t="n"/>
      <c r="AK263" s="164" t="n"/>
      <c r="AL263" s="96" t="n"/>
    </row>
    <row r="264">
      <c r="A264" s="27" t="n"/>
      <c r="B264" s="27" t="inlineStr">
        <is>
          <t>无客商-支付汤村复建区1号地块项目广东</t>
        </is>
      </c>
      <c r="C264" s="27" t="n">
        <v/>
      </c>
      <c r="D264" s="32" t="n"/>
      <c r="E264" s="47" t="n"/>
      <c r="F264" s="47" t="n"/>
      <c r="G264" s="47" t="n"/>
      <c r="H264" s="182" t="n"/>
      <c r="I264" s="163" t="n"/>
      <c r="J264" s="182" t="n"/>
      <c r="K264" s="168" t="n"/>
      <c r="L264" s="172" t="n"/>
      <c r="M264" s="182" t="n"/>
      <c r="N264" s="163" t="n"/>
      <c r="O264" s="163" t="n"/>
      <c r="P264" s="163" t="n">
        <v>628726.0699999999</v>
      </c>
      <c r="Q264" s="163" t="n"/>
      <c r="R264" s="163" t="n"/>
      <c r="S264" s="182" t="n"/>
      <c r="T264" s="182" t="n"/>
      <c r="U264" s="182" t="n"/>
      <c r="V264" s="182" t="n"/>
      <c r="W264" s="182" t="n"/>
      <c r="X264" s="182" t="n"/>
      <c r="Y264" s="182" t="n"/>
      <c r="Z264" s="182" t="n"/>
      <c r="AA264" s="170" t="n"/>
      <c r="AB264" s="164" t="n"/>
      <c r="AC264" s="164" t="n"/>
      <c r="AD264" s="164" t="n"/>
      <c r="AE264" s="164" t="n"/>
      <c r="AF264" s="164" t="n"/>
      <c r="AG264" s="164" t="n"/>
      <c r="AH264" s="164" t="n"/>
      <c r="AI264" s="164" t="n"/>
      <c r="AJ264" s="164" t="n"/>
      <c r="AK264" s="164" t="n"/>
      <c r="AL264" s="96" t="n"/>
    </row>
    <row r="265">
      <c r="A265" s="27" t="n"/>
      <c r="B265" s="27" t="inlineStr">
        <is>
          <t>无客商-支付汤村复建区1号地块项目20</t>
        </is>
      </c>
      <c r="C265" s="27" t="n">
        <v/>
      </c>
      <c r="D265" s="32" t="n"/>
      <c r="E265" s="47" t="n"/>
      <c r="F265" s="47" t="n"/>
      <c r="G265" s="47" t="n"/>
      <c r="H265" s="182" t="n"/>
      <c r="I265" s="163" t="n"/>
      <c r="J265" s="182" t="n"/>
      <c r="K265" s="168" t="n"/>
      <c r="L265" s="172" t="n"/>
      <c r="M265" s="182" t="n"/>
      <c r="N265" s="163" t="n"/>
      <c r="O265" s="163" t="n"/>
      <c r="P265" s="163" t="n">
        <v>9529.450000000001</v>
      </c>
      <c r="Q265" s="163" t="n"/>
      <c r="R265" s="163" t="n"/>
      <c r="S265" s="182" t="n"/>
      <c r="T265" s="182" t="n"/>
      <c r="U265" s="182" t="n"/>
      <c r="V265" s="182" t="n"/>
      <c r="W265" s="182" t="n"/>
      <c r="X265" s="182" t="n"/>
      <c r="Y265" s="182" t="n"/>
      <c r="Z265" s="182" t="n"/>
      <c r="AA265" s="170" t="n"/>
      <c r="AB265" s="164" t="n"/>
      <c r="AC265" s="164" t="n"/>
      <c r="AD265" s="164" t="n"/>
      <c r="AE265" s="164" t="n"/>
      <c r="AF265" s="164" t="n"/>
      <c r="AG265" s="164" t="n"/>
      <c r="AH265" s="164" t="n"/>
      <c r="AI265" s="164" t="n"/>
      <c r="AJ265" s="164" t="n"/>
      <c r="AK265" s="164" t="n"/>
      <c r="AL265" s="96" t="n"/>
    </row>
    <row r="266">
      <c r="A266" s="27" t="n"/>
      <c r="B266" s="27" t="inlineStr">
        <is>
          <t>无客商-支付汤村复建区1号地块车辆维修</t>
        </is>
      </c>
      <c r="C266" s="27" t="n">
        <v/>
      </c>
      <c r="D266" s="32" t="n"/>
      <c r="E266" s="47" t="n"/>
      <c r="F266" s="47" t="n"/>
      <c r="G266" s="47" t="n"/>
      <c r="H266" s="182" t="n"/>
      <c r="I266" s="163" t="n"/>
      <c r="J266" s="182" t="n"/>
      <c r="K266" s="168" t="n"/>
      <c r="L266" s="172" t="n"/>
      <c r="M266" s="182" t="n"/>
      <c r="N266" s="163" t="n"/>
      <c r="O266" s="163" t="n"/>
      <c r="P266" s="163" t="n">
        <v>5344.55</v>
      </c>
      <c r="Q266" s="163" t="n"/>
      <c r="R266" s="163" t="n"/>
      <c r="S266" s="182" t="n"/>
      <c r="T266" s="182" t="n"/>
      <c r="U266" s="182" t="n"/>
      <c r="V266" s="182" t="n"/>
      <c r="W266" s="182" t="n"/>
      <c r="X266" s="182" t="n"/>
      <c r="Y266" s="182" t="n"/>
      <c r="Z266" s="182" t="n"/>
      <c r="AA266" s="170" t="n"/>
      <c r="AB266" s="164" t="n"/>
      <c r="AC266" s="164" t="n"/>
      <c r="AD266" s="164" t="n"/>
      <c r="AE266" s="164" t="n"/>
      <c r="AF266" s="164" t="n"/>
      <c r="AG266" s="164" t="n"/>
      <c r="AH266" s="164" t="n"/>
      <c r="AI266" s="164" t="n"/>
      <c r="AJ266" s="164" t="n"/>
      <c r="AK266" s="164" t="n"/>
      <c r="AL266" s="96" t="n"/>
    </row>
    <row r="267">
      <c r="A267" s="27" t="n"/>
      <c r="B267" s="27" t="inlineStr">
        <is>
          <t>无客商-支付汤村复建区1号地块2023</t>
        </is>
      </c>
      <c r="C267" s="27" t="n">
        <v/>
      </c>
      <c r="D267" s="32" t="n"/>
      <c r="E267" s="47" t="n"/>
      <c r="F267" s="47" t="n"/>
      <c r="G267" s="47" t="n"/>
      <c r="H267" s="182" t="n"/>
      <c r="I267" s="163" t="n"/>
      <c r="J267" s="182" t="n"/>
      <c r="K267" s="168" t="n"/>
      <c r="L267" s="172" t="n"/>
      <c r="M267" s="182" t="n"/>
      <c r="N267" s="163" t="n"/>
      <c r="O267" s="163" t="n"/>
      <c r="P267" s="163" t="n">
        <v>16340.9</v>
      </c>
      <c r="Q267" s="163" t="n"/>
      <c r="R267" s="163" t="n"/>
      <c r="S267" s="182" t="n"/>
      <c r="T267" s="182" t="n"/>
      <c r="U267" s="182" t="n"/>
      <c r="V267" s="182" t="n"/>
      <c r="W267" s="182" t="n"/>
      <c r="X267" s="182" t="n"/>
      <c r="Y267" s="182" t="n"/>
      <c r="Z267" s="182" t="n"/>
      <c r="AA267" s="170" t="n"/>
      <c r="AB267" s="164" t="n"/>
      <c r="AC267" s="164" t="n"/>
      <c r="AD267" s="164" t="n"/>
      <c r="AE267" s="164" t="n"/>
      <c r="AF267" s="164" t="n"/>
      <c r="AG267" s="164" t="n"/>
      <c r="AH267" s="164" t="n"/>
      <c r="AI267" s="164" t="n"/>
      <c r="AJ267" s="164" t="n"/>
      <c r="AK267" s="164" t="n"/>
      <c r="AL267" s="96" t="n"/>
    </row>
    <row r="268">
      <c r="A268" s="27" t="n"/>
      <c r="B268" s="27" t="inlineStr">
        <is>
          <t>无客商-支付汤村复一项目湖南轨道物流发</t>
        </is>
      </c>
      <c r="C268" s="27" t="n">
        <v/>
      </c>
      <c r="D268" s="32" t="n"/>
      <c r="E268" s="47" t="n"/>
      <c r="F268" s="47" t="n"/>
      <c r="G268" s="47" t="n"/>
      <c r="H268" s="182" t="n"/>
      <c r="I268" s="163" t="n"/>
      <c r="J268" s="182" t="n"/>
      <c r="K268" s="168" t="n"/>
      <c r="L268" s="172" t="n"/>
      <c r="M268" s="182" t="n"/>
      <c r="N268" s="163" t="n"/>
      <c r="O268" s="163" t="n"/>
      <c r="P268" s="163" t="n">
        <v>95575.98</v>
      </c>
      <c r="Q268" s="163" t="n"/>
      <c r="R268" s="163" t="n"/>
      <c r="S268" s="182" t="n"/>
      <c r="T268" s="182" t="n"/>
      <c r="U268" s="182" t="n"/>
      <c r="V268" s="182" t="n"/>
      <c r="W268" s="182" t="n"/>
      <c r="X268" s="182" t="n"/>
      <c r="Y268" s="182" t="n"/>
      <c r="Z268" s="182" t="n"/>
      <c r="AA268" s="170" t="n"/>
      <c r="AB268" s="164" t="n"/>
      <c r="AC268" s="164" t="n"/>
      <c r="AD268" s="164" t="n"/>
      <c r="AE268" s="164" t="n"/>
      <c r="AF268" s="164" t="n"/>
      <c r="AG268" s="164" t="n"/>
      <c r="AH268" s="164" t="n"/>
      <c r="AI268" s="164" t="n"/>
      <c r="AJ268" s="164" t="n"/>
      <c r="AK268" s="164" t="n"/>
      <c r="AL268" s="96" t="n"/>
    </row>
    <row r="269">
      <c r="A269" s="27" t="n"/>
      <c r="B269" s="27" t="inlineStr">
        <is>
          <t>无客商-支付汤村复一项目清远市榕兴新型</t>
        </is>
      </c>
      <c r="C269" s="27" t="n">
        <v/>
      </c>
      <c r="D269" s="32" t="n"/>
      <c r="E269" s="47" t="n"/>
      <c r="F269" s="47" t="n"/>
      <c r="G269" s="47" t="n"/>
      <c r="H269" s="182" t="n"/>
      <c r="I269" s="163" t="n"/>
      <c r="J269" s="182" t="n"/>
      <c r="K269" s="168" t="n"/>
      <c r="L269" s="172" t="n"/>
      <c r="M269" s="182" t="n"/>
      <c r="N269" s="163" t="n"/>
      <c r="O269" s="163" t="n"/>
      <c r="P269" s="163" t="n">
        <v>99629.98</v>
      </c>
      <c r="Q269" s="163" t="n"/>
      <c r="R269" s="163" t="n"/>
      <c r="S269" s="182" t="n"/>
      <c r="T269" s="182" t="n"/>
      <c r="U269" s="182" t="n"/>
      <c r="V269" s="182" t="n"/>
      <c r="W269" s="182" t="n"/>
      <c r="X269" s="182" t="n"/>
      <c r="Y269" s="182" t="n"/>
      <c r="Z269" s="182" t="n"/>
      <c r="AA269" s="170" t="n"/>
      <c r="AB269" s="164" t="n"/>
      <c r="AC269" s="164" t="n"/>
      <c r="AD269" s="164" t="n"/>
      <c r="AE269" s="164" t="n"/>
      <c r="AF269" s="164" t="n"/>
      <c r="AG269" s="164" t="n"/>
      <c r="AH269" s="164" t="n"/>
      <c r="AI269" s="164" t="n"/>
      <c r="AJ269" s="164" t="n"/>
      <c r="AK269" s="164" t="n"/>
      <c r="AL269" s="96" t="n"/>
    </row>
    <row r="270">
      <c r="A270" s="27" t="n"/>
      <c r="B270" s="27" t="inlineStr">
        <is>
          <t>无客商-支付汤村复1项目广东南方人力资</t>
        </is>
      </c>
      <c r="C270" s="27" t="n">
        <v/>
      </c>
      <c r="D270" s="32" t="n"/>
      <c r="E270" s="47" t="n"/>
      <c r="F270" s="47" t="n"/>
      <c r="G270" s="47" t="n"/>
      <c r="H270" s="182" t="n"/>
      <c r="I270" s="163" t="n"/>
      <c r="J270" s="182" t="n"/>
      <c r="K270" s="168" t="n"/>
      <c r="L270" s="172" t="n"/>
      <c r="M270" s="182" t="n"/>
      <c r="N270" s="163" t="n"/>
      <c r="O270" s="163" t="n"/>
      <c r="P270" s="163" t="n">
        <v>1917.32</v>
      </c>
      <c r="Q270" s="163" t="n"/>
      <c r="R270" s="163" t="n"/>
      <c r="S270" s="182" t="n"/>
      <c r="T270" s="182" t="n"/>
      <c r="U270" s="182" t="n"/>
      <c r="V270" s="182" t="n"/>
      <c r="W270" s="182" t="n"/>
      <c r="X270" s="182" t="n"/>
      <c r="Y270" s="182" t="n"/>
      <c r="Z270" s="182" t="n"/>
      <c r="AA270" s="170" t="n"/>
      <c r="AB270" s="164" t="n"/>
      <c r="AC270" s="164" t="n"/>
      <c r="AD270" s="164" t="n"/>
      <c r="AE270" s="164" t="n"/>
      <c r="AF270" s="164" t="n"/>
      <c r="AG270" s="164" t="n"/>
      <c r="AH270" s="164" t="n"/>
      <c r="AI270" s="164" t="n"/>
      <c r="AJ270" s="164" t="n"/>
      <c r="AK270" s="164" t="n"/>
      <c r="AL270" s="96" t="n"/>
    </row>
    <row r="271">
      <c r="A271" s="27" t="n"/>
      <c r="B271" s="27" t="inlineStr">
        <is>
          <t>无客商-支付汤村复1地块项目广东南方人</t>
        </is>
      </c>
      <c r="C271" s="27" t="n">
        <v/>
      </c>
      <c r="D271" s="32" t="n"/>
      <c r="E271" s="47" t="n"/>
      <c r="F271" s="47" t="n"/>
      <c r="G271" s="47" t="n"/>
      <c r="H271" s="182" t="n"/>
      <c r="I271" s="163" t="n"/>
      <c r="J271" s="182" t="n"/>
      <c r="K271" s="168" t="n"/>
      <c r="L271" s="172" t="n"/>
      <c r="M271" s="182" t="n"/>
      <c r="N271" s="163" t="n"/>
      <c r="O271" s="163" t="n"/>
      <c r="P271" s="163" t="n">
        <v>29940.5</v>
      </c>
      <c r="Q271" s="163" t="n"/>
      <c r="R271" s="163" t="n"/>
      <c r="S271" s="182" t="n"/>
      <c r="T271" s="182" t="n"/>
      <c r="U271" s="182" t="n"/>
      <c r="V271" s="182" t="n"/>
      <c r="W271" s="182" t="n"/>
      <c r="X271" s="182" t="n"/>
      <c r="Y271" s="182" t="n"/>
      <c r="Z271" s="182" t="n"/>
      <c r="AA271" s="170" t="n"/>
      <c r="AB271" s="164" t="n"/>
      <c r="AC271" s="164" t="n"/>
      <c r="AD271" s="164" t="n"/>
      <c r="AE271" s="164" t="n"/>
      <c r="AF271" s="164" t="n"/>
      <c r="AG271" s="164" t="n"/>
      <c r="AH271" s="164" t="n"/>
      <c r="AI271" s="164" t="n"/>
      <c r="AJ271" s="164" t="n"/>
      <c r="AK271" s="164" t="n"/>
      <c r="AL271" s="96" t="n"/>
    </row>
    <row r="272">
      <c r="A272" s="27" t="n"/>
      <c r="B272" s="27" t="inlineStr">
        <is>
          <t>无客商-支付汤村复1地块维也纳(广州市</t>
        </is>
      </c>
      <c r="C272" s="27" t="n">
        <v/>
      </c>
      <c r="D272" s="32" t="n"/>
      <c r="E272" s="47" t="n"/>
      <c r="F272" s="47" t="n"/>
      <c r="G272" s="47" t="n"/>
      <c r="H272" s="182" t="n"/>
      <c r="I272" s="163" t="n"/>
      <c r="J272" s="182" t="n"/>
      <c r="K272" s="168" t="n"/>
      <c r="L272" s="172" t="n"/>
      <c r="M272" s="182" t="n"/>
      <c r="N272" s="163" t="n"/>
      <c r="O272" s="163" t="n"/>
      <c r="P272" s="163" t="n">
        <v>2724.75</v>
      </c>
      <c r="Q272" s="163" t="n"/>
      <c r="R272" s="163" t="n"/>
      <c r="S272" s="182" t="n"/>
      <c r="T272" s="182" t="n"/>
      <c r="U272" s="182" t="n"/>
      <c r="V272" s="182" t="n"/>
      <c r="W272" s="182" t="n"/>
      <c r="X272" s="182" t="n"/>
      <c r="Y272" s="182" t="n"/>
      <c r="Z272" s="182" t="n"/>
      <c r="AA272" s="170" t="n"/>
      <c r="AB272" s="164" t="n"/>
      <c r="AC272" s="164" t="n"/>
      <c r="AD272" s="164" t="n"/>
      <c r="AE272" s="164" t="n"/>
      <c r="AF272" s="164" t="n"/>
      <c r="AG272" s="164" t="n"/>
      <c r="AH272" s="164" t="n"/>
      <c r="AI272" s="164" t="n"/>
      <c r="AJ272" s="164" t="n"/>
      <c r="AK272" s="164" t="n"/>
      <c r="AL272" s="96" t="n"/>
    </row>
    <row r="273">
      <c r="A273" s="27" t="n"/>
      <c r="B273" s="27" t="inlineStr">
        <is>
          <t>无客商-支付汤村复1地块广州腾粤汽车租</t>
        </is>
      </c>
      <c r="C273" s="27" t="n">
        <v/>
      </c>
      <c r="D273" s="32" t="n"/>
      <c r="E273" s="47" t="n"/>
      <c r="F273" s="47" t="n"/>
      <c r="G273" s="47" t="n"/>
      <c r="H273" s="182" t="n"/>
      <c r="I273" s="163" t="n"/>
      <c r="J273" s="182" t="n"/>
      <c r="K273" s="168" t="n"/>
      <c r="L273" s="172" t="n"/>
      <c r="M273" s="182" t="n"/>
      <c r="N273" s="163" t="n"/>
      <c r="O273" s="163" t="n"/>
      <c r="P273" s="163" t="n">
        <v>1890.49</v>
      </c>
      <c r="Q273" s="163" t="n"/>
      <c r="R273" s="163" t="n"/>
      <c r="S273" s="182" t="n"/>
      <c r="T273" s="182" t="n"/>
      <c r="U273" s="182" t="n"/>
      <c r="V273" s="182" t="n"/>
      <c r="W273" s="182" t="n"/>
      <c r="X273" s="182" t="n"/>
      <c r="Y273" s="182" t="n"/>
      <c r="Z273" s="182" t="n"/>
      <c r="AA273" s="170" t="n"/>
      <c r="AB273" s="164" t="n"/>
      <c r="AC273" s="164" t="n"/>
      <c r="AD273" s="164" t="n"/>
      <c r="AE273" s="164" t="n"/>
      <c r="AF273" s="164" t="n"/>
      <c r="AG273" s="164" t="n"/>
      <c r="AH273" s="164" t="n"/>
      <c r="AI273" s="164" t="n"/>
      <c r="AJ273" s="164" t="n"/>
      <c r="AK273" s="164" t="n"/>
      <c r="AL273" s="96" t="n"/>
    </row>
    <row r="274">
      <c r="A274" s="27" t="n"/>
      <c r="B274" s="27" t="inlineStr">
        <is>
          <t>无客商-支付汤村复1地块广州市骅盛汽车</t>
        </is>
      </c>
      <c r="C274" s="27" t="n">
        <v/>
      </c>
      <c r="D274" s="32" t="n"/>
      <c r="E274" s="47" t="n"/>
      <c r="F274" s="47" t="n"/>
      <c r="G274" s="47" t="n"/>
      <c r="H274" s="182" t="n"/>
      <c r="I274" s="163" t="n"/>
      <c r="J274" s="182" t="n"/>
      <c r="K274" s="168" t="n"/>
      <c r="L274" s="172" t="n"/>
      <c r="M274" s="182" t="n"/>
      <c r="N274" s="163" t="n"/>
      <c r="O274" s="163" t="n"/>
      <c r="P274" s="163" t="n">
        <v>4444.6</v>
      </c>
      <c r="Q274" s="163" t="n"/>
      <c r="R274" s="163" t="n"/>
      <c r="S274" s="182" t="n"/>
      <c r="T274" s="182" t="n"/>
      <c r="U274" s="182" t="n"/>
      <c r="V274" s="182" t="n"/>
      <c r="W274" s="182" t="n"/>
      <c r="X274" s="182" t="n"/>
      <c r="Y274" s="182" t="n"/>
      <c r="Z274" s="182" t="n"/>
      <c r="AA274" s="170" t="n"/>
      <c r="AB274" s="164" t="n"/>
      <c r="AC274" s="164" t="n"/>
      <c r="AD274" s="164" t="n"/>
      <c r="AE274" s="164" t="n"/>
      <c r="AF274" s="164" t="n"/>
      <c r="AG274" s="164" t="n"/>
      <c r="AH274" s="164" t="n"/>
      <c r="AI274" s="164" t="n"/>
      <c r="AJ274" s="164" t="n"/>
      <c r="AK274" s="164" t="n"/>
      <c r="AL274" s="96" t="n"/>
    </row>
    <row r="275">
      <c r="A275" s="27" t="n"/>
      <c r="B275" s="27" t="inlineStr">
        <is>
          <t>无客商-支付汤村复1地块广州市花都区新</t>
        </is>
      </c>
      <c r="C275" s="27" t="n">
        <v/>
      </c>
      <c r="D275" s="32" t="n"/>
      <c r="E275" s="47" t="n"/>
      <c r="F275" s="47" t="n"/>
      <c r="G275" s="47" t="n"/>
      <c r="H275" s="182" t="n"/>
      <c r="I275" s="163" t="n"/>
      <c r="J275" s="182" t="n"/>
      <c r="K275" s="168" t="n"/>
      <c r="L275" s="172" t="n"/>
      <c r="M275" s="182" t="n"/>
      <c r="N275" s="163" t="n"/>
      <c r="O275" s="163" t="n"/>
      <c r="P275" s="163" t="n">
        <v>3493.06</v>
      </c>
      <c r="Q275" s="163" t="n"/>
      <c r="R275" s="163" t="n"/>
      <c r="S275" s="182" t="n"/>
      <c r="T275" s="182" t="n"/>
      <c r="U275" s="182" t="n"/>
      <c r="V275" s="182" t="n"/>
      <c r="W275" s="182" t="n"/>
      <c r="X275" s="182" t="n"/>
      <c r="Y275" s="182" t="n"/>
      <c r="Z275" s="182" t="n"/>
      <c r="AA275" s="170" t="n"/>
      <c r="AB275" s="164" t="n"/>
      <c r="AC275" s="164" t="n"/>
      <c r="AD275" s="164" t="n"/>
      <c r="AE275" s="164" t="n"/>
      <c r="AF275" s="164" t="n"/>
      <c r="AG275" s="164" t="n"/>
      <c r="AH275" s="164" t="n"/>
      <c r="AI275" s="164" t="n"/>
      <c r="AJ275" s="164" t="n"/>
      <c r="AK275" s="164" t="n"/>
      <c r="AL275" s="96" t="n"/>
    </row>
    <row r="276">
      <c r="A276" s="27" t="n"/>
      <c r="B276" s="27" t="inlineStr">
        <is>
          <t>无客商-支付汤村复1地块广州市同晟汽车</t>
        </is>
      </c>
      <c r="C276" s="27" t="n">
        <v/>
      </c>
      <c r="D276" s="32" t="n"/>
      <c r="E276" s="47" t="n"/>
      <c r="F276" s="47" t="n"/>
      <c r="G276" s="47" t="n"/>
      <c r="H276" s="182" t="n"/>
      <c r="I276" s="163" t="n"/>
      <c r="J276" s="182" t="n"/>
      <c r="K276" s="168" t="n"/>
      <c r="L276" s="172" t="n"/>
      <c r="M276" s="182" t="n"/>
      <c r="N276" s="163" t="n"/>
      <c r="O276" s="163" t="n"/>
      <c r="P276" s="163" t="n">
        <v>544.25</v>
      </c>
      <c r="Q276" s="163" t="n"/>
      <c r="R276" s="163" t="n"/>
      <c r="S276" s="182" t="n"/>
      <c r="T276" s="182" t="n"/>
      <c r="U276" s="182" t="n"/>
      <c r="V276" s="182" t="n"/>
      <c r="W276" s="182" t="n"/>
      <c r="X276" s="182" t="n"/>
      <c r="Y276" s="182" t="n"/>
      <c r="Z276" s="182" t="n"/>
      <c r="AA276" s="170" t="n"/>
      <c r="AB276" s="164" t="n"/>
      <c r="AC276" s="164" t="n"/>
      <c r="AD276" s="164" t="n"/>
      <c r="AE276" s="164" t="n"/>
      <c r="AF276" s="164" t="n"/>
      <c r="AG276" s="164" t="n"/>
      <c r="AH276" s="164" t="n"/>
      <c r="AI276" s="164" t="n"/>
      <c r="AJ276" s="164" t="n"/>
      <c r="AK276" s="164" t="n"/>
      <c r="AL276" s="96" t="n"/>
    </row>
    <row r="277">
      <c r="A277" s="27" t="n"/>
      <c r="B277" s="27" t="inlineStr">
        <is>
          <t>无客商-支付汤村复1地块广州市亲力劳务</t>
        </is>
      </c>
      <c r="C277" s="27" t="n">
        <v/>
      </c>
      <c r="D277" s="32" t="n"/>
      <c r="E277" s="47" t="n"/>
      <c r="F277" s="47" t="n"/>
      <c r="G277" s="47" t="n"/>
      <c r="H277" s="182" t="n"/>
      <c r="I277" s="163" t="n"/>
      <c r="J277" s="182" t="n"/>
      <c r="K277" s="168" t="n"/>
      <c r="L277" s="172" t="n"/>
      <c r="M277" s="182" t="n"/>
      <c r="N277" s="163" t="n"/>
      <c r="O277" s="163" t="n"/>
      <c r="P277" s="163" t="n">
        <v>89655.53</v>
      </c>
      <c r="Q277" s="163" t="n"/>
      <c r="R277" s="163" t="n"/>
      <c r="S277" s="182" t="n"/>
      <c r="T277" s="182" t="n"/>
      <c r="U277" s="182" t="n"/>
      <c r="V277" s="182" t="n"/>
      <c r="W277" s="182" t="n"/>
      <c r="X277" s="182" t="n"/>
      <c r="Y277" s="182" t="n"/>
      <c r="Z277" s="182" t="n"/>
      <c r="AA277" s="170" t="n"/>
      <c r="AB277" s="164" t="n"/>
      <c r="AC277" s="164" t="n"/>
      <c r="AD277" s="164" t="n"/>
      <c r="AE277" s="164" t="n"/>
      <c r="AF277" s="164" t="n"/>
      <c r="AG277" s="164" t="n"/>
      <c r="AH277" s="164" t="n"/>
      <c r="AI277" s="164" t="n"/>
      <c r="AJ277" s="164" t="n"/>
      <c r="AK277" s="164" t="n"/>
      <c r="AL277" s="96" t="n"/>
    </row>
    <row r="278">
      <c r="A278" s="27" t="n"/>
      <c r="B278" s="27" t="inlineStr">
        <is>
          <t>无客商-支付汤村复1地块广州人力资源管</t>
        </is>
      </c>
      <c r="C278" s="27" t="n">
        <v/>
      </c>
      <c r="D278" s="32" t="n"/>
      <c r="E278" s="47" t="n"/>
      <c r="F278" s="47" t="n"/>
      <c r="G278" s="47" t="n"/>
      <c r="H278" s="182" t="n"/>
      <c r="I278" s="163" t="n"/>
      <c r="J278" s="182" t="n"/>
      <c r="K278" s="168" t="n"/>
      <c r="L278" s="172" t="n"/>
      <c r="M278" s="182" t="n"/>
      <c r="N278" s="163" t="n"/>
      <c r="O278" s="163" t="n"/>
      <c r="P278" s="163" t="n">
        <v>7386.57</v>
      </c>
      <c r="Q278" s="163" t="n"/>
      <c r="R278" s="163" t="n"/>
      <c r="S278" s="182" t="n"/>
      <c r="T278" s="182" t="n"/>
      <c r="U278" s="182" t="n"/>
      <c r="V278" s="182" t="n"/>
      <c r="W278" s="182" t="n"/>
      <c r="X278" s="182" t="n"/>
      <c r="Y278" s="182" t="n"/>
      <c r="Z278" s="182" t="n"/>
      <c r="AA278" s="170" t="n"/>
      <c r="AB278" s="164" t="n"/>
      <c r="AC278" s="164" t="n"/>
      <c r="AD278" s="164" t="n"/>
      <c r="AE278" s="164" t="n"/>
      <c r="AF278" s="164" t="n"/>
      <c r="AG278" s="164" t="n"/>
      <c r="AH278" s="164" t="n"/>
      <c r="AI278" s="164" t="n"/>
      <c r="AJ278" s="164" t="n"/>
      <c r="AK278" s="164" t="n"/>
      <c r="AL278" s="96" t="n"/>
    </row>
    <row r="279">
      <c r="A279" s="27" t="n"/>
      <c r="B279" s="27" t="inlineStr">
        <is>
          <t>无客商-支付汤村复1地块广东通利达汽车</t>
        </is>
      </c>
      <c r="C279" s="27" t="n">
        <v/>
      </c>
      <c r="D279" s="32" t="n"/>
      <c r="E279" s="47" t="n"/>
      <c r="F279" s="47" t="n"/>
      <c r="G279" s="47" t="n"/>
      <c r="H279" s="182" t="n"/>
      <c r="I279" s="163" t="n"/>
      <c r="J279" s="182" t="n"/>
      <c r="K279" s="168" t="n"/>
      <c r="L279" s="172" t="n"/>
      <c r="M279" s="182" t="n"/>
      <c r="N279" s="163" t="n"/>
      <c r="O279" s="163" t="n"/>
      <c r="P279" s="163" t="n">
        <v>4619.31</v>
      </c>
      <c r="Q279" s="163" t="n"/>
      <c r="R279" s="163" t="n"/>
      <c r="S279" s="182" t="n"/>
      <c r="T279" s="182" t="n"/>
      <c r="U279" s="182" t="n"/>
      <c r="V279" s="182" t="n"/>
      <c r="W279" s="182" t="n"/>
      <c r="X279" s="182" t="n"/>
      <c r="Y279" s="182" t="n"/>
      <c r="Z279" s="182" t="n"/>
      <c r="AA279" s="170" t="n"/>
      <c r="AB279" s="164" t="n"/>
      <c r="AC279" s="164" t="n"/>
      <c r="AD279" s="164" t="n"/>
      <c r="AE279" s="164" t="n"/>
      <c r="AF279" s="164" t="n"/>
      <c r="AG279" s="164" t="n"/>
      <c r="AH279" s="164" t="n"/>
      <c r="AI279" s="164" t="n"/>
      <c r="AJ279" s="164" t="n"/>
      <c r="AK279" s="164" t="n"/>
      <c r="AL279" s="96" t="n"/>
    </row>
    <row r="280">
      <c r="A280" s="27" t="n"/>
      <c r="B280" s="27" t="inlineStr">
        <is>
          <t>无客商-支付汤村复1地块广东南方人力资</t>
        </is>
      </c>
      <c r="C280" s="27" t="n">
        <v/>
      </c>
      <c r="D280" s="32" t="n"/>
      <c r="E280" s="47" t="n"/>
      <c r="F280" s="47" t="n"/>
      <c r="G280" s="47" t="n"/>
      <c r="H280" s="182" t="n"/>
      <c r="I280" s="163" t="n"/>
      <c r="J280" s="182" t="n"/>
      <c r="K280" s="168" t="n"/>
      <c r="L280" s="172" t="n"/>
      <c r="M280" s="182" t="n"/>
      <c r="N280" s="163" t="n"/>
      <c r="O280" s="163" t="n"/>
      <c r="P280" s="163" t="n">
        <v>232379.74</v>
      </c>
      <c r="Q280" s="163" t="n"/>
      <c r="R280" s="163" t="n"/>
      <c r="S280" s="182" t="n"/>
      <c r="T280" s="182" t="n"/>
      <c r="U280" s="182" t="n"/>
      <c r="V280" s="182" t="n"/>
      <c r="W280" s="182" t="n"/>
      <c r="X280" s="182" t="n"/>
      <c r="Y280" s="182" t="n"/>
      <c r="Z280" s="182" t="n"/>
      <c r="AA280" s="170" t="n"/>
      <c r="AB280" s="164" t="n"/>
      <c r="AC280" s="164" t="n"/>
      <c r="AD280" s="164" t="n"/>
      <c r="AE280" s="164" t="n"/>
      <c r="AF280" s="164" t="n"/>
      <c r="AG280" s="164" t="n"/>
      <c r="AH280" s="164" t="n"/>
      <c r="AI280" s="164" t="n"/>
      <c r="AJ280" s="164" t="n"/>
      <c r="AK280" s="164" t="n"/>
      <c r="AL280" s="96" t="n"/>
    </row>
    <row r="281">
      <c r="A281" s="27" t="n"/>
      <c r="B281" s="27" t="inlineStr">
        <is>
          <t>无客商-支付汤村复1地块南方人力202</t>
        </is>
      </c>
      <c r="C281" s="27" t="n">
        <v/>
      </c>
      <c r="D281" s="32" t="n"/>
      <c r="E281" s="47" t="n"/>
      <c r="F281" s="47" t="n"/>
      <c r="G281" s="47" t="n"/>
      <c r="H281" s="182" t="n"/>
      <c r="I281" s="163" t="n"/>
      <c r="J281" s="182" t="n"/>
      <c r="K281" s="168" t="n"/>
      <c r="L281" s="172" t="n"/>
      <c r="M281" s="182" t="n"/>
      <c r="N281" s="163" t="n"/>
      <c r="O281" s="163" t="n"/>
      <c r="P281" s="163" t="n">
        <v>17900.86</v>
      </c>
      <c r="Q281" s="163" t="n"/>
      <c r="R281" s="163" t="n"/>
      <c r="S281" s="182" t="n"/>
      <c r="T281" s="182" t="n"/>
      <c r="U281" s="182" t="n"/>
      <c r="V281" s="182" t="n"/>
      <c r="W281" s="182" t="n"/>
      <c r="X281" s="182" t="n"/>
      <c r="Y281" s="182" t="n"/>
      <c r="Z281" s="182" t="n"/>
      <c r="AA281" s="170" t="n"/>
      <c r="AB281" s="164" t="n"/>
      <c r="AC281" s="164" t="n"/>
      <c r="AD281" s="164" t="n"/>
      <c r="AE281" s="164" t="n"/>
      <c r="AF281" s="164" t="n"/>
      <c r="AG281" s="164" t="n"/>
      <c r="AH281" s="164" t="n"/>
      <c r="AI281" s="164" t="n"/>
      <c r="AJ281" s="164" t="n"/>
      <c r="AK281" s="164" t="n"/>
      <c r="AL281" s="96" t="n"/>
    </row>
    <row r="282">
      <c r="A282" s="27" t="n"/>
      <c r="B282" s="27" t="inlineStr">
        <is>
          <t>无客商-支付汤村复1地块人力资源管理有</t>
        </is>
      </c>
      <c r="C282" s="27" t="n">
        <v/>
      </c>
      <c r="D282" s="32" t="n"/>
      <c r="E282" s="47" t="n"/>
      <c r="F282" s="47" t="n"/>
      <c r="G282" s="47" t="n"/>
      <c r="H282" s="182" t="n"/>
      <c r="I282" s="163" t="n"/>
      <c r="J282" s="182" t="n"/>
      <c r="K282" s="168" t="n"/>
      <c r="L282" s="172" t="n"/>
      <c r="M282" s="182" t="n"/>
      <c r="N282" s="163" t="n"/>
      <c r="O282" s="163" t="n"/>
      <c r="P282" s="163" t="n">
        <v>89125.52</v>
      </c>
      <c r="Q282" s="163" t="n"/>
      <c r="R282" s="163" t="n"/>
      <c r="S282" s="182" t="n"/>
      <c r="T282" s="182" t="n"/>
      <c r="U282" s="182" t="n"/>
      <c r="V282" s="182" t="n"/>
      <c r="W282" s="182" t="n"/>
      <c r="X282" s="182" t="n"/>
      <c r="Y282" s="182" t="n"/>
      <c r="Z282" s="182" t="n"/>
      <c r="AA282" s="170" t="n"/>
      <c r="AB282" s="164" t="n"/>
      <c r="AC282" s="164" t="n"/>
      <c r="AD282" s="164" t="n"/>
      <c r="AE282" s="164" t="n"/>
      <c r="AF282" s="164" t="n"/>
      <c r="AG282" s="164" t="n"/>
      <c r="AH282" s="164" t="n"/>
      <c r="AI282" s="164" t="n"/>
      <c r="AJ282" s="164" t="n"/>
      <c r="AK282" s="164" t="n"/>
      <c r="AL282" s="96" t="n"/>
    </row>
    <row r="283">
      <c r="A283" s="27" t="n"/>
      <c r="B283" s="27" t="inlineStr">
        <is>
          <t>无客商-支付汤村复1地块亲力2023年</t>
        </is>
      </c>
      <c r="C283" s="27" t="n">
        <v/>
      </c>
      <c r="D283" s="32" t="n"/>
      <c r="E283" s="47" t="n"/>
      <c r="F283" s="47" t="n"/>
      <c r="G283" s="47" t="n"/>
      <c r="H283" s="182" t="n"/>
      <c r="I283" s="163" t="n"/>
      <c r="J283" s="182" t="n"/>
      <c r="K283" s="168" t="n"/>
      <c r="L283" s="172" t="n"/>
      <c r="M283" s="182" t="n"/>
      <c r="N283" s="163" t="n"/>
      <c r="O283" s="163" t="n"/>
      <c r="P283" s="163" t="n">
        <v>15197.54</v>
      </c>
      <c r="Q283" s="163" t="n"/>
      <c r="R283" s="163" t="n"/>
      <c r="S283" s="182" t="n"/>
      <c r="T283" s="182" t="n"/>
      <c r="U283" s="182" t="n"/>
      <c r="V283" s="182" t="n"/>
      <c r="W283" s="182" t="n"/>
      <c r="X283" s="182" t="n"/>
      <c r="Y283" s="182" t="n"/>
      <c r="Z283" s="182" t="n"/>
      <c r="AA283" s="170" t="n"/>
      <c r="AB283" s="164" t="n"/>
      <c r="AC283" s="164" t="n"/>
      <c r="AD283" s="164" t="n"/>
      <c r="AE283" s="164" t="n"/>
      <c r="AF283" s="164" t="n"/>
      <c r="AG283" s="164" t="n"/>
      <c r="AH283" s="164" t="n"/>
      <c r="AI283" s="164" t="n"/>
      <c r="AJ283" s="164" t="n"/>
      <c r="AK283" s="164" t="n"/>
      <c r="AL283" s="96" t="n"/>
    </row>
    <row r="284">
      <c r="A284" s="27" t="n"/>
      <c r="B284" s="27" t="inlineStr">
        <is>
          <t>无客商-支付汤村复1地块中建四局城市运</t>
        </is>
      </c>
      <c r="C284" s="27" t="n">
        <v/>
      </c>
      <c r="D284" s="32" t="n"/>
      <c r="E284" s="47" t="n"/>
      <c r="F284" s="47" t="n"/>
      <c r="G284" s="47" t="n"/>
      <c r="H284" s="182" t="n"/>
      <c r="I284" s="163" t="n"/>
      <c r="J284" s="182" t="n"/>
      <c r="K284" s="168" t="n"/>
      <c r="L284" s="172" t="n"/>
      <c r="M284" s="182" t="n"/>
      <c r="N284" s="163" t="n"/>
      <c r="O284" s="163" t="n"/>
      <c r="P284" s="163" t="n">
        <v>74154.59</v>
      </c>
      <c r="Q284" s="163" t="n"/>
      <c r="R284" s="163" t="n"/>
      <c r="S284" s="182" t="n"/>
      <c r="T284" s="182" t="n"/>
      <c r="U284" s="182" t="n"/>
      <c r="V284" s="182" t="n"/>
      <c r="W284" s="182" t="n"/>
      <c r="X284" s="182" t="n"/>
      <c r="Y284" s="182" t="n"/>
      <c r="Z284" s="182" t="n"/>
      <c r="AA284" s="170" t="n"/>
      <c r="AB284" s="164" t="n"/>
      <c r="AC284" s="164" t="n"/>
      <c r="AD284" s="164" t="n"/>
      <c r="AE284" s="164" t="n"/>
      <c r="AF284" s="164" t="n"/>
      <c r="AG284" s="164" t="n"/>
      <c r="AH284" s="164" t="n"/>
      <c r="AI284" s="164" t="n"/>
      <c r="AJ284" s="164" t="n"/>
      <c r="AK284" s="164" t="n"/>
      <c r="AL284" s="96" t="n"/>
    </row>
    <row r="285">
      <c r="A285" s="27" t="n"/>
      <c r="B285" s="27" t="inlineStr">
        <is>
          <t>无客商-支付汤村复1地块2025年1月</t>
        </is>
      </c>
      <c r="C285" s="27" t="n">
        <v/>
      </c>
      <c r="D285" s="32" t="n"/>
      <c r="E285" s="47" t="n"/>
      <c r="F285" s="47" t="n"/>
      <c r="G285" s="47" t="n"/>
      <c r="H285" s="182" t="n"/>
      <c r="I285" s="163" t="n"/>
      <c r="J285" s="182" t="n"/>
      <c r="K285" s="168" t="n"/>
      <c r="L285" s="172" t="n"/>
      <c r="M285" s="182" t="n"/>
      <c r="N285" s="163" t="n"/>
      <c r="O285" s="163" t="n"/>
      <c r="P285" s="163" t="n">
        <v>3420</v>
      </c>
      <c r="Q285" s="163" t="n"/>
      <c r="R285" s="163" t="n"/>
      <c r="S285" s="182" t="n"/>
      <c r="T285" s="182" t="n"/>
      <c r="U285" s="182" t="n"/>
      <c r="V285" s="182" t="n"/>
      <c r="W285" s="182" t="n"/>
      <c r="X285" s="182" t="n"/>
      <c r="Y285" s="182" t="n"/>
      <c r="Z285" s="182" t="n"/>
      <c r="AA285" s="170" t="n"/>
      <c r="AB285" s="164" t="n"/>
      <c r="AC285" s="164" t="n"/>
      <c r="AD285" s="164" t="n"/>
      <c r="AE285" s="164" t="n"/>
      <c r="AF285" s="164" t="n"/>
      <c r="AG285" s="164" t="n"/>
      <c r="AH285" s="164" t="n"/>
      <c r="AI285" s="164" t="n"/>
      <c r="AJ285" s="164" t="n"/>
      <c r="AK285" s="164" t="n"/>
      <c r="AL285" s="96" t="n"/>
    </row>
    <row r="286">
      <c r="A286" s="27" t="n"/>
      <c r="B286" s="27" t="inlineStr">
        <is>
          <t>无客商-支付汤村复1地块2024年9月</t>
        </is>
      </c>
      <c r="C286" s="27" t="n">
        <v/>
      </c>
      <c r="D286" s="32" t="n"/>
      <c r="E286" s="47" t="n"/>
      <c r="F286" s="47" t="n"/>
      <c r="G286" s="47" t="n"/>
      <c r="H286" s="182" t="n"/>
      <c r="I286" s="163" t="n"/>
      <c r="J286" s="182" t="n"/>
      <c r="K286" s="168" t="n"/>
      <c r="L286" s="172" t="n"/>
      <c r="M286" s="182" t="n"/>
      <c r="N286" s="163" t="n"/>
      <c r="O286" s="163" t="n"/>
      <c r="P286" s="163" t="n">
        <v>3340</v>
      </c>
      <c r="Q286" s="163" t="n"/>
      <c r="R286" s="163" t="n"/>
      <c r="S286" s="182" t="n"/>
      <c r="T286" s="182" t="n"/>
      <c r="U286" s="182" t="n"/>
      <c r="V286" s="182" t="n"/>
      <c r="W286" s="182" t="n"/>
      <c r="X286" s="182" t="n"/>
      <c r="Y286" s="182" t="n"/>
      <c r="Z286" s="182" t="n"/>
      <c r="AA286" s="170" t="n"/>
      <c r="AB286" s="164" t="n"/>
      <c r="AC286" s="164" t="n"/>
      <c r="AD286" s="164" t="n"/>
      <c r="AE286" s="164" t="n"/>
      <c r="AF286" s="164" t="n"/>
      <c r="AG286" s="164" t="n"/>
      <c r="AH286" s="164" t="n"/>
      <c r="AI286" s="164" t="n"/>
      <c r="AJ286" s="164" t="n"/>
      <c r="AK286" s="164" t="n"/>
      <c r="AL286" s="96" t="n"/>
    </row>
    <row r="287">
      <c r="A287" s="27" t="n"/>
      <c r="B287" s="27" t="inlineStr">
        <is>
          <t>无客商-支付汤村复1地块2024年7月</t>
        </is>
      </c>
      <c r="C287" s="27" t="n">
        <v/>
      </c>
      <c r="D287" s="32" t="n"/>
      <c r="E287" s="47" t="n"/>
      <c r="F287" s="47" t="n"/>
      <c r="G287" s="47" t="n"/>
      <c r="H287" s="182" t="n"/>
      <c r="I287" s="163" t="n"/>
      <c r="J287" s="182" t="n"/>
      <c r="K287" s="168" t="n"/>
      <c r="L287" s="172" t="n"/>
      <c r="M287" s="182" t="n"/>
      <c r="N287" s="163" t="n"/>
      <c r="O287" s="163" t="n"/>
      <c r="P287" s="163" t="n">
        <v>3340</v>
      </c>
      <c r="Q287" s="163" t="n"/>
      <c r="R287" s="163" t="n"/>
      <c r="S287" s="182" t="n"/>
      <c r="T287" s="182" t="n"/>
      <c r="U287" s="182" t="n"/>
      <c r="V287" s="182" t="n"/>
      <c r="W287" s="182" t="n"/>
      <c r="X287" s="182" t="n"/>
      <c r="Y287" s="182" t="n"/>
      <c r="Z287" s="182" t="n"/>
      <c r="AA287" s="170" t="n"/>
      <c r="AB287" s="164" t="n"/>
      <c r="AC287" s="164" t="n"/>
      <c r="AD287" s="164" t="n"/>
      <c r="AE287" s="164" t="n"/>
      <c r="AF287" s="164" t="n"/>
      <c r="AG287" s="164" t="n"/>
      <c r="AH287" s="164" t="n"/>
      <c r="AI287" s="164" t="n"/>
      <c r="AJ287" s="164" t="n"/>
      <c r="AK287" s="164" t="n"/>
      <c r="AL287" s="96" t="n"/>
    </row>
    <row r="288">
      <c r="A288" s="27" t="n"/>
      <c r="B288" s="27" t="inlineStr">
        <is>
          <t>无客商-支付汤村复1地块2024年6月</t>
        </is>
      </c>
      <c r="C288" s="27" t="n">
        <v/>
      </c>
      <c r="D288" s="32" t="n"/>
      <c r="E288" s="47" t="n"/>
      <c r="F288" s="47" t="n"/>
      <c r="G288" s="47" t="n"/>
      <c r="H288" s="182" t="n"/>
      <c r="I288" s="163" t="n"/>
      <c r="J288" s="182" t="n"/>
      <c r="K288" s="168" t="n"/>
      <c r="L288" s="172" t="n"/>
      <c r="M288" s="182" t="n"/>
      <c r="N288" s="163" t="n"/>
      <c r="O288" s="163" t="n"/>
      <c r="P288" s="163" t="n">
        <v>3465.25</v>
      </c>
      <c r="Q288" s="163" t="n"/>
      <c r="R288" s="163" t="n"/>
      <c r="S288" s="182" t="n"/>
      <c r="T288" s="182" t="n"/>
      <c r="U288" s="182" t="n"/>
      <c r="V288" s="182" t="n"/>
      <c r="W288" s="182" t="n"/>
      <c r="X288" s="182" t="n"/>
      <c r="Y288" s="182" t="n"/>
      <c r="Z288" s="182" t="n"/>
      <c r="AA288" s="170" t="n"/>
      <c r="AB288" s="164" t="n"/>
      <c r="AC288" s="164" t="n"/>
      <c r="AD288" s="164" t="n"/>
      <c r="AE288" s="164" t="n"/>
      <c r="AF288" s="164" t="n"/>
      <c r="AG288" s="164" t="n"/>
      <c r="AH288" s="164" t="n"/>
      <c r="AI288" s="164" t="n"/>
      <c r="AJ288" s="164" t="n"/>
      <c r="AK288" s="164" t="n"/>
      <c r="AL288" s="96" t="n"/>
    </row>
    <row r="289">
      <c r="A289" s="27" t="n"/>
      <c r="B289" s="27" t="inlineStr">
        <is>
          <t>无客商-支付汤村复1地块2024年5月</t>
        </is>
      </c>
      <c r="C289" s="27" t="n">
        <v/>
      </c>
      <c r="D289" s="32" t="n"/>
      <c r="E289" s="47" t="n"/>
      <c r="F289" s="47" t="n"/>
      <c r="G289" s="47" t="n"/>
      <c r="H289" s="182" t="n"/>
      <c r="I289" s="163" t="n"/>
      <c r="J289" s="182" t="n"/>
      <c r="K289" s="168" t="n"/>
      <c r="L289" s="172" t="n"/>
      <c r="M289" s="182" t="n"/>
      <c r="N289" s="163" t="n"/>
      <c r="O289" s="163" t="n"/>
      <c r="P289" s="163" t="n">
        <v>3465.25</v>
      </c>
      <c r="Q289" s="163" t="n"/>
      <c r="R289" s="163" t="n"/>
      <c r="S289" s="182" t="n"/>
      <c r="T289" s="182" t="n"/>
      <c r="U289" s="182" t="n"/>
      <c r="V289" s="182" t="n"/>
      <c r="W289" s="182" t="n"/>
      <c r="X289" s="182" t="n"/>
      <c r="Y289" s="182" t="n"/>
      <c r="Z289" s="182" t="n"/>
      <c r="AA289" s="170" t="n"/>
      <c r="AB289" s="164" t="n"/>
      <c r="AC289" s="164" t="n"/>
      <c r="AD289" s="164" t="n"/>
      <c r="AE289" s="164" t="n"/>
      <c r="AF289" s="164" t="n"/>
      <c r="AG289" s="164" t="n"/>
      <c r="AH289" s="164" t="n"/>
      <c r="AI289" s="164" t="n"/>
      <c r="AJ289" s="164" t="n"/>
      <c r="AK289" s="164" t="n"/>
      <c r="AL289" s="96" t="n"/>
    </row>
    <row r="290">
      <c r="A290" s="27" t="n"/>
      <c r="B290" s="27" t="inlineStr">
        <is>
          <t>无客商-支付汤村复1地块2024年4劳</t>
        </is>
      </c>
      <c r="C290" s="27" t="n">
        <v/>
      </c>
      <c r="D290" s="32" t="n"/>
      <c r="E290" s="47" t="n"/>
      <c r="F290" s="47" t="n"/>
      <c r="G290" s="47" t="n"/>
      <c r="H290" s="182" t="n"/>
      <c r="I290" s="163" t="n"/>
      <c r="J290" s="182" t="n"/>
      <c r="K290" s="168" t="n"/>
      <c r="L290" s="172" t="n"/>
      <c r="M290" s="182" t="n"/>
      <c r="N290" s="163" t="n"/>
      <c r="O290" s="163" t="n"/>
      <c r="P290" s="163" t="n">
        <v>3465.25</v>
      </c>
      <c r="Q290" s="163" t="n"/>
      <c r="R290" s="163" t="n"/>
      <c r="S290" s="182" t="n"/>
      <c r="T290" s="182" t="n"/>
      <c r="U290" s="182" t="n"/>
      <c r="V290" s="182" t="n"/>
      <c r="W290" s="182" t="n"/>
      <c r="X290" s="182" t="n"/>
      <c r="Y290" s="182" t="n"/>
      <c r="Z290" s="182" t="n"/>
      <c r="AA290" s="170" t="n"/>
      <c r="AB290" s="164" t="n"/>
      <c r="AC290" s="164" t="n"/>
      <c r="AD290" s="164" t="n"/>
      <c r="AE290" s="164" t="n"/>
      <c r="AF290" s="164" t="n"/>
      <c r="AG290" s="164" t="n"/>
      <c r="AH290" s="164" t="n"/>
      <c r="AI290" s="164" t="n"/>
      <c r="AJ290" s="164" t="n"/>
      <c r="AK290" s="164" t="n"/>
      <c r="AL290" s="96" t="n"/>
    </row>
    <row r="291">
      <c r="A291" s="27" t="n"/>
      <c r="B291" s="27" t="inlineStr">
        <is>
          <t>无客商-支付汤村复1地块2024年3月</t>
        </is>
      </c>
      <c r="C291" s="27" t="n">
        <v/>
      </c>
      <c r="D291" s="32" t="n"/>
      <c r="E291" s="47" t="n"/>
      <c r="F291" s="47" t="n"/>
      <c r="G291" s="47" t="n"/>
      <c r="H291" s="182" t="n"/>
      <c r="I291" s="163" t="n"/>
      <c r="J291" s="182" t="n"/>
      <c r="K291" s="168" t="n"/>
      <c r="L291" s="172" t="n"/>
      <c r="M291" s="182" t="n"/>
      <c r="N291" s="163" t="n"/>
      <c r="O291" s="163" t="n"/>
      <c r="P291" s="163" t="n">
        <v>3382.25</v>
      </c>
      <c r="Q291" s="163" t="n"/>
      <c r="R291" s="163" t="n"/>
      <c r="S291" s="182" t="n"/>
      <c r="T291" s="182" t="n"/>
      <c r="U291" s="182" t="n"/>
      <c r="V291" s="182" t="n"/>
      <c r="W291" s="182" t="n"/>
      <c r="X291" s="182" t="n"/>
      <c r="Y291" s="182" t="n"/>
      <c r="Z291" s="182" t="n"/>
      <c r="AA291" s="170" t="n"/>
      <c r="AB291" s="164" t="n"/>
      <c r="AC291" s="164" t="n"/>
      <c r="AD291" s="164" t="n"/>
      <c r="AE291" s="164" t="n"/>
      <c r="AF291" s="164" t="n"/>
      <c r="AG291" s="164" t="n"/>
      <c r="AH291" s="164" t="n"/>
      <c r="AI291" s="164" t="n"/>
      <c r="AJ291" s="164" t="n"/>
      <c r="AK291" s="164" t="n"/>
      <c r="AL291" s="96" t="n"/>
    </row>
    <row r="292">
      <c r="A292" s="27" t="n"/>
      <c r="B292" s="27" t="inlineStr">
        <is>
          <t>无客商-支付汤村复1地块2024年2月</t>
        </is>
      </c>
      <c r="C292" s="27" t="n">
        <v/>
      </c>
      <c r="D292" s="32" t="n"/>
      <c r="E292" s="47" t="n"/>
      <c r="F292" s="47" t="n"/>
      <c r="G292" s="47" t="n"/>
      <c r="H292" s="182" t="n"/>
      <c r="I292" s="163" t="n"/>
      <c r="J292" s="182" t="n"/>
      <c r="K292" s="168" t="n"/>
      <c r="L292" s="172" t="n"/>
      <c r="M292" s="182" t="n"/>
      <c r="N292" s="163" t="n"/>
      <c r="O292" s="163" t="n"/>
      <c r="P292" s="163" t="n">
        <v>3490.15</v>
      </c>
      <c r="Q292" s="163" t="n"/>
      <c r="R292" s="163" t="n"/>
      <c r="S292" s="182" t="n"/>
      <c r="T292" s="182" t="n"/>
      <c r="U292" s="182" t="n"/>
      <c r="V292" s="182" t="n"/>
      <c r="W292" s="182" t="n"/>
      <c r="X292" s="182" t="n"/>
      <c r="Y292" s="182" t="n"/>
      <c r="Z292" s="182" t="n"/>
      <c r="AA292" s="170" t="n"/>
      <c r="AB292" s="164" t="n"/>
      <c r="AC292" s="164" t="n"/>
      <c r="AD292" s="164" t="n"/>
      <c r="AE292" s="164" t="n"/>
      <c r="AF292" s="164" t="n"/>
      <c r="AG292" s="164" t="n"/>
      <c r="AH292" s="164" t="n"/>
      <c r="AI292" s="164" t="n"/>
      <c r="AJ292" s="164" t="n"/>
      <c r="AK292" s="164" t="n"/>
      <c r="AL292" s="96" t="n"/>
    </row>
    <row r="293">
      <c r="A293" s="27" t="n"/>
      <c r="B293" s="27" t="inlineStr">
        <is>
          <t>无客商-支付汤村复1地块2024年2-</t>
        </is>
      </c>
      <c r="C293" s="27" t="n">
        <v/>
      </c>
      <c r="D293" s="32" t="n"/>
      <c r="E293" s="47" t="n"/>
      <c r="F293" s="47" t="n"/>
      <c r="G293" s="47" t="n"/>
      <c r="H293" s="182" t="n"/>
      <c r="I293" s="163" t="n"/>
      <c r="J293" s="182" t="n"/>
      <c r="K293" s="168" t="n"/>
      <c r="L293" s="172" t="n"/>
      <c r="M293" s="182" t="n"/>
      <c r="N293" s="163" t="n"/>
      <c r="O293" s="163" t="n"/>
      <c r="P293" s="163" t="n">
        <v>1886.79</v>
      </c>
      <c r="Q293" s="163" t="n"/>
      <c r="R293" s="163" t="n"/>
      <c r="S293" s="182" t="n"/>
      <c r="T293" s="182" t="n"/>
      <c r="U293" s="182" t="n"/>
      <c r="V293" s="182" t="n"/>
      <c r="W293" s="182" t="n"/>
      <c r="X293" s="182" t="n"/>
      <c r="Y293" s="182" t="n"/>
      <c r="Z293" s="182" t="n"/>
      <c r="AA293" s="170" t="n"/>
      <c r="AB293" s="164" t="n"/>
      <c r="AC293" s="164" t="n"/>
      <c r="AD293" s="164" t="n"/>
      <c r="AE293" s="164" t="n"/>
      <c r="AF293" s="164" t="n"/>
      <c r="AG293" s="164" t="n"/>
      <c r="AH293" s="164" t="n"/>
      <c r="AI293" s="164" t="n"/>
      <c r="AJ293" s="164" t="n"/>
      <c r="AK293" s="164" t="n"/>
      <c r="AL293" s="96" t="n"/>
    </row>
    <row r="294">
      <c r="A294" s="27" t="n"/>
      <c r="B294" s="27" t="inlineStr">
        <is>
          <t>无客商-支付汤村复1地块2024年1月</t>
        </is>
      </c>
      <c r="C294" s="27" t="n">
        <v/>
      </c>
      <c r="D294" s="32" t="n"/>
      <c r="E294" s="47" t="n"/>
      <c r="F294" s="47" t="n"/>
      <c r="G294" s="47" t="n"/>
      <c r="H294" s="182" t="n"/>
      <c r="I294" s="163" t="n"/>
      <c r="J294" s="182" t="n"/>
      <c r="K294" s="168" t="n"/>
      <c r="L294" s="172" t="n"/>
      <c r="M294" s="182" t="n"/>
      <c r="N294" s="163" t="n"/>
      <c r="O294" s="163" t="n"/>
      <c r="P294" s="163" t="n">
        <v>3490.15</v>
      </c>
      <c r="Q294" s="163" t="n"/>
      <c r="R294" s="163" t="n"/>
      <c r="S294" s="182" t="n"/>
      <c r="T294" s="182" t="n"/>
      <c r="U294" s="182" t="n"/>
      <c r="V294" s="182" t="n"/>
      <c r="W294" s="182" t="n"/>
      <c r="X294" s="182" t="n"/>
      <c r="Y294" s="182" t="n"/>
      <c r="Z294" s="182" t="n"/>
      <c r="AA294" s="170" t="n"/>
      <c r="AB294" s="164" t="n"/>
      <c r="AC294" s="164" t="n"/>
      <c r="AD294" s="164" t="n"/>
      <c r="AE294" s="164" t="n"/>
      <c r="AF294" s="164" t="n"/>
      <c r="AG294" s="164" t="n"/>
      <c r="AH294" s="164" t="n"/>
      <c r="AI294" s="164" t="n"/>
      <c r="AJ294" s="164" t="n"/>
      <c r="AK294" s="164" t="n"/>
      <c r="AL294" s="96" t="n"/>
    </row>
    <row r="295">
      <c r="A295" s="27" t="n"/>
      <c r="B295" s="27" t="inlineStr">
        <is>
          <t>无客商-支付汤村复1地块2024年10</t>
        </is>
      </c>
      <c r="C295" s="27" t="n">
        <v/>
      </c>
      <c r="D295" s="32" t="n"/>
      <c r="E295" s="47" t="n"/>
      <c r="F295" s="47" t="n"/>
      <c r="G295" s="47" t="n"/>
      <c r="H295" s="182" t="n"/>
      <c r="I295" s="163" t="n"/>
      <c r="J295" s="182" t="n"/>
      <c r="K295" s="168" t="n"/>
      <c r="L295" s="172" t="n"/>
      <c r="M295" s="182" t="n"/>
      <c r="N295" s="163" t="n"/>
      <c r="O295" s="163" t="n"/>
      <c r="P295" s="163" t="n">
        <v>3340</v>
      </c>
      <c r="Q295" s="163" t="n"/>
      <c r="R295" s="163" t="n"/>
      <c r="S295" s="182" t="n"/>
      <c r="T295" s="182" t="n"/>
      <c r="U295" s="182" t="n"/>
      <c r="V295" s="182" t="n"/>
      <c r="W295" s="182" t="n"/>
      <c r="X295" s="182" t="n"/>
      <c r="Y295" s="182" t="n"/>
      <c r="Z295" s="182" t="n"/>
      <c r="AA295" s="170" t="n"/>
      <c r="AB295" s="164" t="n"/>
      <c r="AC295" s="164" t="n"/>
      <c r="AD295" s="164" t="n"/>
      <c r="AE295" s="164" t="n"/>
      <c r="AF295" s="164" t="n"/>
      <c r="AG295" s="164" t="n"/>
      <c r="AH295" s="164" t="n"/>
      <c r="AI295" s="164" t="n"/>
      <c r="AJ295" s="164" t="n"/>
      <c r="AK295" s="164" t="n"/>
      <c r="AL295" s="96" t="n"/>
    </row>
    <row r="296">
      <c r="A296" s="27" t="n"/>
      <c r="B296" s="27" t="inlineStr">
        <is>
          <t>无客商-支付汤村复1地块2023年9月</t>
        </is>
      </c>
      <c r="C296" s="27" t="n">
        <v/>
      </c>
      <c r="D296" s="32" t="n"/>
      <c r="E296" s="47" t="n"/>
      <c r="F296" s="47" t="n"/>
      <c r="G296" s="47" t="n"/>
      <c r="H296" s="182" t="n"/>
      <c r="I296" s="163" t="n"/>
      <c r="J296" s="182" t="n"/>
      <c r="K296" s="168" t="n"/>
      <c r="L296" s="172" t="n"/>
      <c r="M296" s="182" t="n"/>
      <c r="N296" s="163" t="n"/>
      <c r="O296" s="163" t="n"/>
      <c r="P296" s="163" t="n">
        <v>3573.15</v>
      </c>
      <c r="Q296" s="163" t="n"/>
      <c r="R296" s="163" t="n"/>
      <c r="S296" s="182" t="n"/>
      <c r="T296" s="182" t="n"/>
      <c r="U296" s="182" t="n"/>
      <c r="V296" s="182" t="n"/>
      <c r="W296" s="182" t="n"/>
      <c r="X296" s="182" t="n"/>
      <c r="Y296" s="182" t="n"/>
      <c r="Z296" s="182" t="n"/>
      <c r="AA296" s="170" t="n"/>
      <c r="AB296" s="164" t="n"/>
      <c r="AC296" s="164" t="n"/>
      <c r="AD296" s="164" t="n"/>
      <c r="AE296" s="164" t="n"/>
      <c r="AF296" s="164" t="n"/>
      <c r="AG296" s="164" t="n"/>
      <c r="AH296" s="164" t="n"/>
      <c r="AI296" s="164" t="n"/>
      <c r="AJ296" s="164" t="n"/>
      <c r="AK296" s="164" t="n"/>
      <c r="AL296" s="96" t="n"/>
    </row>
    <row r="297">
      <c r="A297" s="27" t="n"/>
      <c r="B297" s="27" t="inlineStr">
        <is>
          <t>无客商-支付汤村复1地块2023年8月</t>
        </is>
      </c>
      <c r="C297" s="27" t="n">
        <v/>
      </c>
      <c r="D297" s="32" t="n"/>
      <c r="E297" s="47" t="n"/>
      <c r="F297" s="47" t="n"/>
      <c r="G297" s="47" t="n"/>
      <c r="H297" s="182" t="n"/>
      <c r="I297" s="163" t="n"/>
      <c r="J297" s="182" t="n"/>
      <c r="K297" s="168" t="n"/>
      <c r="L297" s="172" t="n"/>
      <c r="M297" s="182" t="n"/>
      <c r="N297" s="163" t="n"/>
      <c r="O297" s="163" t="n"/>
      <c r="P297" s="163" t="n">
        <v>9529.450000000001</v>
      </c>
      <c r="Q297" s="163" t="n"/>
      <c r="R297" s="163" t="n"/>
      <c r="S297" s="182" t="n"/>
      <c r="T297" s="182" t="n"/>
      <c r="U297" s="182" t="n"/>
      <c r="V297" s="182" t="n"/>
      <c r="W297" s="182" t="n"/>
      <c r="X297" s="182" t="n"/>
      <c r="Y297" s="182" t="n"/>
      <c r="Z297" s="182" t="n"/>
      <c r="AA297" s="170" t="n"/>
      <c r="AB297" s="164" t="n"/>
      <c r="AC297" s="164" t="n"/>
      <c r="AD297" s="164" t="n"/>
      <c r="AE297" s="164" t="n"/>
      <c r="AF297" s="164" t="n"/>
      <c r="AG297" s="164" t="n"/>
      <c r="AH297" s="164" t="n"/>
      <c r="AI297" s="164" t="n"/>
      <c r="AJ297" s="164" t="n"/>
      <c r="AK297" s="164" t="n"/>
      <c r="AL297" s="96" t="n"/>
    </row>
    <row r="298">
      <c r="A298" s="27" t="n"/>
      <c r="B298" s="27" t="inlineStr">
        <is>
          <t>无客商-支付汤村复1地块2023年12</t>
        </is>
      </c>
      <c r="C298" s="27" t="n">
        <v/>
      </c>
      <c r="D298" s="32" t="n"/>
      <c r="E298" s="47" t="n"/>
      <c r="F298" s="47" t="n"/>
      <c r="G298" s="47" t="n"/>
      <c r="H298" s="182" t="n"/>
      <c r="I298" s="163" t="n"/>
      <c r="J298" s="182" t="n"/>
      <c r="K298" s="168" t="n"/>
      <c r="L298" s="172" t="n"/>
      <c r="M298" s="182" t="n"/>
      <c r="N298" s="163" t="n"/>
      <c r="O298" s="163" t="n"/>
      <c r="P298" s="163" t="n">
        <v>3490.15</v>
      </c>
      <c r="Q298" s="163" t="n"/>
      <c r="R298" s="163" t="n"/>
      <c r="S298" s="182" t="n"/>
      <c r="T298" s="182" t="n"/>
      <c r="U298" s="182" t="n"/>
      <c r="V298" s="182" t="n"/>
      <c r="W298" s="182" t="n"/>
      <c r="X298" s="182" t="n"/>
      <c r="Y298" s="182" t="n"/>
      <c r="Z298" s="182" t="n"/>
      <c r="AA298" s="170" t="n"/>
      <c r="AB298" s="164" t="n"/>
      <c r="AC298" s="164" t="n"/>
      <c r="AD298" s="164" t="n"/>
      <c r="AE298" s="164" t="n"/>
      <c r="AF298" s="164" t="n"/>
      <c r="AG298" s="164" t="n"/>
      <c r="AH298" s="164" t="n"/>
      <c r="AI298" s="164" t="n"/>
      <c r="AJ298" s="164" t="n"/>
      <c r="AK298" s="164" t="n"/>
      <c r="AL298" s="96" t="n"/>
    </row>
    <row r="299">
      <c r="A299" s="27" t="n"/>
      <c r="B299" s="27" t="inlineStr">
        <is>
          <t>无客商-支付汤村复1地块2023年11</t>
        </is>
      </c>
      <c r="C299" s="27" t="n">
        <v/>
      </c>
      <c r="D299" s="32" t="n"/>
      <c r="E299" s="47" t="n"/>
      <c r="F299" s="47" t="n"/>
      <c r="G299" s="47" t="n"/>
      <c r="H299" s="182" t="n"/>
      <c r="I299" s="163" t="n"/>
      <c r="J299" s="182" t="n"/>
      <c r="K299" s="168" t="n"/>
      <c r="L299" s="172" t="n"/>
      <c r="M299" s="182" t="n"/>
      <c r="N299" s="163" t="n"/>
      <c r="O299" s="163" t="n"/>
      <c r="P299" s="163" t="n">
        <v>3490.15</v>
      </c>
      <c r="Q299" s="163" t="n"/>
      <c r="R299" s="163" t="n"/>
      <c r="S299" s="182" t="n"/>
      <c r="T299" s="182" t="n"/>
      <c r="U299" s="182" t="n"/>
      <c r="V299" s="182" t="n"/>
      <c r="W299" s="182" t="n"/>
      <c r="X299" s="182" t="n"/>
      <c r="Y299" s="182" t="n"/>
      <c r="Z299" s="182" t="n"/>
      <c r="AA299" s="170" t="n"/>
      <c r="AB299" s="164" t="n"/>
      <c r="AC299" s="164" t="n"/>
      <c r="AD299" s="164" t="n"/>
      <c r="AE299" s="164" t="n"/>
      <c r="AF299" s="164" t="n"/>
      <c r="AG299" s="164" t="n"/>
      <c r="AH299" s="164" t="n"/>
      <c r="AI299" s="164" t="n"/>
      <c r="AJ299" s="164" t="n"/>
      <c r="AK299" s="164" t="n"/>
      <c r="AL299" s="96" t="n"/>
    </row>
    <row r="300">
      <c r="A300" s="27" t="n"/>
      <c r="B300" s="27" t="inlineStr">
        <is>
          <t>无客商-支付林桂生报销汤村旧改复建地块</t>
        </is>
      </c>
      <c r="C300" s="27" t="n">
        <v/>
      </c>
      <c r="D300" s="32" t="n"/>
      <c r="E300" s="47" t="n"/>
      <c r="F300" s="47" t="n"/>
      <c r="G300" s="47" t="n"/>
      <c r="H300" s="182" t="n"/>
      <c r="I300" s="163" t="n"/>
      <c r="J300" s="182" t="n"/>
      <c r="K300" s="168" t="n"/>
      <c r="L300" s="172" t="n"/>
      <c r="M300" s="182" t="n"/>
      <c r="N300" s="163" t="n"/>
      <c r="O300" s="163" t="n"/>
      <c r="P300" s="163" t="n">
        <v>2834.32</v>
      </c>
      <c r="Q300" s="163" t="n"/>
      <c r="R300" s="163" t="n"/>
      <c r="S300" s="182" t="n"/>
      <c r="T300" s="182" t="n"/>
      <c r="U300" s="182" t="n"/>
      <c r="V300" s="182" t="n"/>
      <c r="W300" s="182" t="n"/>
      <c r="X300" s="182" t="n"/>
      <c r="Y300" s="182" t="n"/>
      <c r="Z300" s="182" t="n"/>
      <c r="AA300" s="170" t="n"/>
      <c r="AB300" s="164" t="n"/>
      <c r="AC300" s="164" t="n"/>
      <c r="AD300" s="164" t="n"/>
      <c r="AE300" s="164" t="n"/>
      <c r="AF300" s="164" t="n"/>
      <c r="AG300" s="164" t="n"/>
      <c r="AH300" s="164" t="n"/>
      <c r="AI300" s="164" t="n"/>
      <c r="AJ300" s="164" t="n"/>
      <c r="AK300" s="164" t="n"/>
      <c r="AL300" s="96" t="n"/>
    </row>
    <row r="301">
      <c r="A301" s="27" t="n"/>
      <c r="B301" s="27" t="inlineStr">
        <is>
          <t>无客商-支付机关代付汤村复建区1号地块</t>
        </is>
      </c>
      <c r="C301" s="27" t="n">
        <v/>
      </c>
      <c r="D301" s="32" t="n"/>
      <c r="E301" s="47" t="n"/>
      <c r="F301" s="47" t="n"/>
      <c r="G301" s="47" t="n"/>
      <c r="H301" s="182" t="n"/>
      <c r="I301" s="163" t="n"/>
      <c r="J301" s="182" t="n"/>
      <c r="K301" s="168" t="n"/>
      <c r="L301" s="172" t="n"/>
      <c r="M301" s="182" t="n"/>
      <c r="N301" s="163" t="n"/>
      <c r="O301" s="163" t="n"/>
      <c r="P301" s="163" t="n">
        <v>31332</v>
      </c>
      <c r="Q301" s="163" t="n"/>
      <c r="R301" s="163" t="n"/>
      <c r="S301" s="182" t="n"/>
      <c r="T301" s="182" t="n"/>
      <c r="U301" s="182" t="n"/>
      <c r="V301" s="182" t="n"/>
      <c r="W301" s="182" t="n"/>
      <c r="X301" s="182" t="n"/>
      <c r="Y301" s="182" t="n"/>
      <c r="Z301" s="182" t="n"/>
      <c r="AA301" s="170" t="n"/>
      <c r="AB301" s="164" t="n"/>
      <c r="AC301" s="164" t="n"/>
      <c r="AD301" s="164" t="n"/>
      <c r="AE301" s="164" t="n"/>
      <c r="AF301" s="164" t="n"/>
      <c r="AG301" s="164" t="n"/>
      <c r="AH301" s="164" t="n"/>
      <c r="AI301" s="164" t="n"/>
      <c r="AJ301" s="164" t="n"/>
      <c r="AK301" s="164" t="n"/>
      <c r="AL301" s="96" t="n"/>
    </row>
    <row r="302">
      <c r="A302" s="27" t="n"/>
      <c r="B302" s="27" t="inlineStr">
        <is>
          <t>无客商-支付广州腾粤汽车租赁服务有限公</t>
        </is>
      </c>
      <c r="C302" s="27" t="n">
        <v/>
      </c>
      <c r="D302" s="32" t="n"/>
      <c r="E302" s="47" t="n"/>
      <c r="F302" s="47" t="n"/>
      <c r="G302" s="47" t="n"/>
      <c r="H302" s="182" t="n"/>
      <c r="I302" s="163" t="n"/>
      <c r="J302" s="182" t="n"/>
      <c r="K302" s="168" t="n"/>
      <c r="L302" s="172" t="n"/>
      <c r="M302" s="182" t="n"/>
      <c r="N302" s="163" t="n"/>
      <c r="O302" s="163" t="n"/>
      <c r="P302" s="163" t="n">
        <v>1193.97</v>
      </c>
      <c r="Q302" s="163" t="n"/>
      <c r="R302" s="163" t="n"/>
      <c r="S302" s="182" t="n"/>
      <c r="T302" s="182" t="n"/>
      <c r="U302" s="182" t="n"/>
      <c r="V302" s="182" t="n"/>
      <c r="W302" s="182" t="n"/>
      <c r="X302" s="182" t="n"/>
      <c r="Y302" s="182" t="n"/>
      <c r="Z302" s="182" t="n"/>
      <c r="AA302" s="170" t="n"/>
      <c r="AB302" s="164" t="n"/>
      <c r="AC302" s="164" t="n"/>
      <c r="AD302" s="164" t="n"/>
      <c r="AE302" s="164" t="n"/>
      <c r="AF302" s="164" t="n"/>
      <c r="AG302" s="164" t="n"/>
      <c r="AH302" s="164" t="n"/>
      <c r="AI302" s="164" t="n"/>
      <c r="AJ302" s="164" t="n"/>
      <c r="AK302" s="164" t="n"/>
      <c r="AL302" s="96" t="n"/>
    </row>
    <row r="303">
      <c r="A303" s="27" t="n"/>
      <c r="B303" s="27" t="inlineStr">
        <is>
          <t>无客商-支付广州易达诉讼费用</t>
        </is>
      </c>
      <c r="C303" s="27" t="n">
        <v/>
      </c>
      <c r="D303" s="32" t="n"/>
      <c r="E303" s="47" t="n"/>
      <c r="F303" s="47" t="n"/>
      <c r="G303" s="47" t="n"/>
      <c r="H303" s="182" t="n"/>
      <c r="I303" s="163" t="n"/>
      <c r="J303" s="182" t="n"/>
      <c r="K303" s="168" t="n"/>
      <c r="L303" s="172" t="n"/>
      <c r="M303" s="182" t="n"/>
      <c r="N303" s="163" t="n"/>
      <c r="O303" s="163" t="n"/>
      <c r="P303" s="163" t="n">
        <v>2805.1</v>
      </c>
      <c r="Q303" s="163" t="n"/>
      <c r="R303" s="163" t="n"/>
      <c r="S303" s="182" t="n"/>
      <c r="T303" s="182" t="n"/>
      <c r="U303" s="182" t="n"/>
      <c r="V303" s="182" t="n"/>
      <c r="W303" s="182" t="n"/>
      <c r="X303" s="182" t="n"/>
      <c r="Y303" s="182" t="n"/>
      <c r="Z303" s="182" t="n"/>
      <c r="AA303" s="170" t="n"/>
      <c r="AB303" s="164" t="n"/>
      <c r="AC303" s="164" t="n"/>
      <c r="AD303" s="164" t="n"/>
      <c r="AE303" s="164" t="n"/>
      <c r="AF303" s="164" t="n"/>
      <c r="AG303" s="164" t="n"/>
      <c r="AH303" s="164" t="n"/>
      <c r="AI303" s="164" t="n"/>
      <c r="AJ303" s="164" t="n"/>
      <c r="AK303" s="164" t="n"/>
      <c r="AL303" s="96" t="n"/>
    </row>
    <row r="304">
      <c r="A304" s="27" t="n"/>
      <c r="B304" s="27" t="inlineStr">
        <is>
          <t>无客商-支付广州市黄埔区水世纪经营部2</t>
        </is>
      </c>
      <c r="C304" s="27" t="n">
        <v/>
      </c>
      <c r="D304" s="32" t="n"/>
      <c r="E304" s="47" t="n"/>
      <c r="F304" s="47" t="n"/>
      <c r="G304" s="47" t="n"/>
      <c r="H304" s="182" t="n"/>
      <c r="I304" s="163" t="n"/>
      <c r="J304" s="182" t="n"/>
      <c r="K304" s="168" t="n"/>
      <c r="L304" s="172" t="n"/>
      <c r="M304" s="182" t="n"/>
      <c r="N304" s="163" t="n"/>
      <c r="O304" s="163" t="n"/>
      <c r="P304" s="163" t="n">
        <v>7950.49</v>
      </c>
      <c r="Q304" s="163" t="n"/>
      <c r="R304" s="163" t="n"/>
      <c r="S304" s="182" t="n"/>
      <c r="T304" s="182" t="n"/>
      <c r="U304" s="182" t="n"/>
      <c r="V304" s="182" t="n"/>
      <c r="W304" s="182" t="n"/>
      <c r="X304" s="182" t="n"/>
      <c r="Y304" s="182" t="n"/>
      <c r="Z304" s="182" t="n"/>
      <c r="AA304" s="170" t="n"/>
      <c r="AB304" s="164" t="n"/>
      <c r="AC304" s="164" t="n"/>
      <c r="AD304" s="164" t="n"/>
      <c r="AE304" s="164" t="n"/>
      <c r="AF304" s="164" t="n"/>
      <c r="AG304" s="164" t="n"/>
      <c r="AH304" s="164" t="n"/>
      <c r="AI304" s="164" t="n"/>
      <c r="AJ304" s="164" t="n"/>
      <c r="AK304" s="164" t="n"/>
      <c r="AL304" s="96" t="n"/>
    </row>
    <row r="305">
      <c r="A305" s="27" t="n"/>
      <c r="B305" s="27" t="inlineStr">
        <is>
          <t>无客商-支付广州市黄埔区文人文具店报销</t>
        </is>
      </c>
      <c r="C305" s="27" t="n">
        <v/>
      </c>
      <c r="D305" s="32" t="n"/>
      <c r="E305" s="47" t="n"/>
      <c r="F305" s="47" t="n"/>
      <c r="G305" s="47" t="n"/>
      <c r="H305" s="182" t="n"/>
      <c r="I305" s="163" t="n"/>
      <c r="J305" s="182" t="n"/>
      <c r="K305" s="168" t="n"/>
      <c r="L305" s="172" t="n"/>
      <c r="M305" s="182" t="n"/>
      <c r="N305" s="163" t="n"/>
      <c r="O305" s="163" t="n"/>
      <c r="P305" s="163" t="n">
        <v>29851.98</v>
      </c>
      <c r="Q305" s="163" t="n"/>
      <c r="R305" s="163" t="n"/>
      <c r="S305" s="182" t="n"/>
      <c r="T305" s="182" t="n"/>
      <c r="U305" s="182" t="n"/>
      <c r="V305" s="182" t="n"/>
      <c r="W305" s="182" t="n"/>
      <c r="X305" s="182" t="n"/>
      <c r="Y305" s="182" t="n"/>
      <c r="Z305" s="182" t="n"/>
      <c r="AA305" s="170" t="n"/>
      <c r="AB305" s="164" t="n"/>
      <c r="AC305" s="164" t="n"/>
      <c r="AD305" s="164" t="n"/>
      <c r="AE305" s="164" t="n"/>
      <c r="AF305" s="164" t="n"/>
      <c r="AG305" s="164" t="n"/>
      <c r="AH305" s="164" t="n"/>
      <c r="AI305" s="164" t="n"/>
      <c r="AJ305" s="164" t="n"/>
      <c r="AK305" s="164" t="n"/>
      <c r="AL305" s="96" t="n"/>
    </row>
    <row r="306">
      <c r="A306" s="27" t="n"/>
      <c r="B306" s="27" t="inlineStr">
        <is>
          <t>无客商-支付广州市骅盛汽车租赁有限公司</t>
        </is>
      </c>
      <c r="C306" s="27" t="n">
        <v/>
      </c>
      <c r="D306" s="32" t="n"/>
      <c r="E306" s="47" t="n"/>
      <c r="F306" s="47" t="n"/>
      <c r="G306" s="47" t="n"/>
      <c r="H306" s="182" t="n"/>
      <c r="I306" s="163" t="n"/>
      <c r="J306" s="182" t="n"/>
      <c r="K306" s="168" t="n"/>
      <c r="L306" s="172" t="n"/>
      <c r="M306" s="182" t="n"/>
      <c r="N306" s="163" t="n"/>
      <c r="O306" s="163" t="n"/>
      <c r="P306" s="163" t="n">
        <v>558.49</v>
      </c>
      <c r="Q306" s="163" t="n"/>
      <c r="R306" s="163" t="n"/>
      <c r="S306" s="182" t="n"/>
      <c r="T306" s="182" t="n"/>
      <c r="U306" s="182" t="n"/>
      <c r="V306" s="182" t="n"/>
      <c r="W306" s="182" t="n"/>
      <c r="X306" s="182" t="n"/>
      <c r="Y306" s="182" t="n"/>
      <c r="Z306" s="182" t="n"/>
      <c r="AA306" s="170" t="n"/>
      <c r="AB306" s="164" t="n"/>
      <c r="AC306" s="164" t="n"/>
      <c r="AD306" s="164" t="n"/>
      <c r="AE306" s="164" t="n"/>
      <c r="AF306" s="164" t="n"/>
      <c r="AG306" s="164" t="n"/>
      <c r="AH306" s="164" t="n"/>
      <c r="AI306" s="164" t="n"/>
      <c r="AJ306" s="164" t="n"/>
      <c r="AK306" s="164" t="n"/>
      <c r="AL306" s="96" t="n"/>
    </row>
    <row r="307">
      <c r="A307" s="27" t="n"/>
      <c r="B307" s="27" t="inlineStr">
        <is>
          <t>无客商-支付广州市盈园绿化清洁管理有限</t>
        </is>
      </c>
      <c r="C307" s="27" t="n">
        <v/>
      </c>
      <c r="D307" s="32" t="n"/>
      <c r="E307" s="47" t="n"/>
      <c r="F307" s="47" t="n"/>
      <c r="G307" s="47" t="n"/>
      <c r="H307" s="182" t="n"/>
      <c r="I307" s="163" t="n"/>
      <c r="J307" s="182" t="n"/>
      <c r="K307" s="168" t="n"/>
      <c r="L307" s="172" t="n"/>
      <c r="M307" s="182" t="n"/>
      <c r="N307" s="163" t="n"/>
      <c r="O307" s="163" t="n"/>
      <c r="P307" s="163" t="n">
        <v>97688.37</v>
      </c>
      <c r="Q307" s="163" t="n"/>
      <c r="R307" s="163" t="n"/>
      <c r="S307" s="182" t="n"/>
      <c r="T307" s="182" t="n"/>
      <c r="U307" s="182" t="n"/>
      <c r="V307" s="182" t="n"/>
      <c r="W307" s="182" t="n"/>
      <c r="X307" s="182" t="n"/>
      <c r="Y307" s="182" t="n"/>
      <c r="Z307" s="182" t="n"/>
      <c r="AA307" s="170" t="n"/>
      <c r="AB307" s="164" t="n"/>
      <c r="AC307" s="164" t="n"/>
      <c r="AD307" s="164" t="n"/>
      <c r="AE307" s="164" t="n"/>
      <c r="AF307" s="164" t="n"/>
      <c r="AG307" s="164" t="n"/>
      <c r="AH307" s="164" t="n"/>
      <c r="AI307" s="164" t="n"/>
      <c r="AJ307" s="164" t="n"/>
      <c r="AK307" s="164" t="n"/>
      <c r="AL307" s="96" t="n"/>
    </row>
    <row r="308">
      <c r="A308" s="27" t="n"/>
      <c r="B308" s="27" t="inlineStr">
        <is>
          <t>无客商-支付广州峰行人力资源管理有限公</t>
        </is>
      </c>
      <c r="C308" s="27" t="n">
        <v/>
      </c>
      <c r="D308" s="32" t="n"/>
      <c r="E308" s="47" t="n"/>
      <c r="F308" s="47" t="n"/>
      <c r="G308" s="47" t="n"/>
      <c r="H308" s="182" t="n"/>
      <c r="I308" s="163" t="n"/>
      <c r="J308" s="182" t="n"/>
      <c r="K308" s="168" t="n"/>
      <c r="L308" s="172" t="n"/>
      <c r="M308" s="182" t="n"/>
      <c r="N308" s="163" t="n"/>
      <c r="O308" s="163" t="n"/>
      <c r="P308" s="163" t="n">
        <v>15214.34</v>
      </c>
      <c r="Q308" s="163" t="n"/>
      <c r="R308" s="163" t="n"/>
      <c r="S308" s="182" t="n"/>
      <c r="T308" s="182" t="n"/>
      <c r="U308" s="182" t="n"/>
      <c r="V308" s="182" t="n"/>
      <c r="W308" s="182" t="n"/>
      <c r="X308" s="182" t="n"/>
      <c r="Y308" s="182" t="n"/>
      <c r="Z308" s="182" t="n"/>
      <c r="AA308" s="170" t="n"/>
      <c r="AB308" s="164" t="n"/>
      <c r="AC308" s="164" t="n"/>
      <c r="AD308" s="164" t="n"/>
      <c r="AE308" s="164" t="n"/>
      <c r="AF308" s="164" t="n"/>
      <c r="AG308" s="164" t="n"/>
      <c r="AH308" s="164" t="n"/>
      <c r="AI308" s="164" t="n"/>
      <c r="AJ308" s="164" t="n"/>
      <c r="AK308" s="164" t="n"/>
      <c r="AL308" s="96" t="n"/>
    </row>
    <row r="309">
      <c r="A309" s="27" t="n"/>
      <c r="B309" s="27" t="inlineStr">
        <is>
          <t>无客商-支付广东金辩律师事务所代理案件</t>
        </is>
      </c>
      <c r="C309" s="27" t="n">
        <v/>
      </c>
      <c r="D309" s="32" t="n"/>
      <c r="E309" s="47" t="n"/>
      <c r="F309" s="47" t="n"/>
      <c r="G309" s="47" t="n"/>
      <c r="H309" s="182" t="n"/>
      <c r="I309" s="163" t="n"/>
      <c r="J309" s="182" t="n"/>
      <c r="K309" s="168" t="n"/>
      <c r="L309" s="172" t="n"/>
      <c r="M309" s="182" t="n"/>
      <c r="N309" s="163" t="n"/>
      <c r="O309" s="163" t="n"/>
      <c r="P309" s="163" t="n">
        <v>1886.79</v>
      </c>
      <c r="Q309" s="163" t="n"/>
      <c r="R309" s="163" t="n"/>
      <c r="S309" s="182" t="n"/>
      <c r="T309" s="182" t="n"/>
      <c r="U309" s="182" t="n"/>
      <c r="V309" s="182" t="n"/>
      <c r="W309" s="182" t="n"/>
      <c r="X309" s="182" t="n"/>
      <c r="Y309" s="182" t="n"/>
      <c r="Z309" s="182" t="n"/>
      <c r="AA309" s="170" t="n"/>
      <c r="AB309" s="164" t="n"/>
      <c r="AC309" s="164" t="n"/>
      <c r="AD309" s="164" t="n"/>
      <c r="AE309" s="164" t="n"/>
      <c r="AF309" s="164" t="n"/>
      <c r="AG309" s="164" t="n"/>
      <c r="AH309" s="164" t="n"/>
      <c r="AI309" s="164" t="n"/>
      <c r="AJ309" s="164" t="n"/>
      <c r="AK309" s="164" t="n"/>
      <c r="AL309" s="96" t="n"/>
    </row>
    <row r="310">
      <c r="A310" s="27" t="n"/>
      <c r="B310" s="27" t="inlineStr">
        <is>
          <t>无客商-支付广东金辩律师事务所2024</t>
        </is>
      </c>
      <c r="C310" s="27" t="n">
        <v/>
      </c>
      <c r="D310" s="32" t="n"/>
      <c r="E310" s="47" t="n"/>
      <c r="F310" s="47" t="n"/>
      <c r="G310" s="47" t="n"/>
      <c r="H310" s="182" t="n"/>
      <c r="I310" s="163" t="n"/>
      <c r="J310" s="182" t="n"/>
      <c r="K310" s="168" t="n"/>
      <c r="L310" s="172" t="n"/>
      <c r="M310" s="182" t="n"/>
      <c r="N310" s="163" t="n"/>
      <c r="O310" s="163" t="n"/>
      <c r="P310" s="163" t="n">
        <v>10377.36</v>
      </c>
      <c r="Q310" s="163" t="n"/>
      <c r="R310" s="163" t="n"/>
      <c r="S310" s="182" t="n"/>
      <c r="T310" s="182" t="n"/>
      <c r="U310" s="182" t="n"/>
      <c r="V310" s="182" t="n"/>
      <c r="W310" s="182" t="n"/>
      <c r="X310" s="182" t="n"/>
      <c r="Y310" s="182" t="n"/>
      <c r="Z310" s="182" t="n"/>
      <c r="AA310" s="170" t="n"/>
      <c r="AB310" s="164" t="n"/>
      <c r="AC310" s="164" t="n"/>
      <c r="AD310" s="164" t="n"/>
      <c r="AE310" s="164" t="n"/>
      <c r="AF310" s="164" t="n"/>
      <c r="AG310" s="164" t="n"/>
      <c r="AH310" s="164" t="n"/>
      <c r="AI310" s="164" t="n"/>
      <c r="AJ310" s="164" t="n"/>
      <c r="AK310" s="164" t="n"/>
      <c r="AL310" s="96" t="n"/>
    </row>
    <row r="311">
      <c r="A311" s="27" t="n"/>
      <c r="B311" s="27" t="inlineStr">
        <is>
          <t>无客商-支付广东通利达汽车租赁有限公司</t>
        </is>
      </c>
      <c r="C311" s="27" t="n">
        <v/>
      </c>
      <c r="D311" s="32" t="n"/>
      <c r="E311" s="47" t="n"/>
      <c r="F311" s="47" t="n"/>
      <c r="G311" s="47" t="n"/>
      <c r="H311" s="182" t="n"/>
      <c r="I311" s="163" t="n"/>
      <c r="J311" s="182" t="n"/>
      <c r="K311" s="168" t="n"/>
      <c r="L311" s="172" t="n"/>
      <c r="M311" s="182" t="n"/>
      <c r="N311" s="163" t="n"/>
      <c r="O311" s="163" t="n"/>
      <c r="P311" s="163" t="n">
        <v>11946.9</v>
      </c>
      <c r="Q311" s="163" t="n"/>
      <c r="R311" s="163" t="n"/>
      <c r="S311" s="182" t="n"/>
      <c r="T311" s="182" t="n"/>
      <c r="U311" s="182" t="n"/>
      <c r="V311" s="182" t="n"/>
      <c r="W311" s="182" t="n"/>
      <c r="X311" s="182" t="n"/>
      <c r="Y311" s="182" t="n"/>
      <c r="Z311" s="182" t="n"/>
      <c r="AA311" s="170" t="n"/>
      <c r="AB311" s="164" t="n"/>
      <c r="AC311" s="164" t="n"/>
      <c r="AD311" s="164" t="n"/>
      <c r="AE311" s="164" t="n"/>
      <c r="AF311" s="164" t="n"/>
      <c r="AG311" s="164" t="n"/>
      <c r="AH311" s="164" t="n"/>
      <c r="AI311" s="164" t="n"/>
      <c r="AJ311" s="164" t="n"/>
      <c r="AK311" s="164" t="n"/>
      <c r="AL311" s="96" t="n"/>
    </row>
    <row r="312">
      <c r="A312" s="27" t="n"/>
      <c r="B312" s="27" t="inlineStr">
        <is>
          <t>无客商-支付广东南方人力资源服务有限公</t>
        </is>
      </c>
      <c r="C312" s="27" t="n">
        <v/>
      </c>
      <c r="D312" s="32" t="n"/>
      <c r="E312" s="47" t="n"/>
      <c r="F312" s="47" t="n"/>
      <c r="G312" s="47" t="n"/>
      <c r="H312" s="182" t="n"/>
      <c r="I312" s="163" t="n"/>
      <c r="J312" s="182" t="n"/>
      <c r="K312" s="168" t="n"/>
      <c r="L312" s="172" t="n"/>
      <c r="M312" s="182" t="n"/>
      <c r="N312" s="163" t="n"/>
      <c r="O312" s="163" t="n"/>
      <c r="P312" s="163" t="n">
        <v>165108.39</v>
      </c>
      <c r="Q312" s="163" t="n"/>
      <c r="R312" s="163" t="n"/>
      <c r="S312" s="182" t="n"/>
      <c r="T312" s="182" t="n"/>
      <c r="U312" s="182" t="n"/>
      <c r="V312" s="182" t="n"/>
      <c r="W312" s="182" t="n"/>
      <c r="X312" s="182" t="n"/>
      <c r="Y312" s="182" t="n"/>
      <c r="Z312" s="182" t="n"/>
      <c r="AA312" s="170" t="n"/>
      <c r="AB312" s="164" t="n"/>
      <c r="AC312" s="164" t="n"/>
      <c r="AD312" s="164" t="n"/>
      <c r="AE312" s="164" t="n"/>
      <c r="AF312" s="164" t="n"/>
      <c r="AG312" s="164" t="n"/>
      <c r="AH312" s="164" t="n"/>
      <c r="AI312" s="164" t="n"/>
      <c r="AJ312" s="164" t="n"/>
      <c r="AK312" s="164" t="n"/>
      <c r="AL312" s="96" t="n"/>
    </row>
    <row r="313">
      <c r="A313" s="27" t="n"/>
      <c r="B313" s="27" t="inlineStr">
        <is>
          <t>无客商-支付峰行2025年1月社保公积</t>
        </is>
      </c>
      <c r="C313" s="27" t="n">
        <v/>
      </c>
      <c r="D313" s="32" t="n"/>
      <c r="E313" s="47" t="n"/>
      <c r="F313" s="47" t="n"/>
      <c r="G313" s="47" t="n"/>
      <c r="H313" s="182" t="n"/>
      <c r="I313" s="163" t="n"/>
      <c r="J313" s="182" t="n"/>
      <c r="K313" s="168" t="n"/>
      <c r="L313" s="172" t="n"/>
      <c r="M313" s="182" t="n"/>
      <c r="N313" s="163" t="n"/>
      <c r="O313" s="163" t="n"/>
      <c r="P313" s="163" t="n">
        <v>7632.17</v>
      </c>
      <c r="Q313" s="163" t="n"/>
      <c r="R313" s="163" t="n"/>
      <c r="S313" s="182" t="n"/>
      <c r="T313" s="182" t="n"/>
      <c r="U313" s="182" t="n"/>
      <c r="V313" s="182" t="n"/>
      <c r="W313" s="182" t="n"/>
      <c r="X313" s="182" t="n"/>
      <c r="Y313" s="182" t="n"/>
      <c r="Z313" s="182" t="n"/>
      <c r="AA313" s="170" t="n"/>
      <c r="AB313" s="164" t="n"/>
      <c r="AC313" s="164" t="n"/>
      <c r="AD313" s="164" t="n"/>
      <c r="AE313" s="164" t="n"/>
      <c r="AF313" s="164" t="n"/>
      <c r="AG313" s="164" t="n"/>
      <c r="AH313" s="164" t="n"/>
      <c r="AI313" s="164" t="n"/>
      <c r="AJ313" s="164" t="n"/>
      <c r="AK313" s="164" t="n"/>
      <c r="AL313" s="96" t="n"/>
    </row>
    <row r="314">
      <c r="A314" s="27" t="n"/>
      <c r="B314" s="27" t="inlineStr">
        <is>
          <t>无客商-支付局代付清远市人民政府项目广</t>
        </is>
      </c>
      <c r="C314" s="27" t="n">
        <v/>
      </c>
      <c r="D314" s="32" t="n"/>
      <c r="E314" s="47" t="n"/>
      <c r="F314" s="47" t="n"/>
      <c r="G314" s="47" t="n"/>
      <c r="H314" s="182" t="n"/>
      <c r="I314" s="163" t="n"/>
      <c r="J314" s="182" t="n"/>
      <c r="K314" s="168" t="n"/>
      <c r="L314" s="172" t="n"/>
      <c r="M314" s="182" t="n"/>
      <c r="N314" s="163" t="n"/>
      <c r="O314" s="163" t="n"/>
      <c r="P314" s="163" t="n">
        <v>4455.45</v>
      </c>
      <c r="Q314" s="163" t="n"/>
      <c r="R314" s="163" t="n"/>
      <c r="S314" s="182" t="n"/>
      <c r="T314" s="182" t="n"/>
      <c r="U314" s="182" t="n"/>
      <c r="V314" s="182" t="n"/>
      <c r="W314" s="182" t="n"/>
      <c r="X314" s="182" t="n"/>
      <c r="Y314" s="182" t="n"/>
      <c r="Z314" s="182" t="n"/>
      <c r="AA314" s="170" t="n"/>
      <c r="AB314" s="164" t="n"/>
      <c r="AC314" s="164" t="n"/>
      <c r="AD314" s="164" t="n"/>
      <c r="AE314" s="164" t="n"/>
      <c r="AF314" s="164" t="n"/>
      <c r="AG314" s="164" t="n"/>
      <c r="AH314" s="164" t="n"/>
      <c r="AI314" s="164" t="n"/>
      <c r="AJ314" s="164" t="n"/>
      <c r="AK314" s="164" t="n"/>
      <c r="AL314" s="96" t="n"/>
    </row>
    <row r="315">
      <c r="A315" s="27" t="n"/>
      <c r="B315" s="27" t="inlineStr">
        <is>
          <t>无客商-支付局代付汤村复建区1号地块项</t>
        </is>
      </c>
      <c r="C315" s="27" t="n">
        <v/>
      </c>
      <c r="D315" s="32" t="n"/>
      <c r="E315" s="47" t="n"/>
      <c r="F315" s="47" t="n"/>
      <c r="G315" s="47" t="n"/>
      <c r="H315" s="182" t="n"/>
      <c r="I315" s="163" t="n"/>
      <c r="J315" s="182" t="n"/>
      <c r="K315" s="168" t="n"/>
      <c r="L315" s="172" t="n"/>
      <c r="M315" s="182" t="n"/>
      <c r="N315" s="163" t="n"/>
      <c r="O315" s="163" t="n"/>
      <c r="P315" s="163" t="n">
        <v>22437.12</v>
      </c>
      <c r="Q315" s="163" t="n"/>
      <c r="R315" s="163" t="n"/>
      <c r="S315" s="182" t="n"/>
      <c r="T315" s="182" t="n"/>
      <c r="U315" s="182" t="n"/>
      <c r="V315" s="182" t="n"/>
      <c r="W315" s="182" t="n"/>
      <c r="X315" s="182" t="n"/>
      <c r="Y315" s="182" t="n"/>
      <c r="Z315" s="182" t="n"/>
      <c r="AA315" s="170" t="n"/>
      <c r="AB315" s="164" t="n"/>
      <c r="AC315" s="164" t="n"/>
      <c r="AD315" s="164" t="n"/>
      <c r="AE315" s="164" t="n"/>
      <c r="AF315" s="164" t="n"/>
      <c r="AG315" s="164" t="n"/>
      <c r="AH315" s="164" t="n"/>
      <c r="AI315" s="164" t="n"/>
      <c r="AJ315" s="164" t="n"/>
      <c r="AK315" s="164" t="n"/>
      <c r="AL315" s="96" t="n"/>
    </row>
    <row r="316">
      <c r="A316" s="27" t="n"/>
      <c r="B316" s="27" t="inlineStr">
        <is>
          <t>无客商-支付天下行（广州）贸易有限公司</t>
        </is>
      </c>
      <c r="C316" s="27" t="n">
        <v/>
      </c>
      <c r="D316" s="32" t="n"/>
      <c r="E316" s="47" t="n"/>
      <c r="F316" s="47" t="n"/>
      <c r="G316" s="47" t="n"/>
      <c r="H316" s="182" t="n"/>
      <c r="I316" s="163" t="n"/>
      <c r="J316" s="182" t="n"/>
      <c r="K316" s="168" t="n"/>
      <c r="L316" s="172" t="n"/>
      <c r="M316" s="182" t="n"/>
      <c r="N316" s="163" t="n"/>
      <c r="O316" s="163" t="n"/>
      <c r="P316" s="163" t="n">
        <v>20851.5</v>
      </c>
      <c r="Q316" s="163" t="n"/>
      <c r="R316" s="163" t="n"/>
      <c r="S316" s="182" t="n"/>
      <c r="T316" s="182" t="n"/>
      <c r="U316" s="182" t="n"/>
      <c r="V316" s="182" t="n"/>
      <c r="W316" s="182" t="n"/>
      <c r="X316" s="182" t="n"/>
      <c r="Y316" s="182" t="n"/>
      <c r="Z316" s="182" t="n"/>
      <c r="AA316" s="170" t="n"/>
      <c r="AB316" s="164" t="n"/>
      <c r="AC316" s="164" t="n"/>
      <c r="AD316" s="164" t="n"/>
      <c r="AE316" s="164" t="n"/>
      <c r="AF316" s="164" t="n"/>
      <c r="AG316" s="164" t="n"/>
      <c r="AH316" s="164" t="n"/>
      <c r="AI316" s="164" t="n"/>
      <c r="AJ316" s="164" t="n"/>
      <c r="AK316" s="164" t="n"/>
      <c r="AL316" s="96" t="n"/>
    </row>
    <row r="317">
      <c r="A317" s="27" t="n"/>
      <c r="B317" s="27" t="inlineStr">
        <is>
          <t>无客商-支付南方2025年1月社保公积</t>
        </is>
      </c>
      <c r="C317" s="27" t="n">
        <v/>
      </c>
      <c r="D317" s="32" t="n"/>
      <c r="E317" s="47" t="n"/>
      <c r="F317" s="47" t="n"/>
      <c r="G317" s="47" t="n"/>
      <c r="H317" s="182" t="n"/>
      <c r="I317" s="163" t="n"/>
      <c r="J317" s="182" t="n"/>
      <c r="K317" s="168" t="n"/>
      <c r="L317" s="172" t="n"/>
      <c r="M317" s="182" t="n"/>
      <c r="N317" s="163" t="n"/>
      <c r="O317" s="163" t="n"/>
      <c r="P317" s="163" t="n">
        <v>1986.32</v>
      </c>
      <c r="Q317" s="163" t="n"/>
      <c r="R317" s="163" t="n"/>
      <c r="S317" s="182" t="n"/>
      <c r="T317" s="182" t="n"/>
      <c r="U317" s="182" t="n"/>
      <c r="V317" s="182" t="n"/>
      <c r="W317" s="182" t="n"/>
      <c r="X317" s="182" t="n"/>
      <c r="Y317" s="182" t="n"/>
      <c r="Z317" s="182" t="n"/>
      <c r="AA317" s="170" t="n"/>
      <c r="AB317" s="164" t="n"/>
      <c r="AC317" s="164" t="n"/>
      <c r="AD317" s="164" t="n"/>
      <c r="AE317" s="164" t="n"/>
      <c r="AF317" s="164" t="n"/>
      <c r="AG317" s="164" t="n"/>
      <c r="AH317" s="164" t="n"/>
      <c r="AI317" s="164" t="n"/>
      <c r="AJ317" s="164" t="n"/>
      <c r="AK317" s="164" t="n"/>
      <c r="AL317" s="96" t="n"/>
    </row>
    <row r="318">
      <c r="A318" s="27" t="n"/>
      <c r="B318" s="27" t="inlineStr">
        <is>
          <t>无客商-支付人力资源管理有限公司202</t>
        </is>
      </c>
      <c r="C318" s="27" t="n">
        <v/>
      </c>
      <c r="D318" s="32" t="n"/>
      <c r="E318" s="47" t="n"/>
      <c r="F318" s="47" t="n"/>
      <c r="G318" s="47" t="n"/>
      <c r="H318" s="182" t="n"/>
      <c r="I318" s="163" t="n"/>
      <c r="J318" s="182" t="n"/>
      <c r="K318" s="168" t="n"/>
      <c r="L318" s="172" t="n"/>
      <c r="M318" s="182" t="n"/>
      <c r="N318" s="163" t="n"/>
      <c r="O318" s="163" t="n"/>
      <c r="P318" s="163" t="n">
        <v>11072.17</v>
      </c>
      <c r="Q318" s="163" t="n"/>
      <c r="R318" s="163" t="n"/>
      <c r="S318" s="182" t="n"/>
      <c r="T318" s="182" t="n"/>
      <c r="U318" s="182" t="n"/>
      <c r="V318" s="182" t="n"/>
      <c r="W318" s="182" t="n"/>
      <c r="X318" s="182" t="n"/>
      <c r="Y318" s="182" t="n"/>
      <c r="Z318" s="182" t="n"/>
      <c r="AA318" s="170" t="n"/>
      <c r="AB318" s="164" t="n"/>
      <c r="AC318" s="164" t="n"/>
      <c r="AD318" s="164" t="n"/>
      <c r="AE318" s="164" t="n"/>
      <c r="AF318" s="164" t="n"/>
      <c r="AG318" s="164" t="n"/>
      <c r="AH318" s="164" t="n"/>
      <c r="AI318" s="164" t="n"/>
      <c r="AJ318" s="164" t="n"/>
      <c r="AK318" s="164" t="n"/>
      <c r="AL318" s="96" t="n"/>
    </row>
    <row r="319">
      <c r="A319" s="27" t="n"/>
      <c r="B319" s="27" t="inlineStr">
        <is>
          <t>无客商-支付中建四局城市运营服务有限公</t>
        </is>
      </c>
      <c r="C319" s="27" t="n">
        <v/>
      </c>
      <c r="D319" s="32" t="n"/>
      <c r="E319" s="47" t="n"/>
      <c r="F319" s="47" t="n"/>
      <c r="G319" s="47" t="n"/>
      <c r="H319" s="182" t="n"/>
      <c r="I319" s="163" t="n"/>
      <c r="J319" s="182" t="n"/>
      <c r="K319" s="168" t="n"/>
      <c r="L319" s="172" t="n"/>
      <c r="M319" s="182" t="n"/>
      <c r="N319" s="163" t="n"/>
      <c r="O319" s="163" t="n"/>
      <c r="P319" s="163" t="n">
        <v>305484.44</v>
      </c>
      <c r="Q319" s="163" t="n"/>
      <c r="R319" s="163" t="n"/>
      <c r="S319" s="182" t="n"/>
      <c r="T319" s="182" t="n"/>
      <c r="U319" s="182" t="n"/>
      <c r="V319" s="182" t="n"/>
      <c r="W319" s="182" t="n"/>
      <c r="X319" s="182" t="n"/>
      <c r="Y319" s="182" t="n"/>
      <c r="Z319" s="182" t="n"/>
      <c r="AA319" s="170" t="n"/>
      <c r="AB319" s="164" t="n"/>
      <c r="AC319" s="164" t="n"/>
      <c r="AD319" s="164" t="n"/>
      <c r="AE319" s="164" t="n"/>
      <c r="AF319" s="164" t="n"/>
      <c r="AG319" s="164" t="n"/>
      <c r="AH319" s="164" t="n"/>
      <c r="AI319" s="164" t="n"/>
      <c r="AJ319" s="164" t="n"/>
      <c r="AK319" s="164" t="n"/>
      <c r="AL319" s="96" t="n"/>
    </row>
    <row r="320">
      <c r="A320" s="27" t="n"/>
      <c r="B320" s="27" t="inlineStr">
        <is>
          <t>无客商-支付2025年8月办公用品集采</t>
        </is>
      </c>
      <c r="C320" s="27" t="n">
        <v/>
      </c>
      <c r="D320" s="32" t="n"/>
      <c r="E320" s="47" t="n"/>
      <c r="F320" s="47" t="n"/>
      <c r="G320" s="47" t="n"/>
      <c r="H320" s="182" t="n"/>
      <c r="I320" s="163" t="n"/>
      <c r="J320" s="182" t="n"/>
      <c r="K320" s="168" t="n"/>
      <c r="L320" s="172" t="n"/>
      <c r="M320" s="182" t="n"/>
      <c r="N320" s="163" t="n"/>
      <c r="O320" s="163" t="n"/>
      <c r="P320" s="163" t="n">
        <v>545.99</v>
      </c>
      <c r="Q320" s="163" t="n"/>
      <c r="R320" s="163" t="n"/>
      <c r="S320" s="182" t="n"/>
      <c r="T320" s="182" t="n"/>
      <c r="U320" s="182" t="n"/>
      <c r="V320" s="182" t="n"/>
      <c r="W320" s="182" t="n"/>
      <c r="X320" s="182" t="n"/>
      <c r="Y320" s="182" t="n"/>
      <c r="Z320" s="182" t="n"/>
      <c r="AA320" s="170" t="n"/>
      <c r="AB320" s="164" t="n"/>
      <c r="AC320" s="164" t="n"/>
      <c r="AD320" s="164" t="n"/>
      <c r="AE320" s="164" t="n"/>
      <c r="AF320" s="164" t="n"/>
      <c r="AG320" s="164" t="n"/>
      <c r="AH320" s="164" t="n"/>
      <c r="AI320" s="164" t="n"/>
      <c r="AJ320" s="164" t="n"/>
      <c r="AK320" s="164" t="n"/>
      <c r="AL320" s="96" t="n"/>
    </row>
    <row r="321">
      <c r="A321" s="27" t="n"/>
      <c r="B321" s="27" t="inlineStr">
        <is>
          <t>无客商-支付2024年8月汤村复1地块</t>
        </is>
      </c>
      <c r="C321" s="27" t="n">
        <v/>
      </c>
      <c r="D321" s="32" t="n"/>
      <c r="E321" s="47" t="n"/>
      <c r="F321" s="47" t="n"/>
      <c r="G321" s="47" t="n"/>
      <c r="H321" s="182" t="n"/>
      <c r="I321" s="163" t="n"/>
      <c r="J321" s="182" t="n"/>
      <c r="K321" s="168" t="n"/>
      <c r="L321" s="172" t="n"/>
      <c r="M321" s="182" t="n"/>
      <c r="N321" s="163" t="n"/>
      <c r="O321" s="163" t="n"/>
      <c r="P321" s="163" t="n">
        <v>3340</v>
      </c>
      <c r="Q321" s="163" t="n"/>
      <c r="R321" s="163" t="n"/>
      <c r="S321" s="182" t="n"/>
      <c r="T321" s="182" t="n"/>
      <c r="U321" s="182" t="n"/>
      <c r="V321" s="182" t="n"/>
      <c r="W321" s="182" t="n"/>
      <c r="X321" s="182" t="n"/>
      <c r="Y321" s="182" t="n"/>
      <c r="Z321" s="182" t="n"/>
      <c r="AA321" s="170" t="n"/>
      <c r="AB321" s="164" t="n"/>
      <c r="AC321" s="164" t="n"/>
      <c r="AD321" s="164" t="n"/>
      <c r="AE321" s="164" t="n"/>
      <c r="AF321" s="164" t="n"/>
      <c r="AG321" s="164" t="n"/>
      <c r="AH321" s="164" t="n"/>
      <c r="AI321" s="164" t="n"/>
      <c r="AJ321" s="164" t="n"/>
      <c r="AK321" s="164" t="n"/>
      <c r="AL321" s="96" t="n"/>
    </row>
    <row r="322">
      <c r="A322" s="27" t="n"/>
      <c r="B322" s="27" t="inlineStr">
        <is>
          <t>无客商-支付2024年12月峰行劳务费</t>
        </is>
      </c>
      <c r="C322" s="27" t="n">
        <v/>
      </c>
      <c r="D322" s="32" t="n"/>
      <c r="E322" s="47" t="n"/>
      <c r="F322" s="47" t="n"/>
      <c r="G322" s="47" t="n"/>
      <c r="H322" s="182" t="n"/>
      <c r="I322" s="163" t="n"/>
      <c r="J322" s="182" t="n"/>
      <c r="K322" s="168" t="n"/>
      <c r="L322" s="172" t="n"/>
      <c r="M322" s="182" t="n"/>
      <c r="N322" s="163" t="n"/>
      <c r="O322" s="163" t="n"/>
      <c r="P322" s="163" t="n">
        <v>3340</v>
      </c>
      <c r="Q322" s="163" t="n"/>
      <c r="R322" s="163" t="n"/>
      <c r="S322" s="182" t="n"/>
      <c r="T322" s="182" t="n"/>
      <c r="U322" s="182" t="n"/>
      <c r="V322" s="182" t="n"/>
      <c r="W322" s="182" t="n"/>
      <c r="X322" s="182" t="n"/>
      <c r="Y322" s="182" t="n"/>
      <c r="Z322" s="182" t="n"/>
      <c r="AA322" s="170" t="n"/>
      <c r="AB322" s="164" t="n"/>
      <c r="AC322" s="164" t="n"/>
      <c r="AD322" s="164" t="n"/>
      <c r="AE322" s="164" t="n"/>
      <c r="AF322" s="164" t="n"/>
      <c r="AG322" s="164" t="n"/>
      <c r="AH322" s="164" t="n"/>
      <c r="AI322" s="164" t="n"/>
      <c r="AJ322" s="164" t="n"/>
      <c r="AK322" s="164" t="n"/>
      <c r="AL322" s="96" t="n"/>
    </row>
    <row r="323">
      <c r="A323" s="27" t="n"/>
      <c r="B323" s="27" t="inlineStr">
        <is>
          <t>无客商-报销汤村项目贺栋邮寄费</t>
        </is>
      </c>
      <c r="C323" s="27" t="n">
        <v/>
      </c>
      <c r="D323" s="32" t="n"/>
      <c r="E323" s="47" t="n"/>
      <c r="F323" s="47" t="n"/>
      <c r="G323" s="47" t="n"/>
      <c r="H323" s="182" t="n"/>
      <c r="I323" s="163" t="n"/>
      <c r="J323" s="182" t="n"/>
      <c r="K323" s="168" t="n"/>
      <c r="L323" s="172" t="n"/>
      <c r="M323" s="182" t="n"/>
      <c r="N323" s="163" t="n"/>
      <c r="O323" s="163" t="n"/>
      <c r="P323" s="163" t="n">
        <v>120.57</v>
      </c>
      <c r="Q323" s="163" t="n"/>
      <c r="R323" s="163" t="n"/>
      <c r="S323" s="182" t="n"/>
      <c r="T323" s="182" t="n"/>
      <c r="U323" s="182" t="n"/>
      <c r="V323" s="182" t="n"/>
      <c r="W323" s="182" t="n"/>
      <c r="X323" s="182" t="n"/>
      <c r="Y323" s="182" t="n"/>
      <c r="Z323" s="182" t="n"/>
      <c r="AA323" s="170" t="n"/>
      <c r="AB323" s="164" t="n"/>
      <c r="AC323" s="164" t="n"/>
      <c r="AD323" s="164" t="n"/>
      <c r="AE323" s="164" t="n"/>
      <c r="AF323" s="164" t="n"/>
      <c r="AG323" s="164" t="n"/>
      <c r="AH323" s="164" t="n"/>
      <c r="AI323" s="164" t="n"/>
      <c r="AJ323" s="164" t="n"/>
      <c r="AK323" s="164" t="n"/>
      <c r="AL323" s="96" t="n"/>
    </row>
    <row r="324">
      <c r="A324" s="27" t="n"/>
      <c r="B324" s="27" t="inlineStr">
        <is>
          <t>无客商-报销汤村项目2024年4月公务</t>
        </is>
      </c>
      <c r="C324" s="27" t="n">
        <v/>
      </c>
      <c r="D324" s="32" t="n"/>
      <c r="E324" s="47" t="n"/>
      <c r="F324" s="47" t="n"/>
      <c r="G324" s="47" t="n"/>
      <c r="H324" s="182" t="n"/>
      <c r="I324" s="163" t="n"/>
      <c r="J324" s="182" t="n"/>
      <c r="K324" s="168" t="n"/>
      <c r="L324" s="172" t="n"/>
      <c r="M324" s="182" t="n"/>
      <c r="N324" s="163" t="n"/>
      <c r="O324" s="163" t="n"/>
      <c r="P324" s="163" t="n">
        <v>1202.99</v>
      </c>
      <c r="Q324" s="163" t="n"/>
      <c r="R324" s="163" t="n"/>
      <c r="S324" s="182" t="n"/>
      <c r="T324" s="182" t="n"/>
      <c r="U324" s="182" t="n"/>
      <c r="V324" s="182" t="n"/>
      <c r="W324" s="182" t="n"/>
      <c r="X324" s="182" t="n"/>
      <c r="Y324" s="182" t="n"/>
      <c r="Z324" s="182" t="n"/>
      <c r="AA324" s="170" t="n"/>
      <c r="AB324" s="164" t="n"/>
      <c r="AC324" s="164" t="n"/>
      <c r="AD324" s="164" t="n"/>
      <c r="AE324" s="164" t="n"/>
      <c r="AF324" s="164" t="n"/>
      <c r="AG324" s="164" t="n"/>
      <c r="AH324" s="164" t="n"/>
      <c r="AI324" s="164" t="n"/>
      <c r="AJ324" s="164" t="n"/>
      <c r="AK324" s="164" t="n"/>
      <c r="AL324" s="96" t="n"/>
    </row>
    <row r="325">
      <c r="A325" s="27" t="n"/>
      <c r="B325" s="27" t="inlineStr">
        <is>
          <t>无客商-报销汤村项目2024年3月公务</t>
        </is>
      </c>
      <c r="C325" s="27" t="n">
        <v/>
      </c>
      <c r="D325" s="32" t="n"/>
      <c r="E325" s="47" t="n"/>
      <c r="F325" s="47" t="n"/>
      <c r="G325" s="47" t="n"/>
      <c r="H325" s="182" t="n"/>
      <c r="I325" s="163" t="n"/>
      <c r="J325" s="182" t="n"/>
      <c r="K325" s="168" t="n"/>
      <c r="L325" s="172" t="n"/>
      <c r="M325" s="182" t="n"/>
      <c r="N325" s="163" t="n"/>
      <c r="O325" s="163" t="n"/>
      <c r="P325" s="163" t="n">
        <v>1021.65</v>
      </c>
      <c r="Q325" s="163" t="n"/>
      <c r="R325" s="163" t="n"/>
      <c r="S325" s="182" t="n"/>
      <c r="T325" s="182" t="n"/>
      <c r="U325" s="182" t="n"/>
      <c r="V325" s="182" t="n"/>
      <c r="W325" s="182" t="n"/>
      <c r="X325" s="182" t="n"/>
      <c r="Y325" s="182" t="n"/>
      <c r="Z325" s="182" t="n"/>
      <c r="AA325" s="170" t="n"/>
      <c r="AB325" s="164" t="n"/>
      <c r="AC325" s="164" t="n"/>
      <c r="AD325" s="164" t="n"/>
      <c r="AE325" s="164" t="n"/>
      <c r="AF325" s="164" t="n"/>
      <c r="AG325" s="164" t="n"/>
      <c r="AH325" s="164" t="n"/>
      <c r="AI325" s="164" t="n"/>
      <c r="AJ325" s="164" t="n"/>
      <c r="AK325" s="164" t="n"/>
      <c r="AL325" s="96" t="n"/>
    </row>
    <row r="326">
      <c r="A326" s="27" t="n"/>
      <c r="B326" s="27" t="inlineStr">
        <is>
          <t>无客商-对外成本费用支付复一项目（20</t>
        </is>
      </c>
      <c r="C326" s="27" t="n">
        <v/>
      </c>
      <c r="D326" s="32" t="n"/>
      <c r="E326" s="47" t="n"/>
      <c r="F326" s="47" t="n"/>
      <c r="G326" s="47" t="n"/>
      <c r="H326" s="182" t="n"/>
      <c r="I326" s="163" t="n"/>
      <c r="J326" s="182" t="n"/>
      <c r="K326" s="168" t="n"/>
      <c r="L326" s="172" t="n"/>
      <c r="M326" s="182" t="n"/>
      <c r="N326" s="163" t="n"/>
      <c r="O326" s="163" t="n"/>
      <c r="P326" s="163" t="n">
        <v>112870</v>
      </c>
      <c r="Q326" s="163" t="n"/>
      <c r="R326" s="163" t="n"/>
      <c r="S326" s="182" t="n"/>
      <c r="T326" s="182" t="n"/>
      <c r="U326" s="182" t="n"/>
      <c r="V326" s="182" t="n"/>
      <c r="W326" s="182" t="n"/>
      <c r="X326" s="182" t="n"/>
      <c r="Y326" s="182" t="n"/>
      <c r="Z326" s="182" t="n"/>
      <c r="AA326" s="170" t="n"/>
      <c r="AB326" s="164" t="n"/>
      <c r="AC326" s="164" t="n"/>
      <c r="AD326" s="164" t="n"/>
      <c r="AE326" s="164" t="n"/>
      <c r="AF326" s="164" t="n"/>
      <c r="AG326" s="164" t="n"/>
      <c r="AH326" s="164" t="n"/>
      <c r="AI326" s="164" t="n"/>
      <c r="AJ326" s="164" t="n"/>
      <c r="AK326" s="164" t="n"/>
      <c r="AL326" s="96" t="n"/>
    </row>
    <row r="327">
      <c r="A327" s="27" t="n"/>
      <c r="B327" s="27" t="inlineStr">
        <is>
          <t>无客商-发放汤村项目复建区1号管理人员</t>
        </is>
      </c>
      <c r="C327" s="27" t="n">
        <v/>
      </c>
      <c r="D327" s="32" t="n"/>
      <c r="E327" s="47" t="n"/>
      <c r="F327" s="47" t="n"/>
      <c r="G327" s="47" t="n"/>
      <c r="H327" s="182" t="n"/>
      <c r="I327" s="163" t="n"/>
      <c r="J327" s="182" t="n"/>
      <c r="K327" s="168" t="n"/>
      <c r="L327" s="172" t="n"/>
      <c r="M327" s="182" t="n"/>
      <c r="N327" s="163" t="n"/>
      <c r="O327" s="163" t="n"/>
      <c r="P327" s="163" t="n">
        <v>50096.67</v>
      </c>
      <c r="Q327" s="163" t="n"/>
      <c r="R327" s="163" t="n"/>
      <c r="S327" s="182" t="n"/>
      <c r="T327" s="182" t="n"/>
      <c r="U327" s="182" t="n"/>
      <c r="V327" s="182" t="n"/>
      <c r="W327" s="182" t="n"/>
      <c r="X327" s="182" t="n"/>
      <c r="Y327" s="182" t="n"/>
      <c r="Z327" s="182" t="n"/>
      <c r="AA327" s="170" t="n"/>
      <c r="AB327" s="164" t="n"/>
      <c r="AC327" s="164" t="n"/>
      <c r="AD327" s="164" t="n"/>
      <c r="AE327" s="164" t="n"/>
      <c r="AF327" s="164" t="n"/>
      <c r="AG327" s="164" t="n"/>
      <c r="AH327" s="164" t="n"/>
      <c r="AI327" s="164" t="n"/>
      <c r="AJ327" s="164" t="n"/>
      <c r="AK327" s="164" t="n"/>
      <c r="AL327" s="96" t="n"/>
    </row>
    <row r="328">
      <c r="A328" s="27" t="n"/>
      <c r="B328" s="27" t="inlineStr">
        <is>
          <t>无客商-发放汤村旧改复建区1号地块管理</t>
        </is>
      </c>
      <c r="C328" s="27" t="n">
        <v/>
      </c>
      <c r="D328" s="32" t="n"/>
      <c r="E328" s="47" t="n"/>
      <c r="F328" s="47" t="n"/>
      <c r="G328" s="47" t="n"/>
      <c r="H328" s="182" t="n"/>
      <c r="I328" s="163" t="n"/>
      <c r="J328" s="182" t="n"/>
      <c r="K328" s="168" t="n"/>
      <c r="L328" s="172" t="n"/>
      <c r="M328" s="182" t="n"/>
      <c r="N328" s="163" t="n"/>
      <c r="O328" s="163" t="n"/>
      <c r="P328" s="163" t="n">
        <v>44360</v>
      </c>
      <c r="Q328" s="163" t="n"/>
      <c r="R328" s="163" t="n"/>
      <c r="S328" s="182" t="n"/>
      <c r="T328" s="182" t="n"/>
      <c r="U328" s="182" t="n"/>
      <c r="V328" s="182" t="n"/>
      <c r="W328" s="182" t="n"/>
      <c r="X328" s="182" t="n"/>
      <c r="Y328" s="182" t="n"/>
      <c r="Z328" s="182" t="n"/>
      <c r="AA328" s="170" t="n"/>
      <c r="AB328" s="164" t="n"/>
      <c r="AC328" s="164" t="n"/>
      <c r="AD328" s="164" t="n"/>
      <c r="AE328" s="164" t="n"/>
      <c r="AF328" s="164" t="n"/>
      <c r="AG328" s="164" t="n"/>
      <c r="AH328" s="164" t="n"/>
      <c r="AI328" s="164" t="n"/>
      <c r="AJ328" s="164" t="n"/>
      <c r="AK328" s="164" t="n"/>
      <c r="AL328" s="96" t="n"/>
    </row>
    <row r="329">
      <c r="A329" s="27" t="n"/>
      <c r="B329" s="27" t="inlineStr">
        <is>
          <t>无客商-发放汤村旧改复建区1号地块20</t>
        </is>
      </c>
      <c r="C329" s="27" t="n">
        <v/>
      </c>
      <c r="D329" s="32" t="n"/>
      <c r="E329" s="47" t="n"/>
      <c r="F329" s="47" t="n"/>
      <c r="G329" s="47" t="n"/>
      <c r="H329" s="182" t="n"/>
      <c r="I329" s="163" t="n"/>
      <c r="J329" s="182" t="n"/>
      <c r="K329" s="168" t="n"/>
      <c r="L329" s="172" t="n"/>
      <c r="M329" s="182" t="n"/>
      <c r="N329" s="163" t="n"/>
      <c r="O329" s="163" t="n"/>
      <c r="P329" s="163" t="n">
        <v>41780</v>
      </c>
      <c r="Q329" s="163" t="n"/>
      <c r="R329" s="163" t="n"/>
      <c r="S329" s="182" t="n"/>
      <c r="T329" s="182" t="n"/>
      <c r="U329" s="182" t="n"/>
      <c r="V329" s="182" t="n"/>
      <c r="W329" s="182" t="n"/>
      <c r="X329" s="182" t="n"/>
      <c r="Y329" s="182" t="n"/>
      <c r="Z329" s="182" t="n"/>
      <c r="AA329" s="170" t="n"/>
      <c r="AB329" s="164" t="n"/>
      <c r="AC329" s="164" t="n"/>
      <c r="AD329" s="164" t="n"/>
      <c r="AE329" s="164" t="n"/>
      <c r="AF329" s="164" t="n"/>
      <c r="AG329" s="164" t="n"/>
      <c r="AH329" s="164" t="n"/>
      <c r="AI329" s="164" t="n"/>
      <c r="AJ329" s="164" t="n"/>
      <c r="AK329" s="164" t="n"/>
      <c r="AL329" s="96" t="n"/>
    </row>
    <row r="330">
      <c r="A330" s="27" t="n"/>
      <c r="B330" s="27" t="inlineStr">
        <is>
          <t>无客商-发放汤村旧改复建区1号2025</t>
        </is>
      </c>
      <c r="C330" s="27" t="n">
        <v/>
      </c>
      <c r="D330" s="32" t="n"/>
      <c r="E330" s="47" t="n"/>
      <c r="F330" s="47" t="n"/>
      <c r="G330" s="47" t="n"/>
      <c r="H330" s="182" t="n"/>
      <c r="I330" s="163" t="n"/>
      <c r="J330" s="182" t="n"/>
      <c r="K330" s="168" t="n"/>
      <c r="L330" s="172" t="n"/>
      <c r="M330" s="182" t="n"/>
      <c r="N330" s="163" t="n"/>
      <c r="O330" s="163" t="n"/>
      <c r="P330" s="163" t="n">
        <v>18760</v>
      </c>
      <c r="Q330" s="163" t="n"/>
      <c r="R330" s="163" t="n"/>
      <c r="S330" s="182" t="n"/>
      <c r="T330" s="182" t="n"/>
      <c r="U330" s="182" t="n"/>
      <c r="V330" s="182" t="n"/>
      <c r="W330" s="182" t="n"/>
      <c r="X330" s="182" t="n"/>
      <c r="Y330" s="182" t="n"/>
      <c r="Z330" s="182" t="n"/>
      <c r="AA330" s="170" t="n"/>
      <c r="AB330" s="164" t="n"/>
      <c r="AC330" s="164" t="n"/>
      <c r="AD330" s="164" t="n"/>
      <c r="AE330" s="164" t="n"/>
      <c r="AF330" s="164" t="n"/>
      <c r="AG330" s="164" t="n"/>
      <c r="AH330" s="164" t="n"/>
      <c r="AI330" s="164" t="n"/>
      <c r="AJ330" s="164" t="n"/>
      <c r="AK330" s="164" t="n"/>
      <c r="AL330" s="96" t="n"/>
    </row>
    <row r="331">
      <c r="A331" s="27" t="n"/>
      <c r="B331" s="27" t="inlineStr">
        <is>
          <t>无客商-发放汤村旧改复建区1号2024</t>
        </is>
      </c>
      <c r="C331" s="27" t="n">
        <v/>
      </c>
      <c r="D331" s="32" t="n"/>
      <c r="E331" s="47" t="n"/>
      <c r="F331" s="47" t="n"/>
      <c r="G331" s="47" t="n"/>
      <c r="H331" s="182" t="n"/>
      <c r="I331" s="163" t="n"/>
      <c r="J331" s="182" t="n"/>
      <c r="K331" s="168" t="n"/>
      <c r="L331" s="172" t="n"/>
      <c r="M331" s="182" t="n"/>
      <c r="N331" s="163" t="n"/>
      <c r="O331" s="163" t="n"/>
      <c r="P331" s="163" t="n">
        <v>3500</v>
      </c>
      <c r="Q331" s="163" t="n"/>
      <c r="R331" s="163" t="n"/>
      <c r="S331" s="182" t="n"/>
      <c r="T331" s="182" t="n"/>
      <c r="U331" s="182" t="n"/>
      <c r="V331" s="182" t="n"/>
      <c r="W331" s="182" t="n"/>
      <c r="X331" s="182" t="n"/>
      <c r="Y331" s="182" t="n"/>
      <c r="Z331" s="182" t="n"/>
      <c r="AA331" s="170" t="n"/>
      <c r="AB331" s="164" t="n"/>
      <c r="AC331" s="164" t="n"/>
      <c r="AD331" s="164" t="n"/>
      <c r="AE331" s="164" t="n"/>
      <c r="AF331" s="164" t="n"/>
      <c r="AG331" s="164" t="n"/>
      <c r="AH331" s="164" t="n"/>
      <c r="AI331" s="164" t="n"/>
      <c r="AJ331" s="164" t="n"/>
      <c r="AK331" s="164" t="n"/>
      <c r="AL331" s="96" t="n"/>
    </row>
    <row r="332">
      <c r="A332" s="27" t="n"/>
      <c r="B332" s="27" t="inlineStr">
        <is>
          <t>无客商-发放复建区1号地块2022年7</t>
        </is>
      </c>
      <c r="C332" s="27" t="n">
        <v/>
      </c>
      <c r="D332" s="32" t="n"/>
      <c r="E332" s="47" t="n"/>
      <c r="F332" s="47" t="n"/>
      <c r="G332" s="47" t="n"/>
      <c r="H332" s="182" t="n"/>
      <c r="I332" s="163" t="n"/>
      <c r="J332" s="182" t="n"/>
      <c r="K332" s="168" t="n"/>
      <c r="L332" s="172" t="n"/>
      <c r="M332" s="182" t="n"/>
      <c r="N332" s="163" t="n"/>
      <c r="O332" s="163" t="n"/>
      <c r="P332" s="163" t="n">
        <v>15550</v>
      </c>
      <c r="Q332" s="163" t="n"/>
      <c r="R332" s="163" t="n"/>
      <c r="S332" s="182" t="n"/>
      <c r="T332" s="182" t="n"/>
      <c r="U332" s="182" t="n"/>
      <c r="V332" s="182" t="n"/>
      <c r="W332" s="182" t="n"/>
      <c r="X332" s="182" t="n"/>
      <c r="Y332" s="182" t="n"/>
      <c r="Z332" s="182" t="n"/>
      <c r="AA332" s="170" t="n"/>
      <c r="AB332" s="164" t="n"/>
      <c r="AC332" s="164" t="n"/>
      <c r="AD332" s="164" t="n"/>
      <c r="AE332" s="164" t="n"/>
      <c r="AF332" s="164" t="n"/>
      <c r="AG332" s="164" t="n"/>
      <c r="AH332" s="164" t="n"/>
      <c r="AI332" s="164" t="n"/>
      <c r="AJ332" s="164" t="n"/>
      <c r="AK332" s="164" t="n"/>
      <c r="AL332" s="96" t="n"/>
    </row>
    <row r="333">
      <c r="A333" s="27" t="n"/>
      <c r="B333" s="27" t="inlineStr">
        <is>
          <t>无客商-发放复建区1号地块2022年6</t>
        </is>
      </c>
      <c r="C333" s="27" t="n">
        <v/>
      </c>
      <c r="D333" s="32" t="n"/>
      <c r="E333" s="47" t="n"/>
      <c r="F333" s="47" t="n"/>
      <c r="G333" s="47" t="n"/>
      <c r="H333" s="182" t="n"/>
      <c r="I333" s="163" t="n"/>
      <c r="J333" s="182" t="n"/>
      <c r="K333" s="168" t="n"/>
      <c r="L333" s="172" t="n"/>
      <c r="M333" s="182" t="n"/>
      <c r="N333" s="163" t="n"/>
      <c r="O333" s="163" t="n"/>
      <c r="P333" s="163" t="n">
        <v>6110</v>
      </c>
      <c r="Q333" s="163" t="n"/>
      <c r="R333" s="163" t="n"/>
      <c r="S333" s="182" t="n"/>
      <c r="T333" s="182" t="n"/>
      <c r="U333" s="182" t="n"/>
      <c r="V333" s="182" t="n"/>
      <c r="W333" s="182" t="n"/>
      <c r="X333" s="182" t="n"/>
      <c r="Y333" s="182" t="n"/>
      <c r="Z333" s="182" t="n"/>
      <c r="AA333" s="170" t="n"/>
      <c r="AB333" s="164" t="n"/>
      <c r="AC333" s="164" t="n"/>
      <c r="AD333" s="164" t="n"/>
      <c r="AE333" s="164" t="n"/>
      <c r="AF333" s="164" t="n"/>
      <c r="AG333" s="164" t="n"/>
      <c r="AH333" s="164" t="n"/>
      <c r="AI333" s="164" t="n"/>
      <c r="AJ333" s="164" t="n"/>
      <c r="AK333" s="164" t="n"/>
      <c r="AL333" s="96" t="n"/>
    </row>
    <row r="334">
      <c r="A334" s="27" t="n"/>
      <c r="B334" s="27" t="inlineStr">
        <is>
          <t>无客商-发放复建区1号地块2022年5</t>
        </is>
      </c>
      <c r="C334" s="27" t="n">
        <v/>
      </c>
      <c r="D334" s="32" t="n"/>
      <c r="E334" s="47" t="n"/>
      <c r="F334" s="47" t="n"/>
      <c r="G334" s="47" t="n"/>
      <c r="H334" s="182" t="n"/>
      <c r="I334" s="163" t="n"/>
      <c r="J334" s="182" t="n"/>
      <c r="K334" s="168" t="n"/>
      <c r="L334" s="172" t="n"/>
      <c r="M334" s="182" t="n"/>
      <c r="N334" s="163" t="n"/>
      <c r="O334" s="163" t="n"/>
      <c r="P334" s="163" t="n">
        <v>6350</v>
      </c>
      <c r="Q334" s="163" t="n"/>
      <c r="R334" s="163" t="n"/>
      <c r="S334" s="182" t="n"/>
      <c r="T334" s="182" t="n"/>
      <c r="U334" s="182" t="n"/>
      <c r="V334" s="182" t="n"/>
      <c r="W334" s="182" t="n"/>
      <c r="X334" s="182" t="n"/>
      <c r="Y334" s="182" t="n"/>
      <c r="Z334" s="182" t="n"/>
      <c r="AA334" s="170" t="n"/>
      <c r="AB334" s="164" t="n"/>
      <c r="AC334" s="164" t="n"/>
      <c r="AD334" s="164" t="n"/>
      <c r="AE334" s="164" t="n"/>
      <c r="AF334" s="164" t="n"/>
      <c r="AG334" s="164" t="n"/>
      <c r="AH334" s="164" t="n"/>
      <c r="AI334" s="164" t="n"/>
      <c r="AJ334" s="164" t="n"/>
      <c r="AK334" s="164" t="n"/>
      <c r="AL334" s="96" t="n"/>
    </row>
    <row r="335">
      <c r="A335" s="27" t="n"/>
      <c r="B335" s="27" t="inlineStr">
        <is>
          <t>无客商-发放复建区1号地块2022年4</t>
        </is>
      </c>
      <c r="C335" s="27" t="n">
        <v/>
      </c>
      <c r="D335" s="32" t="n"/>
      <c r="E335" s="47" t="n"/>
      <c r="F335" s="47" t="n"/>
      <c r="G335" s="47" t="n"/>
      <c r="H335" s="182" t="n"/>
      <c r="I335" s="163" t="n"/>
      <c r="J335" s="182" t="n"/>
      <c r="K335" s="168" t="n"/>
      <c r="L335" s="172" t="n"/>
      <c r="M335" s="182" t="n"/>
      <c r="N335" s="163" t="n"/>
      <c r="O335" s="163" t="n"/>
      <c r="P335" s="163" t="n">
        <v>6150</v>
      </c>
      <c r="Q335" s="163" t="n"/>
      <c r="R335" s="163" t="n"/>
      <c r="S335" s="182" t="n"/>
      <c r="T335" s="182" t="n"/>
      <c r="U335" s="182" t="n"/>
      <c r="V335" s="182" t="n"/>
      <c r="W335" s="182" t="n"/>
      <c r="X335" s="182" t="n"/>
      <c r="Y335" s="182" t="n"/>
      <c r="Z335" s="182" t="n"/>
      <c r="AA335" s="170" t="n"/>
      <c r="AB335" s="164" t="n"/>
      <c r="AC335" s="164" t="n"/>
      <c r="AD335" s="164" t="n"/>
      <c r="AE335" s="164" t="n"/>
      <c r="AF335" s="164" t="n"/>
      <c r="AG335" s="164" t="n"/>
      <c r="AH335" s="164" t="n"/>
      <c r="AI335" s="164" t="n"/>
      <c r="AJ335" s="164" t="n"/>
      <c r="AK335" s="164" t="n"/>
      <c r="AL335" s="96" t="n"/>
    </row>
    <row r="336">
      <c r="A336" s="27" t="n"/>
      <c r="B336" s="27" t="inlineStr">
        <is>
          <t>无客商-发放复建区1号地块2022年3</t>
        </is>
      </c>
      <c r="C336" s="27" t="n">
        <v/>
      </c>
      <c r="D336" s="32" t="n"/>
      <c r="E336" s="47" t="n"/>
      <c r="F336" s="47" t="n"/>
      <c r="G336" s="47" t="n"/>
      <c r="H336" s="182" t="n"/>
      <c r="I336" s="163" t="n"/>
      <c r="J336" s="182" t="n"/>
      <c r="K336" s="168" t="n"/>
      <c r="L336" s="172" t="n"/>
      <c r="M336" s="182" t="n"/>
      <c r="N336" s="163" t="n"/>
      <c r="O336" s="163" t="n"/>
      <c r="P336" s="163" t="n">
        <v>5882.26</v>
      </c>
      <c r="Q336" s="163" t="n"/>
      <c r="R336" s="163" t="n"/>
      <c r="S336" s="182" t="n"/>
      <c r="T336" s="182" t="n"/>
      <c r="U336" s="182" t="n"/>
      <c r="V336" s="182" t="n"/>
      <c r="W336" s="182" t="n"/>
      <c r="X336" s="182" t="n"/>
      <c r="Y336" s="182" t="n"/>
      <c r="Z336" s="182" t="n"/>
      <c r="AA336" s="170" t="n"/>
      <c r="AB336" s="164" t="n"/>
      <c r="AC336" s="164" t="n"/>
      <c r="AD336" s="164" t="n"/>
      <c r="AE336" s="164" t="n"/>
      <c r="AF336" s="164" t="n"/>
      <c r="AG336" s="164" t="n"/>
      <c r="AH336" s="164" t="n"/>
      <c r="AI336" s="164" t="n"/>
      <c r="AJ336" s="164" t="n"/>
      <c r="AK336" s="164" t="n"/>
      <c r="AL336" s="96" t="n"/>
    </row>
    <row r="337">
      <c r="A337" s="27" t="n"/>
      <c r="B337" s="27" t="inlineStr">
        <is>
          <t>无客商-发放复建区1号地块2022年2</t>
        </is>
      </c>
      <c r="C337" s="27" t="n">
        <v/>
      </c>
      <c r="D337" s="32" t="n"/>
      <c r="E337" s="47" t="n"/>
      <c r="F337" s="47" t="n"/>
      <c r="G337" s="47" t="n"/>
      <c r="H337" s="182" t="n"/>
      <c r="I337" s="163" t="n"/>
      <c r="J337" s="182" t="n"/>
      <c r="K337" s="168" t="n"/>
      <c r="L337" s="172" t="n"/>
      <c r="M337" s="182" t="n"/>
      <c r="N337" s="163" t="n"/>
      <c r="O337" s="163" t="n"/>
      <c r="P337" s="163" t="n">
        <v>5807.86</v>
      </c>
      <c r="Q337" s="163" t="n"/>
      <c r="R337" s="163" t="n"/>
      <c r="S337" s="182" t="n"/>
      <c r="T337" s="182" t="n"/>
      <c r="U337" s="182" t="n"/>
      <c r="V337" s="182" t="n"/>
      <c r="W337" s="182" t="n"/>
      <c r="X337" s="182" t="n"/>
      <c r="Y337" s="182" t="n"/>
      <c r="Z337" s="182" t="n"/>
      <c r="AA337" s="170" t="n"/>
      <c r="AB337" s="164" t="n"/>
      <c r="AC337" s="164" t="n"/>
      <c r="AD337" s="164" t="n"/>
      <c r="AE337" s="164" t="n"/>
      <c r="AF337" s="164" t="n"/>
      <c r="AG337" s="164" t="n"/>
      <c r="AH337" s="164" t="n"/>
      <c r="AI337" s="164" t="n"/>
      <c r="AJ337" s="164" t="n"/>
      <c r="AK337" s="164" t="n"/>
      <c r="AL337" s="96" t="n"/>
    </row>
    <row r="338">
      <c r="A338" s="27" t="n"/>
      <c r="B338" s="27" t="inlineStr">
        <is>
          <t>无客商-发放复建区1号地块2022年1</t>
        </is>
      </c>
      <c r="C338" s="27" t="n">
        <v/>
      </c>
      <c r="D338" s="32" t="n"/>
      <c r="E338" s="47" t="n"/>
      <c r="F338" s="47" t="n"/>
      <c r="G338" s="47" t="n"/>
      <c r="H338" s="182" t="n"/>
      <c r="I338" s="163" t="n"/>
      <c r="J338" s="182" t="n"/>
      <c r="K338" s="168" t="n"/>
      <c r="L338" s="172" t="n"/>
      <c r="M338" s="182" t="n"/>
      <c r="N338" s="163" t="n"/>
      <c r="O338" s="163" t="n"/>
      <c r="P338" s="163" t="n">
        <v>5800</v>
      </c>
      <c r="Q338" s="163" t="n"/>
      <c r="R338" s="163" t="n"/>
      <c r="S338" s="182" t="n"/>
      <c r="T338" s="182" t="n"/>
      <c r="U338" s="182" t="n"/>
      <c r="V338" s="182" t="n"/>
      <c r="W338" s="182" t="n"/>
      <c r="X338" s="182" t="n"/>
      <c r="Y338" s="182" t="n"/>
      <c r="Z338" s="182" t="n"/>
      <c r="AA338" s="170" t="n"/>
      <c r="AB338" s="164" t="n"/>
      <c r="AC338" s="164" t="n"/>
      <c r="AD338" s="164" t="n"/>
      <c r="AE338" s="164" t="n"/>
      <c r="AF338" s="164" t="n"/>
      <c r="AG338" s="164" t="n"/>
      <c r="AH338" s="164" t="n"/>
      <c r="AI338" s="164" t="n"/>
      <c r="AJ338" s="164" t="n"/>
      <c r="AK338" s="164" t="n"/>
      <c r="AL338" s="96" t="n"/>
    </row>
    <row r="339">
      <c r="A339" s="27" t="n"/>
      <c r="B339" s="27" t="inlineStr">
        <is>
          <t>无客商-发放复建区1号地块2021年1</t>
        </is>
      </c>
      <c r="C339" s="27" t="n">
        <v/>
      </c>
      <c r="D339" s="32" t="n"/>
      <c r="E339" s="47" t="n"/>
      <c r="F339" s="47" t="n"/>
      <c r="G339" s="47" t="n"/>
      <c r="H339" s="182" t="n"/>
      <c r="I339" s="163" t="n"/>
      <c r="J339" s="182" t="n"/>
      <c r="K339" s="168" t="n"/>
      <c r="L339" s="172" t="n"/>
      <c r="M339" s="182" t="n"/>
      <c r="N339" s="163" t="n"/>
      <c r="O339" s="163" t="n"/>
      <c r="P339" s="163" t="n">
        <v>11631.67</v>
      </c>
      <c r="Q339" s="163" t="n"/>
      <c r="R339" s="163" t="n"/>
      <c r="S339" s="182" t="n"/>
      <c r="T339" s="182" t="n"/>
      <c r="U339" s="182" t="n"/>
      <c r="V339" s="182" t="n"/>
      <c r="W339" s="182" t="n"/>
      <c r="X339" s="182" t="n"/>
      <c r="Y339" s="182" t="n"/>
      <c r="Z339" s="182" t="n"/>
      <c r="AA339" s="170" t="n"/>
      <c r="AB339" s="164" t="n"/>
      <c r="AC339" s="164" t="n"/>
      <c r="AD339" s="164" t="n"/>
      <c r="AE339" s="164" t="n"/>
      <c r="AF339" s="164" t="n"/>
      <c r="AG339" s="164" t="n"/>
      <c r="AH339" s="164" t="n"/>
      <c r="AI339" s="164" t="n"/>
      <c r="AJ339" s="164" t="n"/>
      <c r="AK339" s="164" t="n"/>
      <c r="AL339" s="96" t="n"/>
    </row>
    <row r="340">
      <c r="A340" s="27" t="n"/>
      <c r="B340" s="27" t="inlineStr">
        <is>
          <t>无客商-付中建四局城市运营服务有限公司</t>
        </is>
      </c>
      <c r="C340" s="27" t="n">
        <v/>
      </c>
      <c r="D340" s="32" t="n"/>
      <c r="E340" s="47" t="n"/>
      <c r="F340" s="47" t="n"/>
      <c r="G340" s="47" t="n"/>
      <c r="H340" s="182" t="n"/>
      <c r="I340" s="163" t="n"/>
      <c r="J340" s="182" t="n"/>
      <c r="K340" s="168" t="n"/>
      <c r="L340" s="172" t="n"/>
      <c r="M340" s="182" t="n"/>
      <c r="N340" s="163" t="n"/>
      <c r="O340" s="163" t="n"/>
      <c r="P340" s="163" t="n">
        <v>19481.21</v>
      </c>
      <c r="Q340" s="163" t="n"/>
      <c r="R340" s="163" t="n"/>
      <c r="S340" s="182" t="n"/>
      <c r="T340" s="182" t="n"/>
      <c r="U340" s="182" t="n"/>
      <c r="V340" s="182" t="n"/>
      <c r="W340" s="182" t="n"/>
      <c r="X340" s="182" t="n"/>
      <c r="Y340" s="182" t="n"/>
      <c r="Z340" s="182" t="n"/>
      <c r="AA340" s="170" t="n"/>
      <c r="AB340" s="164" t="n"/>
      <c r="AC340" s="164" t="n"/>
      <c r="AD340" s="164" t="n"/>
      <c r="AE340" s="164" t="n"/>
      <c r="AF340" s="164" t="n"/>
      <c r="AG340" s="164" t="n"/>
      <c r="AH340" s="164" t="n"/>
      <c r="AI340" s="164" t="n"/>
      <c r="AJ340" s="164" t="n"/>
      <c r="AK340" s="164" t="n"/>
      <c r="AL340" s="96" t="n"/>
    </row>
    <row r="341">
      <c r="A341" s="27" t="n"/>
      <c r="B341" s="27" t="inlineStr">
        <is>
          <t>无客商-AFB/01/2026/003</t>
        </is>
      </c>
      <c r="C341" s="27" t="n">
        <v/>
      </c>
      <c r="D341" s="32" t="n"/>
      <c r="E341" s="47" t="n"/>
      <c r="F341" s="47" t="n"/>
      <c r="G341" s="47" t="n"/>
      <c r="H341" s="182" t="n"/>
      <c r="I341" s="163" t="n"/>
      <c r="J341" s="182" t="n"/>
      <c r="K341" s="168" t="n"/>
      <c r="L341" s="172" t="n"/>
      <c r="M341" s="182" t="n"/>
      <c r="N341" s="163" t="n"/>
      <c r="O341" s="163" t="n"/>
      <c r="P341" s="163" t="n">
        <v>224.13</v>
      </c>
      <c r="Q341" s="163" t="n"/>
      <c r="R341" s="163" t="n"/>
      <c r="S341" s="182" t="n"/>
      <c r="T341" s="182" t="n"/>
      <c r="U341" s="182" t="n"/>
      <c r="V341" s="182" t="n"/>
      <c r="W341" s="182" t="n"/>
      <c r="X341" s="182" t="n"/>
      <c r="Y341" s="182" t="n"/>
      <c r="Z341" s="182" t="n"/>
      <c r="AA341" s="170" t="n"/>
      <c r="AB341" s="164" t="n"/>
      <c r="AC341" s="164" t="n"/>
      <c r="AD341" s="164" t="n"/>
      <c r="AE341" s="164" t="n"/>
      <c r="AF341" s="164" t="n"/>
      <c r="AG341" s="164" t="n"/>
      <c r="AH341" s="164" t="n"/>
      <c r="AI341" s="164" t="n"/>
      <c r="AJ341" s="164" t="n"/>
      <c r="AK341" s="164" t="n"/>
      <c r="AL341" s="96" t="n"/>
    </row>
    <row r="342">
      <c r="A342" s="27" t="n"/>
      <c r="B342" s="27" t="inlineStr">
        <is>
          <t>无客商-AFB/01/2026/002</t>
        </is>
      </c>
      <c r="C342" s="27" t="n">
        <v/>
      </c>
      <c r="D342" s="32" t="n"/>
      <c r="E342" s="47" t="n"/>
      <c r="F342" s="47" t="n"/>
      <c r="G342" s="47" t="n"/>
      <c r="H342" s="182" t="n"/>
      <c r="I342" s="163" t="n"/>
      <c r="J342" s="182" t="n"/>
      <c r="K342" s="168" t="n"/>
      <c r="L342" s="172" t="n"/>
      <c r="M342" s="182" t="n"/>
      <c r="N342" s="163" t="n"/>
      <c r="O342" s="163" t="n"/>
      <c r="P342" s="163" t="n">
        <v>224.13</v>
      </c>
      <c r="Q342" s="163" t="n"/>
      <c r="R342" s="163" t="n"/>
      <c r="S342" s="182" t="n"/>
      <c r="T342" s="182" t="n"/>
      <c r="U342" s="182" t="n"/>
      <c r="V342" s="182" t="n"/>
      <c r="W342" s="182" t="n"/>
      <c r="X342" s="182" t="n"/>
      <c r="Y342" s="182" t="n"/>
      <c r="Z342" s="182" t="n"/>
      <c r="AA342" s="170" t="n"/>
      <c r="AB342" s="164" t="n"/>
      <c r="AC342" s="164" t="n"/>
      <c r="AD342" s="164" t="n"/>
      <c r="AE342" s="164" t="n"/>
      <c r="AF342" s="164" t="n"/>
      <c r="AG342" s="164" t="n"/>
      <c r="AH342" s="164" t="n"/>
      <c r="AI342" s="164" t="n"/>
      <c r="AJ342" s="164" t="n"/>
      <c r="AK342" s="164" t="n"/>
      <c r="AL342" s="96" t="n"/>
    </row>
    <row r="343">
      <c r="A343" s="27" t="n"/>
      <c r="B343" s="27" t="inlineStr">
        <is>
          <t>无客商-AFB/01/2026/001</t>
        </is>
      </c>
      <c r="C343" s="27" t="n">
        <v/>
      </c>
      <c r="D343" s="32" t="n"/>
      <c r="E343" s="47" t="n"/>
      <c r="F343" s="47" t="n"/>
      <c r="G343" s="47" t="n"/>
      <c r="H343" s="182" t="n"/>
      <c r="I343" s="163" t="n"/>
      <c r="J343" s="182" t="n"/>
      <c r="K343" s="168" t="n"/>
      <c r="L343" s="172" t="n"/>
      <c r="M343" s="182" t="n"/>
      <c r="N343" s="163" t="n"/>
      <c r="O343" s="163" t="n"/>
      <c r="P343" s="163" t="n">
        <v>224.13</v>
      </c>
      <c r="Q343" s="163" t="n"/>
      <c r="R343" s="163" t="n"/>
      <c r="S343" s="182" t="n"/>
      <c r="T343" s="182" t="n"/>
      <c r="U343" s="182" t="n"/>
      <c r="V343" s="182" t="n"/>
      <c r="W343" s="182" t="n"/>
      <c r="X343" s="182" t="n"/>
      <c r="Y343" s="182" t="n"/>
      <c r="Z343" s="182" t="n"/>
      <c r="AA343" s="170" t="n"/>
      <c r="AB343" s="164" t="n"/>
      <c r="AC343" s="164" t="n"/>
      <c r="AD343" s="164" t="n"/>
      <c r="AE343" s="164" t="n"/>
      <c r="AF343" s="164" t="n"/>
      <c r="AG343" s="164" t="n"/>
      <c r="AH343" s="164" t="n"/>
      <c r="AI343" s="164" t="n"/>
      <c r="AJ343" s="164" t="n"/>
      <c r="AK343" s="164" t="n"/>
      <c r="AL343" s="96" t="n"/>
    </row>
    <row r="344">
      <c r="A344" s="27" t="n"/>
      <c r="B344" s="27" t="inlineStr">
        <is>
          <t>无客商-AFB/01/2025/012</t>
        </is>
      </c>
      <c r="C344" s="27" t="n">
        <v/>
      </c>
      <c r="D344" s="32" t="n"/>
      <c r="E344" s="47" t="n"/>
      <c r="F344" s="47" t="n"/>
      <c r="G344" s="47" t="n"/>
      <c r="H344" s="182" t="n"/>
      <c r="I344" s="163" t="n"/>
      <c r="J344" s="182" t="n"/>
      <c r="K344" s="168" t="n"/>
      <c r="L344" s="172" t="n"/>
      <c r="M344" s="182" t="n"/>
      <c r="N344" s="163" t="n"/>
      <c r="O344" s="163" t="n"/>
      <c r="P344" s="163" t="n">
        <v>224.14</v>
      </c>
      <c r="Q344" s="163" t="n"/>
      <c r="R344" s="163" t="n"/>
      <c r="S344" s="182" t="n"/>
      <c r="T344" s="182" t="n"/>
      <c r="U344" s="182" t="n"/>
      <c r="V344" s="182" t="n"/>
      <c r="W344" s="182" t="n"/>
      <c r="X344" s="182" t="n"/>
      <c r="Y344" s="182" t="n"/>
      <c r="Z344" s="182" t="n"/>
      <c r="AA344" s="170" t="n"/>
      <c r="AB344" s="164" t="n"/>
      <c r="AC344" s="164" t="n"/>
      <c r="AD344" s="164" t="n"/>
      <c r="AE344" s="164" t="n"/>
      <c r="AF344" s="164" t="n"/>
      <c r="AG344" s="164" t="n"/>
      <c r="AH344" s="164" t="n"/>
      <c r="AI344" s="164" t="n"/>
      <c r="AJ344" s="164" t="n"/>
      <c r="AK344" s="164" t="n"/>
      <c r="AL344" s="96" t="n"/>
    </row>
    <row r="345">
      <c r="A345" s="27" t="n"/>
      <c r="B345" s="27" t="inlineStr">
        <is>
          <t>无客商-AFB/01/2025/011</t>
        </is>
      </c>
      <c r="C345" s="27" t="n">
        <v/>
      </c>
      <c r="D345" s="32" t="n"/>
      <c r="E345" s="47" t="n"/>
      <c r="F345" s="47" t="n"/>
      <c r="G345" s="47" t="n"/>
      <c r="H345" s="182" t="n"/>
      <c r="I345" s="163" t="n"/>
      <c r="J345" s="182" t="n"/>
      <c r="K345" s="168" t="n"/>
      <c r="L345" s="172" t="n"/>
      <c r="M345" s="182" t="n"/>
      <c r="N345" s="163" t="n"/>
      <c r="O345" s="163" t="n"/>
      <c r="P345" s="163" t="n">
        <v>224.13</v>
      </c>
      <c r="Q345" s="163" t="n"/>
      <c r="R345" s="163" t="n"/>
      <c r="S345" s="182" t="n"/>
      <c r="T345" s="182" t="n"/>
      <c r="U345" s="182" t="n"/>
      <c r="V345" s="182" t="n"/>
      <c r="W345" s="182" t="n"/>
      <c r="X345" s="182" t="n"/>
      <c r="Y345" s="182" t="n"/>
      <c r="Z345" s="182" t="n"/>
      <c r="AA345" s="170" t="n"/>
      <c r="AB345" s="164" t="n"/>
      <c r="AC345" s="164" t="n"/>
      <c r="AD345" s="164" t="n"/>
      <c r="AE345" s="164" t="n"/>
      <c r="AF345" s="164" t="n"/>
      <c r="AG345" s="164" t="n"/>
      <c r="AH345" s="164" t="n"/>
      <c r="AI345" s="164" t="n"/>
      <c r="AJ345" s="164" t="n"/>
      <c r="AK345" s="164" t="n"/>
      <c r="AL345" s="96" t="n"/>
    </row>
    <row r="346">
      <c r="A346" s="27" t="n"/>
      <c r="B346" s="27" t="inlineStr">
        <is>
          <t>无客商-AFB/01/2025/010</t>
        </is>
      </c>
      <c r="C346" s="27" t="n">
        <v/>
      </c>
      <c r="D346" s="32" t="n"/>
      <c r="E346" s="47" t="n"/>
      <c r="F346" s="47" t="n"/>
      <c r="G346" s="47" t="n"/>
      <c r="H346" s="182" t="n"/>
      <c r="I346" s="163" t="n"/>
      <c r="J346" s="182" t="n"/>
      <c r="K346" s="168" t="n"/>
      <c r="L346" s="172" t="n"/>
      <c r="M346" s="182" t="n"/>
      <c r="N346" s="163" t="n"/>
      <c r="O346" s="163" t="n"/>
      <c r="P346" s="163" t="n">
        <v>224.12</v>
      </c>
      <c r="Q346" s="163" t="n"/>
      <c r="R346" s="163" t="n"/>
      <c r="S346" s="182" t="n"/>
      <c r="T346" s="182" t="n"/>
      <c r="U346" s="182" t="n"/>
      <c r="V346" s="182" t="n"/>
      <c r="W346" s="182" t="n"/>
      <c r="X346" s="182" t="n"/>
      <c r="Y346" s="182" t="n"/>
      <c r="Z346" s="182" t="n"/>
      <c r="AA346" s="170" t="n"/>
      <c r="AB346" s="164" t="n"/>
      <c r="AC346" s="164" t="n"/>
      <c r="AD346" s="164" t="n"/>
      <c r="AE346" s="164" t="n"/>
      <c r="AF346" s="164" t="n"/>
      <c r="AG346" s="164" t="n"/>
      <c r="AH346" s="164" t="n"/>
      <c r="AI346" s="164" t="n"/>
      <c r="AJ346" s="164" t="n"/>
      <c r="AK346" s="164" t="n"/>
      <c r="AL346" s="96" t="n"/>
    </row>
    <row r="347">
      <c r="A347" s="27" t="n"/>
      <c r="B347" s="27" t="inlineStr">
        <is>
          <t>无客商-AFB/01/2025/009</t>
        </is>
      </c>
      <c r="C347" s="27" t="n">
        <v/>
      </c>
      <c r="D347" s="32" t="n"/>
      <c r="E347" s="47" t="n"/>
      <c r="F347" s="47" t="n"/>
      <c r="G347" s="47" t="n"/>
      <c r="H347" s="182" t="n"/>
      <c r="I347" s="163" t="n"/>
      <c r="J347" s="182" t="n"/>
      <c r="K347" s="168" t="n"/>
      <c r="L347" s="172" t="n"/>
      <c r="M347" s="182" t="n"/>
      <c r="N347" s="163" t="n"/>
      <c r="O347" s="163" t="n"/>
      <c r="P347" s="163" t="n">
        <v>224.14</v>
      </c>
      <c r="Q347" s="163" t="n"/>
      <c r="R347" s="163" t="n"/>
      <c r="S347" s="182" t="n"/>
      <c r="T347" s="182" t="n"/>
      <c r="U347" s="182" t="n"/>
      <c r="V347" s="182" t="n"/>
      <c r="W347" s="182" t="n"/>
      <c r="X347" s="182" t="n"/>
      <c r="Y347" s="182" t="n"/>
      <c r="Z347" s="182" t="n"/>
      <c r="AA347" s="170" t="n"/>
      <c r="AB347" s="164" t="n"/>
      <c r="AC347" s="164" t="n"/>
      <c r="AD347" s="164" t="n"/>
      <c r="AE347" s="164" t="n"/>
      <c r="AF347" s="164" t="n"/>
      <c r="AG347" s="164" t="n"/>
      <c r="AH347" s="164" t="n"/>
      <c r="AI347" s="164" t="n"/>
      <c r="AJ347" s="164" t="n"/>
      <c r="AK347" s="164" t="n"/>
      <c r="AL347" s="96" t="n"/>
    </row>
    <row r="348">
      <c r="A348" s="27" t="n"/>
      <c r="B348" s="27" t="inlineStr">
        <is>
          <t>无客商-AFB/01/2025/008</t>
        </is>
      </c>
      <c r="C348" s="27" t="n">
        <v/>
      </c>
      <c r="D348" s="32" t="n"/>
      <c r="E348" s="47" t="n"/>
      <c r="F348" s="47" t="n"/>
      <c r="G348" s="47" t="n"/>
      <c r="H348" s="182" t="n"/>
      <c r="I348" s="163" t="n"/>
      <c r="J348" s="182" t="n"/>
      <c r="K348" s="168" t="n"/>
      <c r="L348" s="172" t="n"/>
      <c r="M348" s="182" t="n"/>
      <c r="N348" s="163" t="n"/>
      <c r="O348" s="163" t="n"/>
      <c r="P348" s="163" t="n">
        <v>224.13</v>
      </c>
      <c r="Q348" s="163" t="n"/>
      <c r="R348" s="163" t="n"/>
      <c r="S348" s="182" t="n"/>
      <c r="T348" s="182" t="n"/>
      <c r="U348" s="182" t="n"/>
      <c r="V348" s="182" t="n"/>
      <c r="W348" s="182" t="n"/>
      <c r="X348" s="182" t="n"/>
      <c r="Y348" s="182" t="n"/>
      <c r="Z348" s="182" t="n"/>
      <c r="AA348" s="170" t="n"/>
      <c r="AB348" s="164" t="n"/>
      <c r="AC348" s="164" t="n"/>
      <c r="AD348" s="164" t="n"/>
      <c r="AE348" s="164" t="n"/>
      <c r="AF348" s="164" t="n"/>
      <c r="AG348" s="164" t="n"/>
      <c r="AH348" s="164" t="n"/>
      <c r="AI348" s="164" t="n"/>
      <c r="AJ348" s="164" t="n"/>
      <c r="AK348" s="164" t="n"/>
      <c r="AL348" s="96" t="n"/>
    </row>
    <row r="349">
      <c r="A349" s="27" t="n"/>
      <c r="B349" s="27" t="inlineStr">
        <is>
          <t>无客商-AFB/01/2025/007</t>
        </is>
      </c>
      <c r="C349" s="27" t="n">
        <v/>
      </c>
      <c r="D349" s="32" t="n"/>
      <c r="E349" s="47" t="n"/>
      <c r="F349" s="47" t="n"/>
      <c r="G349" s="47" t="n"/>
      <c r="H349" s="182" t="n"/>
      <c r="I349" s="163" t="n"/>
      <c r="J349" s="182" t="n"/>
      <c r="K349" s="168" t="n"/>
      <c r="L349" s="172" t="n"/>
      <c r="M349" s="182" t="n"/>
      <c r="N349" s="163" t="n"/>
      <c r="O349" s="163" t="n"/>
      <c r="P349" s="163" t="n">
        <v>224.13</v>
      </c>
      <c r="Q349" s="163" t="n"/>
      <c r="R349" s="163" t="n"/>
      <c r="S349" s="182" t="n"/>
      <c r="T349" s="182" t="n"/>
      <c r="U349" s="182" t="n"/>
      <c r="V349" s="182" t="n"/>
      <c r="W349" s="182" t="n"/>
      <c r="X349" s="182" t="n"/>
      <c r="Y349" s="182" t="n"/>
      <c r="Z349" s="182" t="n"/>
      <c r="AA349" s="170" t="n"/>
      <c r="AB349" s="164" t="n"/>
      <c r="AC349" s="164" t="n"/>
      <c r="AD349" s="164" t="n"/>
      <c r="AE349" s="164" t="n"/>
      <c r="AF349" s="164" t="n"/>
      <c r="AG349" s="164" t="n"/>
      <c r="AH349" s="164" t="n"/>
      <c r="AI349" s="164" t="n"/>
      <c r="AJ349" s="164" t="n"/>
      <c r="AK349" s="164" t="n"/>
      <c r="AL349" s="96" t="n"/>
    </row>
    <row r="350">
      <c r="A350" s="27" t="n"/>
      <c r="B350" s="27" t="inlineStr">
        <is>
          <t>无客商-AFB/01/2025/006</t>
        </is>
      </c>
      <c r="C350" s="27" t="n">
        <v/>
      </c>
      <c r="D350" s="32" t="n"/>
      <c r="E350" s="47" t="n"/>
      <c r="F350" s="47" t="n"/>
      <c r="G350" s="47" t="n"/>
      <c r="H350" s="182" t="n"/>
      <c r="I350" s="163" t="n"/>
      <c r="J350" s="182" t="n"/>
      <c r="K350" s="168" t="n"/>
      <c r="L350" s="172" t="n"/>
      <c r="M350" s="182" t="n"/>
      <c r="N350" s="163" t="n"/>
      <c r="O350" s="163" t="n"/>
      <c r="P350" s="163" t="n">
        <v>224.13</v>
      </c>
      <c r="Q350" s="163" t="n"/>
      <c r="R350" s="163" t="n"/>
      <c r="S350" s="182" t="n"/>
      <c r="T350" s="182" t="n"/>
      <c r="U350" s="182" t="n"/>
      <c r="V350" s="182" t="n"/>
      <c r="W350" s="182" t="n"/>
      <c r="X350" s="182" t="n"/>
      <c r="Y350" s="182" t="n"/>
      <c r="Z350" s="182" t="n"/>
      <c r="AA350" s="170" t="n"/>
      <c r="AB350" s="164" t="n"/>
      <c r="AC350" s="164" t="n"/>
      <c r="AD350" s="164" t="n"/>
      <c r="AE350" s="164" t="n"/>
      <c r="AF350" s="164" t="n"/>
      <c r="AG350" s="164" t="n"/>
      <c r="AH350" s="164" t="n"/>
      <c r="AI350" s="164" t="n"/>
      <c r="AJ350" s="164" t="n"/>
      <c r="AK350" s="164" t="n"/>
      <c r="AL350" s="96" t="n"/>
    </row>
    <row r="351">
      <c r="A351" s="27" t="n"/>
      <c r="B351" s="27" t="inlineStr">
        <is>
          <t>无客商-AFB/01/2025/005</t>
        </is>
      </c>
      <c r="C351" s="27" t="n">
        <v/>
      </c>
      <c r="D351" s="32" t="n"/>
      <c r="E351" s="47" t="n"/>
      <c r="F351" s="47" t="n"/>
      <c r="G351" s="47" t="n"/>
      <c r="H351" s="182" t="n"/>
      <c r="I351" s="163" t="n"/>
      <c r="J351" s="182" t="n"/>
      <c r="K351" s="168" t="n"/>
      <c r="L351" s="172" t="n"/>
      <c r="M351" s="182" t="n"/>
      <c r="N351" s="163" t="n"/>
      <c r="O351" s="163" t="n"/>
      <c r="P351" s="163" t="n">
        <v>224.12</v>
      </c>
      <c r="Q351" s="163" t="n"/>
      <c r="R351" s="163" t="n"/>
      <c r="S351" s="182" t="n"/>
      <c r="T351" s="182" t="n"/>
      <c r="U351" s="182" t="n"/>
      <c r="V351" s="182" t="n"/>
      <c r="W351" s="182" t="n"/>
      <c r="X351" s="182" t="n"/>
      <c r="Y351" s="182" t="n"/>
      <c r="Z351" s="182" t="n"/>
      <c r="AA351" s="170" t="n"/>
      <c r="AB351" s="164" t="n"/>
      <c r="AC351" s="164" t="n"/>
      <c r="AD351" s="164" t="n"/>
      <c r="AE351" s="164" t="n"/>
      <c r="AF351" s="164" t="n"/>
      <c r="AG351" s="164" t="n"/>
      <c r="AH351" s="164" t="n"/>
      <c r="AI351" s="164" t="n"/>
      <c r="AJ351" s="164" t="n"/>
      <c r="AK351" s="164" t="n"/>
      <c r="AL351" s="96" t="n"/>
    </row>
    <row r="352">
      <c r="A352" s="27" t="n"/>
      <c r="B352" s="27" t="inlineStr">
        <is>
          <t>无客商-AFB/01/2025/004</t>
        </is>
      </c>
      <c r="C352" s="27" t="n">
        <v/>
      </c>
      <c r="D352" s="32" t="n"/>
      <c r="E352" s="47" t="n"/>
      <c r="F352" s="47" t="n"/>
      <c r="G352" s="47" t="n"/>
      <c r="H352" s="182" t="n"/>
      <c r="I352" s="163" t="n"/>
      <c r="J352" s="182" t="n"/>
      <c r="K352" s="168" t="n"/>
      <c r="L352" s="172" t="n"/>
      <c r="M352" s="182" t="n"/>
      <c r="N352" s="163" t="n"/>
      <c r="O352" s="163" t="n"/>
      <c r="P352" s="163" t="n">
        <v>224.14</v>
      </c>
      <c r="Q352" s="163" t="n"/>
      <c r="R352" s="163" t="n"/>
      <c r="S352" s="182" t="n"/>
      <c r="T352" s="182" t="n"/>
      <c r="U352" s="182" t="n"/>
      <c r="V352" s="182" t="n"/>
      <c r="W352" s="182" t="n"/>
      <c r="X352" s="182" t="n"/>
      <c r="Y352" s="182" t="n"/>
      <c r="Z352" s="182" t="n"/>
      <c r="AA352" s="170" t="n"/>
      <c r="AB352" s="164" t="n"/>
      <c r="AC352" s="164" t="n"/>
      <c r="AD352" s="164" t="n"/>
      <c r="AE352" s="164" t="n"/>
      <c r="AF352" s="164" t="n"/>
      <c r="AG352" s="164" t="n"/>
      <c r="AH352" s="164" t="n"/>
      <c r="AI352" s="164" t="n"/>
      <c r="AJ352" s="164" t="n"/>
      <c r="AK352" s="164" t="n"/>
      <c r="AL352" s="96" t="n"/>
    </row>
    <row r="353">
      <c r="A353" s="27" t="n"/>
      <c r="B353" s="27" t="inlineStr">
        <is>
          <t>无客商-AFB/01/2025/003</t>
        </is>
      </c>
      <c r="C353" s="27" t="n">
        <v/>
      </c>
      <c r="D353" s="32" t="n"/>
      <c r="E353" s="47" t="n"/>
      <c r="F353" s="47" t="n"/>
      <c r="G353" s="47" t="n"/>
      <c r="H353" s="182" t="n"/>
      <c r="I353" s="163" t="n"/>
      <c r="J353" s="182" t="n"/>
      <c r="K353" s="168" t="n"/>
      <c r="L353" s="172" t="n"/>
      <c r="M353" s="182" t="n"/>
      <c r="N353" s="163" t="n"/>
      <c r="O353" s="163" t="n"/>
      <c r="P353" s="163" t="n">
        <v>224.13</v>
      </c>
      <c r="Q353" s="163" t="n"/>
      <c r="R353" s="163" t="n"/>
      <c r="S353" s="182" t="n"/>
      <c r="T353" s="182" t="n"/>
      <c r="U353" s="182" t="n"/>
      <c r="V353" s="182" t="n"/>
      <c r="W353" s="182" t="n"/>
      <c r="X353" s="182" t="n"/>
      <c r="Y353" s="182" t="n"/>
      <c r="Z353" s="182" t="n"/>
      <c r="AA353" s="170" t="n"/>
      <c r="AB353" s="164" t="n"/>
      <c r="AC353" s="164" t="n"/>
      <c r="AD353" s="164" t="n"/>
      <c r="AE353" s="164" t="n"/>
      <c r="AF353" s="164" t="n"/>
      <c r="AG353" s="164" t="n"/>
      <c r="AH353" s="164" t="n"/>
      <c r="AI353" s="164" t="n"/>
      <c r="AJ353" s="164" t="n"/>
      <c r="AK353" s="164" t="n"/>
      <c r="AL353" s="96" t="n"/>
    </row>
    <row r="354">
      <c r="A354" s="27" t="n"/>
      <c r="B354" s="27" t="inlineStr">
        <is>
          <t>无客商-AFB/01/2025/002</t>
        </is>
      </c>
      <c r="C354" s="27" t="n">
        <v/>
      </c>
      <c r="D354" s="32" t="n"/>
      <c r="E354" s="47" t="n"/>
      <c r="F354" s="47" t="n"/>
      <c r="G354" s="47" t="n"/>
      <c r="H354" s="182" t="n"/>
      <c r="I354" s="163" t="n"/>
      <c r="J354" s="182" t="n"/>
      <c r="K354" s="168" t="n"/>
      <c r="L354" s="172" t="n"/>
      <c r="M354" s="182" t="n"/>
      <c r="N354" s="163" t="n"/>
      <c r="O354" s="163" t="n"/>
      <c r="P354" s="163" t="n">
        <v>224.13</v>
      </c>
      <c r="Q354" s="163" t="n"/>
      <c r="R354" s="163" t="n"/>
      <c r="S354" s="182" t="n"/>
      <c r="T354" s="182" t="n"/>
      <c r="U354" s="182" t="n"/>
      <c r="V354" s="182" t="n"/>
      <c r="W354" s="182" t="n"/>
      <c r="X354" s="182" t="n"/>
      <c r="Y354" s="182" t="n"/>
      <c r="Z354" s="182" t="n"/>
      <c r="AA354" s="170" t="n"/>
      <c r="AB354" s="164" t="n"/>
      <c r="AC354" s="164" t="n"/>
      <c r="AD354" s="164" t="n"/>
      <c r="AE354" s="164" t="n"/>
      <c r="AF354" s="164" t="n"/>
      <c r="AG354" s="164" t="n"/>
      <c r="AH354" s="164" t="n"/>
      <c r="AI354" s="164" t="n"/>
      <c r="AJ354" s="164" t="n"/>
      <c r="AK354" s="164" t="n"/>
      <c r="AL354" s="96" t="n"/>
    </row>
    <row r="355">
      <c r="A355" s="27" t="n"/>
      <c r="B355" s="27" t="inlineStr">
        <is>
          <t>无客商-AFB/01/2025/001</t>
        </is>
      </c>
      <c r="C355" s="27" t="n">
        <v/>
      </c>
      <c r="D355" s="32" t="n"/>
      <c r="E355" s="47" t="n"/>
      <c r="F355" s="47" t="n"/>
      <c r="G355" s="47" t="n"/>
      <c r="H355" s="182" t="n"/>
      <c r="I355" s="163" t="n"/>
      <c r="J355" s="182" t="n"/>
      <c r="K355" s="168" t="n"/>
      <c r="L355" s="172" t="n"/>
      <c r="M355" s="182" t="n"/>
      <c r="N355" s="163" t="n"/>
      <c r="O355" s="163" t="n"/>
      <c r="P355" s="163" t="n">
        <v>224.13</v>
      </c>
      <c r="Q355" s="163" t="n"/>
      <c r="R355" s="163" t="n"/>
      <c r="S355" s="182" t="n"/>
      <c r="T355" s="182" t="n"/>
      <c r="U355" s="182" t="n"/>
      <c r="V355" s="182" t="n"/>
      <c r="W355" s="182" t="n"/>
      <c r="X355" s="182" t="n"/>
      <c r="Y355" s="182" t="n"/>
      <c r="Z355" s="182" t="n"/>
      <c r="AA355" s="170" t="n"/>
      <c r="AB355" s="164" t="n"/>
      <c r="AC355" s="164" t="n"/>
      <c r="AD355" s="164" t="n"/>
      <c r="AE355" s="164" t="n"/>
      <c r="AF355" s="164" t="n"/>
      <c r="AG355" s="164" t="n"/>
      <c r="AH355" s="164" t="n"/>
      <c r="AI355" s="164" t="n"/>
      <c r="AJ355" s="164" t="n"/>
      <c r="AK355" s="164" t="n"/>
      <c r="AL355" s="96" t="n"/>
    </row>
    <row r="356">
      <c r="A356" s="27" t="n"/>
      <c r="B356" s="27" t="inlineStr">
        <is>
          <t>无客商-AFB/01/2024/012</t>
        </is>
      </c>
      <c r="C356" s="27" t="n">
        <v/>
      </c>
      <c r="D356" s="32" t="n"/>
      <c r="E356" s="47" t="n"/>
      <c r="F356" s="47" t="n"/>
      <c r="G356" s="47" t="n"/>
      <c r="H356" s="182" t="n"/>
      <c r="I356" s="163" t="n"/>
      <c r="J356" s="182" t="n"/>
      <c r="K356" s="168" t="n"/>
      <c r="L356" s="172" t="n"/>
      <c r="M356" s="182" t="n"/>
      <c r="N356" s="163" t="n"/>
      <c r="O356" s="163" t="n"/>
      <c r="P356" s="163" t="n">
        <v>224.13</v>
      </c>
      <c r="Q356" s="163" t="n"/>
      <c r="R356" s="163" t="n"/>
      <c r="S356" s="182" t="n"/>
      <c r="T356" s="182" t="n"/>
      <c r="U356" s="182" t="n"/>
      <c r="V356" s="182" t="n"/>
      <c r="W356" s="182" t="n"/>
      <c r="X356" s="182" t="n"/>
      <c r="Y356" s="182" t="n"/>
      <c r="Z356" s="182" t="n"/>
      <c r="AA356" s="170" t="n"/>
      <c r="AB356" s="164" t="n"/>
      <c r="AC356" s="164" t="n"/>
      <c r="AD356" s="164" t="n"/>
      <c r="AE356" s="164" t="n"/>
      <c r="AF356" s="164" t="n"/>
      <c r="AG356" s="164" t="n"/>
      <c r="AH356" s="164" t="n"/>
      <c r="AI356" s="164" t="n"/>
      <c r="AJ356" s="164" t="n"/>
      <c r="AK356" s="164" t="n"/>
      <c r="AL356" s="96" t="n"/>
    </row>
    <row r="357">
      <c r="A357" s="27" t="n"/>
      <c r="B357" s="27" t="inlineStr">
        <is>
          <t>无客商-AFB/01/2024/011</t>
        </is>
      </c>
      <c r="C357" s="27" t="n">
        <v/>
      </c>
      <c r="D357" s="32" t="n"/>
      <c r="E357" s="47" t="n"/>
      <c r="F357" s="47" t="n"/>
      <c r="G357" s="47" t="n"/>
      <c r="H357" s="182" t="n"/>
      <c r="I357" s="163" t="n"/>
      <c r="J357" s="182" t="n"/>
      <c r="K357" s="168" t="n"/>
      <c r="L357" s="172" t="n"/>
      <c r="M357" s="182" t="n"/>
      <c r="N357" s="163" t="n"/>
      <c r="O357" s="163" t="n"/>
      <c r="P357" s="163" t="n">
        <v>224.13</v>
      </c>
      <c r="Q357" s="163" t="n"/>
      <c r="R357" s="163" t="n"/>
      <c r="S357" s="182" t="n"/>
      <c r="T357" s="182" t="n"/>
      <c r="U357" s="182" t="n"/>
      <c r="V357" s="182" t="n"/>
      <c r="W357" s="182" t="n"/>
      <c r="X357" s="182" t="n"/>
      <c r="Y357" s="182" t="n"/>
      <c r="Z357" s="182" t="n"/>
      <c r="AA357" s="170" t="n"/>
      <c r="AB357" s="164" t="n"/>
      <c r="AC357" s="164" t="n"/>
      <c r="AD357" s="164" t="n"/>
      <c r="AE357" s="164" t="n"/>
      <c r="AF357" s="164" t="n"/>
      <c r="AG357" s="164" t="n"/>
      <c r="AH357" s="164" t="n"/>
      <c r="AI357" s="164" t="n"/>
      <c r="AJ357" s="164" t="n"/>
      <c r="AK357" s="164" t="n"/>
      <c r="AL357" s="96" t="n"/>
    </row>
    <row r="358">
      <c r="A358" s="27" t="n"/>
      <c r="B358" s="27" t="inlineStr">
        <is>
          <t>无客商-AFB/01/2024/010</t>
        </is>
      </c>
      <c r="C358" s="27" t="n">
        <v/>
      </c>
      <c r="D358" s="32" t="n"/>
      <c r="E358" s="47" t="n"/>
      <c r="F358" s="47" t="n"/>
      <c r="G358" s="47" t="n"/>
      <c r="H358" s="182" t="n"/>
      <c r="I358" s="163" t="n"/>
      <c r="J358" s="182" t="n"/>
      <c r="K358" s="168" t="n"/>
      <c r="L358" s="172" t="n"/>
      <c r="M358" s="182" t="n"/>
      <c r="N358" s="163" t="n"/>
      <c r="O358" s="163" t="n"/>
      <c r="P358" s="163" t="n">
        <v>224.13</v>
      </c>
      <c r="Q358" s="163" t="n"/>
      <c r="R358" s="163" t="n"/>
      <c r="S358" s="182" t="n"/>
      <c r="T358" s="182" t="n"/>
      <c r="U358" s="182" t="n"/>
      <c r="V358" s="182" t="n"/>
      <c r="W358" s="182" t="n"/>
      <c r="X358" s="182" t="n"/>
      <c r="Y358" s="182" t="n"/>
      <c r="Z358" s="182" t="n"/>
      <c r="AA358" s="170" t="n"/>
      <c r="AB358" s="164" t="n"/>
      <c r="AC358" s="164" t="n"/>
      <c r="AD358" s="164" t="n"/>
      <c r="AE358" s="164" t="n"/>
      <c r="AF358" s="164" t="n"/>
      <c r="AG358" s="164" t="n"/>
      <c r="AH358" s="164" t="n"/>
      <c r="AI358" s="164" t="n"/>
      <c r="AJ358" s="164" t="n"/>
      <c r="AK358" s="164" t="n"/>
      <c r="AL358" s="96" t="n"/>
    </row>
    <row r="359">
      <c r="A359" s="27" t="n"/>
      <c r="B359" s="27" t="inlineStr">
        <is>
          <t>无客商-AFB/01/2024/009</t>
        </is>
      </c>
      <c r="C359" s="27" t="n">
        <v/>
      </c>
      <c r="D359" s="32" t="n"/>
      <c r="E359" s="47" t="n"/>
      <c r="F359" s="47" t="n"/>
      <c r="G359" s="47" t="n"/>
      <c r="H359" s="182" t="n"/>
      <c r="I359" s="163" t="n"/>
      <c r="J359" s="182" t="n"/>
      <c r="K359" s="168" t="n"/>
      <c r="L359" s="172" t="n"/>
      <c r="M359" s="182" t="n"/>
      <c r="N359" s="163" t="n"/>
      <c r="O359" s="163" t="n"/>
      <c r="P359" s="163" t="n">
        <v>224.13</v>
      </c>
      <c r="Q359" s="163" t="n"/>
      <c r="R359" s="163" t="n"/>
      <c r="S359" s="182" t="n"/>
      <c r="T359" s="182" t="n"/>
      <c r="U359" s="182" t="n"/>
      <c r="V359" s="182" t="n"/>
      <c r="W359" s="182" t="n"/>
      <c r="X359" s="182" t="n"/>
      <c r="Y359" s="182" t="n"/>
      <c r="Z359" s="182" t="n"/>
      <c r="AA359" s="170" t="n"/>
      <c r="AB359" s="164" t="n"/>
      <c r="AC359" s="164" t="n"/>
      <c r="AD359" s="164" t="n"/>
      <c r="AE359" s="164" t="n"/>
      <c r="AF359" s="164" t="n"/>
      <c r="AG359" s="164" t="n"/>
      <c r="AH359" s="164" t="n"/>
      <c r="AI359" s="164" t="n"/>
      <c r="AJ359" s="164" t="n"/>
      <c r="AK359" s="164" t="n"/>
      <c r="AL359" s="96" t="n"/>
    </row>
    <row r="360">
      <c r="A360" s="27" t="n"/>
      <c r="B360" s="27" t="inlineStr">
        <is>
          <t>无客商-AFB/01/2024/008</t>
        </is>
      </c>
      <c r="C360" s="27" t="n">
        <v/>
      </c>
      <c r="D360" s="32" t="n"/>
      <c r="E360" s="47" t="n"/>
      <c r="F360" s="47" t="n"/>
      <c r="G360" s="47" t="n"/>
      <c r="H360" s="182" t="n"/>
      <c r="I360" s="163" t="n"/>
      <c r="J360" s="182" t="n"/>
      <c r="K360" s="168" t="n"/>
      <c r="L360" s="172" t="n"/>
      <c r="M360" s="182" t="n"/>
      <c r="N360" s="163" t="n"/>
      <c r="O360" s="163" t="n"/>
      <c r="P360" s="163" t="n">
        <v>224.12</v>
      </c>
      <c r="Q360" s="163" t="n"/>
      <c r="R360" s="163" t="n"/>
      <c r="S360" s="182" t="n"/>
      <c r="T360" s="182" t="n"/>
      <c r="U360" s="182" t="n"/>
      <c r="V360" s="182" t="n"/>
      <c r="W360" s="182" t="n"/>
      <c r="X360" s="182" t="n"/>
      <c r="Y360" s="182" t="n"/>
      <c r="Z360" s="182" t="n"/>
      <c r="AA360" s="170" t="n"/>
      <c r="AB360" s="164" t="n"/>
      <c r="AC360" s="164" t="n"/>
      <c r="AD360" s="164" t="n"/>
      <c r="AE360" s="164" t="n"/>
      <c r="AF360" s="164" t="n"/>
      <c r="AG360" s="164" t="n"/>
      <c r="AH360" s="164" t="n"/>
      <c r="AI360" s="164" t="n"/>
      <c r="AJ360" s="164" t="n"/>
      <c r="AK360" s="164" t="n"/>
      <c r="AL360" s="96" t="n"/>
    </row>
    <row r="361">
      <c r="A361" s="27" t="n"/>
      <c r="B361" s="27" t="inlineStr">
        <is>
          <t>无客商-AFB/01/2024/007</t>
        </is>
      </c>
      <c r="C361" s="27" t="n">
        <v/>
      </c>
      <c r="D361" s="32" t="n"/>
      <c r="E361" s="47" t="n"/>
      <c r="F361" s="47" t="n"/>
      <c r="G361" s="47" t="n"/>
      <c r="H361" s="182" t="n"/>
      <c r="I361" s="163" t="n"/>
      <c r="J361" s="182" t="n"/>
      <c r="K361" s="168" t="n"/>
      <c r="L361" s="172" t="n"/>
      <c r="M361" s="182" t="n"/>
      <c r="N361" s="163" t="n"/>
      <c r="O361" s="163" t="n"/>
      <c r="P361" s="163" t="n">
        <v>224.14</v>
      </c>
      <c r="Q361" s="163" t="n"/>
      <c r="R361" s="163" t="n"/>
      <c r="S361" s="182" t="n"/>
      <c r="T361" s="182" t="n"/>
      <c r="U361" s="182" t="n"/>
      <c r="V361" s="182" t="n"/>
      <c r="W361" s="182" t="n"/>
      <c r="X361" s="182" t="n"/>
      <c r="Y361" s="182" t="n"/>
      <c r="Z361" s="182" t="n"/>
      <c r="AA361" s="170" t="n"/>
      <c r="AB361" s="164" t="n"/>
      <c r="AC361" s="164" t="n"/>
      <c r="AD361" s="164" t="n"/>
      <c r="AE361" s="164" t="n"/>
      <c r="AF361" s="164" t="n"/>
      <c r="AG361" s="164" t="n"/>
      <c r="AH361" s="164" t="n"/>
      <c r="AI361" s="164" t="n"/>
      <c r="AJ361" s="164" t="n"/>
      <c r="AK361" s="164" t="n"/>
      <c r="AL361" s="96" t="n"/>
    </row>
    <row r="362">
      <c r="A362" s="27" t="n"/>
      <c r="B362" s="27" t="inlineStr">
        <is>
          <t>无客商-AFB/01/2024/006</t>
        </is>
      </c>
      <c r="C362" s="27" t="n">
        <v/>
      </c>
      <c r="D362" s="32" t="n"/>
      <c r="E362" s="47" t="n"/>
      <c r="F362" s="47" t="n"/>
      <c r="G362" s="47" t="n"/>
      <c r="H362" s="182" t="n"/>
      <c r="I362" s="163" t="n"/>
      <c r="J362" s="182" t="n"/>
      <c r="K362" s="168" t="n"/>
      <c r="L362" s="172" t="n"/>
      <c r="M362" s="182" t="n"/>
      <c r="N362" s="163" t="n"/>
      <c r="O362" s="163" t="n"/>
      <c r="P362" s="163" t="n">
        <v>224.13</v>
      </c>
      <c r="Q362" s="163" t="n"/>
      <c r="R362" s="163" t="n"/>
      <c r="S362" s="182" t="n"/>
      <c r="T362" s="182" t="n"/>
      <c r="U362" s="182" t="n"/>
      <c r="V362" s="182" t="n"/>
      <c r="W362" s="182" t="n"/>
      <c r="X362" s="182" t="n"/>
      <c r="Y362" s="182" t="n"/>
      <c r="Z362" s="182" t="n"/>
      <c r="AA362" s="170" t="n"/>
      <c r="AB362" s="164" t="n"/>
      <c r="AC362" s="164" t="n"/>
      <c r="AD362" s="164" t="n"/>
      <c r="AE362" s="164" t="n"/>
      <c r="AF362" s="164" t="n"/>
      <c r="AG362" s="164" t="n"/>
      <c r="AH362" s="164" t="n"/>
      <c r="AI362" s="164" t="n"/>
      <c r="AJ362" s="164" t="n"/>
      <c r="AK362" s="164" t="n"/>
      <c r="AL362" s="96" t="n"/>
    </row>
    <row r="363">
      <c r="A363" s="27" t="n"/>
      <c r="B363" s="27" t="inlineStr">
        <is>
          <t>无客商-AFB/01/2024/005</t>
        </is>
      </c>
      <c r="C363" s="27" t="n">
        <v/>
      </c>
      <c r="D363" s="32" t="n"/>
      <c r="E363" s="47" t="n"/>
      <c r="F363" s="47" t="n"/>
      <c r="G363" s="47" t="n"/>
      <c r="H363" s="182" t="n"/>
      <c r="I363" s="163" t="n"/>
      <c r="J363" s="182" t="n"/>
      <c r="K363" s="168" t="n"/>
      <c r="L363" s="172" t="n"/>
      <c r="M363" s="182" t="n"/>
      <c r="N363" s="163" t="n"/>
      <c r="O363" s="163" t="n"/>
      <c r="P363" s="163" t="n">
        <v>224.13</v>
      </c>
      <c r="Q363" s="163" t="n"/>
      <c r="R363" s="163" t="n"/>
      <c r="S363" s="182" t="n"/>
      <c r="T363" s="182" t="n"/>
      <c r="U363" s="182" t="n"/>
      <c r="V363" s="182" t="n"/>
      <c r="W363" s="182" t="n"/>
      <c r="X363" s="182" t="n"/>
      <c r="Y363" s="182" t="n"/>
      <c r="Z363" s="182" t="n"/>
      <c r="AA363" s="170" t="n"/>
      <c r="AB363" s="164" t="n"/>
      <c r="AC363" s="164" t="n"/>
      <c r="AD363" s="164" t="n"/>
      <c r="AE363" s="164" t="n"/>
      <c r="AF363" s="164" t="n"/>
      <c r="AG363" s="164" t="n"/>
      <c r="AH363" s="164" t="n"/>
      <c r="AI363" s="164" t="n"/>
      <c r="AJ363" s="164" t="n"/>
      <c r="AK363" s="164" t="n"/>
      <c r="AL363" s="96" t="n"/>
    </row>
    <row r="364">
      <c r="A364" s="27" t="n"/>
      <c r="B364" s="27" t="inlineStr">
        <is>
          <t>无客商-AFB/01/2024/004</t>
        </is>
      </c>
      <c r="C364" s="27" t="n">
        <v/>
      </c>
      <c r="D364" s="32" t="n"/>
      <c r="E364" s="47" t="n"/>
      <c r="F364" s="47" t="n"/>
      <c r="G364" s="47" t="n"/>
      <c r="H364" s="182" t="n"/>
      <c r="I364" s="163" t="n"/>
      <c r="J364" s="182" t="n"/>
      <c r="K364" s="168" t="n"/>
      <c r="L364" s="172" t="n"/>
      <c r="M364" s="182" t="n"/>
      <c r="N364" s="163" t="n"/>
      <c r="O364" s="163" t="n"/>
      <c r="P364" s="163" t="n">
        <v>224.13</v>
      </c>
      <c r="Q364" s="163" t="n"/>
      <c r="R364" s="163" t="n"/>
      <c r="S364" s="182" t="n"/>
      <c r="T364" s="182" t="n"/>
      <c r="U364" s="182" t="n"/>
      <c r="V364" s="182" t="n"/>
      <c r="W364" s="182" t="n"/>
      <c r="X364" s="182" t="n"/>
      <c r="Y364" s="182" t="n"/>
      <c r="Z364" s="182" t="n"/>
      <c r="AA364" s="170" t="n"/>
      <c r="AB364" s="164" t="n"/>
      <c r="AC364" s="164" t="n"/>
      <c r="AD364" s="164" t="n"/>
      <c r="AE364" s="164" t="n"/>
      <c r="AF364" s="164" t="n"/>
      <c r="AG364" s="164" t="n"/>
      <c r="AH364" s="164" t="n"/>
      <c r="AI364" s="164" t="n"/>
      <c r="AJ364" s="164" t="n"/>
      <c r="AK364" s="164" t="n"/>
      <c r="AL364" s="96" t="n"/>
    </row>
    <row r="365">
      <c r="A365" s="27" t="n"/>
      <c r="B365" s="27" t="inlineStr">
        <is>
          <t>无客商-AFB/01/2024/003</t>
        </is>
      </c>
      <c r="C365" s="27" t="n">
        <v/>
      </c>
      <c r="D365" s="32" t="n"/>
      <c r="E365" s="47" t="n"/>
      <c r="F365" s="47" t="n"/>
      <c r="G365" s="47" t="n"/>
      <c r="H365" s="182" t="n"/>
      <c r="I365" s="163" t="n"/>
      <c r="J365" s="182" t="n"/>
      <c r="K365" s="168" t="n"/>
      <c r="L365" s="172" t="n"/>
      <c r="M365" s="182" t="n"/>
      <c r="N365" s="163" t="n"/>
      <c r="O365" s="163" t="n"/>
      <c r="P365" s="163" t="n">
        <v>224.13</v>
      </c>
      <c r="Q365" s="163" t="n"/>
      <c r="R365" s="163" t="n"/>
      <c r="S365" s="182" t="n"/>
      <c r="T365" s="182" t="n"/>
      <c r="U365" s="182" t="n"/>
      <c r="V365" s="182" t="n"/>
      <c r="W365" s="182" t="n"/>
      <c r="X365" s="182" t="n"/>
      <c r="Y365" s="182" t="n"/>
      <c r="Z365" s="182" t="n"/>
      <c r="AA365" s="170" t="n"/>
      <c r="AB365" s="164" t="n"/>
      <c r="AC365" s="164" t="n"/>
      <c r="AD365" s="164" t="n"/>
      <c r="AE365" s="164" t="n"/>
      <c r="AF365" s="164" t="n"/>
      <c r="AG365" s="164" t="n"/>
      <c r="AH365" s="164" t="n"/>
      <c r="AI365" s="164" t="n"/>
      <c r="AJ365" s="164" t="n"/>
      <c r="AK365" s="164" t="n"/>
      <c r="AL365" s="96" t="n"/>
    </row>
    <row r="366">
      <c r="A366" s="27" t="n"/>
      <c r="B366" s="27" t="inlineStr">
        <is>
          <t>无客商-AFB/01/2024/002</t>
        </is>
      </c>
      <c r="C366" s="27" t="n">
        <v/>
      </c>
      <c r="D366" s="32" t="n"/>
      <c r="E366" s="47" t="n"/>
      <c r="F366" s="47" t="n"/>
      <c r="G366" s="47" t="n"/>
      <c r="H366" s="182" t="n"/>
      <c r="I366" s="163" t="n"/>
      <c r="J366" s="182" t="n"/>
      <c r="K366" s="168" t="n"/>
      <c r="L366" s="172" t="n"/>
      <c r="M366" s="182" t="n"/>
      <c r="N366" s="163" t="n"/>
      <c r="O366" s="163" t="n"/>
      <c r="P366" s="163" t="n">
        <v>448.26</v>
      </c>
      <c r="Q366" s="163" t="n"/>
      <c r="R366" s="163" t="n"/>
      <c r="S366" s="182" t="n"/>
      <c r="T366" s="182" t="n"/>
      <c r="U366" s="182" t="n"/>
      <c r="V366" s="182" t="n"/>
      <c r="W366" s="182" t="n"/>
      <c r="X366" s="182" t="n"/>
      <c r="Y366" s="182" t="n"/>
      <c r="Z366" s="182" t="n"/>
      <c r="AA366" s="170" t="n"/>
      <c r="AB366" s="164" t="n"/>
      <c r="AC366" s="164" t="n"/>
      <c r="AD366" s="164" t="n"/>
      <c r="AE366" s="164" t="n"/>
      <c r="AF366" s="164" t="n"/>
      <c r="AG366" s="164" t="n"/>
      <c r="AH366" s="164" t="n"/>
      <c r="AI366" s="164" t="n"/>
      <c r="AJ366" s="164" t="n"/>
      <c r="AK366" s="164" t="n"/>
      <c r="AL366" s="96" t="n"/>
    </row>
    <row r="367">
      <c r="A367" s="27" t="n"/>
      <c r="B367" s="27" t="inlineStr">
        <is>
          <t>无客商-AFB/01/2023/012</t>
        </is>
      </c>
      <c r="C367" s="27" t="n">
        <v/>
      </c>
      <c r="D367" s="32" t="n"/>
      <c r="E367" s="47" t="n"/>
      <c r="F367" s="47" t="n"/>
      <c r="G367" s="47" t="n"/>
      <c r="H367" s="182" t="n"/>
      <c r="I367" s="163" t="n"/>
      <c r="J367" s="182" t="n"/>
      <c r="K367" s="168" t="n"/>
      <c r="L367" s="172" t="n"/>
      <c r="M367" s="182" t="n"/>
      <c r="N367" s="163" t="n"/>
      <c r="O367" s="163" t="n"/>
      <c r="P367" s="163" t="n">
        <v>224.14</v>
      </c>
      <c r="Q367" s="163" t="n"/>
      <c r="R367" s="163" t="n"/>
      <c r="S367" s="182" t="n"/>
      <c r="T367" s="182" t="n"/>
      <c r="U367" s="182" t="n"/>
      <c r="V367" s="182" t="n"/>
      <c r="W367" s="182" t="n"/>
      <c r="X367" s="182" t="n"/>
      <c r="Y367" s="182" t="n"/>
      <c r="Z367" s="182" t="n"/>
      <c r="AA367" s="170" t="n"/>
      <c r="AB367" s="164" t="n"/>
      <c r="AC367" s="164" t="n"/>
      <c r="AD367" s="164" t="n"/>
      <c r="AE367" s="164" t="n"/>
      <c r="AF367" s="164" t="n"/>
      <c r="AG367" s="164" t="n"/>
      <c r="AH367" s="164" t="n"/>
      <c r="AI367" s="164" t="n"/>
      <c r="AJ367" s="164" t="n"/>
      <c r="AK367" s="164" t="n"/>
      <c r="AL367" s="96" t="n"/>
    </row>
    <row r="368">
      <c r="A368" s="27" t="n"/>
      <c r="B368" s="27" t="inlineStr">
        <is>
          <t>无客商-AFB/01/2023/011</t>
        </is>
      </c>
      <c r="C368" s="27" t="n">
        <v/>
      </c>
      <c r="D368" s="32" t="n"/>
      <c r="E368" s="47" t="n"/>
      <c r="F368" s="47" t="n"/>
      <c r="G368" s="47" t="n"/>
      <c r="H368" s="182" t="n"/>
      <c r="I368" s="163" t="n"/>
      <c r="J368" s="182" t="n"/>
      <c r="K368" s="168" t="n"/>
      <c r="L368" s="172" t="n"/>
      <c r="M368" s="182" t="n"/>
      <c r="N368" s="163" t="n"/>
      <c r="O368" s="163" t="n"/>
      <c r="P368" s="163" t="n">
        <v>224.12</v>
      </c>
      <c r="Q368" s="163" t="n"/>
      <c r="R368" s="163" t="n"/>
      <c r="S368" s="182" t="n"/>
      <c r="T368" s="182" t="n"/>
      <c r="U368" s="182" t="n"/>
      <c r="V368" s="182" t="n"/>
      <c r="W368" s="182" t="n"/>
      <c r="X368" s="182" t="n"/>
      <c r="Y368" s="182" t="n"/>
      <c r="Z368" s="182" t="n"/>
      <c r="AA368" s="170" t="n"/>
      <c r="AB368" s="164" t="n"/>
      <c r="AC368" s="164" t="n"/>
      <c r="AD368" s="164" t="n"/>
      <c r="AE368" s="164" t="n"/>
      <c r="AF368" s="164" t="n"/>
      <c r="AG368" s="164" t="n"/>
      <c r="AH368" s="164" t="n"/>
      <c r="AI368" s="164" t="n"/>
      <c r="AJ368" s="164" t="n"/>
      <c r="AK368" s="164" t="n"/>
      <c r="AL368" s="96" t="n"/>
    </row>
    <row r="369">
      <c r="A369" s="27" t="n"/>
      <c r="B369" s="27" t="inlineStr">
        <is>
          <t>无客商-AFB/01/2023/010</t>
        </is>
      </c>
      <c r="C369" s="27" t="n">
        <v/>
      </c>
      <c r="D369" s="32" t="n"/>
      <c r="E369" s="47" t="n"/>
      <c r="F369" s="47" t="n"/>
      <c r="G369" s="47" t="n"/>
      <c r="H369" s="182" t="n"/>
      <c r="I369" s="163" t="n"/>
      <c r="J369" s="182" t="n"/>
      <c r="K369" s="168" t="n"/>
      <c r="L369" s="172" t="n"/>
      <c r="M369" s="182" t="n"/>
      <c r="N369" s="163" t="n"/>
      <c r="O369" s="163" t="n"/>
      <c r="P369" s="163" t="n">
        <v>224.14</v>
      </c>
      <c r="Q369" s="163" t="n"/>
      <c r="R369" s="163" t="n"/>
      <c r="S369" s="182" t="n"/>
      <c r="T369" s="182" t="n"/>
      <c r="U369" s="182" t="n"/>
      <c r="V369" s="182" t="n"/>
      <c r="W369" s="182" t="n"/>
      <c r="X369" s="182" t="n"/>
      <c r="Y369" s="182" t="n"/>
      <c r="Z369" s="182" t="n"/>
      <c r="AA369" s="170" t="n"/>
      <c r="AB369" s="164" t="n"/>
      <c r="AC369" s="164" t="n"/>
      <c r="AD369" s="164" t="n"/>
      <c r="AE369" s="164" t="n"/>
      <c r="AF369" s="164" t="n"/>
      <c r="AG369" s="164" t="n"/>
      <c r="AH369" s="164" t="n"/>
      <c r="AI369" s="164" t="n"/>
      <c r="AJ369" s="164" t="n"/>
      <c r="AK369" s="164" t="n"/>
      <c r="AL369" s="96" t="n"/>
    </row>
    <row r="370">
      <c r="A370" s="27" t="n"/>
      <c r="B370" s="27" t="inlineStr">
        <is>
          <t>无客商-AFB/01/2023/009</t>
        </is>
      </c>
      <c r="C370" s="27" t="n">
        <v/>
      </c>
      <c r="D370" s="32" t="n"/>
      <c r="E370" s="47" t="n"/>
      <c r="F370" s="47" t="n"/>
      <c r="G370" s="47" t="n"/>
      <c r="H370" s="182" t="n"/>
      <c r="I370" s="163" t="n"/>
      <c r="J370" s="182" t="n"/>
      <c r="K370" s="168" t="n"/>
      <c r="L370" s="172" t="n"/>
      <c r="M370" s="182" t="n"/>
      <c r="N370" s="163" t="n"/>
      <c r="O370" s="163" t="n"/>
      <c r="P370" s="163" t="n">
        <v>224.13</v>
      </c>
      <c r="Q370" s="163" t="n"/>
      <c r="R370" s="163" t="n"/>
      <c r="S370" s="182" t="n"/>
      <c r="T370" s="182" t="n"/>
      <c r="U370" s="182" t="n"/>
      <c r="V370" s="182" t="n"/>
      <c r="W370" s="182" t="n"/>
      <c r="X370" s="182" t="n"/>
      <c r="Y370" s="182" t="n"/>
      <c r="Z370" s="182" t="n"/>
      <c r="AA370" s="170" t="n"/>
      <c r="AB370" s="164" t="n"/>
      <c r="AC370" s="164" t="n"/>
      <c r="AD370" s="164" t="n"/>
      <c r="AE370" s="164" t="n"/>
      <c r="AF370" s="164" t="n"/>
      <c r="AG370" s="164" t="n"/>
      <c r="AH370" s="164" t="n"/>
      <c r="AI370" s="164" t="n"/>
      <c r="AJ370" s="164" t="n"/>
      <c r="AK370" s="164" t="n"/>
      <c r="AL370" s="96" t="n"/>
    </row>
    <row r="371">
      <c r="A371" s="27" t="n"/>
      <c r="B371" s="27" t="inlineStr">
        <is>
          <t>无客商-AFB/01/2023/008</t>
        </is>
      </c>
      <c r="C371" s="27" t="n">
        <v/>
      </c>
      <c r="D371" s="32" t="n"/>
      <c r="E371" s="47" t="n"/>
      <c r="F371" s="47" t="n"/>
      <c r="G371" s="47" t="n"/>
      <c r="H371" s="182" t="n"/>
      <c r="I371" s="163" t="n"/>
      <c r="J371" s="182" t="n"/>
      <c r="K371" s="168" t="n"/>
      <c r="L371" s="172" t="n"/>
      <c r="M371" s="182" t="n"/>
      <c r="N371" s="163" t="n"/>
      <c r="O371" s="163" t="n"/>
      <c r="P371" s="163" t="n">
        <v>224.12</v>
      </c>
      <c r="Q371" s="163" t="n"/>
      <c r="R371" s="163" t="n"/>
      <c r="S371" s="182" t="n"/>
      <c r="T371" s="182" t="n"/>
      <c r="U371" s="182" t="n"/>
      <c r="V371" s="182" t="n"/>
      <c r="W371" s="182" t="n"/>
      <c r="X371" s="182" t="n"/>
      <c r="Y371" s="182" t="n"/>
      <c r="Z371" s="182" t="n"/>
      <c r="AA371" s="170" t="n"/>
      <c r="AB371" s="164" t="n"/>
      <c r="AC371" s="164" t="n"/>
      <c r="AD371" s="164" t="n"/>
      <c r="AE371" s="164" t="n"/>
      <c r="AF371" s="164" t="n"/>
      <c r="AG371" s="164" t="n"/>
      <c r="AH371" s="164" t="n"/>
      <c r="AI371" s="164" t="n"/>
      <c r="AJ371" s="164" t="n"/>
      <c r="AK371" s="164" t="n"/>
      <c r="AL371" s="96" t="n"/>
    </row>
    <row r="372">
      <c r="A372" s="27" t="n"/>
      <c r="B372" s="27" t="inlineStr">
        <is>
          <t>无客商-AFB/01/2023/007</t>
        </is>
      </c>
      <c r="C372" s="27" t="n">
        <v/>
      </c>
      <c r="D372" s="32" t="n"/>
      <c r="E372" s="47" t="n"/>
      <c r="F372" s="47" t="n"/>
      <c r="G372" s="47" t="n"/>
      <c r="H372" s="182" t="n"/>
      <c r="I372" s="163" t="n"/>
      <c r="J372" s="182" t="n"/>
      <c r="K372" s="168" t="n"/>
      <c r="L372" s="172" t="n"/>
      <c r="M372" s="182" t="n"/>
      <c r="N372" s="163" t="n"/>
      <c r="O372" s="163" t="n"/>
      <c r="P372" s="163" t="n">
        <v>224.14</v>
      </c>
      <c r="Q372" s="163" t="n"/>
      <c r="R372" s="163" t="n"/>
      <c r="S372" s="182" t="n"/>
      <c r="T372" s="182" t="n"/>
      <c r="U372" s="182" t="n"/>
      <c r="V372" s="182" t="n"/>
      <c r="W372" s="182" t="n"/>
      <c r="X372" s="182" t="n"/>
      <c r="Y372" s="182" t="n"/>
      <c r="Z372" s="182" t="n"/>
      <c r="AA372" s="170" t="n"/>
      <c r="AB372" s="164" t="n"/>
      <c r="AC372" s="164" t="n"/>
      <c r="AD372" s="164" t="n"/>
      <c r="AE372" s="164" t="n"/>
      <c r="AF372" s="164" t="n"/>
      <c r="AG372" s="164" t="n"/>
      <c r="AH372" s="164" t="n"/>
      <c r="AI372" s="164" t="n"/>
      <c r="AJ372" s="164" t="n"/>
      <c r="AK372" s="164" t="n"/>
      <c r="AL372" s="96" t="n"/>
    </row>
    <row r="373">
      <c r="A373" s="27" t="n"/>
      <c r="B373" s="27" t="inlineStr">
        <is>
          <t>无客商-AFB/01/2023/006</t>
        </is>
      </c>
      <c r="C373" s="27" t="n">
        <v/>
      </c>
      <c r="D373" s="32" t="n"/>
      <c r="E373" s="47" t="n"/>
      <c r="F373" s="47" t="n"/>
      <c r="G373" s="47" t="n"/>
      <c r="H373" s="182" t="n"/>
      <c r="I373" s="163" t="n"/>
      <c r="J373" s="182" t="n"/>
      <c r="K373" s="168" t="n"/>
      <c r="L373" s="172" t="n"/>
      <c r="M373" s="182" t="n"/>
      <c r="N373" s="163" t="n"/>
      <c r="O373" s="163" t="n"/>
      <c r="P373" s="163" t="n">
        <v>224.13</v>
      </c>
      <c r="Q373" s="163" t="n"/>
      <c r="R373" s="163" t="n"/>
      <c r="S373" s="182" t="n"/>
      <c r="T373" s="182" t="n"/>
      <c r="U373" s="182" t="n"/>
      <c r="V373" s="182" t="n"/>
      <c r="W373" s="182" t="n"/>
      <c r="X373" s="182" t="n"/>
      <c r="Y373" s="182" t="n"/>
      <c r="Z373" s="182" t="n"/>
      <c r="AA373" s="170" t="n"/>
      <c r="AB373" s="164" t="n"/>
      <c r="AC373" s="164" t="n"/>
      <c r="AD373" s="164" t="n"/>
      <c r="AE373" s="164" t="n"/>
      <c r="AF373" s="164" t="n"/>
      <c r="AG373" s="164" t="n"/>
      <c r="AH373" s="164" t="n"/>
      <c r="AI373" s="164" t="n"/>
      <c r="AJ373" s="164" t="n"/>
      <c r="AK373" s="164" t="n"/>
      <c r="AL373" s="96" t="n"/>
    </row>
    <row r="374">
      <c r="A374" s="27" t="n"/>
      <c r="B374" s="27" t="inlineStr">
        <is>
          <t>无客商-AFB/01/2023/005</t>
        </is>
      </c>
      <c r="C374" s="27" t="n">
        <v/>
      </c>
      <c r="D374" s="32" t="n"/>
      <c r="E374" s="47" t="n"/>
      <c r="F374" s="47" t="n"/>
      <c r="G374" s="47" t="n"/>
      <c r="H374" s="182" t="n"/>
      <c r="I374" s="163" t="n"/>
      <c r="J374" s="182" t="n"/>
      <c r="K374" s="168" t="n"/>
      <c r="L374" s="172" t="n"/>
      <c r="M374" s="182" t="n"/>
      <c r="N374" s="163" t="n"/>
      <c r="O374" s="163" t="n"/>
      <c r="P374" s="163" t="n">
        <v>224.13</v>
      </c>
      <c r="Q374" s="163" t="n"/>
      <c r="R374" s="163" t="n"/>
      <c r="S374" s="182" t="n"/>
      <c r="T374" s="182" t="n"/>
      <c r="U374" s="182" t="n"/>
      <c r="V374" s="182" t="n"/>
      <c r="W374" s="182" t="n"/>
      <c r="X374" s="182" t="n"/>
      <c r="Y374" s="182" t="n"/>
      <c r="Z374" s="182" t="n"/>
      <c r="AA374" s="170" t="n"/>
      <c r="AB374" s="164" t="n"/>
      <c r="AC374" s="164" t="n"/>
      <c r="AD374" s="164" t="n"/>
      <c r="AE374" s="164" t="n"/>
      <c r="AF374" s="164" t="n"/>
      <c r="AG374" s="164" t="n"/>
      <c r="AH374" s="164" t="n"/>
      <c r="AI374" s="164" t="n"/>
      <c r="AJ374" s="164" t="n"/>
      <c r="AK374" s="164" t="n"/>
      <c r="AL374" s="96" t="n"/>
    </row>
    <row r="375">
      <c r="A375" s="27" t="n"/>
      <c r="B375" s="27" t="inlineStr">
        <is>
          <t>无客商-AFB/01/2023/004</t>
        </is>
      </c>
      <c r="C375" s="27" t="n">
        <v/>
      </c>
      <c r="D375" s="32" t="n"/>
      <c r="E375" s="47" t="n"/>
      <c r="F375" s="47" t="n"/>
      <c r="G375" s="47" t="n"/>
      <c r="H375" s="182" t="n"/>
      <c r="I375" s="163" t="n"/>
      <c r="J375" s="182" t="n"/>
      <c r="K375" s="168" t="n"/>
      <c r="L375" s="172" t="n"/>
      <c r="M375" s="182" t="n"/>
      <c r="N375" s="163" t="n"/>
      <c r="O375" s="163" t="n"/>
      <c r="P375" s="163" t="n">
        <v>224.13</v>
      </c>
      <c r="Q375" s="163" t="n"/>
      <c r="R375" s="163" t="n"/>
      <c r="S375" s="182" t="n"/>
      <c r="T375" s="182" t="n"/>
      <c r="U375" s="182" t="n"/>
      <c r="V375" s="182" t="n"/>
      <c r="W375" s="182" t="n"/>
      <c r="X375" s="182" t="n"/>
      <c r="Y375" s="182" t="n"/>
      <c r="Z375" s="182" t="n"/>
      <c r="AA375" s="170" t="n"/>
      <c r="AB375" s="164" t="n"/>
      <c r="AC375" s="164" t="n"/>
      <c r="AD375" s="164" t="n"/>
      <c r="AE375" s="164" t="n"/>
      <c r="AF375" s="164" t="n"/>
      <c r="AG375" s="164" t="n"/>
      <c r="AH375" s="164" t="n"/>
      <c r="AI375" s="164" t="n"/>
      <c r="AJ375" s="164" t="n"/>
      <c r="AK375" s="164" t="n"/>
      <c r="AL375" s="96" t="n"/>
    </row>
    <row r="376">
      <c r="A376" s="27" t="n"/>
      <c r="B376" s="27" t="inlineStr">
        <is>
          <t>无客商-2025年岗位证书新办、年审报</t>
        </is>
      </c>
      <c r="C376" s="27" t="n">
        <v/>
      </c>
      <c r="D376" s="32" t="n"/>
      <c r="E376" s="47" t="n"/>
      <c r="F376" s="47" t="n"/>
      <c r="G376" s="47" t="n"/>
      <c r="H376" s="182" t="n"/>
      <c r="I376" s="163" t="n"/>
      <c r="J376" s="182" t="n"/>
      <c r="K376" s="168" t="n"/>
      <c r="L376" s="172" t="n"/>
      <c r="M376" s="182" t="n"/>
      <c r="N376" s="163" t="n"/>
      <c r="O376" s="163" t="n"/>
      <c r="P376" s="163" t="n">
        <v>1607.4</v>
      </c>
      <c r="Q376" s="163" t="n"/>
      <c r="R376" s="163" t="n"/>
      <c r="S376" s="182" t="n"/>
      <c r="T376" s="182" t="n"/>
      <c r="U376" s="182" t="n"/>
      <c r="V376" s="182" t="n"/>
      <c r="W376" s="182" t="n"/>
      <c r="X376" s="182" t="n"/>
      <c r="Y376" s="182" t="n"/>
      <c r="Z376" s="182" t="n"/>
      <c r="AA376" s="170" t="n"/>
      <c r="AB376" s="164" t="n"/>
      <c r="AC376" s="164" t="n"/>
      <c r="AD376" s="164" t="n"/>
      <c r="AE376" s="164" t="n"/>
      <c r="AF376" s="164" t="n"/>
      <c r="AG376" s="164" t="n"/>
      <c r="AH376" s="164" t="n"/>
      <c r="AI376" s="164" t="n"/>
      <c r="AJ376" s="164" t="n"/>
      <c r="AK376" s="164" t="n"/>
      <c r="AL376" s="96" t="n"/>
    </row>
    <row r="377">
      <c r="A377" s="27" t="n"/>
      <c r="B377" s="27" t="inlineStr">
        <is>
          <t>无客商-2025年2月峰行社保费用（局</t>
        </is>
      </c>
      <c r="C377" s="27" t="n">
        <v/>
      </c>
      <c r="D377" s="32" t="n"/>
      <c r="E377" s="47" t="n"/>
      <c r="F377" s="47" t="n"/>
      <c r="G377" s="47" t="n"/>
      <c r="H377" s="182" t="n"/>
      <c r="I377" s="163" t="n"/>
      <c r="J377" s="182" t="n"/>
      <c r="K377" s="168" t="n"/>
      <c r="L377" s="172" t="n"/>
      <c r="M377" s="182" t="n"/>
      <c r="N377" s="163" t="n"/>
      <c r="O377" s="163" t="n"/>
      <c r="P377" s="163" t="n">
        <v>6626.25</v>
      </c>
      <c r="Q377" s="163" t="n"/>
      <c r="R377" s="163" t="n"/>
      <c r="S377" s="182" t="n"/>
      <c r="T377" s="182" t="n"/>
      <c r="U377" s="182" t="n"/>
      <c r="V377" s="182" t="n"/>
      <c r="W377" s="182" t="n"/>
      <c r="X377" s="182" t="n"/>
      <c r="Y377" s="182" t="n"/>
      <c r="Z377" s="182" t="n"/>
      <c r="AA377" s="170" t="n"/>
      <c r="AB377" s="164" t="n"/>
      <c r="AC377" s="164" t="n"/>
      <c r="AD377" s="164" t="n"/>
      <c r="AE377" s="164" t="n"/>
      <c r="AF377" s="164" t="n"/>
      <c r="AG377" s="164" t="n"/>
      <c r="AH377" s="164" t="n"/>
      <c r="AI377" s="164" t="n"/>
      <c r="AJ377" s="164" t="n"/>
      <c r="AK377" s="164" t="n"/>
      <c r="AL377" s="96" t="n"/>
    </row>
    <row r="378">
      <c r="A378" s="27" t="n"/>
      <c r="B378" s="27" t="n"/>
      <c r="C378" s="27" t="n"/>
      <c r="D378" s="32" t="inlineStr">
        <is>
          <t>**财务未列部分需增列***</t>
        </is>
      </c>
      <c r="E378" s="47" t="n"/>
      <c r="F378" s="47" t="n"/>
      <c r="G378" s="47" t="n"/>
      <c r="H378" s="182" t="n"/>
      <c r="I378" s="163" t="n"/>
      <c r="J378" s="182" t="n"/>
      <c r="K378" s="168" t="n"/>
      <c r="L378" s="172" t="n"/>
      <c r="M378" s="182" t="n"/>
      <c r="N378" s="163" t="n"/>
      <c r="O378" s="163">
        <f>L62-M62</f>
        <v/>
      </c>
      <c r="P378" s="163">
        <f>K62-N62</f>
        <v/>
      </c>
      <c r="Q378" s="163">
        <f>M62+O62</f>
        <v/>
      </c>
      <c r="R378" s="163">
        <f>M62+N62+O62+P62</f>
        <v/>
      </c>
      <c r="S378" s="182" t="n"/>
      <c r="T378" s="182" t="n"/>
      <c r="U378" s="182" t="n"/>
      <c r="V378" s="182" t="n"/>
      <c r="W378" s="182" t="n"/>
      <c r="X378" s="182" t="n"/>
      <c r="Y378" s="182" t="n"/>
      <c r="Z378" s="182" t="n"/>
      <c r="AA378" s="170" t="n"/>
      <c r="AB378" s="164" t="n"/>
      <c r="AC378" s="164" t="n"/>
      <c r="AD378" s="164" t="n"/>
      <c r="AE378" s="164" t="n"/>
      <c r="AF378" s="164" t="n"/>
      <c r="AG378" s="164" t="n"/>
      <c r="AH378" s="164" t="n"/>
      <c r="AI378" s="164" t="n"/>
      <c r="AJ378" s="164" t="n"/>
      <c r="AK378" s="164" t="n"/>
      <c r="AL378" s="96" t="n"/>
    </row>
    <row r="379">
      <c r="A379" s="51" t="n"/>
      <c r="B379" s="51" t="n"/>
      <c r="C379" s="51" t="n"/>
      <c r="D379" s="41" t="inlineStr">
        <is>
          <t>间接费小计：</t>
        </is>
      </c>
      <c r="E379" s="52" t="n"/>
      <c r="F379" s="52" t="n"/>
      <c r="G379" s="52" t="n"/>
      <c r="H379" s="174">
        <f>SUM(H49:H61)</f>
        <v/>
      </c>
      <c r="I379" s="174">
        <f>SUM(I49:I61)</f>
        <v/>
      </c>
      <c r="J379" s="174">
        <f>SUM(J49:J61)</f>
        <v/>
      </c>
      <c r="K379" s="174">
        <f>SUM(K49:K61)</f>
        <v/>
      </c>
      <c r="L379" s="177">
        <f>SUM(L49:L61)</f>
        <v/>
      </c>
      <c r="M379" s="177">
        <f>SUM(M49:M61)</f>
        <v/>
      </c>
      <c r="N379" s="177">
        <f>SUM(N49:N61)</f>
        <v/>
      </c>
      <c r="O379" s="177">
        <f>SUM(O49:O61)</f>
        <v/>
      </c>
      <c r="P379" s="177">
        <f>SUM(P49:P61)</f>
        <v/>
      </c>
      <c r="Q379" s="177">
        <f>SUM(Q49:Q61)</f>
        <v/>
      </c>
      <c r="R379" s="177">
        <f>SUM(R49:R61)</f>
        <v/>
      </c>
      <c r="S379" s="177">
        <f>SUM(S49:S61)</f>
        <v/>
      </c>
      <c r="T379" s="177" t="n"/>
      <c r="U379" s="177" t="n"/>
      <c r="V379" s="177" t="n"/>
      <c r="W379" s="177" t="n"/>
      <c r="X379" s="177" t="n"/>
      <c r="Y379" s="177" t="n"/>
      <c r="Z379" s="177">
        <f>SUM(Z49:Z61)</f>
        <v/>
      </c>
      <c r="AA379" s="177">
        <f>SUM(AA49:AA61)</f>
        <v/>
      </c>
      <c r="AB379" s="177">
        <f>SUM(AB49:AB61)</f>
        <v/>
      </c>
      <c r="AC379" s="177">
        <f>SUM(AC49:AC61)</f>
        <v/>
      </c>
      <c r="AD379" s="177">
        <f>SUM(AD49:AD61)</f>
        <v/>
      </c>
      <c r="AE379" s="177">
        <f>SUM(AE49:AE61)</f>
        <v/>
      </c>
      <c r="AF379" s="177">
        <f>SUM(AF49:AF61)</f>
        <v/>
      </c>
      <c r="AG379" s="177" t="n"/>
      <c r="AH379" s="177" t="n"/>
      <c r="AI379" s="177">
        <f>SUM(AI49:AI61)</f>
        <v/>
      </c>
      <c r="AJ379" s="177">
        <f>SUM(AJ49:AJ61)</f>
        <v/>
      </c>
      <c r="AK379" s="177">
        <f>SUM(AK49:AK61)</f>
        <v/>
      </c>
      <c r="AL379" s="96" t="n"/>
    </row>
    <row r="380">
      <c r="A380" s="27" t="n"/>
      <c r="B380" s="27" t="n"/>
      <c r="C380" s="27" t="n"/>
      <c r="D380" s="37" t="inlineStr">
        <is>
          <t>（七）安全费</t>
        </is>
      </c>
      <c r="E380" s="47" t="n"/>
      <c r="F380" s="47" t="n"/>
      <c r="G380" s="47" t="n"/>
      <c r="H380" s="163" t="n"/>
      <c r="I380" s="163" t="n"/>
      <c r="J380" s="158" t="n">
        <v>0</v>
      </c>
      <c r="K380" s="183" t="n"/>
      <c r="L380" s="172">
        <f>J64-N64-P64</f>
        <v/>
      </c>
      <c r="M380" s="163" t="n"/>
      <c r="N380" s="163" t="n"/>
      <c r="O380" s="163" t="n"/>
      <c r="P380" s="163" t="n"/>
      <c r="Q380" s="163" t="n"/>
      <c r="R380" s="163" t="n"/>
      <c r="S380" s="182" t="n"/>
      <c r="T380" s="182" t="n"/>
      <c r="U380" s="182" t="n"/>
      <c r="V380" s="182" t="n"/>
      <c r="W380" s="182" t="n"/>
      <c r="X380" s="182" t="n"/>
      <c r="Y380" s="182" t="n"/>
      <c r="Z380" s="181" t="n"/>
      <c r="AA380" s="170" t="n"/>
      <c r="AB380" s="164" t="n"/>
      <c r="AC380" s="164" t="n"/>
      <c r="AD380" s="164" t="n"/>
      <c r="AE380" s="164" t="n"/>
      <c r="AF380" s="164" t="n"/>
      <c r="AG380" s="164" t="n"/>
      <c r="AH380" s="164" t="n"/>
      <c r="AI380" s="164" t="n"/>
      <c r="AJ380" s="164" t="n"/>
      <c r="AK380" s="164" t="n"/>
      <c r="AL380" s="96" t="n"/>
    </row>
    <row r="381">
      <c r="A381" s="51" t="n"/>
      <c r="B381" s="51" t="n"/>
      <c r="C381" s="51" t="n"/>
      <c r="D381" s="41" t="inlineStr">
        <is>
          <t>安全费小计：</t>
        </is>
      </c>
      <c r="E381" s="41" t="n"/>
      <c r="F381" s="41" t="n"/>
      <c r="G381" s="41" t="n"/>
      <c r="H381" s="174">
        <f>SUM(H64)</f>
        <v/>
      </c>
      <c r="I381" s="174">
        <f>SUM(I64)</f>
        <v/>
      </c>
      <c r="J381" s="174" t="n">
        <v>0</v>
      </c>
      <c r="K381" s="174" t="n">
        <v>0</v>
      </c>
      <c r="L381" s="172">
        <f>J65-K65</f>
        <v/>
      </c>
      <c r="M381" s="184" t="n"/>
      <c r="N381" s="184" t="n"/>
      <c r="O381" s="184" t="n"/>
      <c r="P381" s="184" t="n"/>
      <c r="Q381" s="184" t="n"/>
      <c r="R381" s="184" t="n"/>
      <c r="S381" s="184" t="n"/>
      <c r="T381" s="184" t="n"/>
      <c r="U381" s="184" t="n"/>
      <c r="V381" s="184" t="n"/>
      <c r="W381" s="184" t="n"/>
      <c r="X381" s="184" t="n"/>
      <c r="Y381" s="184" t="n"/>
      <c r="Z381" s="184" t="n"/>
      <c r="AA381" s="184">
        <f>SUM(AA64)</f>
        <v/>
      </c>
      <c r="AB381" s="184">
        <f>SUM(AB64)</f>
        <v/>
      </c>
      <c r="AC381" s="184">
        <f>SUM(AC64)</f>
        <v/>
      </c>
      <c r="AD381" s="184">
        <f>SUM(AD64)</f>
        <v/>
      </c>
      <c r="AE381" s="184">
        <f>SUM(AE64)</f>
        <v/>
      </c>
      <c r="AF381" s="184">
        <f>SUM(AF64)</f>
        <v/>
      </c>
      <c r="AG381" s="184" t="n"/>
      <c r="AH381" s="184" t="n"/>
      <c r="AI381" s="184">
        <f>SUM(AI64)</f>
        <v/>
      </c>
      <c r="AJ381" s="184">
        <f>SUM(AJ64)</f>
        <v/>
      </c>
      <c r="AK381" s="184">
        <f>SUM(AK64)</f>
        <v/>
      </c>
      <c r="AL381" s="135" t="n"/>
    </row>
    <row r="382">
      <c r="A382" s="51" t="n"/>
      <c r="B382" s="51" t="n"/>
      <c r="C382" s="51" t="n"/>
      <c r="D382" s="41" t="inlineStr">
        <is>
          <t>三、成本合计：</t>
        </is>
      </c>
      <c r="E382" s="52" t="n"/>
      <c r="F382" s="52" t="n"/>
      <c r="G382" s="52" t="n"/>
      <c r="H382" s="174">
        <f>H17+H23+H36+H40+H48+H63+H65</f>
        <v/>
      </c>
      <c r="I382" s="174">
        <f>I17+I23+I36+I40+I48+I63+I65</f>
        <v/>
      </c>
      <c r="J382" s="174">
        <f>J17+J23+J36+J40+J48+J63+J65</f>
        <v/>
      </c>
      <c r="K382" s="174">
        <f>K17+K23+K36+K40+K48+K63+K65</f>
        <v/>
      </c>
      <c r="L382" s="177">
        <f>L17+L23+L36+L40+L48+L63+L65</f>
        <v/>
      </c>
      <c r="M382" s="184">
        <f>M17+M23+M36+M40+M48+M63+M65</f>
        <v/>
      </c>
      <c r="N382" s="184">
        <f>N17+N23+N36+N40+N48+N63+N65</f>
        <v/>
      </c>
      <c r="O382" s="184">
        <f>O17+O23+O36+O40+O48+O63+O65</f>
        <v/>
      </c>
      <c r="P382" s="184">
        <f>P17+P23+P36+P40+P48+P63+P65</f>
        <v/>
      </c>
      <c r="Q382" s="184">
        <f>Q17+Q23+Q36+Q40+Q48+Q63+Q65</f>
        <v/>
      </c>
      <c r="R382" s="184">
        <f>R17+R23+R36+R40+R48+R63+R65</f>
        <v/>
      </c>
      <c r="S382" s="184">
        <f>S17+S23+S36+S40+S48+S63+S65</f>
        <v/>
      </c>
      <c r="T382" s="184" t="n"/>
      <c r="U382" s="184" t="n"/>
      <c r="V382" s="184" t="n"/>
      <c r="W382" s="184" t="n"/>
      <c r="X382" s="184" t="n"/>
      <c r="Y382" s="184" t="n"/>
      <c r="Z382" s="184">
        <f>Z17+Z23+Z36+Z40+Z48+Z63+Z65</f>
        <v/>
      </c>
      <c r="AA382" s="184">
        <f>AA17+AA23+AA36+AA40+AA48+AA63+AA65</f>
        <v/>
      </c>
      <c r="AB382" s="184">
        <f>AB17+AB23+AB36+AB40+AB48+AB63+AB65</f>
        <v/>
      </c>
      <c r="AC382" s="184">
        <f>AC17+AC23+AC36+AC40+AC48+AC63+AC65</f>
        <v/>
      </c>
      <c r="AD382" s="184">
        <f>AD17+AD23+AD36+AD40+AD48+AD63+AD65</f>
        <v/>
      </c>
      <c r="AE382" s="184">
        <f>AE17+AE23+AE36+AE40+AE48+AE63+AE65</f>
        <v/>
      </c>
      <c r="AF382" s="184">
        <f>AF17+AF23+AF36+AF40+AF48+AF63+AF65</f>
        <v/>
      </c>
      <c r="AG382" s="184" t="n"/>
      <c r="AH382" s="184" t="n"/>
      <c r="AI382" s="184">
        <f>AI17+AI23+AI36+AI40+AI48+AI63+AI65</f>
        <v/>
      </c>
      <c r="AJ382" s="184">
        <f>AJ17+AJ23+AJ36+AJ40+AJ48+AJ63+AJ65</f>
        <v/>
      </c>
      <c r="AK382" s="184">
        <f>AK17+AK23+AK36+AK40+AK48+AK63+AK65</f>
        <v/>
      </c>
      <c r="AL382" s="135" t="n"/>
    </row>
    <row r="383">
      <c r="A383" s="27" t="n"/>
      <c r="B383" s="27" t="n"/>
      <c r="C383" s="27" t="n"/>
      <c r="D383" s="37" t="inlineStr">
        <is>
          <t>四、计提保修金</t>
        </is>
      </c>
      <c r="E383" s="99" t="inlineStr">
        <is>
          <t>（在建：房建0.6%，其它0.4%；在保修期间的按0.3~0.5%自行确定;保修期结束为0）</t>
        </is>
      </c>
      <c r="F383" s="99" t="n"/>
      <c r="G383" s="99" t="n"/>
      <c r="H383" s="158" t="n"/>
      <c r="I383" s="158" t="n"/>
      <c r="J383" s="158">
        <f>H67+I67</f>
        <v/>
      </c>
      <c r="K383" s="158" t="n"/>
      <c r="L383" s="172">
        <f>J67-K67</f>
        <v/>
      </c>
      <c r="M383" s="163" t="n"/>
      <c r="N383" s="163" t="n"/>
      <c r="O383" s="163">
        <f>L67-M67</f>
        <v/>
      </c>
      <c r="P383" s="163">
        <f>K67-N67</f>
        <v/>
      </c>
      <c r="Q383" s="163">
        <f>M67+O67</f>
        <v/>
      </c>
      <c r="R383" s="163">
        <f>M67+N67+O67+P67</f>
        <v/>
      </c>
      <c r="S383" s="170" t="n"/>
      <c r="T383" s="170" t="n"/>
      <c r="U383" s="170" t="n"/>
      <c r="V383" s="170" t="n"/>
      <c r="W383" s="170" t="n"/>
      <c r="X383" s="170" t="n"/>
      <c r="Y383" s="170" t="n"/>
      <c r="Z383" s="170" t="n"/>
      <c r="AA383" s="170">
        <f>Q67-S67</f>
        <v/>
      </c>
      <c r="AB383" s="185" t="n"/>
      <c r="AC383" s="185" t="n"/>
      <c r="AD383" s="185" t="n"/>
      <c r="AE383" s="185" t="n"/>
      <c r="AF383" s="185" t="n"/>
      <c r="AG383" s="185" t="n"/>
      <c r="AH383" s="185" t="n"/>
      <c r="AI383" s="185" t="n"/>
      <c r="AJ383" s="185" t="n"/>
      <c r="AK383" s="164" t="n"/>
      <c r="AL383" s="135" t="n"/>
    </row>
    <row r="384">
      <c r="A384" s="27" t="n"/>
      <c r="B384" s="27" t="n"/>
      <c r="C384" s="27" t="n"/>
      <c r="D384" s="37" t="inlineStr">
        <is>
          <t>五、过程节点奖金</t>
        </is>
      </c>
      <c r="E384" s="47" t="n"/>
      <c r="F384" s="47" t="n"/>
      <c r="G384" s="47" t="n"/>
      <c r="H384" s="158" t="n"/>
      <c r="I384" s="158" t="n"/>
      <c r="J384" s="158">
        <f>H68+I68</f>
        <v/>
      </c>
      <c r="K384" s="158" t="n"/>
      <c r="L384" s="172">
        <f>J68-K68</f>
        <v/>
      </c>
      <c r="M384" s="163" t="n"/>
      <c r="N384" s="163" t="n"/>
      <c r="O384" s="163">
        <f>L68-M68</f>
        <v/>
      </c>
      <c r="P384" s="163">
        <f>K68-N68</f>
        <v/>
      </c>
      <c r="Q384" s="163">
        <f>M68+O68</f>
        <v/>
      </c>
      <c r="R384" s="163">
        <f>M68+N68+O68+P68</f>
        <v/>
      </c>
      <c r="S384" s="170" t="n"/>
      <c r="T384" s="170" t="n"/>
      <c r="U384" s="170" t="n"/>
      <c r="V384" s="170" t="n"/>
      <c r="W384" s="170" t="n"/>
      <c r="X384" s="170" t="n"/>
      <c r="Y384" s="170" t="n"/>
      <c r="Z384" s="170" t="n"/>
      <c r="AA384" s="170" t="n"/>
      <c r="AB384" s="164" t="n"/>
      <c r="AC384" s="164" t="n"/>
      <c r="AD384" s="164" t="n"/>
      <c r="AE384" s="164" t="n"/>
      <c r="AF384" s="164" t="n"/>
      <c r="AG384" s="164" t="n"/>
      <c r="AH384" s="164" t="n"/>
      <c r="AI384" s="164" t="n"/>
      <c r="AJ384" s="164" t="n"/>
      <c r="AK384" s="164" t="n"/>
      <c r="AL384" s="96" t="n"/>
    </row>
    <row r="385">
      <c r="A385" s="27" t="n"/>
      <c r="B385" s="27" t="n"/>
      <c r="C385" s="27" t="n"/>
      <c r="D385" s="37" t="inlineStr">
        <is>
          <t>六、资金占用费用</t>
        </is>
      </c>
      <c r="E385" s="47" t="n"/>
      <c r="F385" s="47" t="n"/>
      <c r="G385" s="47" t="n"/>
      <c r="H385" s="163" t="n"/>
      <c r="I385" s="163" t="n"/>
      <c r="J385" s="158">
        <f>H69+I69</f>
        <v/>
      </c>
      <c r="K385" s="163" t="n"/>
      <c r="L385" s="172">
        <f>J69-K69</f>
        <v/>
      </c>
      <c r="M385" s="163" t="n"/>
      <c r="N385" s="163" t="n"/>
      <c r="O385" s="163">
        <f>L69-M69</f>
        <v/>
      </c>
      <c r="P385" s="163">
        <f>K69-N69</f>
        <v/>
      </c>
      <c r="Q385" s="163">
        <f>M69+O69</f>
        <v/>
      </c>
      <c r="R385" s="163">
        <f>M69+N69+O69+P69</f>
        <v/>
      </c>
      <c r="S385" s="170" t="n"/>
      <c r="T385" s="170" t="n"/>
      <c r="U385" s="170" t="n"/>
      <c r="V385" s="170" t="n"/>
      <c r="W385" s="170" t="n"/>
      <c r="X385" s="170" t="n"/>
      <c r="Y385" s="170" t="n"/>
      <c r="Z385" s="170" t="n"/>
      <c r="AA385" s="170" t="n"/>
      <c r="AB385" s="164" t="n"/>
      <c r="AC385" s="164" t="n"/>
      <c r="AD385" s="164" t="n"/>
      <c r="AE385" s="164" t="n"/>
      <c r="AF385" s="164" t="n"/>
      <c r="AG385" s="164" t="n"/>
      <c r="AH385" s="164" t="n"/>
      <c r="AI385" s="164" t="n"/>
      <c r="AJ385" s="164" t="n"/>
      <c r="AK385" s="164" t="n"/>
      <c r="AL385" s="96" t="n"/>
    </row>
    <row r="386">
      <c r="A386" s="27" t="n"/>
      <c r="B386" s="27" t="n"/>
      <c r="C386" s="27" t="n"/>
      <c r="D386" s="37" t="inlineStr">
        <is>
          <t>七、局投资收益（局投资项目选填）</t>
        </is>
      </c>
      <c r="E386" s="47" t="n"/>
      <c r="F386" s="47" t="n"/>
      <c r="G386" s="47" t="n"/>
      <c r="H386" s="163" t="n"/>
      <c r="I386" s="163" t="n"/>
      <c r="J386" s="158">
        <f>H70+I70</f>
        <v/>
      </c>
      <c r="K386" s="163" t="n"/>
      <c r="L386" s="172">
        <f>J70-K70</f>
        <v/>
      </c>
      <c r="M386" s="163" t="n"/>
      <c r="N386" s="163" t="n"/>
      <c r="O386" s="163">
        <f>L70-M70</f>
        <v/>
      </c>
      <c r="P386" s="163">
        <f>K70-N70</f>
        <v/>
      </c>
      <c r="Q386" s="163">
        <f>M70+O70</f>
        <v/>
      </c>
      <c r="R386" s="163">
        <f>M70+N70+O70+P70</f>
        <v/>
      </c>
      <c r="S386" s="170" t="n"/>
      <c r="T386" s="170" t="n"/>
      <c r="U386" s="170" t="n"/>
      <c r="V386" s="170" t="n"/>
      <c r="W386" s="170" t="n"/>
      <c r="X386" s="170" t="n"/>
      <c r="Y386" s="170" t="n"/>
      <c r="Z386" s="170" t="n"/>
      <c r="AA386" s="170" t="n"/>
      <c r="AB386" s="164" t="n"/>
      <c r="AC386" s="164" t="n"/>
      <c r="AD386" s="164" t="n"/>
      <c r="AE386" s="164" t="n"/>
      <c r="AF386" s="164" t="n"/>
      <c r="AG386" s="164" t="n"/>
      <c r="AH386" s="164" t="n"/>
      <c r="AI386" s="164" t="n"/>
      <c r="AJ386" s="164" t="n"/>
      <c r="AK386" s="164" t="n"/>
      <c r="AL386" s="96" t="n"/>
    </row>
    <row r="387">
      <c r="A387" s="34" t="n"/>
      <c r="B387" s="34" t="n"/>
      <c r="C387" s="34" t="n"/>
      <c r="D387" s="41" t="inlineStr">
        <is>
          <t>八、成本及费用合计（三+四+五+六+七）</t>
        </is>
      </c>
      <c r="E387" s="46" t="n"/>
      <c r="F387" s="46" t="n"/>
      <c r="G387" s="46" t="n"/>
      <c r="H387" s="174">
        <f>H66+H67+H68+H69+H70</f>
        <v/>
      </c>
      <c r="I387" s="174">
        <f>I66+I67+I68+I69+I70</f>
        <v/>
      </c>
      <c r="J387" s="174">
        <f>J66+J67+J68+J69+J70</f>
        <v/>
      </c>
      <c r="K387" s="174">
        <f>K66+K67+K68+K69+K70</f>
        <v/>
      </c>
      <c r="L387" s="177">
        <f>L66+L67+L68+L69+L70</f>
        <v/>
      </c>
      <c r="M387" s="184">
        <f>M66+M67+M68+M69</f>
        <v/>
      </c>
      <c r="N387" s="184">
        <f>N66+N67+N68+N69</f>
        <v/>
      </c>
      <c r="O387" s="184">
        <f>O66+O67+O68+O69</f>
        <v/>
      </c>
      <c r="P387" s="184">
        <f>P66+P67+P68+P69</f>
        <v/>
      </c>
      <c r="Q387" s="184">
        <f>Q66+Q67+Q68+Q69</f>
        <v/>
      </c>
      <c r="R387" s="184">
        <f>R66+R67+R68+R69</f>
        <v/>
      </c>
      <c r="S387" s="184">
        <f>S66+S67+S68+S69</f>
        <v/>
      </c>
      <c r="T387" s="184" t="n"/>
      <c r="U387" s="184" t="n"/>
      <c r="V387" s="184" t="n"/>
      <c r="W387" s="184" t="n"/>
      <c r="X387" s="184" t="n"/>
      <c r="Y387" s="184" t="n"/>
      <c r="Z387" s="184">
        <f>Z66+Z67+Z68+Z69</f>
        <v/>
      </c>
      <c r="AA387" s="184">
        <f>AA66+AA67+AA68+AA69</f>
        <v/>
      </c>
      <c r="AB387" s="186" t="n"/>
      <c r="AC387" s="186" t="n"/>
      <c r="AD387" s="186" t="n"/>
      <c r="AE387" s="186" t="n"/>
      <c r="AF387" s="186" t="n"/>
      <c r="AG387" s="186" t="n"/>
      <c r="AH387" s="186" t="n"/>
      <c r="AI387" s="186" t="n"/>
      <c r="AJ387" s="186" t="n"/>
      <c r="AK387" s="187" t="n"/>
      <c r="AL387" s="137" t="n"/>
    </row>
    <row r="388">
      <c r="A388" s="34" t="n"/>
      <c r="B388" s="34" t="n"/>
      <c r="C388" s="34" t="n"/>
      <c r="D388" s="41" t="inlineStr">
        <is>
          <t>九、增值税实际税负（按财务数据）</t>
        </is>
      </c>
      <c r="E388" s="46" t="inlineStr">
        <is>
          <t>根据财务账面实际已缴纳增值税额+尚需缴纳的增值税额</t>
        </is>
      </c>
      <c r="F388" s="46" t="n"/>
      <c r="G388" s="46" t="n"/>
      <c r="H388" s="174" t="n"/>
      <c r="I388" s="174" t="n"/>
      <c r="J388" s="174">
        <f>H72+I72</f>
        <v/>
      </c>
      <c r="K388" s="188" t="inlineStr">
        <is>
          <t>/</t>
        </is>
      </c>
      <c r="L388" s="172" t="inlineStr">
        <is>
          <t>/</t>
        </is>
      </c>
      <c r="M388" s="189" t="n"/>
      <c r="N388" s="174">
        <f>N6-N71</f>
        <v/>
      </c>
      <c r="O388" s="174" t="n"/>
      <c r="P388" s="174" t="n"/>
      <c r="Q388" s="174" t="inlineStr">
        <is>
          <t>/</t>
        </is>
      </c>
      <c r="R388" s="174">
        <f>N72+P72</f>
        <v/>
      </c>
      <c r="S388" s="174" t="n"/>
      <c r="T388" s="174" t="n"/>
      <c r="U388" s="174" t="n"/>
      <c r="V388" s="174" t="n"/>
      <c r="W388" s="174" t="n"/>
      <c r="X388" s="174" t="n"/>
      <c r="Y388" s="174" t="n"/>
      <c r="Z388" s="174" t="n"/>
      <c r="AA388" s="174" t="n"/>
      <c r="AB388" s="186" t="n"/>
      <c r="AC388" s="186" t="n"/>
      <c r="AD388" s="186" t="n"/>
      <c r="AE388" s="186" t="n"/>
      <c r="AF388" s="186" t="n"/>
      <c r="AG388" s="186" t="n"/>
      <c r="AH388" s="186" t="n"/>
      <c r="AI388" s="186" t="n"/>
      <c r="AJ388" s="186" t="n"/>
      <c r="AK388" s="187" t="n"/>
      <c r="AL388" s="137" t="n"/>
    </row>
    <row r="389">
      <c r="A389" s="34" t="n"/>
      <c r="B389" s="34" t="n"/>
      <c r="C389" s="34" t="n"/>
      <c r="D389" s="41" t="inlineStr">
        <is>
          <t>十、税金及附加
（按财务数据）</t>
        </is>
      </c>
      <c r="E389" s="46" t="inlineStr">
        <is>
          <t>根据财务账面实际已缴纳税金及附加+尚需缴纳的税金及附加</t>
        </is>
      </c>
      <c r="F389" s="46" t="n"/>
      <c r="G389" s="46" t="n"/>
      <c r="H389" s="174" t="n"/>
      <c r="I389" s="174" t="n"/>
      <c r="J389" s="174">
        <f>H73+I73</f>
        <v/>
      </c>
      <c r="K389" s="174" t="n"/>
      <c r="L389" s="172">
        <f>J73</f>
        <v/>
      </c>
      <c r="M389" s="189" t="n"/>
      <c r="N389" s="174" t="n"/>
      <c r="O389" s="174">
        <f>L73-M73</f>
        <v/>
      </c>
      <c r="P389" s="174" t="n"/>
      <c r="Q389" s="174">
        <f>M73+O73</f>
        <v/>
      </c>
      <c r="R389" s="174">
        <f>Q73</f>
        <v/>
      </c>
      <c r="S389" s="174" t="n"/>
      <c r="T389" s="174" t="n"/>
      <c r="U389" s="174" t="n"/>
      <c r="V389" s="174" t="n"/>
      <c r="W389" s="174" t="n"/>
      <c r="X389" s="174" t="n"/>
      <c r="Y389" s="174" t="n"/>
      <c r="Z389" s="174" t="n"/>
      <c r="AA389" s="174" t="n"/>
      <c r="AB389" s="186" t="n"/>
      <c r="AC389" s="186" t="n"/>
      <c r="AD389" s="186" t="n"/>
      <c r="AE389" s="186" t="n"/>
      <c r="AF389" s="186" t="n"/>
      <c r="AG389" s="186" t="n"/>
      <c r="AH389" s="186" t="n"/>
      <c r="AI389" s="186" t="n"/>
      <c r="AJ389" s="186" t="n"/>
      <c r="AK389" s="187" t="n"/>
      <c r="AL389" s="137" t="n"/>
    </row>
    <row r="390">
      <c r="A390" s="34" t="n"/>
      <c r="B390" s="34" t="n"/>
      <c r="C390" s="34" t="n"/>
      <c r="D390" s="41" t="inlineStr">
        <is>
          <t>十一、利润</t>
        </is>
      </c>
      <c r="E390" s="46" t="n"/>
      <c r="F390" s="46" t="n"/>
      <c r="G390" s="46" t="n"/>
      <c r="H390" s="174" t="n"/>
      <c r="I390" s="174" t="n"/>
      <c r="J390" s="174">
        <f>J6-J71-J72-J73</f>
        <v/>
      </c>
      <c r="K390" s="174" t="n"/>
      <c r="L390" s="177" t="n"/>
      <c r="M390" s="184" t="n"/>
      <c r="N390" s="184" t="n"/>
      <c r="O390" s="184" t="n"/>
      <c r="P390" s="184" t="n"/>
      <c r="Q390" s="184" t="n"/>
      <c r="R390" s="184" t="n"/>
      <c r="S390" s="184" t="n"/>
      <c r="T390" s="184" t="n"/>
      <c r="U390" s="184" t="n"/>
      <c r="V390" s="184" t="n"/>
      <c r="W390" s="184" t="n"/>
      <c r="X390" s="184" t="n"/>
      <c r="Y390" s="184" t="n"/>
      <c r="Z390" s="184" t="n"/>
      <c r="AA390" s="184" t="n"/>
      <c r="AB390" s="186" t="n"/>
      <c r="AC390" s="186" t="n"/>
      <c r="AD390" s="186" t="n"/>
      <c r="AE390" s="186" t="n"/>
      <c r="AF390" s="186" t="n"/>
      <c r="AG390" s="186" t="n"/>
      <c r="AH390" s="186" t="n"/>
      <c r="AI390" s="186" t="n"/>
      <c r="AJ390" s="186" t="n"/>
      <c r="AK390" s="187" t="n"/>
      <c r="AL390" s="137" t="n"/>
    </row>
    <row r="391">
      <c r="A391" s="34" t="n"/>
      <c r="B391" s="34" t="n"/>
      <c r="C391" s="34" t="n"/>
      <c r="D391" s="41" t="inlineStr">
        <is>
          <t>十二、利润率</t>
        </is>
      </c>
      <c r="E391" s="46" t="n"/>
      <c r="F391" s="46" t="n"/>
      <c r="G391" s="46" t="n"/>
      <c r="H391" s="174" t="n"/>
      <c r="I391" s="174" t="n"/>
      <c r="J391" s="115">
        <f>J74/J6</f>
        <v/>
      </c>
      <c r="K391" s="174" t="n"/>
      <c r="L391" s="116">
        <f>L74/L6</f>
        <v/>
      </c>
      <c r="M391" s="116">
        <f>M74/M6</f>
        <v/>
      </c>
      <c r="N391" s="116" t="n"/>
      <c r="O391" s="116" t="n"/>
      <c r="P391" s="116" t="n"/>
      <c r="Q391" s="116">
        <f>Q74/Q6</f>
        <v/>
      </c>
      <c r="R391" s="116">
        <f>R74/R6</f>
        <v/>
      </c>
      <c r="S391" s="184" t="n"/>
      <c r="T391" s="184" t="n"/>
      <c r="U391" s="184" t="n"/>
      <c r="V391" s="184" t="n"/>
      <c r="W391" s="184" t="n"/>
      <c r="X391" s="184" t="n"/>
      <c r="Y391" s="184" t="n"/>
      <c r="Z391" s="184" t="n"/>
      <c r="AA391" s="184" t="n"/>
      <c r="AB391" s="186" t="n"/>
      <c r="AC391" s="186" t="n"/>
      <c r="AD391" s="186" t="n"/>
      <c r="AE391" s="186" t="n"/>
      <c r="AF391" s="186" t="n"/>
      <c r="AG391" s="186" t="n"/>
      <c r="AH391" s="186" t="n"/>
      <c r="AI391" s="186" t="n"/>
      <c r="AJ391" s="186" t="n"/>
      <c r="AK391" s="187" t="n"/>
      <c r="AL391" s="137" t="n"/>
    </row>
    <row r="392">
      <c r="A392" s="100" t="n"/>
      <c r="B392" s="100" t="n"/>
      <c r="C392" s="100" t="n"/>
      <c r="D392" s="101" t="n"/>
      <c r="E392" s="102" t="n"/>
      <c r="F392" s="102" t="n"/>
      <c r="G392" s="102" t="n"/>
      <c r="H392" s="190" t="n"/>
      <c r="I392" s="190" t="n"/>
      <c r="J392" s="191" t="inlineStr">
        <is>
          <t>含税利润率</t>
        </is>
      </c>
      <c r="K392" s="192" t="n"/>
      <c r="L392" s="193" t="inlineStr">
        <is>
          <t>不含税利润率</t>
        </is>
      </c>
      <c r="M392" s="194" t="n"/>
      <c r="N392" s="194" t="n"/>
      <c r="O392" s="194" t="n"/>
      <c r="P392" s="194" t="n"/>
      <c r="Q392" s="194" t="n"/>
      <c r="R392" s="194" t="n"/>
      <c r="S392" s="194" t="n"/>
      <c r="T392" s="194" t="n"/>
      <c r="U392" s="194" t="n"/>
      <c r="V392" s="194" t="n"/>
      <c r="W392" s="194" t="n"/>
      <c r="X392" s="194" t="n"/>
      <c r="Y392" s="194" t="n"/>
      <c r="Z392" s="195" t="n"/>
      <c r="AA392" s="140" t="n"/>
    </row>
    <row r="393">
      <c r="A393" s="100" t="n"/>
      <c r="B393" s="100" t="n"/>
      <c r="C393" s="100" t="n"/>
      <c r="D393" s="101" t="n"/>
      <c r="E393" s="102" t="n"/>
      <c r="F393" s="102" t="n"/>
      <c r="G393" s="102" t="n"/>
      <c r="H393" s="190" t="n"/>
      <c r="I393" s="190" t="n"/>
      <c r="J393" s="196" t="n"/>
      <c r="K393" s="190" t="n"/>
      <c r="L393" s="197" t="n"/>
      <c r="M393" s="194" t="n"/>
      <c r="N393" s="194" t="n"/>
      <c r="O393" s="194" t="n"/>
      <c r="P393" s="194" t="n"/>
      <c r="Q393" s="194" t="n"/>
      <c r="R393" s="194" t="n"/>
      <c r="S393" s="194" t="n"/>
      <c r="T393" s="194" t="n"/>
      <c r="U393" s="194" t="n"/>
      <c r="V393" s="194" t="n"/>
      <c r="W393" s="194" t="n"/>
      <c r="X393" s="194" t="n"/>
      <c r="Y393" s="194" t="n"/>
      <c r="Z393" s="195" t="n"/>
      <c r="AA393" s="140" t="n"/>
    </row>
    <row r="394">
      <c r="A394" s="105" t="n"/>
      <c r="B394" s="105" t="n"/>
      <c r="C394" s="105" t="n"/>
      <c r="E394" s="107" t="n"/>
      <c r="F394" s="107" t="n"/>
      <c r="G394" s="107" t="n"/>
      <c r="H394" s="108" t="n"/>
      <c r="I394" s="108" t="n"/>
      <c r="J394" s="124" t="n"/>
      <c r="K394" s="198" t="n"/>
      <c r="L394" s="198" t="n"/>
      <c r="M394" s="199" t="n"/>
      <c r="N394" s="198" t="n"/>
      <c r="O394" s="198" t="n"/>
      <c r="P394" s="200" t="n"/>
      <c r="Q394" s="200" t="n"/>
      <c r="R394" s="198" t="n"/>
      <c r="Z394" s="107" t="n"/>
      <c r="AA394" s="201" t="n"/>
      <c r="AB394" s="8" t="n"/>
      <c r="AC394" s="8" t="n"/>
      <c r="AD394" s="109" t="n"/>
      <c r="AE394" s="109" t="n"/>
      <c r="AF394" s="109" t="n"/>
      <c r="AG394" s="109" t="n"/>
      <c r="AH394" s="109" t="n"/>
      <c r="AI394" s="109" t="n"/>
      <c r="AJ394" s="109" t="n"/>
      <c r="AK394" s="109" t="n"/>
      <c r="AL394" s="109" t="n"/>
      <c r="AM394" s="109" t="n"/>
      <c r="AN394" s="109" t="n"/>
      <c r="AO394" s="109" t="n"/>
      <c r="AP394" s="109" t="n"/>
      <c r="AQ394" s="109" t="n"/>
      <c r="AR394" s="109" t="n"/>
      <c r="AS394" s="109" t="n"/>
      <c r="AT394" s="109" t="n"/>
      <c r="AU394" s="109" t="n"/>
      <c r="AV394" s="109" t="n"/>
      <c r="AW394" s="109" t="n"/>
      <c r="AX394" s="109" t="n"/>
      <c r="AY394" s="109" t="n"/>
      <c r="AZ394" s="109" t="n"/>
      <c r="BA394" s="109" t="n"/>
      <c r="BB394" s="109" t="n"/>
      <c r="BC394" s="109" t="n"/>
      <c r="BD394" s="109" t="n"/>
      <c r="BE394" s="109" t="n"/>
      <c r="BF394" s="109" t="n"/>
      <c r="BG394" s="109" t="n"/>
      <c r="BH394" s="109" t="n"/>
      <c r="BI394" s="109" t="n"/>
      <c r="BJ394" s="109" t="n"/>
      <c r="BK394" s="109" t="n"/>
      <c r="BL394" s="109" t="n"/>
      <c r="BM394" s="109" t="n"/>
      <c r="BN394" s="109" t="n"/>
      <c r="BO394" s="109" t="n"/>
      <c r="BP394" s="109" t="n"/>
      <c r="BQ394" s="109" t="n"/>
      <c r="BR394" s="109" t="n"/>
      <c r="BS394" s="109" t="n"/>
      <c r="BT394" s="109" t="n"/>
      <c r="BU394" s="109" t="n"/>
      <c r="BV394" s="109" t="n"/>
      <c r="BW394" s="109" t="n"/>
      <c r="BX394" s="109" t="n"/>
      <c r="BY394" s="109" t="n"/>
      <c r="BZ394" s="109" t="n"/>
      <c r="CA394" s="109" t="n"/>
      <c r="CB394" s="109" t="n"/>
      <c r="CC394" s="109" t="n"/>
      <c r="CD394" s="109" t="n"/>
      <c r="CE394" s="109" t="n"/>
      <c r="CF394" s="109" t="n"/>
      <c r="CG394" s="109" t="n"/>
      <c r="CH394" s="109" t="n"/>
      <c r="CI394" s="109" t="n"/>
      <c r="CJ394" s="109" t="n"/>
      <c r="CK394" s="109" t="n"/>
      <c r="CL394" s="109" t="n"/>
      <c r="CM394" s="109" t="n"/>
      <c r="CN394" s="109" t="n"/>
      <c r="CO394" s="109" t="n"/>
      <c r="CP394" s="109" t="n"/>
      <c r="CQ394" s="109" t="n"/>
      <c r="CR394" s="109" t="n"/>
      <c r="CS394" s="109" t="n"/>
      <c r="CT394" s="109" t="n"/>
      <c r="CU394" s="109" t="n"/>
      <c r="CV394" s="109" t="n"/>
      <c r="CW394" s="109" t="n"/>
      <c r="CX394" s="109" t="n"/>
      <c r="CY394" s="109" t="n"/>
      <c r="CZ394" s="109" t="n"/>
      <c r="DA394" s="109" t="n"/>
      <c r="DB394" s="109" t="n"/>
      <c r="DC394" s="109" t="n"/>
      <c r="DD394" s="109" t="n"/>
      <c r="DE394" s="109" t="n"/>
      <c r="DF394" s="109" t="n"/>
      <c r="DG394" s="109" t="n"/>
      <c r="DH394" s="109" t="n"/>
      <c r="DI394" s="109" t="n"/>
      <c r="DJ394" s="109" t="n"/>
      <c r="DK394" s="109" t="n"/>
      <c r="DL394" s="109" t="n"/>
      <c r="DM394" s="109" t="n"/>
      <c r="DN394" s="109" t="n"/>
      <c r="DO394" s="109" t="n"/>
      <c r="DP394" s="109" t="n"/>
      <c r="DQ394" s="109" t="n"/>
      <c r="DR394" s="109" t="n"/>
      <c r="DS394" s="109" t="n"/>
      <c r="DT394" s="109" t="n"/>
      <c r="DU394" s="109" t="n"/>
      <c r="DV394" s="109" t="n"/>
      <c r="DW394" s="109" t="n"/>
      <c r="DX394" s="109" t="n"/>
      <c r="DY394" s="109" t="n"/>
      <c r="DZ394" s="109" t="n"/>
      <c r="EA394" s="109" t="n"/>
      <c r="EB394" s="109" t="n"/>
      <c r="EC394" s="109" t="n"/>
      <c r="ED394" s="109" t="n"/>
      <c r="EE394" s="109" t="n"/>
      <c r="EF394" s="109" t="n"/>
      <c r="EG394" s="109" t="n"/>
      <c r="EH394" s="109" t="n"/>
      <c r="EI394" s="109" t="n"/>
      <c r="EJ394" s="109" t="n"/>
      <c r="EK394" s="109" t="n"/>
      <c r="EL394" s="109" t="n"/>
      <c r="EM394" s="109" t="n"/>
      <c r="EN394" s="109" t="n"/>
      <c r="EO394" s="109" t="n"/>
      <c r="EP394" s="109" t="n"/>
      <c r="EQ394" s="109" t="n"/>
      <c r="ER394" s="109" t="n"/>
      <c r="ES394" s="109" t="n"/>
      <c r="ET394" s="109" t="n"/>
      <c r="EU394" s="109" t="n"/>
      <c r="EV394" s="109" t="n"/>
      <c r="EW394" s="109" t="n"/>
      <c r="EX394" s="109" t="n"/>
      <c r="EY394" s="109" t="n"/>
      <c r="EZ394" s="109" t="n"/>
      <c r="FA394" s="109" t="n"/>
      <c r="FB394" s="109" t="n"/>
      <c r="FC394" s="109" t="n"/>
      <c r="FD394" s="109" t="n"/>
      <c r="FE394" s="109" t="n"/>
      <c r="FF394" s="109" t="n"/>
      <c r="FG394" s="109" t="n"/>
      <c r="FH394" s="109" t="n"/>
      <c r="FI394" s="109" t="n"/>
      <c r="FJ394" s="109" t="n"/>
      <c r="FK394" s="109" t="n"/>
      <c r="FL394" s="109" t="n"/>
      <c r="FM394" s="109" t="n"/>
      <c r="FN394" s="109" t="n"/>
      <c r="FO394" s="109" t="n"/>
      <c r="FP394" s="109" t="n"/>
      <c r="FQ394" s="109" t="n"/>
      <c r="FR394" s="109" t="n"/>
      <c r="FS394" s="109" t="n"/>
      <c r="FT394" s="109" t="n"/>
      <c r="FU394" s="109" t="n"/>
      <c r="FV394" s="109" t="n"/>
      <c r="FW394" s="109" t="n"/>
      <c r="FX394" s="109" t="n"/>
      <c r="FY394" s="109" t="n"/>
      <c r="FZ394" s="109" t="n"/>
      <c r="GA394" s="109" t="n"/>
      <c r="GB394" s="109" t="n"/>
      <c r="GC394" s="109" t="n"/>
      <c r="GD394" s="109" t="n"/>
      <c r="GE394" s="109" t="n"/>
      <c r="GF394" s="109" t="n"/>
      <c r="GG394" s="109" t="n"/>
      <c r="GH394" s="109" t="n"/>
      <c r="GI394" s="109" t="n"/>
      <c r="GJ394" s="109" t="n"/>
      <c r="GK394" s="109" t="n"/>
      <c r="GL394" s="109" t="n"/>
      <c r="GM394" s="109" t="n"/>
      <c r="GN394" s="109" t="n"/>
      <c r="GO394" s="109" t="n"/>
      <c r="GP394" s="109" t="n"/>
      <c r="GQ394" s="109" t="n"/>
      <c r="GR394" s="109" t="n"/>
      <c r="GS394" s="109" t="n"/>
      <c r="GT394" s="109" t="n"/>
      <c r="GU394" s="109" t="n"/>
      <c r="GV394" s="109" t="n"/>
      <c r="GW394" s="109" t="n"/>
      <c r="GX394" s="109" t="n"/>
      <c r="GY394" s="109" t="n"/>
      <c r="GZ394" s="109" t="n"/>
      <c r="HA394" s="109" t="n"/>
      <c r="HB394" s="109" t="n"/>
      <c r="HC394" s="109" t="n"/>
      <c r="HD394" s="109" t="n"/>
      <c r="HE394" s="109" t="n"/>
      <c r="HF394" s="109" t="n"/>
      <c r="HG394" s="109" t="n"/>
      <c r="HH394" s="109" t="n"/>
      <c r="HI394" s="109" t="n"/>
      <c r="HJ394" s="109" t="n"/>
      <c r="HK394" s="109" t="n"/>
      <c r="HL394" s="109" t="n"/>
      <c r="HM394" s="109" t="n"/>
      <c r="HN394" s="109" t="n"/>
      <c r="HO394" s="109" t="n"/>
      <c r="HP394" s="109" t="n"/>
      <c r="HQ394" s="109" t="n"/>
      <c r="HR394" s="109" t="n"/>
      <c r="HS394" s="109" t="n"/>
      <c r="HT394" s="109" t="n"/>
      <c r="HU394" s="109" t="n"/>
      <c r="HV394" s="109" t="n"/>
      <c r="HW394" s="109" t="n"/>
      <c r="HX394" s="109" t="n"/>
      <c r="HY394" s="109" t="n"/>
      <c r="HZ394" s="109" t="n"/>
      <c r="IA394" s="109" t="n"/>
      <c r="IB394" s="109" t="n"/>
      <c r="IC394" s="109" t="n"/>
      <c r="ID394" s="109" t="n"/>
      <c r="IE394" s="109" t="n"/>
      <c r="IF394" s="109" t="n"/>
      <c r="IG394" s="109" t="n"/>
      <c r="IH394" s="109" t="n"/>
      <c r="II394" s="109" t="n"/>
      <c r="IJ394" s="109" t="n"/>
      <c r="IK394" s="109" t="n"/>
      <c r="IL394" s="109" t="n"/>
      <c r="IM394" s="109" t="n"/>
      <c r="IN394" s="109" t="n"/>
      <c r="IO394" s="109" t="n"/>
      <c r="IP394" s="109" t="n"/>
      <c r="IQ394" s="109" t="n"/>
      <c r="IR394" s="109" t="n"/>
      <c r="IS394" s="109" t="n"/>
      <c r="IT394" s="109" t="n"/>
      <c r="IU394" s="109" t="n"/>
      <c r="IV394" s="109" t="n"/>
      <c r="IW394" s="109" t="n"/>
      <c r="IX394" s="109" t="n"/>
      <c r="IY394" s="109" t="n"/>
      <c r="IZ394" s="109" t="n"/>
      <c r="JA394" s="109" t="n"/>
      <c r="JB394" s="109" t="n"/>
      <c r="JC394" s="109" t="n"/>
      <c r="JD394" s="109" t="n"/>
      <c r="JE394" s="109" t="n"/>
    </row>
    <row r="395">
      <c r="A395" s="109" t="n"/>
      <c r="B395" s="109" t="n"/>
      <c r="C395" s="109" t="n"/>
      <c r="D395" s="109" t="n"/>
      <c r="E395" s="110" t="n"/>
      <c r="F395" s="110" t="n"/>
      <c r="G395" s="110" t="n"/>
      <c r="H395" s="110" t="n"/>
      <c r="I395" s="110" t="n"/>
      <c r="J395" s="110" t="n"/>
      <c r="K395" s="202" t="n"/>
      <c r="L395" s="110" t="n"/>
      <c r="M395" s="110" t="n"/>
      <c r="N395" s="110" t="n"/>
      <c r="O395" s="110" t="n"/>
      <c r="P395" s="110" t="n"/>
      <c r="Q395" s="110" t="n"/>
      <c r="R395" s="110" t="n"/>
      <c r="Z395" s="110" t="n"/>
      <c r="AA395" s="109" t="n"/>
      <c r="AB395" s="109" t="n"/>
      <c r="AC395" s="109" t="n"/>
      <c r="AD395" s="109" t="n"/>
      <c r="AE395" s="109" t="n"/>
      <c r="AF395" s="109" t="n"/>
      <c r="AG395" s="109" t="n"/>
      <c r="AH395" s="109" t="n"/>
      <c r="AI395" s="109" t="n"/>
      <c r="AJ395" s="109" t="n"/>
      <c r="AK395" s="109" t="n"/>
      <c r="AL395" s="109" t="n"/>
      <c r="AM395" s="109" t="n"/>
      <c r="AN395" s="109" t="n"/>
      <c r="AO395" s="109" t="n"/>
      <c r="AP395" s="109" t="n"/>
      <c r="AQ395" s="109" t="n"/>
      <c r="AR395" s="109" t="n"/>
      <c r="AS395" s="109" t="n"/>
      <c r="AT395" s="109" t="n"/>
      <c r="AU395" s="109" t="n"/>
      <c r="AV395" s="109" t="n"/>
      <c r="AW395" s="109" t="n"/>
      <c r="AX395" s="109" t="n"/>
      <c r="AY395" s="109" t="n"/>
      <c r="AZ395" s="109" t="n"/>
      <c r="BA395" s="109" t="n"/>
      <c r="BB395" s="109" t="n"/>
      <c r="BC395" s="109" t="n"/>
      <c r="BD395" s="109" t="n"/>
      <c r="BE395" s="109" t="n"/>
      <c r="BF395" s="109" t="n"/>
      <c r="BG395" s="109" t="n"/>
      <c r="BH395" s="109" t="n"/>
      <c r="BI395" s="109" t="n"/>
      <c r="BJ395" s="109" t="n"/>
      <c r="BK395" s="109" t="n"/>
      <c r="BL395" s="109" t="n"/>
      <c r="BM395" s="109" t="n"/>
      <c r="BN395" s="109" t="n"/>
      <c r="BO395" s="109" t="n"/>
      <c r="BP395" s="109" t="n"/>
      <c r="BQ395" s="109" t="n"/>
      <c r="BR395" s="109" t="n"/>
      <c r="BS395" s="109" t="n"/>
      <c r="BT395" s="109" t="n"/>
      <c r="BU395" s="109" t="n"/>
      <c r="BV395" s="109" t="n"/>
      <c r="BW395" s="109" t="n"/>
      <c r="BX395" s="109" t="n"/>
      <c r="BY395" s="109" t="n"/>
      <c r="BZ395" s="109" t="n"/>
      <c r="CA395" s="109" t="n"/>
      <c r="CB395" s="109" t="n"/>
      <c r="CC395" s="109" t="n"/>
      <c r="CD395" s="109" t="n"/>
      <c r="CE395" s="109" t="n"/>
      <c r="CF395" s="109" t="n"/>
      <c r="CG395" s="109" t="n"/>
      <c r="CH395" s="109" t="n"/>
      <c r="CI395" s="109" t="n"/>
      <c r="CJ395" s="109" t="n"/>
      <c r="CK395" s="109" t="n"/>
      <c r="CL395" s="109" t="n"/>
      <c r="CM395" s="109" t="n"/>
      <c r="CN395" s="109" t="n"/>
      <c r="CO395" s="109" t="n"/>
      <c r="CP395" s="109" t="n"/>
      <c r="CQ395" s="109" t="n"/>
      <c r="CR395" s="109" t="n"/>
      <c r="CS395" s="109" t="n"/>
      <c r="CT395" s="109" t="n"/>
      <c r="CU395" s="109" t="n"/>
      <c r="CV395" s="109" t="n"/>
      <c r="CW395" s="109" t="n"/>
      <c r="CX395" s="109" t="n"/>
      <c r="CY395" s="109" t="n"/>
      <c r="CZ395" s="109" t="n"/>
      <c r="DA395" s="109" t="n"/>
      <c r="DB395" s="109" t="n"/>
      <c r="DC395" s="109" t="n"/>
      <c r="DD395" s="109" t="n"/>
      <c r="DE395" s="109" t="n"/>
      <c r="DF395" s="109" t="n"/>
      <c r="DG395" s="109" t="n"/>
      <c r="DH395" s="109" t="n"/>
      <c r="DI395" s="109" t="n"/>
      <c r="DJ395" s="109" t="n"/>
      <c r="DK395" s="109" t="n"/>
      <c r="DL395" s="109" t="n"/>
      <c r="DM395" s="109" t="n"/>
      <c r="DN395" s="109" t="n"/>
      <c r="DO395" s="109" t="n"/>
      <c r="DP395" s="109" t="n"/>
      <c r="DQ395" s="109" t="n"/>
      <c r="DR395" s="109" t="n"/>
      <c r="DS395" s="109" t="n"/>
      <c r="DT395" s="109" t="n"/>
      <c r="DU395" s="109" t="n"/>
      <c r="DV395" s="109" t="n"/>
      <c r="DW395" s="109" t="n"/>
      <c r="DX395" s="109" t="n"/>
      <c r="DY395" s="109" t="n"/>
      <c r="DZ395" s="109" t="n"/>
      <c r="EA395" s="109" t="n"/>
      <c r="EB395" s="109" t="n"/>
      <c r="EC395" s="109" t="n"/>
      <c r="ED395" s="109" t="n"/>
      <c r="EE395" s="109" t="n"/>
      <c r="EF395" s="109" t="n"/>
      <c r="EG395" s="109" t="n"/>
      <c r="EH395" s="109" t="n"/>
      <c r="EI395" s="109" t="n"/>
      <c r="EJ395" s="109" t="n"/>
      <c r="EK395" s="109" t="n"/>
      <c r="EL395" s="109" t="n"/>
      <c r="EM395" s="109" t="n"/>
      <c r="EN395" s="109" t="n"/>
      <c r="EO395" s="109" t="n"/>
      <c r="EP395" s="109" t="n"/>
      <c r="EQ395" s="109" t="n"/>
      <c r="ER395" s="109" t="n"/>
      <c r="ES395" s="109" t="n"/>
      <c r="ET395" s="109" t="n"/>
      <c r="EU395" s="109" t="n"/>
      <c r="EV395" s="109" t="n"/>
      <c r="EW395" s="109" t="n"/>
      <c r="EX395" s="109" t="n"/>
      <c r="EY395" s="109" t="n"/>
      <c r="EZ395" s="109" t="n"/>
      <c r="FA395" s="109" t="n"/>
      <c r="FB395" s="109" t="n"/>
      <c r="FC395" s="109" t="n"/>
      <c r="FD395" s="109" t="n"/>
      <c r="FE395" s="109" t="n"/>
      <c r="FF395" s="109" t="n"/>
      <c r="FG395" s="109" t="n"/>
      <c r="FH395" s="109" t="n"/>
      <c r="FI395" s="109" t="n"/>
      <c r="FJ395" s="109" t="n"/>
      <c r="FK395" s="109" t="n"/>
      <c r="FL395" s="109" t="n"/>
      <c r="FM395" s="109" t="n"/>
      <c r="FN395" s="109" t="n"/>
      <c r="FO395" s="109" t="n"/>
      <c r="FP395" s="109" t="n"/>
      <c r="FQ395" s="109" t="n"/>
      <c r="FR395" s="109" t="n"/>
      <c r="FS395" s="109" t="n"/>
      <c r="FT395" s="109" t="n"/>
      <c r="FU395" s="109" t="n"/>
      <c r="FV395" s="109" t="n"/>
      <c r="FW395" s="109" t="n"/>
      <c r="FX395" s="109" t="n"/>
      <c r="FY395" s="109" t="n"/>
      <c r="FZ395" s="109" t="n"/>
      <c r="GA395" s="109" t="n"/>
      <c r="GB395" s="109" t="n"/>
      <c r="GC395" s="109" t="n"/>
      <c r="GD395" s="109" t="n"/>
      <c r="GE395" s="109" t="n"/>
      <c r="GF395" s="109" t="n"/>
      <c r="GG395" s="109" t="n"/>
      <c r="GH395" s="109" t="n"/>
      <c r="GI395" s="109" t="n"/>
      <c r="GJ395" s="109" t="n"/>
      <c r="GK395" s="109" t="n"/>
      <c r="GL395" s="109" t="n"/>
      <c r="GM395" s="109" t="n"/>
      <c r="GN395" s="109" t="n"/>
      <c r="GO395" s="109" t="n"/>
      <c r="GP395" s="109" t="n"/>
      <c r="GQ395" s="109" t="n"/>
      <c r="GR395" s="109" t="n"/>
      <c r="GS395" s="109" t="n"/>
      <c r="GT395" s="109" t="n"/>
      <c r="GU395" s="109" t="n"/>
      <c r="GV395" s="109" t="n"/>
      <c r="GW395" s="109" t="n"/>
      <c r="GX395" s="109" t="n"/>
      <c r="GY395" s="109" t="n"/>
      <c r="GZ395" s="109" t="n"/>
      <c r="HA395" s="109" t="n"/>
      <c r="HB395" s="109" t="n"/>
      <c r="HC395" s="109" t="n"/>
      <c r="HD395" s="109" t="n"/>
      <c r="HE395" s="109" t="n"/>
      <c r="HF395" s="109" t="n"/>
      <c r="HG395" s="109" t="n"/>
      <c r="HH395" s="109" t="n"/>
      <c r="HI395" s="109" t="n"/>
      <c r="HJ395" s="109" t="n"/>
      <c r="HK395" s="109" t="n"/>
      <c r="HL395" s="109" t="n"/>
      <c r="HM395" s="109" t="n"/>
      <c r="HN395" s="109" t="n"/>
      <c r="HO395" s="109" t="n"/>
      <c r="HP395" s="109" t="n"/>
      <c r="HQ395" s="109" t="n"/>
      <c r="HR395" s="109" t="n"/>
      <c r="HS395" s="109" t="n"/>
      <c r="HT395" s="109" t="n"/>
      <c r="HU395" s="109" t="n"/>
      <c r="HV395" s="109" t="n"/>
      <c r="HW395" s="109" t="n"/>
      <c r="HX395" s="109" t="n"/>
      <c r="HY395" s="109" t="n"/>
      <c r="HZ395" s="109" t="n"/>
      <c r="IA395" s="109" t="n"/>
      <c r="IB395" s="109" t="n"/>
      <c r="IC395" s="109" t="n"/>
      <c r="ID395" s="109" t="n"/>
      <c r="IE395" s="109" t="n"/>
      <c r="IF395" s="109" t="n"/>
      <c r="IG395" s="109" t="n"/>
      <c r="IH395" s="109" t="n"/>
      <c r="II395" s="109" t="n"/>
      <c r="IJ395" s="109" t="n"/>
      <c r="IK395" s="109" t="n"/>
      <c r="IL395" s="109" t="n"/>
      <c r="IM395" s="109" t="n"/>
      <c r="IN395" s="109" t="n"/>
      <c r="IO395" s="109" t="n"/>
      <c r="IP395" s="109" t="n"/>
      <c r="IQ395" s="109" t="n"/>
      <c r="IR395" s="109" t="n"/>
      <c r="IS395" s="109" t="n"/>
      <c r="IT395" s="109" t="n"/>
      <c r="IU395" s="109" t="n"/>
      <c r="IV395" s="109" t="n"/>
      <c r="IW395" s="109" t="n"/>
      <c r="IX395" s="109" t="n"/>
      <c r="IY395" s="109" t="n"/>
      <c r="IZ395" s="109" t="n"/>
      <c r="JA395" s="109" t="n"/>
      <c r="JB395" s="109" t="n"/>
      <c r="JC395" s="109" t="n"/>
      <c r="JD395" s="109" t="n"/>
      <c r="JE395" s="109" t="n"/>
    </row>
    <row r="396">
      <c r="A396" s="109" t="n"/>
      <c r="B396" s="109" t="n"/>
      <c r="C396" s="109" t="n"/>
      <c r="D396" s="109" t="n"/>
      <c r="E396" s="110" t="n"/>
      <c r="F396" s="110" t="n"/>
      <c r="G396" s="110" t="n"/>
      <c r="H396" s="110" t="n"/>
      <c r="I396" s="110" t="n"/>
      <c r="J396" s="110" t="n"/>
      <c r="K396" s="202" t="n"/>
      <c r="L396" s="110" t="n"/>
      <c r="M396" s="110" t="n"/>
      <c r="N396" s="110" t="n"/>
      <c r="O396" s="110" t="n"/>
      <c r="P396" s="110" t="n"/>
      <c r="Q396" s="110" t="n"/>
      <c r="R396" s="110" t="n"/>
      <c r="Z396" s="110" t="n"/>
      <c r="AA396" s="109" t="n"/>
      <c r="AB396" s="109" t="n"/>
      <c r="AC396" s="109" t="n"/>
      <c r="AD396" s="109" t="n"/>
      <c r="AE396" s="109" t="n"/>
      <c r="AF396" s="109" t="n"/>
      <c r="AG396" s="109" t="n"/>
      <c r="AH396" s="109" t="n"/>
      <c r="AI396" s="109" t="n"/>
      <c r="AJ396" s="109" t="n"/>
      <c r="AK396" s="109" t="n"/>
      <c r="AL396" s="109" t="n"/>
      <c r="AM396" s="109" t="n"/>
      <c r="AN396" s="109" t="n"/>
      <c r="AO396" s="109" t="n"/>
      <c r="AP396" s="109" t="n"/>
      <c r="AQ396" s="109" t="n"/>
      <c r="AR396" s="109" t="n"/>
      <c r="AS396" s="109" t="n"/>
      <c r="AT396" s="109" t="n"/>
      <c r="AU396" s="109" t="n"/>
      <c r="AV396" s="109" t="n"/>
      <c r="AW396" s="109" t="n"/>
      <c r="AX396" s="109" t="n"/>
      <c r="AY396" s="109" t="n"/>
      <c r="AZ396" s="109" t="n"/>
      <c r="BA396" s="109" t="n"/>
      <c r="BB396" s="109" t="n"/>
      <c r="BC396" s="109" t="n"/>
      <c r="BD396" s="109" t="n"/>
      <c r="BE396" s="109" t="n"/>
      <c r="BF396" s="109" t="n"/>
      <c r="BG396" s="109" t="n"/>
      <c r="BH396" s="109" t="n"/>
      <c r="BI396" s="109" t="n"/>
      <c r="BJ396" s="109" t="n"/>
      <c r="BK396" s="109" t="n"/>
      <c r="BL396" s="109" t="n"/>
      <c r="BM396" s="109" t="n"/>
      <c r="BN396" s="109" t="n"/>
      <c r="BO396" s="109" t="n"/>
      <c r="BP396" s="109" t="n"/>
      <c r="BQ396" s="109" t="n"/>
      <c r="BR396" s="109" t="n"/>
      <c r="BS396" s="109" t="n"/>
      <c r="BT396" s="109" t="n"/>
      <c r="BU396" s="109" t="n"/>
      <c r="BV396" s="109" t="n"/>
      <c r="BW396" s="109" t="n"/>
      <c r="BX396" s="109" t="n"/>
      <c r="BY396" s="109" t="n"/>
      <c r="BZ396" s="109" t="n"/>
      <c r="CA396" s="109" t="n"/>
      <c r="CB396" s="109" t="n"/>
      <c r="CC396" s="109" t="n"/>
      <c r="CD396" s="109" t="n"/>
      <c r="CE396" s="109" t="n"/>
      <c r="CF396" s="109" t="n"/>
      <c r="CG396" s="109" t="n"/>
      <c r="CH396" s="109" t="n"/>
      <c r="CI396" s="109" t="n"/>
      <c r="CJ396" s="109" t="n"/>
      <c r="CK396" s="109" t="n"/>
      <c r="CL396" s="109" t="n"/>
      <c r="CM396" s="109" t="n"/>
      <c r="CN396" s="109" t="n"/>
      <c r="CO396" s="109" t="n"/>
      <c r="CP396" s="109" t="n"/>
      <c r="CQ396" s="109" t="n"/>
      <c r="CR396" s="109" t="n"/>
      <c r="CS396" s="109" t="n"/>
      <c r="CT396" s="109" t="n"/>
      <c r="CU396" s="109" t="n"/>
      <c r="CV396" s="109" t="n"/>
      <c r="CW396" s="109" t="n"/>
      <c r="CX396" s="109" t="n"/>
      <c r="CY396" s="109" t="n"/>
      <c r="CZ396" s="109" t="n"/>
      <c r="DA396" s="109" t="n"/>
      <c r="DB396" s="109" t="n"/>
      <c r="DC396" s="109" t="n"/>
      <c r="DD396" s="109" t="n"/>
      <c r="DE396" s="109" t="n"/>
      <c r="DF396" s="109" t="n"/>
      <c r="DG396" s="109" t="n"/>
      <c r="DH396" s="109" t="n"/>
      <c r="DI396" s="109" t="n"/>
      <c r="DJ396" s="109" t="n"/>
      <c r="DK396" s="109" t="n"/>
      <c r="DL396" s="109" t="n"/>
      <c r="DM396" s="109" t="n"/>
      <c r="DN396" s="109" t="n"/>
      <c r="DO396" s="109" t="n"/>
      <c r="DP396" s="109" t="n"/>
      <c r="DQ396" s="109" t="n"/>
      <c r="DR396" s="109" t="n"/>
      <c r="DS396" s="109" t="n"/>
      <c r="DT396" s="109" t="n"/>
      <c r="DU396" s="109" t="n"/>
      <c r="DV396" s="109" t="n"/>
      <c r="DW396" s="109" t="n"/>
      <c r="DX396" s="109" t="n"/>
      <c r="DY396" s="109" t="n"/>
      <c r="DZ396" s="109" t="n"/>
      <c r="EA396" s="109" t="n"/>
      <c r="EB396" s="109" t="n"/>
      <c r="EC396" s="109" t="n"/>
      <c r="ED396" s="109" t="n"/>
      <c r="EE396" s="109" t="n"/>
      <c r="EF396" s="109" t="n"/>
      <c r="EG396" s="109" t="n"/>
      <c r="EH396" s="109" t="n"/>
      <c r="EI396" s="109" t="n"/>
      <c r="EJ396" s="109" t="n"/>
      <c r="EK396" s="109" t="n"/>
      <c r="EL396" s="109" t="n"/>
      <c r="EM396" s="109" t="n"/>
      <c r="EN396" s="109" t="n"/>
      <c r="EO396" s="109" t="n"/>
      <c r="EP396" s="109" t="n"/>
      <c r="EQ396" s="109" t="n"/>
      <c r="ER396" s="109" t="n"/>
      <c r="ES396" s="109" t="n"/>
      <c r="ET396" s="109" t="n"/>
      <c r="EU396" s="109" t="n"/>
      <c r="EV396" s="109" t="n"/>
      <c r="EW396" s="109" t="n"/>
      <c r="EX396" s="109" t="n"/>
      <c r="EY396" s="109" t="n"/>
      <c r="EZ396" s="109" t="n"/>
      <c r="FA396" s="109" t="n"/>
      <c r="FB396" s="109" t="n"/>
      <c r="FC396" s="109" t="n"/>
      <c r="FD396" s="109" t="n"/>
      <c r="FE396" s="109" t="n"/>
      <c r="FF396" s="109" t="n"/>
      <c r="FG396" s="109" t="n"/>
      <c r="FH396" s="109" t="n"/>
      <c r="FI396" s="109" t="n"/>
      <c r="FJ396" s="109" t="n"/>
      <c r="FK396" s="109" t="n"/>
      <c r="FL396" s="109" t="n"/>
      <c r="FM396" s="109" t="n"/>
      <c r="FN396" s="109" t="n"/>
      <c r="FO396" s="109" t="n"/>
      <c r="FP396" s="109" t="n"/>
      <c r="FQ396" s="109" t="n"/>
      <c r="FR396" s="109" t="n"/>
      <c r="FS396" s="109" t="n"/>
      <c r="FT396" s="109" t="n"/>
      <c r="FU396" s="109" t="n"/>
      <c r="FV396" s="109" t="n"/>
      <c r="FW396" s="109" t="n"/>
      <c r="FX396" s="109" t="n"/>
      <c r="FY396" s="109" t="n"/>
      <c r="FZ396" s="109" t="n"/>
      <c r="GA396" s="109" t="n"/>
      <c r="GB396" s="109" t="n"/>
      <c r="GC396" s="109" t="n"/>
      <c r="GD396" s="109" t="n"/>
      <c r="GE396" s="109" t="n"/>
      <c r="GF396" s="109" t="n"/>
      <c r="GG396" s="109" t="n"/>
      <c r="GH396" s="109" t="n"/>
      <c r="GI396" s="109" t="n"/>
      <c r="GJ396" s="109" t="n"/>
      <c r="GK396" s="109" t="n"/>
      <c r="GL396" s="109" t="n"/>
      <c r="GM396" s="109" t="n"/>
      <c r="GN396" s="109" t="n"/>
      <c r="GO396" s="109" t="n"/>
      <c r="GP396" s="109" t="n"/>
      <c r="GQ396" s="109" t="n"/>
      <c r="GR396" s="109" t="n"/>
      <c r="GS396" s="109" t="n"/>
      <c r="GT396" s="109" t="n"/>
      <c r="GU396" s="109" t="n"/>
      <c r="GV396" s="109" t="n"/>
      <c r="GW396" s="109" t="n"/>
      <c r="GX396" s="109" t="n"/>
      <c r="GY396" s="109" t="n"/>
      <c r="GZ396" s="109" t="n"/>
      <c r="HA396" s="109" t="n"/>
      <c r="HB396" s="109" t="n"/>
      <c r="HC396" s="109" t="n"/>
      <c r="HD396" s="109" t="n"/>
      <c r="HE396" s="109" t="n"/>
      <c r="HF396" s="109" t="n"/>
      <c r="HG396" s="109" t="n"/>
      <c r="HH396" s="109" t="n"/>
      <c r="HI396" s="109" t="n"/>
      <c r="HJ396" s="109" t="n"/>
      <c r="HK396" s="109" t="n"/>
      <c r="HL396" s="109" t="n"/>
      <c r="HM396" s="109" t="n"/>
      <c r="HN396" s="109" t="n"/>
      <c r="HO396" s="109" t="n"/>
      <c r="HP396" s="109" t="n"/>
      <c r="HQ396" s="109" t="n"/>
      <c r="HR396" s="109" t="n"/>
      <c r="HS396" s="109" t="n"/>
      <c r="HT396" s="109" t="n"/>
      <c r="HU396" s="109" t="n"/>
      <c r="HV396" s="109" t="n"/>
      <c r="HW396" s="109" t="n"/>
      <c r="HX396" s="109" t="n"/>
      <c r="HY396" s="109" t="n"/>
      <c r="HZ396" s="109" t="n"/>
      <c r="IA396" s="109" t="n"/>
      <c r="IB396" s="109" t="n"/>
      <c r="IC396" s="109" t="n"/>
      <c r="ID396" s="109" t="n"/>
      <c r="IE396" s="109" t="n"/>
      <c r="IF396" s="109" t="n"/>
      <c r="IG396" s="109" t="n"/>
      <c r="IH396" s="109" t="n"/>
      <c r="II396" s="109" t="n"/>
      <c r="IJ396" s="109" t="n"/>
      <c r="IK396" s="109" t="n"/>
      <c r="IL396" s="109" t="n"/>
      <c r="IM396" s="109" t="n"/>
      <c r="IN396" s="109" t="n"/>
      <c r="IO396" s="109" t="n"/>
      <c r="IP396" s="109" t="n"/>
      <c r="IQ396" s="109" t="n"/>
      <c r="IR396" s="109" t="n"/>
      <c r="IS396" s="109" t="n"/>
      <c r="IT396" s="109" t="n"/>
      <c r="IU396" s="109" t="n"/>
      <c r="IV396" s="109" t="n"/>
      <c r="IW396" s="109" t="n"/>
      <c r="IX396" s="109" t="n"/>
      <c r="IY396" s="109" t="n"/>
      <c r="IZ396" s="109" t="n"/>
      <c r="JA396" s="109" t="n"/>
      <c r="JB396" s="109" t="n"/>
      <c r="JC396" s="109" t="n"/>
      <c r="JD396" s="109" t="n"/>
      <c r="JE396" s="109" t="n"/>
    </row>
    <row r="397">
      <c r="A397" s="109" t="n"/>
      <c r="B397" s="109" t="n"/>
      <c r="C397" s="109" t="n"/>
      <c r="D397" s="109" t="n"/>
      <c r="E397" s="111" t="n"/>
      <c r="F397" s="111" t="n"/>
      <c r="G397" s="111" t="n"/>
      <c r="H397" s="110" t="n"/>
      <c r="I397" s="110" t="n"/>
      <c r="J397" s="110" t="n"/>
      <c r="K397" s="111" t="n"/>
      <c r="L397" s="110" t="n"/>
      <c r="M397" s="110" t="n"/>
      <c r="N397" s="107" t="n"/>
      <c r="O397" s="110" t="n"/>
      <c r="P397" s="110" t="n"/>
      <c r="Q397" s="110" t="n"/>
      <c r="R397" s="198" t="n"/>
      <c r="Z397" s="110" t="n"/>
      <c r="AA397" s="109" t="n"/>
      <c r="AB397" s="109" t="n"/>
      <c r="AC397" s="109" t="n"/>
      <c r="AD397" s="109" t="n"/>
      <c r="AE397" s="109" t="n"/>
      <c r="AF397" s="109" t="n"/>
      <c r="AG397" s="109" t="n"/>
      <c r="AH397" s="109" t="n"/>
      <c r="AI397" s="109" t="n"/>
      <c r="AJ397" s="109" t="n"/>
      <c r="AK397" s="109" t="n"/>
      <c r="AL397" s="109" t="n"/>
      <c r="AM397" s="109" t="n"/>
      <c r="AN397" s="109" t="n"/>
      <c r="AO397" s="109" t="n"/>
      <c r="AP397" s="109" t="n"/>
      <c r="AQ397" s="109" t="n"/>
      <c r="AR397" s="109" t="n"/>
      <c r="AS397" s="109" t="n"/>
      <c r="AT397" s="109" t="n"/>
      <c r="AU397" s="109" t="n"/>
      <c r="AV397" s="109" t="n"/>
      <c r="AW397" s="109" t="n"/>
      <c r="AX397" s="109" t="n"/>
      <c r="AY397" s="109" t="n"/>
      <c r="AZ397" s="109" t="n"/>
      <c r="BA397" s="109" t="n"/>
      <c r="BB397" s="109" t="n"/>
      <c r="BC397" s="109" t="n"/>
      <c r="BD397" s="109" t="n"/>
      <c r="BE397" s="109" t="n"/>
      <c r="BF397" s="109" t="n"/>
      <c r="BG397" s="109" t="n"/>
      <c r="BH397" s="109" t="n"/>
      <c r="BI397" s="109" t="n"/>
      <c r="BJ397" s="109" t="n"/>
      <c r="BK397" s="109" t="n"/>
      <c r="BL397" s="109" t="n"/>
      <c r="BM397" s="109" t="n"/>
      <c r="BN397" s="109" t="n"/>
      <c r="BO397" s="109" t="n"/>
      <c r="BP397" s="109" t="n"/>
      <c r="BQ397" s="109" t="n"/>
      <c r="BR397" s="109" t="n"/>
      <c r="BS397" s="109" t="n"/>
      <c r="BT397" s="109" t="n"/>
      <c r="BU397" s="109" t="n"/>
      <c r="BV397" s="109" t="n"/>
      <c r="BW397" s="109" t="n"/>
      <c r="BX397" s="109" t="n"/>
      <c r="BY397" s="109" t="n"/>
      <c r="BZ397" s="109" t="n"/>
      <c r="CA397" s="109" t="n"/>
      <c r="CB397" s="109" t="n"/>
      <c r="CC397" s="109" t="n"/>
      <c r="CD397" s="109" t="n"/>
      <c r="CE397" s="109" t="n"/>
      <c r="CF397" s="109" t="n"/>
      <c r="CG397" s="109" t="n"/>
      <c r="CH397" s="109" t="n"/>
      <c r="CI397" s="109" t="n"/>
      <c r="CJ397" s="109" t="n"/>
      <c r="CK397" s="109" t="n"/>
      <c r="CL397" s="109" t="n"/>
      <c r="CM397" s="109" t="n"/>
      <c r="CN397" s="109" t="n"/>
      <c r="CO397" s="109" t="n"/>
      <c r="CP397" s="109" t="n"/>
      <c r="CQ397" s="109" t="n"/>
      <c r="CR397" s="109" t="n"/>
      <c r="CS397" s="109" t="n"/>
      <c r="CT397" s="109" t="n"/>
      <c r="CU397" s="109" t="n"/>
      <c r="CV397" s="109" t="n"/>
      <c r="CW397" s="109" t="n"/>
      <c r="CX397" s="109" t="n"/>
      <c r="CY397" s="109" t="n"/>
      <c r="CZ397" s="109" t="n"/>
      <c r="DA397" s="109" t="n"/>
      <c r="DB397" s="109" t="n"/>
      <c r="DC397" s="109" t="n"/>
      <c r="DD397" s="109" t="n"/>
      <c r="DE397" s="109" t="n"/>
      <c r="DF397" s="109" t="n"/>
      <c r="DG397" s="109" t="n"/>
      <c r="DH397" s="109" t="n"/>
      <c r="DI397" s="109" t="n"/>
      <c r="DJ397" s="109" t="n"/>
      <c r="DK397" s="109" t="n"/>
      <c r="DL397" s="109" t="n"/>
      <c r="DM397" s="109" t="n"/>
      <c r="DN397" s="109" t="n"/>
      <c r="DO397" s="109" t="n"/>
      <c r="DP397" s="109" t="n"/>
      <c r="DQ397" s="109" t="n"/>
      <c r="DR397" s="109" t="n"/>
      <c r="DS397" s="109" t="n"/>
      <c r="DT397" s="109" t="n"/>
      <c r="DU397" s="109" t="n"/>
      <c r="DV397" s="109" t="n"/>
      <c r="DW397" s="109" t="n"/>
      <c r="DX397" s="109" t="n"/>
      <c r="DY397" s="109" t="n"/>
      <c r="DZ397" s="109" t="n"/>
      <c r="EA397" s="109" t="n"/>
      <c r="EB397" s="109" t="n"/>
      <c r="EC397" s="109" t="n"/>
      <c r="ED397" s="109" t="n"/>
      <c r="EE397" s="109" t="n"/>
      <c r="EF397" s="109" t="n"/>
      <c r="EG397" s="109" t="n"/>
      <c r="EH397" s="109" t="n"/>
      <c r="EI397" s="109" t="n"/>
      <c r="EJ397" s="109" t="n"/>
      <c r="EK397" s="109" t="n"/>
      <c r="EL397" s="109" t="n"/>
      <c r="EM397" s="109" t="n"/>
      <c r="EN397" s="109" t="n"/>
      <c r="EO397" s="109" t="n"/>
      <c r="EP397" s="109" t="n"/>
      <c r="EQ397" s="109" t="n"/>
      <c r="ER397" s="109" t="n"/>
      <c r="ES397" s="109" t="n"/>
      <c r="ET397" s="109" t="n"/>
      <c r="EU397" s="109" t="n"/>
      <c r="EV397" s="109" t="n"/>
      <c r="EW397" s="109" t="n"/>
      <c r="EX397" s="109" t="n"/>
      <c r="EY397" s="109" t="n"/>
      <c r="EZ397" s="109" t="n"/>
      <c r="FA397" s="109" t="n"/>
      <c r="FB397" s="109" t="n"/>
      <c r="FC397" s="109" t="n"/>
      <c r="FD397" s="109" t="n"/>
      <c r="FE397" s="109" t="n"/>
      <c r="FF397" s="109" t="n"/>
      <c r="FG397" s="109" t="n"/>
      <c r="FH397" s="109" t="n"/>
      <c r="FI397" s="109" t="n"/>
      <c r="FJ397" s="109" t="n"/>
      <c r="FK397" s="109" t="n"/>
      <c r="FL397" s="109" t="n"/>
      <c r="FM397" s="109" t="n"/>
      <c r="FN397" s="109" t="n"/>
      <c r="FO397" s="109" t="n"/>
      <c r="FP397" s="109" t="n"/>
      <c r="FQ397" s="109" t="n"/>
      <c r="FR397" s="109" t="n"/>
      <c r="FS397" s="109" t="n"/>
      <c r="FT397" s="109" t="n"/>
      <c r="FU397" s="109" t="n"/>
      <c r="FV397" s="109" t="n"/>
      <c r="FW397" s="109" t="n"/>
      <c r="FX397" s="109" t="n"/>
      <c r="FY397" s="109" t="n"/>
      <c r="FZ397" s="109" t="n"/>
      <c r="GA397" s="109" t="n"/>
      <c r="GB397" s="109" t="n"/>
      <c r="GC397" s="109" t="n"/>
      <c r="GD397" s="109" t="n"/>
      <c r="GE397" s="109" t="n"/>
      <c r="GF397" s="109" t="n"/>
      <c r="GG397" s="109" t="n"/>
      <c r="GH397" s="109" t="n"/>
      <c r="GI397" s="109" t="n"/>
      <c r="GJ397" s="109" t="n"/>
      <c r="GK397" s="109" t="n"/>
      <c r="GL397" s="109" t="n"/>
      <c r="GM397" s="109" t="n"/>
      <c r="GN397" s="109" t="n"/>
      <c r="GO397" s="109" t="n"/>
      <c r="GP397" s="109" t="n"/>
      <c r="GQ397" s="109" t="n"/>
      <c r="GR397" s="109" t="n"/>
      <c r="GS397" s="109" t="n"/>
      <c r="GT397" s="109" t="n"/>
      <c r="GU397" s="109" t="n"/>
      <c r="GV397" s="109" t="n"/>
      <c r="GW397" s="109" t="n"/>
      <c r="GX397" s="109" t="n"/>
      <c r="GY397" s="109" t="n"/>
      <c r="GZ397" s="109" t="n"/>
      <c r="HA397" s="109" t="n"/>
      <c r="HB397" s="109" t="n"/>
      <c r="HC397" s="109" t="n"/>
      <c r="HD397" s="109" t="n"/>
      <c r="HE397" s="109" t="n"/>
      <c r="HF397" s="109" t="n"/>
      <c r="HG397" s="109" t="n"/>
      <c r="HH397" s="109" t="n"/>
      <c r="HI397" s="109" t="n"/>
      <c r="HJ397" s="109" t="n"/>
      <c r="HK397" s="109" t="n"/>
      <c r="HL397" s="109" t="n"/>
      <c r="HM397" s="109" t="n"/>
      <c r="HN397" s="109" t="n"/>
      <c r="HO397" s="109" t="n"/>
      <c r="HP397" s="109" t="n"/>
      <c r="HQ397" s="109" t="n"/>
      <c r="HR397" s="109" t="n"/>
      <c r="HS397" s="109" t="n"/>
      <c r="HT397" s="109" t="n"/>
      <c r="HU397" s="109" t="n"/>
      <c r="HV397" s="109" t="n"/>
      <c r="HW397" s="109" t="n"/>
      <c r="HX397" s="109" t="n"/>
      <c r="HY397" s="109" t="n"/>
      <c r="HZ397" s="109" t="n"/>
      <c r="IA397" s="109" t="n"/>
      <c r="IB397" s="109" t="n"/>
      <c r="IC397" s="109" t="n"/>
      <c r="ID397" s="109" t="n"/>
      <c r="IE397" s="109" t="n"/>
      <c r="IF397" s="109" t="n"/>
      <c r="IG397" s="109" t="n"/>
      <c r="IH397" s="109" t="n"/>
      <c r="II397" s="109" t="n"/>
      <c r="IJ397" s="109" t="n"/>
      <c r="IK397" s="109" t="n"/>
      <c r="IL397" s="109" t="n"/>
      <c r="IM397" s="109" t="n"/>
      <c r="IN397" s="109" t="n"/>
      <c r="IO397" s="109" t="n"/>
      <c r="IP397" s="109" t="n"/>
      <c r="IQ397" s="109" t="n"/>
      <c r="IR397" s="109" t="n"/>
      <c r="IS397" s="109" t="n"/>
      <c r="IT397" s="109" t="n"/>
      <c r="IU397" s="109" t="n"/>
      <c r="IV397" s="109" t="n"/>
      <c r="IW397" s="109" t="n"/>
      <c r="IX397" s="109" t="n"/>
      <c r="IY397" s="109" t="n"/>
      <c r="IZ397" s="109" t="n"/>
      <c r="JA397" s="109" t="n"/>
      <c r="JB397" s="109" t="n"/>
      <c r="JC397" s="109" t="n"/>
      <c r="JD397" s="109" t="n"/>
      <c r="JE397" s="109" t="n"/>
    </row>
    <row r="398">
      <c r="L398" s="138" t="n"/>
    </row>
  </sheetData>
  <mergeCells count="58">
    <mergeCell ref="Z7:AK7"/>
    <mergeCell ref="AH8:AH9"/>
    <mergeCell ref="C4:C5"/>
    <mergeCell ref="A1:S2"/>
    <mergeCell ref="A3:A9"/>
    <mergeCell ref="E4:E5"/>
    <mergeCell ref="AJ8:AJ9"/>
    <mergeCell ref="Q8:Q9"/>
    <mergeCell ref="AC8:AC9"/>
    <mergeCell ref="S8:S9"/>
    <mergeCell ref="G3:I3"/>
    <mergeCell ref="M7:R7"/>
    <mergeCell ref="H4:L4"/>
    <mergeCell ref="L3:M3"/>
    <mergeCell ref="C7:C9"/>
    <mergeCell ref="AE8:AE9"/>
    <mergeCell ref="E7:E9"/>
    <mergeCell ref="L8:L9"/>
    <mergeCell ref="S4:Y4"/>
    <mergeCell ref="D4:D5"/>
    <mergeCell ref="N8:N9"/>
    <mergeCell ref="Z8:Z9"/>
    <mergeCell ref="P8:P9"/>
    <mergeCell ref="AB8:AB9"/>
    <mergeCell ref="B7:B9"/>
    <mergeCell ref="T8:T9"/>
    <mergeCell ref="AL4:AL10"/>
    <mergeCell ref="Z4:AK4"/>
    <mergeCell ref="H7:L7"/>
    <mergeCell ref="I8:I9"/>
    <mergeCell ref="F7:F9"/>
    <mergeCell ref="G4:G5"/>
    <mergeCell ref="K8:K9"/>
    <mergeCell ref="M8:M9"/>
    <mergeCell ref="U8:U9"/>
    <mergeCell ref="W8:W9"/>
    <mergeCell ref="O8:O9"/>
    <mergeCell ref="M4:R4"/>
    <mergeCell ref="AF8:AF9"/>
    <mergeCell ref="AG8:AG9"/>
    <mergeCell ref="AI8:AI9"/>
    <mergeCell ref="S7:Y7"/>
    <mergeCell ref="J3:K3"/>
    <mergeCell ref="B3:D3"/>
    <mergeCell ref="B4:B5"/>
    <mergeCell ref="G7:G9"/>
    <mergeCell ref="H8:H9"/>
    <mergeCell ref="Y8:Y9"/>
    <mergeCell ref="F4:F5"/>
    <mergeCell ref="J8:J9"/>
    <mergeCell ref="V8:V9"/>
    <mergeCell ref="AA8:AA9"/>
    <mergeCell ref="R8:R9"/>
    <mergeCell ref="X8:X9"/>
    <mergeCell ref="AD8:AD9"/>
    <mergeCell ref="D7:D9"/>
    <mergeCell ref="AK8:AK9"/>
    <mergeCell ref="E3:F3"/>
  </mergeCells>
  <dataValidations count="1">
    <dataValidation sqref="E6:G6" showDropDown="0" showInputMessage="1" showErrorMessage="1" allowBlank="1" type="list">
      <formula1>"进场准备,在施,完工未验收,竣工已结,竣工未结,其它（停工）"</formula1>
    </dataValidation>
  </dataValidations>
  <pageMargins left="0.75" right="0.75" top="1" bottom="1" header="0.5" footer="0.5"/>
  <pageSetup orientation="portrait" paperSize="9"/>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sasa</dc:creator>
  <dcterms:created xsi:type="dcterms:W3CDTF">2026-04-16T00:24:47Z</dcterms:created>
  <dcterms:modified xsi:type="dcterms:W3CDTF">2026-04-16T15:58:09Z</dcterms:modified>
  <cp:lastModifiedBy>梁朝人</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E9752769681440F89F1470EAD11BCDD5_11</vt:lpwstr>
  </property>
  <property name="KSOProductBuildVer" fmtid="{D5CDD505-2E9C-101B-9397-08002B2CF9AE}" pid="3">
    <vt:lpwstr>2052-12.1.0.21541</vt:lpwstr>
  </property>
</Properties>
</file>