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externalReferences>
    <externalReference r:id="rId2"/>
  </externalReferences>
  <definedNames>
    <definedName name="hideComboData0">[1]数据集!$A$1:$A$6212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F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G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H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I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J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K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L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M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N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O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P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Q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R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S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T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U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V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W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X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Y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Z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A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B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C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D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E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F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G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H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I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J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K34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M135" authorId="1">
      <text>
        <r>
          <rPr>
            <sz val="10"/>
            <rFont val="宋体"/>
            <charset val="134"/>
          </rPr>
          <t xml:space="preserve">**同财务账面合同履约成本/工程施工成本/机械租赁费数据一致**
</t>
        </r>
      </text>
    </comment>
    <comment ref="M143" authorId="0">
      <text>
        <r>
          <rPr>
            <sz val="10"/>
            <rFont val="宋体"/>
            <charset val="134"/>
          </rPr>
          <t>于:
**同财务账面合同履约成本/工程施工成本其他直接费数据一致**</t>
        </r>
      </text>
    </comment>
    <comment ref="M185" authorId="1">
      <text>
        <r>
          <rPr>
            <sz val="10"/>
            <rFont val="宋体"/>
            <charset val="134"/>
          </rPr>
          <t>**同财务账面合同履约成本/工程施工成本/间接费数据一致**</t>
        </r>
      </text>
    </comment>
    <comment ref="D194" authorId="2">
      <text>
        <r>
          <rPr>
            <sz val="10"/>
            <rFont val="宋体"/>
            <charset val="134"/>
          </rPr>
          <t>（在建：房建0.6%，其它0.4%；在保修期间的按0.3~0.5%自行确定;保修期结束为0）</t>
        </r>
      </text>
    </comment>
    <comment ref="E205" authorId="3">
      <text>
        <r>
          <rPr>
            <sz val="10"/>
            <rFont val="宋体"/>
            <charset val="134"/>
          </rPr>
          <t>Admin:
尚需缴纳的增值税额=尚需向业主开票（累计实际完成工程量-累计已开票金额）金额对应的销项税额-分包分供尚可抵扣的进项税额</t>
        </r>
      </text>
    </comment>
    <comment ref="E206" authorId="3">
      <text>
        <r>
          <rPr>
            <sz val="10"/>
            <rFont val="宋体"/>
            <charset val="134"/>
          </rPr>
          <t>Admin:
尚需缴纳的税金及附加=尚需缴纳的增值税*税金及附加税率</t>
        </r>
      </text>
    </comment>
  </commentList>
</comments>
</file>

<file path=xl/sharedStrings.xml><?xml version="1.0" encoding="utf-8"?>
<sst xmlns="http://schemas.openxmlformats.org/spreadsheetml/2006/main" count="483" uniqueCount="423">
  <si>
    <t xml:space="preserve">            项目效益审核表               单位：元</t>
  </si>
  <si>
    <t>序号</t>
  </si>
  <si>
    <t>业主名称：</t>
  </si>
  <si>
    <t>业主所属集团：</t>
  </si>
  <si>
    <t>我司签约单位：</t>
  </si>
  <si>
    <t>本表填报时间：</t>
  </si>
  <si>
    <t>数据截止时间：</t>
  </si>
  <si>
    <t>利润中心编码</t>
  </si>
  <si>
    <t>项目编码</t>
  </si>
  <si>
    <t>工程名称（与一体化保持一致）</t>
  </si>
  <si>
    <t>项目状态（点选）</t>
  </si>
  <si>
    <t>是否办理最终结算</t>
  </si>
  <si>
    <t>最终结算时间</t>
  </si>
  <si>
    <t>商务/材料确认</t>
  </si>
  <si>
    <t>财务确认</t>
  </si>
  <si>
    <t>债权情况</t>
  </si>
  <si>
    <t>税务情况</t>
  </si>
  <si>
    <t>备注</t>
  </si>
  <si>
    <t>业主累计确认工程量
(含增值税)</t>
  </si>
  <si>
    <t>已完成未确权工程量
(含增值税)</t>
  </si>
  <si>
    <t>累计实际完成工作量
(含增值税)</t>
  </si>
  <si>
    <t>其中：实际收入应计增值税</t>
  </si>
  <si>
    <t>累计实际完成工作量（不含增值税）</t>
  </si>
  <si>
    <t>财务累计入账收入
（不含增值税）</t>
  </si>
  <si>
    <t>已价税分离的增值税金额(财务账面数据)</t>
  </si>
  <si>
    <t>应入未入账收入（商务实际完成不含税产值-财务账面列报收入）</t>
  </si>
  <si>
    <t>尚未价税分离的增值税金</t>
  </si>
  <si>
    <t>财务累计应确认收入（不含增值税）</t>
  </si>
  <si>
    <t>财务累计应确认收入（含增值税）</t>
  </si>
  <si>
    <t>实际收款</t>
  </si>
  <si>
    <t>其中：财务账面已列报收款</t>
  </si>
  <si>
    <t>其中：已抵债未入账收款</t>
  </si>
  <si>
    <t>其中：其他未入账收款</t>
  </si>
  <si>
    <t>债权总额</t>
  </si>
  <si>
    <t>其中：应收总额</t>
  </si>
  <si>
    <t>是否已取得对账单
（以取得双方用印对账单为准）</t>
  </si>
  <si>
    <t>累计已开发票（含税）</t>
  </si>
  <si>
    <t>其中：分包抵扣发票额
（含税）</t>
  </si>
  <si>
    <t>其中：增值税项下已抵扣税额</t>
  </si>
  <si>
    <t>累计已开具营业税发票</t>
  </si>
  <si>
    <t>其中：分包分供抵扣发票额</t>
  </si>
  <si>
    <t>累计已开具增值税发票
（含税）</t>
  </si>
  <si>
    <t>其中：预缴时分包抵扣发票额</t>
  </si>
  <si>
    <t>按结算未开具发票额</t>
  </si>
  <si>
    <t>按收款未开具发票额</t>
  </si>
  <si>
    <t>当前适用税率</t>
  </si>
  <si>
    <t>应收账款-待转销税额</t>
  </si>
  <si>
    <t>L400001780</t>
  </si>
  <si>
    <t>白云区金沙洲AB3705032地块项目施工总承包及总承包管理配合服务工程</t>
  </si>
  <si>
    <t>客商编码</t>
  </si>
  <si>
    <t>合同编码</t>
  </si>
  <si>
    <t>客商名称</t>
  </si>
  <si>
    <t>主要工作内容</t>
  </si>
  <si>
    <t>商务、物资确认</t>
  </si>
  <si>
    <t>债务情况</t>
  </si>
  <si>
    <t>商务已结(含税)</t>
  </si>
  <si>
    <t>截止目前应结未结(含税)</t>
  </si>
  <si>
    <t>实际诶计成本(含税)</t>
  </si>
  <si>
    <t>累计成本可抵扣增值税税金</t>
  </si>
  <si>
    <t>实际累计成本
（不含可抵扣税金）</t>
  </si>
  <si>
    <t>截止目前财务已入账成本（不含增值税）
**同财务账面合同履约成本/工程施工成本一致**</t>
  </si>
  <si>
    <t>已价税分离的增值税金
（财务账面数据）</t>
  </si>
  <si>
    <t>应入未入账成本（不含增值税）</t>
  </si>
  <si>
    <t>实际成本
（不含增值税）</t>
  </si>
  <si>
    <t>实际成本
（含增值税）</t>
  </si>
  <si>
    <t>累计付款</t>
  </si>
  <si>
    <t>其中：财务账面已列报付款</t>
  </si>
  <si>
    <t>其中：已办理供应链或票据背书未入账付款</t>
  </si>
  <si>
    <t>其中：其他未入账付款</t>
  </si>
  <si>
    <t>债务总额</t>
  </si>
  <si>
    <t>其中：应付总额</t>
  </si>
  <si>
    <t>累计已收取发票（含税）</t>
  </si>
  <si>
    <t>其中：累计已收取营业税发票额</t>
  </si>
  <si>
    <t>其中：累计已收取增值税发票额</t>
  </si>
  <si>
    <t>其中：营业税及增值税预缴时已抵扣发票额</t>
  </si>
  <si>
    <t>已收取增值税发票对应税额</t>
  </si>
  <si>
    <t>其中：已认证税额</t>
  </si>
  <si>
    <t>已收取待认证税额</t>
  </si>
  <si>
    <t>按结算未收取发票额</t>
  </si>
  <si>
    <t>按付款未收取发票额</t>
  </si>
  <si>
    <t>其他应收-待扣减税额</t>
  </si>
  <si>
    <t>9=7+8</t>
  </si>
  <si>
    <t>11=9-10</t>
  </si>
  <si>
    <t>14=11-12</t>
  </si>
  <si>
    <t>15=10-13</t>
  </si>
  <si>
    <t>16=12+14</t>
  </si>
  <si>
    <t>17=12+13+14+15</t>
  </si>
  <si>
    <t>二、成本</t>
  </si>
  <si>
    <t>（一）人工费</t>
  </si>
  <si>
    <t>200678254</t>
  </si>
  <si>
    <t>中建四局020020210018040001</t>
  </si>
  <si>
    <t>四川川泸远豪建筑劳务有限公司</t>
  </si>
  <si>
    <t>中建四局020020210018040002</t>
  </si>
  <si>
    <t>中建四局020020210018040004</t>
  </si>
  <si>
    <t>100060432</t>
  </si>
  <si>
    <t>中建四局0200202101804001</t>
  </si>
  <si>
    <t>广州市亲力劳务派遣有限公司</t>
  </si>
  <si>
    <t>中建四局0200202101804002</t>
  </si>
  <si>
    <t>中建四局0200202101804003</t>
  </si>
  <si>
    <t>中建四局0200202101804004</t>
  </si>
  <si>
    <t>中建四局0200202101804005</t>
  </si>
  <si>
    <t>中建四局0200202101804006</t>
  </si>
  <si>
    <t>中建四局0200202101804007</t>
  </si>
  <si>
    <t>中建四局0200202101804008</t>
  </si>
  <si>
    <t>中建四局0200202101804010</t>
  </si>
  <si>
    <t>100217147</t>
  </si>
  <si>
    <t>中建四局020020210018040003</t>
  </si>
  <si>
    <t>广州精诚建筑劳务有限公司</t>
  </si>
  <si>
    <t>200421551</t>
  </si>
  <si>
    <t>中建四局0200202101804009</t>
  </si>
  <si>
    <t>湖南阳旭建筑劳务服务有限公司</t>
  </si>
  <si>
    <t>FGD</t>
  </si>
  <si>
    <t>CFK+佛山市赢鑫建筑机械租赁有限公司</t>
  </si>
  <si>
    <t>CFK+广州小老虎建筑机械租赁有限公司</t>
  </si>
  <si>
    <t>CFK+郑跃鹏</t>
  </si>
  <si>
    <t>CFK+黄云茂-封存</t>
  </si>
  <si>
    <t>ZGD</t>
  </si>
  <si>
    <t>**财务未列部分需增列***</t>
  </si>
  <si>
    <t>人工费小计：</t>
  </si>
  <si>
    <t>（二）分包工程</t>
  </si>
  <si>
    <t>100217528</t>
  </si>
  <si>
    <t>中建四局0200202101803017</t>
  </si>
  <si>
    <t>佛山市耀盈活动房屋有限公司</t>
  </si>
  <si>
    <t>200120407</t>
  </si>
  <si>
    <t>中建四局0200202101803011</t>
  </si>
  <si>
    <t>广东华海建设集团有限公司</t>
  </si>
  <si>
    <t>200393732</t>
  </si>
  <si>
    <t>中建四局020020210018030002</t>
  </si>
  <si>
    <t>广东城投建设集团有限公司</t>
  </si>
  <si>
    <t>200430199</t>
  </si>
  <si>
    <t>中建四局0200202101803023</t>
  </si>
  <si>
    <t>广东振华建筑有限公司</t>
  </si>
  <si>
    <t>200053581</t>
  </si>
  <si>
    <t>中建四局0200202101803003</t>
  </si>
  <si>
    <t>广东粤忠晟保安服务有限公司</t>
  </si>
  <si>
    <t>100095592</t>
  </si>
  <si>
    <t>中建四局0200202101803005</t>
  </si>
  <si>
    <t>广东金华城建设集团有限公司</t>
  </si>
  <si>
    <t>200350492</t>
  </si>
  <si>
    <t>中建四局0200202101803010</t>
  </si>
  <si>
    <t>广东鑫弘盛建设工程有限公司</t>
  </si>
  <si>
    <t>200167577</t>
  </si>
  <si>
    <t>中建四局0200202101803018</t>
  </si>
  <si>
    <t>广州巧艺佳建筑装饰工程有限公司</t>
  </si>
  <si>
    <t>中建四局0200202101803019</t>
  </si>
  <si>
    <t>中建四局0200202101803004</t>
  </si>
  <si>
    <t>中建四局0200202101803014</t>
  </si>
  <si>
    <t>200328198</t>
  </si>
  <si>
    <t>中建四局0200202101803022</t>
  </si>
  <si>
    <t>广州市华居宝建筑装饰工程实业有限公司</t>
  </si>
  <si>
    <t>100006039</t>
  </si>
  <si>
    <t>中建四局0200202101803016</t>
  </si>
  <si>
    <t>广州市桃园建材有限公司</t>
  </si>
  <si>
    <t>200163448</t>
  </si>
  <si>
    <t>中建四局020020210018030001</t>
  </si>
  <si>
    <t>广州市森平装饰材料有限公司</t>
  </si>
  <si>
    <t>200524589</t>
  </si>
  <si>
    <t>中建四局0200202101803020</t>
  </si>
  <si>
    <t>广州新广建设工程有限公司</t>
  </si>
  <si>
    <t>200310203</t>
  </si>
  <si>
    <t>中建四局02002021018030025</t>
  </si>
  <si>
    <t>广州爱创广告策划有限公司</t>
  </si>
  <si>
    <t>100082913</t>
  </si>
  <si>
    <t>中建四局0200202101803024</t>
  </si>
  <si>
    <t>广州盛绿建材有限公司</t>
  </si>
  <si>
    <t>中建四局0200202101803006</t>
  </si>
  <si>
    <t>200050849</t>
  </si>
  <si>
    <t>中建四局0200202101803009</t>
  </si>
  <si>
    <t>广州轲达土石方工程有限公司</t>
  </si>
  <si>
    <t>200140248</t>
  </si>
  <si>
    <t>中建四局0200202101803001</t>
  </si>
  <si>
    <t>广州陇飞广告有限公司</t>
  </si>
  <si>
    <t>200098421</t>
  </si>
  <si>
    <t>中建四局0200202101803015</t>
  </si>
  <si>
    <t>广州鸿伟广告工程有限公司</t>
  </si>
  <si>
    <t>100089001</t>
  </si>
  <si>
    <t>中建四局0200202101803002</t>
  </si>
  <si>
    <t>正工模块化建筑科技（深圳）有限公司</t>
  </si>
  <si>
    <t>中建四局0200202101803008</t>
  </si>
  <si>
    <t>100089014</t>
  </si>
  <si>
    <t>中建四局0200202101803012</t>
  </si>
  <si>
    <t>江西志特新材料股份有限公司</t>
  </si>
  <si>
    <t>200447949</t>
  </si>
  <si>
    <t>中建四局0200202101803007</t>
  </si>
  <si>
    <t>深圳市他拍档科技有限公司</t>
  </si>
  <si>
    <t>200280905</t>
  </si>
  <si>
    <t>中建四局0200202101803013</t>
  </si>
  <si>
    <t>深圳市宏富丽晶建筑装饰工程有限公司</t>
  </si>
  <si>
    <t>200165033</t>
  </si>
  <si>
    <t>中建四局0200202101803021</t>
  </si>
  <si>
    <t>深圳市鹏兴机电工程有限公司</t>
  </si>
  <si>
    <t>分包工程小计：</t>
  </si>
  <si>
    <t>(三)材料费</t>
  </si>
  <si>
    <t>（1）集中采购</t>
  </si>
  <si>
    <t>（2）自行采购</t>
  </si>
  <si>
    <t>200234685</t>
  </si>
  <si>
    <t>中建四局0200202101806022</t>
  </si>
  <si>
    <t>上海找钢网供应链管理有限公司</t>
  </si>
  <si>
    <t>2043724</t>
  </si>
  <si>
    <t>中建四局020020210018060002</t>
  </si>
  <si>
    <t>中建四局绿色建筑科技（广东）有限公司</t>
  </si>
  <si>
    <t>100197784</t>
  </si>
  <si>
    <t>中建四局0200202101806025</t>
  </si>
  <si>
    <t>中铁物资集团华南有限公司</t>
  </si>
  <si>
    <t>100237790</t>
  </si>
  <si>
    <t>中建四局0200202101806004</t>
  </si>
  <si>
    <t>佛山唐贵五金电器有限公司</t>
  </si>
  <si>
    <t>中建四局0200202101806005</t>
  </si>
  <si>
    <t>中建四局0200202101806006</t>
  </si>
  <si>
    <t>中建四局0200202101806016</t>
  </si>
  <si>
    <t>100146779</t>
  </si>
  <si>
    <t>中建四局0200202101806026</t>
  </si>
  <si>
    <t>佛山市南海区洪顺水泥构件厂</t>
  </si>
  <si>
    <t>100206907</t>
  </si>
  <si>
    <t>中建四局0200202101806014</t>
  </si>
  <si>
    <t>佛山市开力电气有限公司</t>
  </si>
  <si>
    <t>200162951</t>
  </si>
  <si>
    <t>中建四局0200202101806036</t>
  </si>
  <si>
    <t>佛山市翊德通新型环保科技建材有限公司</t>
  </si>
  <si>
    <t>100232795</t>
  </si>
  <si>
    <t>中建四局0200202101806001</t>
  </si>
  <si>
    <t>佰丽特（厦门）电气科技有限公司</t>
  </si>
  <si>
    <t>200282611</t>
  </si>
  <si>
    <t>中建四局0200202101806009</t>
  </si>
  <si>
    <t>平安商贸有限公司</t>
  </si>
  <si>
    <t>200609375</t>
  </si>
  <si>
    <t>中建四局0200202101806040</t>
  </si>
  <si>
    <t>广东富景成环保建材有限公司</t>
  </si>
  <si>
    <t>200589118</t>
  </si>
  <si>
    <t>中建四局020020210018060001</t>
  </si>
  <si>
    <t>广东广物中南建材集团有限公司</t>
  </si>
  <si>
    <t>100218495</t>
  </si>
  <si>
    <t>中建四局0200202101806024</t>
  </si>
  <si>
    <t>广东广物物资有限公司</t>
  </si>
  <si>
    <t>100217200</t>
  </si>
  <si>
    <t>中建四局0200202101806042</t>
  </si>
  <si>
    <t>广东新瑞龙生态建材有限公司</t>
  </si>
  <si>
    <t>100217564</t>
  </si>
  <si>
    <t>中建四局0200202101806015</t>
  </si>
  <si>
    <t>广东顺德雍强贸易有限公司</t>
  </si>
  <si>
    <t>200028988</t>
  </si>
  <si>
    <t>中建四局0200202101806020</t>
  </si>
  <si>
    <t>广州天源混凝土有限公司</t>
  </si>
  <si>
    <t>100118018</t>
  </si>
  <si>
    <t>中建四局0200202101806023</t>
  </si>
  <si>
    <t>广州天达混凝土有限公司</t>
  </si>
  <si>
    <t>100217350</t>
  </si>
  <si>
    <t>中建四局0200202101806003</t>
  </si>
  <si>
    <t>广州市嘉宇金属制品有限公司</t>
  </si>
  <si>
    <t>100217450</t>
  </si>
  <si>
    <t>中建四局0200202101806041</t>
  </si>
  <si>
    <t>广州市常宏建材有限公司</t>
  </si>
  <si>
    <t>100115149</t>
  </si>
  <si>
    <t>中建四局0200202101806035</t>
  </si>
  <si>
    <t>广州市建邦建材有限公司</t>
  </si>
  <si>
    <t>100147894</t>
  </si>
  <si>
    <t>中建四局0200202101806007</t>
  </si>
  <si>
    <t>广州市息县旺建材有限公司</t>
  </si>
  <si>
    <t>200335317</t>
  </si>
  <si>
    <t>中建四局0200202101806029</t>
  </si>
  <si>
    <t>广州市汇亿鑫贸易有限公司</t>
  </si>
  <si>
    <t>100006014</t>
  </si>
  <si>
    <t>中建四局0200202101806038</t>
  </si>
  <si>
    <t>广州市番禺区石楼镇沙南建材二厂</t>
  </si>
  <si>
    <t>100118301</t>
  </si>
  <si>
    <t>中建四局0200202101806019</t>
  </si>
  <si>
    <t>广州市维意建材有限公司</t>
  </si>
  <si>
    <t>100118101</t>
  </si>
  <si>
    <t>中建四局0200202101806032</t>
  </si>
  <si>
    <t>广州市长兴混凝土有限公司</t>
  </si>
  <si>
    <t>100217478</t>
  </si>
  <si>
    <t>中建四局0200202101806017</t>
  </si>
  <si>
    <t>广州建侯建材有限公司</t>
  </si>
  <si>
    <t>100094223</t>
  </si>
  <si>
    <t>中建四局0200202101806034</t>
  </si>
  <si>
    <t>广州晴泰蓝环保工程有限公司</t>
  </si>
  <si>
    <t>200413088</t>
  </si>
  <si>
    <t>中建四局0200202101806021</t>
  </si>
  <si>
    <t>广州盒子住宅科技有限公司</t>
  </si>
  <si>
    <t>200234923</t>
  </si>
  <si>
    <t>中建四局0200202101806013</t>
  </si>
  <si>
    <t>广州睿越建材有限公司</t>
  </si>
  <si>
    <t>100119801</t>
  </si>
  <si>
    <t>中建四局0200202101806037</t>
  </si>
  <si>
    <t>广州禄臻贸易有限公司</t>
  </si>
  <si>
    <t>100217843</t>
  </si>
  <si>
    <t>中建四局0200202101806039</t>
  </si>
  <si>
    <t>广州绿色金融街投资管理有限公司</t>
  </si>
  <si>
    <t>100217163</t>
  </si>
  <si>
    <t>中建四局0200202101806002</t>
  </si>
  <si>
    <t>广州辰辰建材租赁有限公司</t>
  </si>
  <si>
    <t>200009555</t>
  </si>
  <si>
    <t>中建四局0200202101806030</t>
  </si>
  <si>
    <t>广联达科技股份有限公司</t>
  </si>
  <si>
    <t>100170699</t>
  </si>
  <si>
    <t>中建四局0200202101806027</t>
  </si>
  <si>
    <t>浙商中拓集团（广东）有限公司</t>
  </si>
  <si>
    <t>100198899</t>
  </si>
  <si>
    <t>中建四局0200202101806008</t>
  </si>
  <si>
    <t>深圳市金仪时代环保产业有限公司</t>
  </si>
  <si>
    <t>100218623</t>
  </si>
  <si>
    <t>中建四局0200202101806043</t>
  </si>
  <si>
    <t>深圳市鑫源发陶瓷有限公司</t>
  </si>
  <si>
    <t>100074117</t>
  </si>
  <si>
    <t>中建四局0200202101806011</t>
  </si>
  <si>
    <t>清远市榕兴新型环保建材有限责任公司</t>
  </si>
  <si>
    <t>100114405</t>
  </si>
  <si>
    <t>中建四局0200202101806018</t>
  </si>
  <si>
    <t>祁东县明达轻质陶粒厂</t>
  </si>
  <si>
    <t>100199057</t>
  </si>
  <si>
    <t>中建四局0200202101806010</t>
  </si>
  <si>
    <t>福建省莆田市龙兴劳保用品有限公司</t>
  </si>
  <si>
    <t>中建四局0200202101806031</t>
  </si>
  <si>
    <t>研发支出-材料费</t>
  </si>
  <si>
    <t>材料调入</t>
  </si>
  <si>
    <t>材料调出（注：负数填报）</t>
  </si>
  <si>
    <t>材料库存（注：项目已结算未使用材料冲减项目成本，负数填报）</t>
  </si>
  <si>
    <t>材料费小计：</t>
  </si>
  <si>
    <t>(四）机械租赁费</t>
  </si>
  <si>
    <t>100217442</t>
  </si>
  <si>
    <t>中建四局0200202101805001</t>
  </si>
  <si>
    <t>任丘市嘉宇运输有限公司</t>
  </si>
  <si>
    <t>100051486</t>
  </si>
  <si>
    <t>中建四局0200202101805009</t>
  </si>
  <si>
    <t>佛山市赢鑫建筑机械租赁有限公司</t>
  </si>
  <si>
    <t>200363935</t>
  </si>
  <si>
    <t>中建四局0200202101805006</t>
  </si>
  <si>
    <t>佛山市雄壮建筑工程有限公司</t>
  </si>
  <si>
    <t>200477323</t>
  </si>
  <si>
    <t>中建四局0200202101805011</t>
  </si>
  <si>
    <t>佛山市霸伟建筑工程有限公司</t>
  </si>
  <si>
    <t>100093859</t>
  </si>
  <si>
    <t>中建四局0200202101805010</t>
  </si>
  <si>
    <t>嘉兴浩锐机械设备有限公司</t>
  </si>
  <si>
    <t>100117504</t>
  </si>
  <si>
    <t>中建四局0200202101805005</t>
  </si>
  <si>
    <t>广州大丰工程机械设备有限公司</t>
  </si>
  <si>
    <t>200353812</t>
  </si>
  <si>
    <t>中建四局0200202101805007</t>
  </si>
  <si>
    <t>广州小老虎建筑机械租赁有限公司</t>
  </si>
  <si>
    <t>200162948</t>
  </si>
  <si>
    <t>中建四局0200202101805004</t>
  </si>
  <si>
    <t>广州市仁发运输有限公司</t>
  </si>
  <si>
    <t>100217539</t>
  </si>
  <si>
    <t>中建四局0200202101805003</t>
  </si>
  <si>
    <t>广州易达运输有限公司</t>
  </si>
  <si>
    <t>100217502</t>
  </si>
  <si>
    <t>中建四局0200202101805002</t>
  </si>
  <si>
    <t>广州湘亿货运代理有限公司</t>
  </si>
  <si>
    <t>JXZ</t>
  </si>
  <si>
    <t>机械费小计：</t>
  </si>
  <si>
    <t>（五）其他直接费</t>
  </si>
  <si>
    <t>保险费</t>
  </si>
  <si>
    <t>其他</t>
  </si>
  <si>
    <t>咨询费</t>
  </si>
  <si>
    <t>检验试验费</t>
  </si>
  <si>
    <t>水电费</t>
  </si>
  <si>
    <t>其他直接费小计：</t>
  </si>
  <si>
    <t>（六）间接费</t>
  </si>
  <si>
    <t>书报资料费</t>
  </si>
  <si>
    <t>企业年金</t>
  </si>
  <si>
    <t>会议费</t>
  </si>
  <si>
    <t>住房公积金</t>
  </si>
  <si>
    <t>修理费</t>
  </si>
  <si>
    <t>其他补充保险</t>
  </si>
  <si>
    <t>冲晒印刷费</t>
  </si>
  <si>
    <t>办公用品费</t>
  </si>
  <si>
    <t>医疗保险</t>
  </si>
  <si>
    <t>基本养老保险</t>
  </si>
  <si>
    <t>境内差旅费</t>
  </si>
  <si>
    <t>失业保险</t>
  </si>
  <si>
    <t>工会经费</t>
  </si>
  <si>
    <t>工伤保险</t>
  </si>
  <si>
    <t>工资</t>
  </si>
  <si>
    <t>市内交通费</t>
  </si>
  <si>
    <t>律师费</t>
  </si>
  <si>
    <t>折旧费</t>
  </si>
  <si>
    <t>燃油费</t>
  </si>
  <si>
    <t>物业租赁费</t>
  </si>
  <si>
    <t>物业管理费</t>
  </si>
  <si>
    <t>物料消耗</t>
  </si>
  <si>
    <t>生育保险</t>
  </si>
  <si>
    <t>社保及公积金</t>
  </si>
  <si>
    <t>租车费</t>
  </si>
  <si>
    <t>维修保养费</t>
  </si>
  <si>
    <t>网络使用费</t>
  </si>
  <si>
    <t>职工教育经费</t>
  </si>
  <si>
    <t>职工福利费</t>
  </si>
  <si>
    <t>补充医疗保险</t>
  </si>
  <si>
    <t>诉讼费</t>
  </si>
  <si>
    <t>路桥及停车费</t>
  </si>
  <si>
    <t>软件费</t>
  </si>
  <si>
    <t>通信费</t>
  </si>
  <si>
    <t>邮寄费</t>
  </si>
  <si>
    <t>间接费小计：</t>
  </si>
  <si>
    <t>（七）安全费</t>
  </si>
  <si>
    <t>安全生产-人工费</t>
  </si>
  <si>
    <t>安全生产-分包工程</t>
  </si>
  <si>
    <t>安全生产-机械使用</t>
  </si>
  <si>
    <t>安全生产费-报销</t>
  </si>
  <si>
    <t>安全费小计：</t>
  </si>
  <si>
    <t>三、成本合计：</t>
  </si>
  <si>
    <t>四、计提保修金</t>
  </si>
  <si>
    <t>（在建：房建0.6%，其它0.4%；在保修期间的按0.3~0.5%自行确定;保修期结束为0）</t>
  </si>
  <si>
    <t>五、过程节点奖金</t>
  </si>
  <si>
    <t>六、资金占用费用</t>
  </si>
  <si>
    <t>七、局投资收益（局投资项目选填）</t>
  </si>
  <si>
    <t>八、研发费用</t>
  </si>
  <si>
    <t>研发费用-人工成本</t>
  </si>
  <si>
    <t>研发费用-内部结转</t>
  </si>
  <si>
    <t>研发费用-折旧</t>
  </si>
  <si>
    <t>研发费用-机械租赁</t>
  </si>
  <si>
    <t>研发费用-材料费</t>
  </si>
  <si>
    <t>九、成本及费用合计（三+四+五+六+七）</t>
  </si>
  <si>
    <t>十、增值税实际税负（按财务数据）</t>
  </si>
  <si>
    <t>根据财务账面实际已缴纳增值税额+尚需缴纳的增值税额</t>
  </si>
  <si>
    <t>/</t>
  </si>
  <si>
    <t>十一、税金及附加（按财务数据）</t>
  </si>
  <si>
    <t>根据财务账面实际已缴纳税金及附加+尚需缴纳的税金及附加</t>
  </si>
  <si>
    <t>十二、利润</t>
  </si>
  <si>
    <t>十三、利润率</t>
  </si>
  <si>
    <t>含税利润率</t>
  </si>
  <si>
    <t>不含税利润率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</si>
</sst>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.00_ "/>
  </numFmts>
  <fonts count="30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0"/>
      <color rgb="FF000000"/>
      <name val="宋体"/>
      <charset val="134"/>
    </font>
    <font>
      <b/>
      <sz val="10"/>
      <color rgb="FF000000"/>
      <name val="宋体"/>
      <charset val="134"/>
    </font>
    <font>
      <b/>
      <sz val="11"/>
      <color rgb="FF000000"/>
      <name val="宋体"/>
      <charset val="134"/>
    </font>
    <font>
      <b/>
      <sz val="1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b/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10" borderId="7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8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7" fillId="0" borderId="0">
      <alignment vertical="center"/>
    </xf>
    <xf numFmtId="0" fontId="18" fillId="11" borderId="10">
      <alignment vertical="center"/>
    </xf>
    <xf numFmtId="0" fontId="19" fillId="12" borderId="11">
      <alignment vertical="center"/>
    </xf>
    <xf numFmtId="0" fontId="20" fillId="12" borderId="10">
      <alignment vertical="center"/>
    </xf>
    <xf numFmtId="0" fontId="21" fillId="13" borderId="12">
      <alignment vertical="center"/>
    </xf>
    <xf numFmtId="0" fontId="22" fillId="0" borderId="13">
      <alignment vertical="center"/>
    </xf>
    <xf numFmtId="0" fontId="23" fillId="0" borderId="14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7" fillId="36" borderId="0">
      <alignment vertical="center"/>
    </xf>
    <xf numFmtId="0" fontId="27" fillId="37" borderId="0">
      <alignment vertical="center"/>
    </xf>
    <xf numFmtId="0" fontId="28" fillId="38" borderId="0">
      <alignment vertical="center"/>
    </xf>
    <xf numFmtId="0" fontId="28" fillId="39" borderId="0">
      <alignment vertical="center"/>
    </xf>
    <xf numFmtId="0" fontId="27" fillId="40" borderId="0">
      <alignment vertical="center"/>
    </xf>
    <xf numFmtId="0" fontId="1" fillId="0" borderId="0">
      <alignment vertical="center"/>
    </xf>
  </cellStyleXfs>
  <cellXfs count="141"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9" fontId="0" fillId="0" borderId="0" xfId="3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176" fontId="1" fillId="0" borderId="0" xfId="0" applyNumberFormat="1" applyFont="1" applyAlignment="1">
      <alignment vertical="center"/>
    </xf>
    <xf numFmtId="43" fontId="1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0" fillId="0" borderId="2" xfId="0" applyBorder="1" applyAlignment="1" applyProtection="1"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43" fontId="5" fillId="3" borderId="1" xfId="1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protection locked="0"/>
    </xf>
    <xf numFmtId="43" fontId="3" fillId="0" borderId="1" xfId="0" applyNumberFormat="1" applyFont="1" applyBorder="1" applyAlignment="1" applyProtection="1">
      <alignment horizontal="center" vertical="center" wrapText="1"/>
      <protection locked="0"/>
    </xf>
    <xf numFmtId="43" fontId="3" fillId="0" borderId="1" xfId="0" applyNumberFormat="1" applyFont="1" applyBorder="1" applyAlignment="1" applyProtection="1">
      <alignment horizontal="center" vertical="center"/>
      <protection locked="0"/>
    </xf>
    <xf numFmtId="43" fontId="5" fillId="0" borderId="1" xfId="1" applyFont="1" applyBorder="1" applyAlignment="1" applyProtection="1">
      <alignment horizontal="center" vertical="center" wrapText="1" shrinkToFit="1"/>
      <protection locked="0"/>
    </xf>
    <xf numFmtId="0" fontId="0" fillId="0" borderId="4" xfId="0" applyBorder="1" applyAlignment="1" applyProtection="1"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177" fontId="3" fillId="3" borderId="4" xfId="0" applyNumberFormat="1" applyFont="1" applyFill="1" applyBorder="1" applyAlignment="1" applyProtection="1">
      <alignment horizontal="center" vertical="center" wrapText="1"/>
      <protection locked="0"/>
    </xf>
    <xf numFmtId="177" fontId="3" fillId="4" borderId="4" xfId="0" applyNumberFormat="1" applyFont="1" applyFill="1" applyBorder="1" applyAlignment="1" applyProtection="1">
      <alignment horizontal="center" vertical="center" wrapText="1"/>
      <protection locked="0"/>
    </xf>
    <xf numFmtId="177" fontId="3" fillId="3" borderId="4" xfId="1" applyNumberFormat="1" applyFont="1" applyFill="1" applyBorder="1" applyAlignment="1" applyProtection="1">
      <alignment horizontal="center" vertical="center" wrapText="1"/>
      <protection locked="0"/>
    </xf>
    <xf numFmtId="0" fontId="3" fillId="5" borderId="4" xfId="0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3" fontId="6" fillId="0" borderId="4" xfId="0" applyNumberFormat="1" applyFont="1" applyBorder="1" applyAlignment="1" applyProtection="1">
      <alignment horizontal="center" vertical="center"/>
      <protection locked="0"/>
    </xf>
    <xf numFmtId="43" fontId="5" fillId="0" borderId="4" xfId="0" applyNumberFormat="1" applyFont="1" applyBorder="1" applyAlignment="1" applyProtection="1">
      <alignment horizontal="left" vertical="center"/>
      <protection locked="0"/>
    </xf>
    <xf numFmtId="43" fontId="7" fillId="0" borderId="4" xfId="1" applyFont="1" applyBorder="1" applyAlignment="1" applyProtection="1">
      <alignment vertical="center"/>
      <protection locked="0"/>
    </xf>
    <xf numFmtId="43" fontId="3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43" fontId="6" fillId="4" borderId="4" xfId="0" applyNumberFormat="1" applyFont="1" applyFill="1" applyBorder="1" applyAlignment="1" applyProtection="1">
      <alignment horizontal="left" vertical="center" wrapText="1"/>
      <protection locked="0"/>
    </xf>
    <xf numFmtId="43" fontId="6" fillId="0" borderId="4" xfId="0" applyNumberFormat="1" applyFont="1" applyBorder="1" applyAlignment="1" applyProtection="1">
      <alignment horizontal="center" vertical="center" wrapText="1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43" fontId="3" fillId="5" borderId="4" xfId="0" applyNumberFormat="1" applyFont="1" applyFill="1" applyBorder="1" applyAlignment="1" applyProtection="1">
      <alignment horizontal="center" vertical="center"/>
      <protection locked="0"/>
    </xf>
    <xf numFmtId="43" fontId="3" fillId="5" borderId="4" xfId="0" applyNumberFormat="1" applyFont="1" applyFill="1" applyBorder="1" applyAlignment="1" applyProtection="1">
      <alignment horizontal="left" vertical="center" wrapText="1"/>
      <protection locked="0"/>
    </xf>
    <xf numFmtId="43" fontId="5" fillId="5" borderId="4" xfId="1" applyFont="1" applyFill="1" applyBorder="1" applyAlignment="1" applyProtection="1">
      <alignment vertical="center"/>
      <protection locked="0"/>
    </xf>
    <xf numFmtId="43" fontId="5" fillId="0" borderId="4" xfId="0" applyNumberFormat="1" applyFont="1" applyBorder="1" applyAlignment="1" applyProtection="1">
      <alignment horizontal="left" vertical="center" wrapText="1"/>
      <protection locked="0"/>
    </xf>
    <xf numFmtId="43" fontId="6" fillId="0" borderId="4" xfId="1" applyFont="1" applyBorder="1" applyAlignment="1" applyProtection="1">
      <alignment horizontal="center" vertical="center" wrapText="1"/>
      <protection locked="0"/>
    </xf>
    <xf numFmtId="43" fontId="2" fillId="0" borderId="0" xfId="0" applyNumberFormat="1" applyFont="1" applyAlignment="1" applyProtection="1">
      <alignment horizontal="center" vertical="center"/>
      <protection locked="0"/>
    </xf>
    <xf numFmtId="0" fontId="0" fillId="0" borderId="5" xfId="0" applyBorder="1" applyAlignment="1" applyProtection="1">
      <protection locked="0"/>
    </xf>
    <xf numFmtId="0" fontId="0" fillId="0" borderId="6" xfId="0" applyBorder="1" applyAlignment="1" applyProtection="1">
      <protection locked="0"/>
    </xf>
    <xf numFmtId="43" fontId="5" fillId="6" borderId="1" xfId="1" applyFont="1" applyFill="1" applyBorder="1" applyAlignment="1" applyProtection="1">
      <alignment horizontal="center" vertical="center" wrapText="1" shrinkToFit="1"/>
      <protection locked="0"/>
    </xf>
    <xf numFmtId="176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76" fontId="5" fillId="3" borderId="1" xfId="0" applyNumberFormat="1" applyFont="1" applyFill="1" applyBorder="1" applyAlignment="1">
      <alignment horizontal="center" vertical="center" wrapText="1"/>
    </xf>
    <xf numFmtId="43" fontId="5" fillId="6" borderId="1" xfId="1" applyFont="1" applyFill="1" applyBorder="1" applyAlignment="1" applyProtection="1">
      <alignment horizontal="center" vertical="center" wrapText="1"/>
      <protection locked="0"/>
    </xf>
    <xf numFmtId="43" fontId="5" fillId="0" borderId="1" xfId="1" applyFont="1" applyBorder="1" applyAlignment="1" applyProtection="1">
      <alignment vertical="center"/>
      <protection locked="0"/>
    </xf>
    <xf numFmtId="43" fontId="5" fillId="0" borderId="1" xfId="1" applyFont="1" applyBorder="1" applyAlignment="1">
      <alignment vertical="center"/>
    </xf>
    <xf numFmtId="43" fontId="5" fillId="0" borderId="1" xfId="1" applyFont="1" applyBorder="1" applyAlignment="1" applyProtection="1">
      <alignment horizontal="center" vertical="center" wrapText="1"/>
      <protection locked="0"/>
    </xf>
    <xf numFmtId="177" fontId="5" fillId="6" borderId="4" xfId="1" applyNumberFormat="1" applyFont="1" applyFill="1" applyBorder="1" applyAlignment="1" applyProtection="1">
      <alignment horizontal="center" vertical="center" wrapText="1" shrinkToFit="1"/>
      <protection locked="0"/>
    </xf>
    <xf numFmtId="177" fontId="5" fillId="6" borderId="4" xfId="1" applyNumberFormat="1" applyFont="1" applyFill="1" applyBorder="1" applyAlignment="1" applyProtection="1">
      <alignment horizontal="center" vertical="center" wrapText="1"/>
      <protection locked="0"/>
    </xf>
    <xf numFmtId="43" fontId="7" fillId="7" borderId="4" xfId="1" applyFont="1" applyFill="1" applyBorder="1" applyAlignment="1" applyProtection="1">
      <alignment vertical="center"/>
      <protection locked="0"/>
    </xf>
    <xf numFmtId="43" fontId="5" fillId="0" borderId="4" xfId="1" applyFont="1" applyBorder="1" applyAlignment="1">
      <alignment horizontal="center" vertical="center" wrapText="1"/>
    </xf>
    <xf numFmtId="43" fontId="5" fillId="0" borderId="4" xfId="1" applyFont="1" applyBorder="1" applyAlignment="1" applyProtection="1">
      <alignment vertical="center"/>
      <protection locked="0"/>
    </xf>
    <xf numFmtId="0" fontId="7" fillId="7" borderId="4" xfId="0" applyFont="1" applyFill="1" applyBorder="1" applyAlignment="1">
      <alignment horizontal="center" vertical="center"/>
    </xf>
    <xf numFmtId="4" fontId="7" fillId="0" borderId="4" xfId="0" applyNumberFormat="1" applyFont="1" applyBorder="1" applyAlignment="1">
      <alignment horizontal="center" vertical="center"/>
    </xf>
    <xf numFmtId="43" fontId="2" fillId="0" borderId="0" xfId="0" applyNumberFormat="1" applyFont="1" applyAlignment="1" applyProtection="1">
      <alignment vertical="center"/>
      <protection locked="0"/>
    </xf>
    <xf numFmtId="43" fontId="5" fillId="8" borderId="1" xfId="1" applyFont="1" applyFill="1" applyBorder="1" applyAlignment="1" applyProtection="1">
      <alignment horizontal="center" vertical="center" wrapText="1" shrinkToFit="1"/>
      <protection locked="0"/>
    </xf>
    <xf numFmtId="43" fontId="3" fillId="8" borderId="1" xfId="1" applyFont="1" applyFill="1" applyBorder="1" applyAlignment="1" applyProtection="1">
      <alignment horizontal="center" vertical="center" wrapText="1"/>
      <protection locked="0"/>
    </xf>
    <xf numFmtId="43" fontId="5" fillId="0" borderId="1" xfId="0" applyNumberFormat="1" applyFont="1" applyBorder="1" applyAlignment="1" applyProtection="1">
      <alignment horizontal="center" vertical="center" wrapText="1" shrinkToFit="1"/>
      <protection locked="0"/>
    </xf>
    <xf numFmtId="43" fontId="3" fillId="0" borderId="1" xfId="1" applyFont="1" applyBorder="1" applyAlignment="1" applyProtection="1">
      <alignment vertical="center"/>
      <protection locked="0"/>
    </xf>
    <xf numFmtId="177" fontId="5" fillId="8" borderId="4" xfId="1" applyNumberFormat="1" applyFont="1" applyFill="1" applyBorder="1" applyAlignment="1" applyProtection="1">
      <alignment horizontal="center" vertical="center" wrapText="1" shrinkToFit="1"/>
      <protection locked="0"/>
    </xf>
    <xf numFmtId="177" fontId="3" fillId="8" borderId="4" xfId="1" applyNumberFormat="1" applyFont="1" applyFill="1" applyBorder="1" applyAlignment="1" applyProtection="1">
      <alignment horizontal="center" vertical="center" wrapText="1"/>
      <protection locked="0"/>
    </xf>
    <xf numFmtId="43" fontId="6" fillId="0" borderId="4" xfId="1" applyFont="1" applyBorder="1" applyAlignment="1" applyProtection="1">
      <alignment vertical="center"/>
      <protection locked="0"/>
    </xf>
    <xf numFmtId="43" fontId="3" fillId="0" borderId="4" xfId="1" applyFont="1" applyBorder="1" applyAlignment="1" applyProtection="1">
      <alignment vertical="center"/>
      <protection locked="0"/>
    </xf>
    <xf numFmtId="0" fontId="0" fillId="0" borderId="4" xfId="0" applyBorder="1" applyAlignment="1"/>
    <xf numFmtId="43" fontId="6" fillId="0" borderId="0" xfId="1" applyFont="1" applyAlignment="1" applyProtection="1">
      <alignment vertical="center"/>
      <protection locked="0"/>
    </xf>
    <xf numFmtId="43" fontId="6" fillId="0" borderId="0" xfId="0" applyNumberFormat="1" applyFont="1" applyAlignment="1" applyProtection="1">
      <alignment vertical="center"/>
      <protection locked="0"/>
    </xf>
    <xf numFmtId="43" fontId="6" fillId="0" borderId="0" xfId="1" applyFont="1" applyAlignment="1" applyProtection="1">
      <alignment horizontal="right" vertical="center"/>
      <protection locked="0"/>
    </xf>
    <xf numFmtId="43" fontId="3" fillId="4" borderId="1" xfId="1" applyFont="1" applyFill="1" applyBorder="1" applyAlignment="1" applyProtection="1">
      <alignment horizontal="center" vertical="center"/>
      <protection locked="0"/>
    </xf>
    <xf numFmtId="43" fontId="3" fillId="4" borderId="1" xfId="1" applyFont="1" applyFill="1" applyBorder="1" applyAlignment="1" applyProtection="1">
      <alignment horizontal="center" vertical="center" wrapText="1"/>
      <protection locked="0"/>
    </xf>
    <xf numFmtId="43" fontId="7" fillId="0" borderId="1" xfId="1" applyFont="1" applyBorder="1" applyAlignment="1" applyProtection="1">
      <alignment vertical="center"/>
      <protection locked="0"/>
    </xf>
    <xf numFmtId="177" fontId="3" fillId="4" borderId="4" xfId="1" applyNumberFormat="1" applyFont="1" applyFill="1" applyBorder="1" applyAlignment="1" applyProtection="1">
      <alignment horizontal="center" vertical="center"/>
      <protection locked="0"/>
    </xf>
    <xf numFmtId="177" fontId="3" fillId="4" borderId="4" xfId="1" applyNumberFormat="1" applyFont="1" applyFill="1" applyBorder="1" applyAlignment="1" applyProtection="1">
      <alignment horizontal="center" vertical="center" wrapText="1"/>
      <protection locked="0"/>
    </xf>
    <xf numFmtId="43" fontId="6" fillId="0" borderId="4" xfId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43" fontId="3" fillId="0" borderId="1" xfId="1" applyFont="1" applyBorder="1" applyAlignment="1" applyProtection="1">
      <alignment horizontal="center" vertical="center"/>
      <protection locked="0"/>
    </xf>
    <xf numFmtId="43" fontId="6" fillId="0" borderId="4" xfId="0" applyNumberFormat="1" applyFont="1" applyBorder="1" applyAlignment="1" applyProtection="1">
      <alignment vertical="center"/>
      <protection locked="0"/>
    </xf>
    <xf numFmtId="43" fontId="3" fillId="0" borderId="4" xfId="0" applyNumberFormat="1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43" fontId="6" fillId="0" borderId="1" xfId="0" applyNumberFormat="1" applyFont="1" applyBorder="1" applyAlignment="1" applyProtection="1">
      <alignment horizontal="center" vertical="center"/>
      <protection locked="0"/>
    </xf>
    <xf numFmtId="43" fontId="6" fillId="0" borderId="1" xfId="49" applyNumberFormat="1" applyFont="1" applyBorder="1" applyAlignment="1">
      <alignment horizontal="left" vertical="center"/>
    </xf>
    <xf numFmtId="43" fontId="6" fillId="0" borderId="1" xfId="1" applyFont="1" applyBorder="1" applyAlignment="1" applyProtection="1">
      <alignment horizontal="center" vertical="center"/>
      <protection locked="0"/>
    </xf>
    <xf numFmtId="43" fontId="8" fillId="0" borderId="4" xfId="0" applyNumberFormat="1" applyFont="1" applyBorder="1" applyAlignment="1" applyProtection="1">
      <alignment horizontal="center" vertical="center"/>
      <protection locked="0"/>
    </xf>
    <xf numFmtId="43" fontId="8" fillId="0" borderId="4" xfId="1" applyFont="1" applyBorder="1" applyAlignment="1" applyProtection="1">
      <alignment vertical="center"/>
      <protection locked="0"/>
    </xf>
    <xf numFmtId="43" fontId="7" fillId="7" borderId="1" xfId="1" applyFont="1" applyFill="1" applyBorder="1" applyAlignment="1" applyProtection="1">
      <alignment vertical="center"/>
      <protection locked="0"/>
    </xf>
    <xf numFmtId="43" fontId="5" fillId="0" borderId="1" xfId="1" applyFont="1" applyBorder="1" applyAlignment="1">
      <alignment horizontal="center" vertical="center" wrapText="1"/>
    </xf>
    <xf numFmtId="4" fontId="7" fillId="0" borderId="4" xfId="1" applyNumberFormat="1" applyFont="1" applyBorder="1" applyAlignment="1" applyProtection="1">
      <alignment vertical="center"/>
      <protection locked="0"/>
    </xf>
    <xf numFmtId="4" fontId="8" fillId="0" borderId="4" xfId="1" applyNumberFormat="1" applyFont="1" applyBorder="1" applyAlignment="1" applyProtection="1">
      <alignment vertical="center"/>
      <protection locked="0"/>
    </xf>
    <xf numFmtId="43" fontId="6" fillId="0" borderId="1" xfId="1" applyFont="1" applyBorder="1" applyAlignment="1" applyProtection="1">
      <alignment vertical="center"/>
      <protection locked="0"/>
    </xf>
    <xf numFmtId="43" fontId="6" fillId="0" borderId="4" xfId="1" applyFont="1" applyBorder="1" applyAlignment="1" applyProtection="1">
      <protection locked="0"/>
    </xf>
    <xf numFmtId="43" fontId="6" fillId="0" borderId="1" xfId="1" applyFont="1" applyBorder="1" applyAlignment="1" applyProtection="1">
      <protection locked="0"/>
    </xf>
    <xf numFmtId="43" fontId="8" fillId="0" borderId="4" xfId="1" applyFont="1" applyBorder="1" applyAlignment="1" applyProtection="1">
      <protection locked="0"/>
    </xf>
    <xf numFmtId="43" fontId="6" fillId="0" borderId="4" xfId="0" applyNumberFormat="1" applyFont="1" applyBorder="1" applyAlignment="1" applyProtection="1">
      <protection locked="0"/>
    </xf>
    <xf numFmtId="43" fontId="6" fillId="0" borderId="1" xfId="0" applyNumberFormat="1" applyFont="1" applyBorder="1" applyAlignment="1" applyProtection="1">
      <protection locked="0"/>
    </xf>
    <xf numFmtId="43" fontId="8" fillId="0" borderId="4" xfId="0" applyNumberFormat="1" applyFont="1" applyBorder="1" applyAlignment="1" applyProtection="1">
      <protection locked="0"/>
    </xf>
    <xf numFmtId="43" fontId="7" fillId="0" borderId="4" xfId="0" applyNumberFormat="1" applyFont="1" applyBorder="1" applyAlignment="1" applyProtection="1">
      <alignment horizontal="center" vertical="center"/>
      <protection locked="0"/>
    </xf>
    <xf numFmtId="43" fontId="5" fillId="5" borderId="4" xfId="0" applyNumberFormat="1" applyFont="1" applyFill="1" applyBorder="1" applyAlignment="1" applyProtection="1">
      <alignment horizontal="left" vertical="center" wrapText="1"/>
      <protection locked="0"/>
    </xf>
    <xf numFmtId="43" fontId="3" fillId="5" borderId="4" xfId="0" applyNumberFormat="1" applyFont="1" applyFill="1" applyBorder="1" applyAlignment="1" applyProtection="1">
      <alignment horizontal="center" vertical="center" wrapText="1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43" fontId="6" fillId="5" borderId="4" xfId="0" applyNumberFormat="1" applyFont="1" applyFill="1" applyBorder="1" applyAlignment="1" applyProtection="1">
      <alignment horizontal="center" vertical="center"/>
      <protection locked="0"/>
    </xf>
    <xf numFmtId="43" fontId="6" fillId="5" borderId="4" xfId="0" applyNumberFormat="1" applyFont="1" applyFill="1" applyBorder="1" applyAlignment="1" applyProtection="1">
      <alignment horizontal="center" vertical="center" wrapText="1"/>
      <protection locked="0"/>
    </xf>
    <xf numFmtId="43" fontId="7" fillId="0" borderId="4" xfId="1" applyFont="1" applyBorder="1" applyAlignment="1" applyProtection="1">
      <alignment horizontal="right" vertical="center" wrapText="1"/>
      <protection locked="0"/>
    </xf>
    <xf numFmtId="43" fontId="7" fillId="0" borderId="4" xfId="1" applyFont="1" applyBorder="1" applyAlignment="1" applyProtection="1">
      <alignment horizontal="center" vertical="center"/>
      <protection locked="0"/>
    </xf>
    <xf numFmtId="43" fontId="5" fillId="5" borderId="4" xfId="1" applyFont="1" applyFill="1" applyBorder="1" applyAlignment="1">
      <alignment vertical="center"/>
    </xf>
    <xf numFmtId="43" fontId="5" fillId="7" borderId="4" xfId="1" applyFont="1" applyFill="1" applyBorder="1" applyAlignment="1" applyProtection="1">
      <alignment vertical="center"/>
      <protection locked="0"/>
    </xf>
    <xf numFmtId="43" fontId="5" fillId="5" borderId="4" xfId="1" applyFont="1" applyFill="1" applyBorder="1" applyAlignment="1">
      <alignment horizontal="center" vertical="center" wrapText="1"/>
    </xf>
    <xf numFmtId="43" fontId="5" fillId="9" borderId="4" xfId="1" applyFont="1" applyFill="1" applyBorder="1" applyAlignment="1" applyProtection="1">
      <alignment vertical="center"/>
      <protection locked="0"/>
    </xf>
    <xf numFmtId="43" fontId="3" fillId="0" borderId="4" xfId="0" applyNumberFormat="1" applyFont="1" applyBorder="1" applyAlignment="1" applyProtection="1">
      <protection locked="0"/>
    </xf>
    <xf numFmtId="0" fontId="3" fillId="5" borderId="4" xfId="3" applyNumberFormat="1" applyFont="1" applyFill="1" applyBorder="1" applyAlignment="1" applyProtection="1">
      <alignment horizontal="center" vertical="center"/>
      <protection locked="0"/>
    </xf>
    <xf numFmtId="9" fontId="3" fillId="5" borderId="4" xfId="3" applyFont="1" applyFill="1" applyBorder="1" applyAlignment="1" applyProtection="1">
      <alignment horizontal="center" vertical="center"/>
      <protection locked="0"/>
    </xf>
    <xf numFmtId="9" fontId="5" fillId="5" borderId="4" xfId="3" applyFont="1" applyFill="1" applyBorder="1" applyAlignment="1" applyProtection="1">
      <alignment horizontal="left" vertical="center" wrapText="1"/>
      <protection locked="0"/>
    </xf>
    <xf numFmtId="9" fontId="3" fillId="5" borderId="4" xfId="3" applyFont="1" applyFill="1" applyBorder="1" applyAlignment="1" applyProtection="1">
      <alignment horizontal="center" vertical="center" wrapText="1"/>
      <protection locked="0"/>
    </xf>
    <xf numFmtId="9" fontId="5" fillId="5" borderId="4" xfId="3" applyFont="1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176" fontId="5" fillId="0" borderId="0" xfId="1" applyNumberFormat="1" applyFont="1" applyAlignment="1" applyProtection="1">
      <alignment vertical="center" wrapText="1"/>
      <protection locked="0"/>
    </xf>
    <xf numFmtId="4" fontId="5" fillId="9" borderId="4" xfId="1" applyNumberFormat="1" applyFont="1" applyFill="1" applyBorder="1" applyAlignment="1" applyProtection="1">
      <alignment vertical="center"/>
      <protection locked="0"/>
    </xf>
    <xf numFmtId="43" fontId="5" fillId="5" borderId="4" xfId="3" applyNumberFormat="1" applyFont="1" applyFill="1" applyBorder="1" applyAlignment="1" applyProtection="1">
      <alignment vertical="center"/>
      <protection locked="0"/>
    </xf>
    <xf numFmtId="43" fontId="5" fillId="5" borderId="4" xfId="3" applyNumberFormat="1" applyFont="1" applyFill="1" applyBorder="1" applyAlignment="1">
      <alignment vertical="center"/>
    </xf>
    <xf numFmtId="4" fontId="5" fillId="5" borderId="4" xfId="3" applyNumberFormat="1" applyFont="1" applyFill="1" applyBorder="1" applyAlignment="1">
      <alignment vertical="center"/>
    </xf>
    <xf numFmtId="9" fontId="5" fillId="5" borderId="4" xfId="3" applyFont="1" applyFill="1" applyBorder="1" applyAlignment="1">
      <alignment vertical="center"/>
    </xf>
    <xf numFmtId="176" fontId="3" fillId="3" borderId="0" xfId="0" applyNumberFormat="1" applyFont="1" applyFill="1" applyAlignment="1" applyProtection="1">
      <alignment horizontal="center" vertical="center" wrapText="1"/>
      <protection locked="0"/>
    </xf>
    <xf numFmtId="176" fontId="3" fillId="0" borderId="0" xfId="1" applyNumberFormat="1" applyFont="1" applyAlignment="1" applyProtection="1">
      <alignment horizontal="center" vertical="center" wrapText="1"/>
      <protection locked="0"/>
    </xf>
    <xf numFmtId="176" fontId="3" fillId="3" borderId="0" xfId="1" applyNumberFormat="1" applyFont="1" applyFill="1" applyAlignment="1">
      <alignment horizontal="center" vertical="center" wrapText="1"/>
    </xf>
    <xf numFmtId="43" fontId="5" fillId="0" borderId="0" xfId="1" applyFont="1" applyAlignment="1" applyProtection="1">
      <alignment vertical="center"/>
      <protection locked="0"/>
    </xf>
    <xf numFmtId="9" fontId="5" fillId="9" borderId="4" xfId="3" applyFont="1" applyFill="1" applyBorder="1" applyAlignment="1" applyProtection="1">
      <alignment vertical="center"/>
      <protection locked="0"/>
    </xf>
    <xf numFmtId="43" fontId="9" fillId="5" borderId="4" xfId="1" applyFont="1" applyFill="1" applyBorder="1" applyAlignment="1" applyProtection="1">
      <alignment vertical="center"/>
      <protection locked="0"/>
    </xf>
    <xf numFmtId="9" fontId="9" fillId="5" borderId="4" xfId="3" applyFont="1" applyFill="1" applyBorder="1" applyAlignment="1" applyProtection="1">
      <alignment vertical="center"/>
      <protection locked="0"/>
    </xf>
    <xf numFmtId="43" fontId="3" fillId="0" borderId="0" xfId="1" applyFont="1" applyAlignment="1" applyProtection="1">
      <alignment vertical="center"/>
      <protection locked="0"/>
    </xf>
    <xf numFmtId="43" fontId="9" fillId="0" borderId="0" xfId="0" applyNumberFormat="1" applyFont="1" applyAlignment="1" applyProtection="1">
      <alignment vertical="center"/>
      <protection locked="0"/>
    </xf>
    <xf numFmtId="43" fontId="3" fillId="5" borderId="4" xfId="1" applyFont="1" applyFill="1" applyBorder="1" applyAlignment="1" applyProtection="1">
      <alignment vertical="center"/>
      <protection locked="0"/>
    </xf>
    <xf numFmtId="43" fontId="9" fillId="0" borderId="4" xfId="0" applyNumberFormat="1" applyFont="1" applyBorder="1" applyAlignment="1" applyProtection="1">
      <alignment vertical="center"/>
      <protection locked="0"/>
    </xf>
    <xf numFmtId="9" fontId="3" fillId="5" borderId="4" xfId="3" applyFont="1" applyFill="1" applyBorder="1" applyAlignment="1" applyProtection="1">
      <alignment vertical="center"/>
      <protection locked="0"/>
    </xf>
    <xf numFmtId="9" fontId="9" fillId="0" borderId="4" xfId="3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09"/>
  <sheetViews>
    <sheetView tabSelected="1" zoomScale="70" zoomScaleNormal="70" workbookViewId="0">
      <selection activeCell="E49" sqref="E$1:L$1048576"/>
    </sheetView>
  </sheetViews>
  <sheetFormatPr defaultColWidth="8.72727272727273" defaultRowHeight="15"/>
  <cols>
    <col min="1" max="1" width="7.78181818181818" style="3" customWidth="1"/>
    <col min="2" max="2" width="21.8181818181818" style="3" customWidth="1"/>
    <col min="3" max="3" width="16.7636363636364" style="3" customWidth="1"/>
    <col min="4" max="4" width="37.7545454545455" style="3" customWidth="1"/>
    <col min="5" max="5" width="35.0545454545455" style="3" hidden="1" customWidth="1"/>
    <col min="6" max="6" width="20" style="3" hidden="1" customWidth="1"/>
    <col min="7" max="7" width="19.1909090909091" style="3" hidden="1" customWidth="1"/>
    <col min="8" max="8" width="20.9090909090909" style="3" hidden="1" customWidth="1"/>
    <col min="9" max="9" width="25.2545454545455" style="3" hidden="1" customWidth="1"/>
    <col min="10" max="11" width="20.9090909090909" style="3" hidden="1" customWidth="1"/>
    <col min="12" max="12" width="24.0363636363636" style="4" hidden="1" customWidth="1"/>
    <col min="13" max="13" width="26.7636363636364" style="5" customWidth="1"/>
    <col min="14" max="14" width="24.3454545454545" style="5" customWidth="1"/>
    <col min="15" max="15" width="23.4363636363636" style="5" customWidth="1"/>
    <col min="16" max="16" width="18.4818181818182" style="5" customWidth="1"/>
    <col min="17" max="17" width="20.7090909090909" style="5" customWidth="1"/>
    <col min="18" max="18" width="20.8090909090909" style="5" customWidth="1"/>
    <col min="19" max="25" width="19.7" style="5" customWidth="1"/>
    <col min="26" max="26" width="20.4" style="5" customWidth="1"/>
    <col min="27" max="27" width="17.8818181818182" style="5" customWidth="1"/>
    <col min="28" max="28" width="20" style="5" customWidth="1"/>
    <col min="29" max="34" width="18.8909090909091" style="5" customWidth="1"/>
    <col min="35" max="35" width="21.0090909090909" style="5" customWidth="1"/>
    <col min="36" max="36" width="12.3272727272727" style="5" customWidth="1"/>
    <col min="37" max="37" width="18.1818181818182" style="5" customWidth="1"/>
    <col min="38" max="38" width="12.3272727272727" style="3" customWidth="1"/>
  </cols>
  <sheetData>
    <row r="1" ht="25.5" customHeight="1" spans="1:38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43"/>
      <c r="U1" s="43"/>
      <c r="V1" s="43"/>
      <c r="W1" s="43"/>
      <c r="X1" s="43"/>
      <c r="Y1" s="43"/>
      <c r="Z1" s="43"/>
      <c r="AA1" s="70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9"/>
    </row>
    <row r="2" ht="25.5" customHeight="1" spans="1:38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43"/>
      <c r="U2" s="43"/>
      <c r="V2" s="43"/>
      <c r="W2" s="43"/>
      <c r="X2" s="43"/>
      <c r="Y2" s="43"/>
      <c r="Z2" s="43"/>
      <c r="AA2" s="72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9"/>
    </row>
    <row r="3" ht="25.5" customHeight="1" spans="1:38">
      <c r="A3" s="8" t="s">
        <v>1</v>
      </c>
      <c r="B3" s="9" t="s">
        <v>2</v>
      </c>
      <c r="C3" s="7"/>
      <c r="D3" s="7"/>
      <c r="E3" s="9" t="s">
        <v>3</v>
      </c>
      <c r="F3" s="7"/>
      <c r="G3" s="9" t="s">
        <v>4</v>
      </c>
      <c r="H3" s="7"/>
      <c r="I3" s="7"/>
      <c r="J3" s="9" t="s">
        <v>5</v>
      </c>
      <c r="K3" s="7"/>
      <c r="L3" s="9" t="s">
        <v>6</v>
      </c>
      <c r="M3" s="7"/>
      <c r="N3" s="43"/>
      <c r="O3" s="43"/>
      <c r="P3" s="43"/>
      <c r="Q3" s="43"/>
      <c r="R3" s="43"/>
      <c r="S3" s="60"/>
      <c r="T3" s="60"/>
      <c r="U3" s="60"/>
      <c r="V3" s="60"/>
      <c r="W3" s="60"/>
      <c r="X3" s="60"/>
      <c r="Y3" s="60"/>
      <c r="Z3" s="43"/>
      <c r="AA3" s="72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9"/>
    </row>
    <row r="4" ht="14" customHeight="1" spans="1:38">
      <c r="A4" s="10"/>
      <c r="B4" s="11" t="s">
        <v>7</v>
      </c>
      <c r="C4" s="11" t="s">
        <v>8</v>
      </c>
      <c r="D4" s="12" t="s">
        <v>9</v>
      </c>
      <c r="E4" s="13" t="s">
        <v>10</v>
      </c>
      <c r="F4" s="14" t="s">
        <v>11</v>
      </c>
      <c r="G4" s="15" t="s">
        <v>12</v>
      </c>
      <c r="H4" s="16" t="s">
        <v>13</v>
      </c>
      <c r="I4" s="44"/>
      <c r="J4" s="44"/>
      <c r="K4" s="44"/>
      <c r="L4" s="45"/>
      <c r="M4" s="46" t="s">
        <v>14</v>
      </c>
      <c r="N4" s="44"/>
      <c r="O4" s="44"/>
      <c r="P4" s="44"/>
      <c r="Q4" s="44"/>
      <c r="R4" s="45"/>
      <c r="S4" s="61" t="s">
        <v>15</v>
      </c>
      <c r="T4" s="44"/>
      <c r="U4" s="44"/>
      <c r="V4" s="44"/>
      <c r="W4" s="44"/>
      <c r="X4" s="44"/>
      <c r="Y4" s="45"/>
      <c r="Z4" s="73" t="s">
        <v>16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5"/>
      <c r="AL4" s="80" t="s">
        <v>17</v>
      </c>
    </row>
    <row r="5" ht="39" customHeight="1" spans="1:38">
      <c r="A5" s="10"/>
      <c r="B5" s="17"/>
      <c r="C5" s="17"/>
      <c r="D5" s="17"/>
      <c r="E5" s="17"/>
      <c r="F5" s="17"/>
      <c r="G5" s="17"/>
      <c r="H5" s="16" t="s">
        <v>18</v>
      </c>
      <c r="I5" s="16" t="s">
        <v>19</v>
      </c>
      <c r="J5" s="16" t="s">
        <v>20</v>
      </c>
      <c r="K5" s="47" t="s">
        <v>21</v>
      </c>
      <c r="L5" s="48" t="s">
        <v>22</v>
      </c>
      <c r="M5" s="49" t="s">
        <v>23</v>
      </c>
      <c r="N5" s="49" t="s">
        <v>24</v>
      </c>
      <c r="O5" s="49" t="s">
        <v>25</v>
      </c>
      <c r="P5" s="49" t="s">
        <v>26</v>
      </c>
      <c r="Q5" s="49" t="s">
        <v>27</v>
      </c>
      <c r="R5" s="49" t="s">
        <v>28</v>
      </c>
      <c r="S5" s="62" t="s">
        <v>29</v>
      </c>
      <c r="T5" s="62" t="s">
        <v>30</v>
      </c>
      <c r="U5" s="62" t="s">
        <v>31</v>
      </c>
      <c r="V5" s="62" t="s">
        <v>32</v>
      </c>
      <c r="W5" s="62" t="s">
        <v>33</v>
      </c>
      <c r="X5" s="62" t="s">
        <v>34</v>
      </c>
      <c r="Y5" s="62" t="s">
        <v>35</v>
      </c>
      <c r="Z5" s="74" t="s">
        <v>36</v>
      </c>
      <c r="AA5" s="74" t="s">
        <v>37</v>
      </c>
      <c r="AB5" s="74" t="s">
        <v>38</v>
      </c>
      <c r="AC5" s="74" t="s">
        <v>39</v>
      </c>
      <c r="AD5" s="74" t="s">
        <v>40</v>
      </c>
      <c r="AE5" s="74" t="s">
        <v>41</v>
      </c>
      <c r="AF5" s="74" t="s">
        <v>42</v>
      </c>
      <c r="AG5" s="74" t="s">
        <v>38</v>
      </c>
      <c r="AH5" s="74" t="s">
        <v>43</v>
      </c>
      <c r="AI5" s="74" t="s">
        <v>44</v>
      </c>
      <c r="AJ5" s="74" t="s">
        <v>45</v>
      </c>
      <c r="AK5" s="74" t="s">
        <v>46</v>
      </c>
      <c r="AL5" s="10"/>
    </row>
    <row r="6" s="1" customFormat="1" ht="14" customHeight="1" spans="1:38">
      <c r="A6" s="10"/>
      <c r="B6" s="18" t="s">
        <v>47</v>
      </c>
      <c r="C6" s="8">
        <v>1220135821</v>
      </c>
      <c r="D6" s="18" t="s">
        <v>48</v>
      </c>
      <c r="E6" s="19"/>
      <c r="F6" s="19"/>
      <c r="G6" s="19"/>
      <c r="H6" s="20"/>
      <c r="I6" s="20"/>
      <c r="J6" s="50">
        <f>H6+I6</f>
        <v>0</v>
      </c>
      <c r="K6" s="50"/>
      <c r="L6" s="51">
        <f>J6-K6</f>
        <v>0</v>
      </c>
      <c r="M6" s="52">
        <v>743122562.72</v>
      </c>
      <c r="N6" s="52">
        <v>67150071.43</v>
      </c>
      <c r="O6" s="52">
        <f>L6-M6</f>
        <v>-743122562.72</v>
      </c>
      <c r="P6" s="52">
        <f>K6-N6</f>
        <v>-67150071.43</v>
      </c>
      <c r="Q6" s="63">
        <f>M6+O6</f>
        <v>0</v>
      </c>
      <c r="R6" s="63">
        <f>M6+N6+O6+P6</f>
        <v>0</v>
      </c>
      <c r="S6" s="64"/>
      <c r="T6" s="64"/>
      <c r="U6" s="64"/>
      <c r="V6" s="64"/>
      <c r="W6" s="64"/>
      <c r="X6" s="64"/>
      <c r="Y6" s="64"/>
      <c r="Z6" s="75">
        <f>SUM(AA6:AJ6)</f>
        <v>0</v>
      </c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>
        <f>AB6/1.17*0.17+AC6/1.16*0.16+AD6/1.11*0.11+AE6/1.1*0.1+AF6/1.09*0.09+AI6/1.03*0.03</f>
        <v>0</v>
      </c>
      <c r="AL6" s="10"/>
    </row>
    <row r="7" ht="14" customHeight="1" spans="1:38">
      <c r="A7" s="21"/>
      <c r="B7" s="22" t="s">
        <v>49</v>
      </c>
      <c r="C7" s="22" t="s">
        <v>50</v>
      </c>
      <c r="D7" s="23" t="s">
        <v>51</v>
      </c>
      <c r="E7" s="24" t="s">
        <v>52</v>
      </c>
      <c r="F7" s="24" t="s">
        <v>11</v>
      </c>
      <c r="G7" s="25" t="s">
        <v>12</v>
      </c>
      <c r="H7" s="26" t="s">
        <v>53</v>
      </c>
      <c r="I7" s="21"/>
      <c r="J7" s="21"/>
      <c r="K7" s="21"/>
      <c r="L7" s="21"/>
      <c r="M7" s="53" t="s">
        <v>14</v>
      </c>
      <c r="N7" s="21"/>
      <c r="O7" s="21"/>
      <c r="P7" s="21"/>
      <c r="Q7" s="21"/>
      <c r="R7" s="21"/>
      <c r="S7" s="65" t="s">
        <v>54</v>
      </c>
      <c r="T7" s="21"/>
      <c r="U7" s="21"/>
      <c r="V7" s="21"/>
      <c r="W7" s="21"/>
      <c r="X7" s="21"/>
      <c r="Y7" s="21"/>
      <c r="Z7" s="76" t="s">
        <v>16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 ht="14" customHeight="1" spans="1:38">
      <c r="A8" s="21"/>
      <c r="B8" s="21"/>
      <c r="C8" s="21"/>
      <c r="D8" s="21"/>
      <c r="E8" s="21"/>
      <c r="F8" s="21"/>
      <c r="G8" s="21"/>
      <c r="H8" s="26" t="s">
        <v>55</v>
      </c>
      <c r="I8" s="26" t="s">
        <v>56</v>
      </c>
      <c r="J8" s="26" t="s">
        <v>57</v>
      </c>
      <c r="K8" s="24" t="s">
        <v>58</v>
      </c>
      <c r="L8" s="24" t="s">
        <v>59</v>
      </c>
      <c r="M8" s="54" t="s">
        <v>60</v>
      </c>
      <c r="N8" s="54" t="s">
        <v>61</v>
      </c>
      <c r="O8" s="54" t="s">
        <v>62</v>
      </c>
      <c r="P8" s="54" t="s">
        <v>26</v>
      </c>
      <c r="Q8" s="54" t="s">
        <v>63</v>
      </c>
      <c r="R8" s="54" t="s">
        <v>64</v>
      </c>
      <c r="S8" s="66" t="s">
        <v>65</v>
      </c>
      <c r="T8" s="66" t="s">
        <v>66</v>
      </c>
      <c r="U8" s="66" t="s">
        <v>67</v>
      </c>
      <c r="V8" s="66" t="s">
        <v>68</v>
      </c>
      <c r="W8" s="66" t="s">
        <v>69</v>
      </c>
      <c r="X8" s="66" t="s">
        <v>70</v>
      </c>
      <c r="Y8" s="66" t="s">
        <v>35</v>
      </c>
      <c r="Z8" s="77" t="s">
        <v>71</v>
      </c>
      <c r="AA8" s="77" t="s">
        <v>72</v>
      </c>
      <c r="AB8" s="77" t="s">
        <v>73</v>
      </c>
      <c r="AC8" s="77" t="s">
        <v>74</v>
      </c>
      <c r="AD8" s="77" t="s">
        <v>75</v>
      </c>
      <c r="AE8" s="77" t="s">
        <v>76</v>
      </c>
      <c r="AF8" s="77" t="s">
        <v>77</v>
      </c>
      <c r="AG8" s="77"/>
      <c r="AH8" s="77" t="s">
        <v>78</v>
      </c>
      <c r="AI8" s="77" t="s">
        <v>79</v>
      </c>
      <c r="AJ8" s="77" t="s">
        <v>45</v>
      </c>
      <c r="AK8" s="77" t="s">
        <v>80</v>
      </c>
      <c r="AL8" s="21"/>
    </row>
    <row r="9" ht="14" customHeight="1" spans="1:38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0"/>
    </row>
    <row r="10" customFormat="1" ht="14" customHeight="1" spans="1:38">
      <c r="A10" s="27"/>
      <c r="B10" s="27">
        <v>1</v>
      </c>
      <c r="C10" s="27">
        <v>2</v>
      </c>
      <c r="D10" s="27">
        <v>3</v>
      </c>
      <c r="E10" s="27">
        <v>4</v>
      </c>
      <c r="F10" s="27">
        <v>5</v>
      </c>
      <c r="G10" s="27">
        <v>6</v>
      </c>
      <c r="H10" s="27">
        <v>7</v>
      </c>
      <c r="I10" s="27">
        <v>8</v>
      </c>
      <c r="J10" s="27" t="s">
        <v>81</v>
      </c>
      <c r="K10" s="27">
        <v>10</v>
      </c>
      <c r="L10" s="27" t="s">
        <v>82</v>
      </c>
      <c r="M10" s="27">
        <v>12</v>
      </c>
      <c r="N10" s="27">
        <v>13</v>
      </c>
      <c r="O10" s="27" t="s">
        <v>83</v>
      </c>
      <c r="P10" s="27" t="s">
        <v>84</v>
      </c>
      <c r="Q10" s="27" t="s">
        <v>85</v>
      </c>
      <c r="R10" s="27" t="s">
        <v>86</v>
      </c>
      <c r="S10" s="27">
        <v>18</v>
      </c>
      <c r="T10" s="27">
        <v>19</v>
      </c>
      <c r="U10" s="27">
        <v>20</v>
      </c>
      <c r="V10" s="27">
        <v>21</v>
      </c>
      <c r="W10" s="27">
        <v>22</v>
      </c>
      <c r="X10" s="27">
        <v>23</v>
      </c>
      <c r="Y10" s="27">
        <v>24</v>
      </c>
      <c r="Z10" s="27">
        <v>25</v>
      </c>
      <c r="AA10" s="27">
        <v>26</v>
      </c>
      <c r="AB10" s="27">
        <v>27</v>
      </c>
      <c r="AC10" s="27">
        <v>28</v>
      </c>
      <c r="AD10" s="27">
        <v>29</v>
      </c>
      <c r="AE10" s="27">
        <v>30</v>
      </c>
      <c r="AF10" s="27">
        <v>31</v>
      </c>
      <c r="AG10" s="27">
        <v>32</v>
      </c>
      <c r="AH10" s="27">
        <v>33</v>
      </c>
      <c r="AI10" s="27">
        <v>34</v>
      </c>
      <c r="AJ10" s="27">
        <v>35</v>
      </c>
      <c r="AK10" s="27">
        <v>36</v>
      </c>
      <c r="AL10" s="21"/>
    </row>
    <row r="11" s="1" customFormat="1" ht="14" customHeight="1" spans="1:38">
      <c r="A11" s="28"/>
      <c r="B11" s="29"/>
      <c r="C11" s="29"/>
      <c r="D11" s="30" t="s">
        <v>87</v>
      </c>
      <c r="E11" s="29"/>
      <c r="F11" s="29"/>
      <c r="G11" s="29"/>
      <c r="H11" s="31"/>
      <c r="I11" s="31"/>
      <c r="J11" s="31"/>
      <c r="K11" s="55"/>
      <c r="L11" s="56"/>
      <c r="M11" s="57"/>
      <c r="N11" s="57"/>
      <c r="O11" s="31">
        <f t="shared" ref="O11:O33" si="0">L11-M11</f>
        <v>0</v>
      </c>
      <c r="P11" s="31">
        <f t="shared" ref="P11:P33" si="1">K11-N11</f>
        <v>0</v>
      </c>
      <c r="Q11" s="31">
        <f t="shared" ref="Q11:Q33" si="2">M11+O11</f>
        <v>0</v>
      </c>
      <c r="R11" s="31">
        <f t="shared" ref="R11:R33" si="3">M11+N11+O11+P11</f>
        <v>0</v>
      </c>
      <c r="S11" s="67">
        <f>SUM(T11:V11)</f>
        <v>0</v>
      </c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8">
        <f>AB11/1.17*0.17+AC11/1.16*0.16+AD11/1.11*0.11+AE11/1.1*0.1+AF11/1.09*0.09+AI11/1.03*0.03</f>
        <v>0</v>
      </c>
      <c r="AL11" s="81"/>
    </row>
    <row r="12" s="1" customFormat="1" ht="14" customHeight="1" spans="1:38">
      <c r="A12" s="28"/>
      <c r="B12" s="29"/>
      <c r="C12" s="29"/>
      <c r="D12" s="32" t="s">
        <v>88</v>
      </c>
      <c r="E12" s="29"/>
      <c r="F12" s="29"/>
      <c r="G12" s="29"/>
      <c r="H12" s="31"/>
      <c r="I12" s="31"/>
      <c r="J12" s="31"/>
      <c r="K12" s="55"/>
      <c r="L12" s="56"/>
      <c r="M12" s="57"/>
      <c r="N12" s="57"/>
      <c r="O12" s="31">
        <f t="shared" si="0"/>
        <v>0</v>
      </c>
      <c r="P12" s="31">
        <f t="shared" si="1"/>
        <v>0</v>
      </c>
      <c r="Q12" s="31">
        <f t="shared" si="2"/>
        <v>0</v>
      </c>
      <c r="R12" s="31">
        <f t="shared" si="3"/>
        <v>0</v>
      </c>
      <c r="S12" s="67">
        <f>SUM(T12:V12)</f>
        <v>0</v>
      </c>
      <c r="T12" s="68"/>
      <c r="U12" s="68"/>
      <c r="V12" s="68"/>
      <c r="W12" s="68"/>
      <c r="X12" s="68"/>
      <c r="Y12" s="68"/>
      <c r="Z12" s="68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8">
        <f>AB12/1.17*0.17+AC12/1.16*0.16+AD12/1.11*0.11+AE12/1.1*0.1+AF12/1.09*0.09+AI12/1.03*0.03</f>
        <v>0</v>
      </c>
      <c r="AL12" s="81"/>
    </row>
    <row r="13" s="1" customFormat="1" ht="14" customHeight="1" spans="1:38">
      <c r="A13" s="33">
        <v>1</v>
      </c>
      <c r="B13" s="33" t="s">
        <v>89</v>
      </c>
      <c r="C13" s="34" t="s">
        <v>90</v>
      </c>
      <c r="D13" s="34" t="s">
        <v>91</v>
      </c>
      <c r="E13" s="33"/>
      <c r="F13" s="33"/>
      <c r="G13" s="33"/>
      <c r="H13" s="33"/>
      <c r="I13" s="33"/>
      <c r="J13" s="33"/>
      <c r="K13" s="58"/>
      <c r="L13" s="33"/>
      <c r="M13" s="59">
        <v>13062239.41</v>
      </c>
      <c r="N13" s="59">
        <v>403986.79</v>
      </c>
      <c r="O13" s="33">
        <f t="shared" si="0"/>
        <v>-13062239.41</v>
      </c>
      <c r="P13" s="33">
        <f t="shared" si="1"/>
        <v>-403986.79</v>
      </c>
      <c r="Q13" s="33">
        <f t="shared" si="2"/>
        <v>0</v>
      </c>
      <c r="R13" s="33">
        <f t="shared" si="3"/>
        <v>-8.73114913702011e-10</v>
      </c>
      <c r="S13" s="33"/>
      <c r="T13" s="59">
        <v>13454100</v>
      </c>
      <c r="U13" s="33"/>
      <c r="V13" s="33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</row>
    <row r="14" s="1" customFormat="1" ht="14" customHeight="1" spans="1:38">
      <c r="A14" s="33">
        <v>2</v>
      </c>
      <c r="B14" s="33" t="s">
        <v>89</v>
      </c>
      <c r="C14" s="34" t="s">
        <v>92</v>
      </c>
      <c r="D14" s="34" t="s">
        <v>91</v>
      </c>
      <c r="E14" s="33"/>
      <c r="F14" s="33"/>
      <c r="G14" s="33"/>
      <c r="H14" s="33"/>
      <c r="I14" s="33"/>
      <c r="J14" s="33"/>
      <c r="K14" s="58"/>
      <c r="L14" s="33"/>
      <c r="M14" s="59">
        <v>703031.74</v>
      </c>
      <c r="N14" s="59">
        <v>21743.25</v>
      </c>
      <c r="O14" s="33">
        <f t="shared" si="0"/>
        <v>-703031.74</v>
      </c>
      <c r="P14" s="33">
        <f t="shared" si="1"/>
        <v>-21743.25</v>
      </c>
      <c r="Q14" s="33">
        <f t="shared" si="2"/>
        <v>0</v>
      </c>
      <c r="R14" s="33">
        <f t="shared" si="3"/>
        <v>0</v>
      </c>
      <c r="S14" s="33"/>
      <c r="T14" s="59">
        <v>704906.36</v>
      </c>
      <c r="U14" s="33"/>
      <c r="V14" s="33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</row>
    <row r="15" s="1" customFormat="1" ht="14" customHeight="1" spans="1:38">
      <c r="A15" s="33">
        <v>3</v>
      </c>
      <c r="B15" s="33" t="s">
        <v>89</v>
      </c>
      <c r="C15" s="34" t="s">
        <v>93</v>
      </c>
      <c r="D15" s="34" t="s">
        <v>91</v>
      </c>
      <c r="E15" s="33"/>
      <c r="F15" s="33"/>
      <c r="G15" s="33"/>
      <c r="H15" s="33"/>
      <c r="I15" s="33"/>
      <c r="J15" s="33"/>
      <c r="K15" s="58"/>
      <c r="L15" s="33"/>
      <c r="M15" s="59">
        <v>868092.23</v>
      </c>
      <c r="N15" s="59">
        <v>26042.77</v>
      </c>
      <c r="O15" s="33">
        <f t="shared" si="0"/>
        <v>-868092.23</v>
      </c>
      <c r="P15" s="33">
        <f t="shared" si="1"/>
        <v>-26042.77</v>
      </c>
      <c r="Q15" s="33">
        <f t="shared" si="2"/>
        <v>0</v>
      </c>
      <c r="R15" s="33">
        <f t="shared" si="3"/>
        <v>0</v>
      </c>
      <c r="S15" s="33"/>
      <c r="T15" s="59">
        <v>894135</v>
      </c>
      <c r="U15" s="33"/>
      <c r="V15" s="33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</row>
    <row r="16" s="1" customFormat="1" ht="14" customHeight="1" spans="1:38">
      <c r="A16" s="33">
        <v>4</v>
      </c>
      <c r="B16" s="33" t="s">
        <v>94</v>
      </c>
      <c r="C16" s="34" t="s">
        <v>95</v>
      </c>
      <c r="D16" s="34" t="s">
        <v>96</v>
      </c>
      <c r="E16" s="33"/>
      <c r="F16" s="33"/>
      <c r="G16" s="33"/>
      <c r="H16" s="33"/>
      <c r="I16" s="33"/>
      <c r="J16" s="33"/>
      <c r="K16" s="58"/>
      <c r="L16" s="33"/>
      <c r="M16" s="59">
        <v>14453921.47</v>
      </c>
      <c r="N16" s="59">
        <v>444003.04</v>
      </c>
      <c r="O16" s="33">
        <f t="shared" si="0"/>
        <v>-14453921.47</v>
      </c>
      <c r="P16" s="33">
        <f t="shared" si="1"/>
        <v>-444003.04</v>
      </c>
      <c r="Q16" s="33">
        <f t="shared" si="2"/>
        <v>0</v>
      </c>
      <c r="R16" s="33">
        <f t="shared" si="3"/>
        <v>-8.73114913702011e-10</v>
      </c>
      <c r="S16" s="33"/>
      <c r="T16" s="59">
        <v>15241016.3</v>
      </c>
      <c r="U16" s="33"/>
      <c r="V16" s="33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</row>
    <row r="17" s="1" customFormat="1" ht="14" customHeight="1" spans="1:38">
      <c r="A17" s="33">
        <v>5</v>
      </c>
      <c r="B17" s="33" t="s">
        <v>94</v>
      </c>
      <c r="C17" s="34" t="s">
        <v>97</v>
      </c>
      <c r="D17" s="34" t="s">
        <v>96</v>
      </c>
      <c r="E17" s="33"/>
      <c r="F17" s="33"/>
      <c r="G17" s="33"/>
      <c r="H17" s="33"/>
      <c r="I17" s="33"/>
      <c r="J17" s="33"/>
      <c r="K17" s="58"/>
      <c r="L17" s="33"/>
      <c r="M17" s="59">
        <v>2507691.65</v>
      </c>
      <c r="N17" s="59">
        <v>77169.43</v>
      </c>
      <c r="O17" s="33">
        <f t="shared" si="0"/>
        <v>-2507691.65</v>
      </c>
      <c r="P17" s="33">
        <f t="shared" si="1"/>
        <v>-77169.43</v>
      </c>
      <c r="Q17" s="33">
        <f t="shared" si="2"/>
        <v>0</v>
      </c>
      <c r="R17" s="33">
        <f t="shared" si="3"/>
        <v>1.74622982740402e-10</v>
      </c>
      <c r="S17" s="33"/>
      <c r="T17" s="59">
        <v>2453800</v>
      </c>
      <c r="U17" s="33"/>
      <c r="V17" s="33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</row>
    <row r="18" s="1" customFormat="1" ht="14" customHeight="1" spans="1:38">
      <c r="A18" s="33">
        <v>6</v>
      </c>
      <c r="B18" s="33" t="s">
        <v>94</v>
      </c>
      <c r="C18" s="34" t="s">
        <v>98</v>
      </c>
      <c r="D18" s="34" t="s">
        <v>96</v>
      </c>
      <c r="E18" s="33"/>
      <c r="F18" s="33"/>
      <c r="G18" s="33"/>
      <c r="H18" s="33"/>
      <c r="I18" s="33"/>
      <c r="J18" s="33"/>
      <c r="K18" s="58"/>
      <c r="L18" s="33"/>
      <c r="M18" s="59">
        <v>1001673.79</v>
      </c>
      <c r="N18" s="59">
        <v>30742.83</v>
      </c>
      <c r="O18" s="33">
        <f t="shared" si="0"/>
        <v>-1001673.79</v>
      </c>
      <c r="P18" s="33">
        <f t="shared" si="1"/>
        <v>-30742.83</v>
      </c>
      <c r="Q18" s="33">
        <f t="shared" si="2"/>
        <v>0</v>
      </c>
      <c r="R18" s="33">
        <f t="shared" si="3"/>
        <v>-4.36557456851006e-11</v>
      </c>
      <c r="S18" s="33"/>
      <c r="T18" s="59">
        <v>923900</v>
      </c>
      <c r="U18" s="33"/>
      <c r="V18" s="33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</row>
    <row r="19" s="1" customFormat="1" ht="14" customHeight="1" spans="1:38">
      <c r="A19" s="33">
        <v>7</v>
      </c>
      <c r="B19" s="33" t="s">
        <v>94</v>
      </c>
      <c r="C19" s="34" t="s">
        <v>99</v>
      </c>
      <c r="D19" s="34" t="s">
        <v>96</v>
      </c>
      <c r="E19" s="33"/>
      <c r="F19" s="33"/>
      <c r="G19" s="33"/>
      <c r="H19" s="33"/>
      <c r="I19" s="33"/>
      <c r="J19" s="33"/>
      <c r="K19" s="58"/>
      <c r="L19" s="33"/>
      <c r="M19" s="59">
        <v>4987679.71</v>
      </c>
      <c r="N19" s="59">
        <v>153682.39</v>
      </c>
      <c r="O19" s="33">
        <f t="shared" si="0"/>
        <v>-4987679.71</v>
      </c>
      <c r="P19" s="33">
        <f t="shared" si="1"/>
        <v>-153682.39</v>
      </c>
      <c r="Q19" s="33">
        <f t="shared" si="2"/>
        <v>0</v>
      </c>
      <c r="R19" s="33">
        <f t="shared" si="3"/>
        <v>-3.49245965480804e-10</v>
      </c>
      <c r="S19" s="33"/>
      <c r="T19" s="59">
        <v>5226426.6</v>
      </c>
      <c r="U19" s="33"/>
      <c r="V19" s="33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</row>
    <row r="20" s="1" customFormat="1" ht="14" customHeight="1" spans="1:38">
      <c r="A20" s="33">
        <v>8</v>
      </c>
      <c r="B20" s="33" t="s">
        <v>94</v>
      </c>
      <c r="C20" s="34" t="s">
        <v>100</v>
      </c>
      <c r="D20" s="34" t="s">
        <v>96</v>
      </c>
      <c r="E20" s="33"/>
      <c r="F20" s="33"/>
      <c r="G20" s="33"/>
      <c r="H20" s="33"/>
      <c r="I20" s="33"/>
      <c r="J20" s="33"/>
      <c r="K20" s="58"/>
      <c r="L20" s="33"/>
      <c r="M20" s="59">
        <v>1119462.7</v>
      </c>
      <c r="N20" s="59">
        <v>34528.25</v>
      </c>
      <c r="O20" s="33">
        <f t="shared" si="0"/>
        <v>-1119462.7</v>
      </c>
      <c r="P20" s="33">
        <f t="shared" si="1"/>
        <v>-34528.25</v>
      </c>
      <c r="Q20" s="33">
        <f t="shared" si="2"/>
        <v>0</v>
      </c>
      <c r="R20" s="33">
        <f t="shared" si="3"/>
        <v>0</v>
      </c>
      <c r="S20" s="33"/>
      <c r="T20" s="59">
        <v>1014500</v>
      </c>
      <c r="U20" s="33"/>
      <c r="V20" s="33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</row>
    <row r="21" s="1" customFormat="1" ht="14" customHeight="1" spans="1:38">
      <c r="A21" s="33">
        <v>9</v>
      </c>
      <c r="B21" s="33" t="s">
        <v>94</v>
      </c>
      <c r="C21" s="34" t="s">
        <v>101</v>
      </c>
      <c r="D21" s="34" t="s">
        <v>96</v>
      </c>
      <c r="E21" s="33"/>
      <c r="F21" s="33"/>
      <c r="G21" s="33"/>
      <c r="H21" s="33"/>
      <c r="I21" s="33"/>
      <c r="J21" s="33"/>
      <c r="K21" s="58"/>
      <c r="L21" s="33"/>
      <c r="M21" s="59">
        <v>27951795.29</v>
      </c>
      <c r="N21" s="59">
        <v>859623.09</v>
      </c>
      <c r="O21" s="33">
        <f t="shared" si="0"/>
        <v>-27951795.29</v>
      </c>
      <c r="P21" s="33">
        <f t="shared" si="1"/>
        <v>-859623.09</v>
      </c>
      <c r="Q21" s="33">
        <f t="shared" si="2"/>
        <v>0</v>
      </c>
      <c r="R21" s="33">
        <f t="shared" si="3"/>
        <v>0</v>
      </c>
      <c r="S21" s="33"/>
      <c r="T21" s="59">
        <v>29431074</v>
      </c>
      <c r="U21" s="33"/>
      <c r="V21" s="33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</row>
    <row r="22" s="1" customFormat="1" ht="14" customHeight="1" spans="1:38">
      <c r="A22" s="33">
        <v>10</v>
      </c>
      <c r="B22" s="33" t="s">
        <v>94</v>
      </c>
      <c r="C22" s="34" t="s">
        <v>102</v>
      </c>
      <c r="D22" s="34" t="s">
        <v>96</v>
      </c>
      <c r="E22" s="33"/>
      <c r="F22" s="33"/>
      <c r="G22" s="33"/>
      <c r="H22" s="33"/>
      <c r="I22" s="33"/>
      <c r="J22" s="33"/>
      <c r="K22" s="58"/>
      <c r="L22" s="33"/>
      <c r="M22" s="59">
        <v>26334807.36</v>
      </c>
      <c r="N22" s="59">
        <v>810062.35</v>
      </c>
      <c r="O22" s="33">
        <f t="shared" si="0"/>
        <v>-26334807.36</v>
      </c>
      <c r="P22" s="33">
        <f t="shared" si="1"/>
        <v>-810062.35</v>
      </c>
      <c r="Q22" s="33">
        <f t="shared" si="2"/>
        <v>0</v>
      </c>
      <c r="R22" s="33">
        <f t="shared" si="3"/>
        <v>1.51339918375015e-9</v>
      </c>
      <c r="S22" s="33"/>
      <c r="T22" s="59">
        <v>27075493.73</v>
      </c>
      <c r="U22" s="33"/>
      <c r="V22" s="33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</row>
    <row r="23" s="1" customFormat="1" ht="14" customHeight="1" spans="1:38">
      <c r="A23" s="33">
        <v>11</v>
      </c>
      <c r="B23" s="33" t="s">
        <v>94</v>
      </c>
      <c r="C23" s="34" t="s">
        <v>103</v>
      </c>
      <c r="D23" s="34" t="s">
        <v>96</v>
      </c>
      <c r="E23" s="33"/>
      <c r="F23" s="33"/>
      <c r="G23" s="33"/>
      <c r="H23" s="33"/>
      <c r="I23" s="33"/>
      <c r="J23" s="33"/>
      <c r="K23" s="58"/>
      <c r="L23" s="33"/>
      <c r="M23" s="59">
        <v>1197273.55</v>
      </c>
      <c r="N23" s="59">
        <v>36853.78</v>
      </c>
      <c r="O23" s="33">
        <f t="shared" si="0"/>
        <v>-1197273.55</v>
      </c>
      <c r="P23" s="33">
        <f t="shared" si="1"/>
        <v>-36853.78</v>
      </c>
      <c r="Q23" s="33">
        <f t="shared" si="2"/>
        <v>0</v>
      </c>
      <c r="R23" s="33">
        <f t="shared" si="3"/>
        <v>0</v>
      </c>
      <c r="S23" s="33"/>
      <c r="T23" s="59">
        <v>1137500</v>
      </c>
      <c r="U23" s="33"/>
      <c r="V23" s="33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</row>
    <row r="24" s="1" customFormat="1" ht="14" customHeight="1" spans="1:38">
      <c r="A24" s="33">
        <v>12</v>
      </c>
      <c r="B24" s="33" t="s">
        <v>94</v>
      </c>
      <c r="C24" s="34" t="s">
        <v>104</v>
      </c>
      <c r="D24" s="34" t="s">
        <v>96</v>
      </c>
      <c r="E24" s="33"/>
      <c r="F24" s="33"/>
      <c r="G24" s="33"/>
      <c r="H24" s="33"/>
      <c r="I24" s="33"/>
      <c r="J24" s="33"/>
      <c r="K24" s="58"/>
      <c r="L24" s="33"/>
      <c r="M24" s="59">
        <v>7351812.22</v>
      </c>
      <c r="N24" s="59">
        <v>226612.33</v>
      </c>
      <c r="O24" s="33">
        <f t="shared" si="0"/>
        <v>-7351812.22</v>
      </c>
      <c r="P24" s="33">
        <f t="shared" si="1"/>
        <v>-226612.33</v>
      </c>
      <c r="Q24" s="33">
        <f t="shared" si="2"/>
        <v>0</v>
      </c>
      <c r="R24" s="33">
        <f t="shared" si="3"/>
        <v>0</v>
      </c>
      <c r="S24" s="33"/>
      <c r="T24" s="59">
        <v>7600600</v>
      </c>
      <c r="U24" s="33"/>
      <c r="V24" s="33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</row>
    <row r="25" s="1" customFormat="1" ht="14" customHeight="1" spans="1:38">
      <c r="A25" s="33">
        <v>13</v>
      </c>
      <c r="B25" s="33" t="s">
        <v>105</v>
      </c>
      <c r="C25" s="34" t="s">
        <v>106</v>
      </c>
      <c r="D25" s="34" t="s">
        <v>107</v>
      </c>
      <c r="E25" s="33"/>
      <c r="F25" s="33"/>
      <c r="G25" s="33"/>
      <c r="H25" s="33"/>
      <c r="I25" s="33"/>
      <c r="J25" s="33"/>
      <c r="K25" s="58"/>
      <c r="L25" s="33"/>
      <c r="M25" s="59">
        <v>6098312.75</v>
      </c>
      <c r="N25" s="59">
        <v>185985.2</v>
      </c>
      <c r="O25" s="33">
        <f t="shared" si="0"/>
        <v>-6098312.75</v>
      </c>
      <c r="P25" s="33">
        <f t="shared" si="1"/>
        <v>-185985.2</v>
      </c>
      <c r="Q25" s="33">
        <f t="shared" si="2"/>
        <v>0</v>
      </c>
      <c r="R25" s="33">
        <f t="shared" si="3"/>
        <v>0</v>
      </c>
      <c r="S25" s="33"/>
      <c r="T25" s="59">
        <v>5184957.19</v>
      </c>
      <c r="U25" s="33"/>
      <c r="V25" s="33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</row>
    <row r="26" s="1" customFormat="1" ht="14" customHeight="1" spans="1:38">
      <c r="A26" s="33">
        <v>14</v>
      </c>
      <c r="B26" s="33" t="s">
        <v>108</v>
      </c>
      <c r="C26" s="34" t="s">
        <v>109</v>
      </c>
      <c r="D26" s="34" t="s">
        <v>110</v>
      </c>
      <c r="E26" s="33"/>
      <c r="F26" s="33"/>
      <c r="G26" s="33"/>
      <c r="H26" s="33"/>
      <c r="I26" s="33"/>
      <c r="J26" s="33"/>
      <c r="K26" s="58"/>
      <c r="L26" s="33"/>
      <c r="M26" s="59">
        <v>4823113.72</v>
      </c>
      <c r="N26" s="59">
        <v>148363.9</v>
      </c>
      <c r="O26" s="33">
        <f t="shared" si="0"/>
        <v>-4823113.72</v>
      </c>
      <c r="P26" s="33">
        <f t="shared" si="1"/>
        <v>-148363.9</v>
      </c>
      <c r="Q26" s="33">
        <f t="shared" si="2"/>
        <v>0</v>
      </c>
      <c r="R26" s="33">
        <f t="shared" si="3"/>
        <v>3.78349795937538e-10</v>
      </c>
      <c r="S26" s="33"/>
      <c r="T26" s="59">
        <v>4971100</v>
      </c>
      <c r="U26" s="33"/>
      <c r="V26" s="33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</row>
    <row r="27" s="1" customFormat="1" ht="14" customHeight="1" spans="1:38">
      <c r="A27" s="33">
        <v>15</v>
      </c>
      <c r="B27" s="33"/>
      <c r="C27" s="34"/>
      <c r="D27" s="34" t="s">
        <v>111</v>
      </c>
      <c r="E27" s="33"/>
      <c r="F27" s="33"/>
      <c r="G27" s="33"/>
      <c r="H27" s="33"/>
      <c r="I27" s="33"/>
      <c r="J27" s="33"/>
      <c r="K27" s="58"/>
      <c r="L27" s="33"/>
      <c r="M27" s="59">
        <v>7622756.31</v>
      </c>
      <c r="N27" s="33"/>
      <c r="O27" s="33">
        <f t="shared" si="0"/>
        <v>-7622756.31</v>
      </c>
      <c r="P27" s="33">
        <f t="shared" si="1"/>
        <v>0</v>
      </c>
      <c r="Q27" s="33">
        <f t="shared" si="2"/>
        <v>0</v>
      </c>
      <c r="R27" s="33">
        <f t="shared" si="3"/>
        <v>0</v>
      </c>
      <c r="S27" s="33"/>
      <c r="T27" s="33"/>
      <c r="U27" s="33"/>
      <c r="V27" s="33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</row>
    <row r="28" s="1" customFormat="1" ht="14" customHeight="1" spans="1:38">
      <c r="A28" s="33">
        <v>16</v>
      </c>
      <c r="B28" s="33"/>
      <c r="C28" s="34"/>
      <c r="D28" s="34" t="s">
        <v>112</v>
      </c>
      <c r="E28" s="33"/>
      <c r="F28" s="33"/>
      <c r="G28" s="33"/>
      <c r="H28" s="33"/>
      <c r="I28" s="33"/>
      <c r="J28" s="33"/>
      <c r="K28" s="58"/>
      <c r="L28" s="33"/>
      <c r="M28" s="59">
        <v>14400</v>
      </c>
      <c r="N28" s="33"/>
      <c r="O28" s="33">
        <f t="shared" si="0"/>
        <v>-14400</v>
      </c>
      <c r="P28" s="33">
        <f t="shared" si="1"/>
        <v>0</v>
      </c>
      <c r="Q28" s="33">
        <f t="shared" si="2"/>
        <v>0</v>
      </c>
      <c r="R28" s="33">
        <f t="shared" si="3"/>
        <v>0</v>
      </c>
      <c r="S28" s="33"/>
      <c r="T28" s="33"/>
      <c r="U28" s="33"/>
      <c r="V28" s="33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</row>
    <row r="29" s="1" customFormat="1" ht="14" customHeight="1" spans="1:38">
      <c r="A29" s="33">
        <v>17</v>
      </c>
      <c r="B29" s="33"/>
      <c r="C29" s="34"/>
      <c r="D29" s="34" t="s">
        <v>113</v>
      </c>
      <c r="E29" s="33"/>
      <c r="F29" s="33"/>
      <c r="G29" s="33"/>
      <c r="H29" s="33"/>
      <c r="I29" s="33"/>
      <c r="J29" s="33"/>
      <c r="K29" s="58"/>
      <c r="L29" s="33"/>
      <c r="M29" s="59">
        <v>156312.9</v>
      </c>
      <c r="N29" s="33"/>
      <c r="O29" s="33">
        <f t="shared" si="0"/>
        <v>-156312.9</v>
      </c>
      <c r="P29" s="33">
        <f t="shared" si="1"/>
        <v>0</v>
      </c>
      <c r="Q29" s="33">
        <f t="shared" si="2"/>
        <v>0</v>
      </c>
      <c r="R29" s="33">
        <f t="shared" si="3"/>
        <v>0</v>
      </c>
      <c r="S29" s="33"/>
      <c r="T29" s="33"/>
      <c r="U29" s="33"/>
      <c r="V29" s="33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</row>
    <row r="30" s="1" customFormat="1" ht="14" customHeight="1" spans="1:38">
      <c r="A30" s="33">
        <v>18</v>
      </c>
      <c r="B30" s="33"/>
      <c r="C30" s="34"/>
      <c r="D30" s="34" t="s">
        <v>114</v>
      </c>
      <c r="E30" s="33"/>
      <c r="F30" s="33"/>
      <c r="G30" s="33"/>
      <c r="H30" s="33"/>
      <c r="I30" s="33"/>
      <c r="J30" s="33"/>
      <c r="K30" s="58"/>
      <c r="L30" s="33"/>
      <c r="M30" s="59">
        <v>3277486.71</v>
      </c>
      <c r="N30" s="33"/>
      <c r="O30" s="33">
        <f t="shared" si="0"/>
        <v>-3277486.71</v>
      </c>
      <c r="P30" s="33">
        <f t="shared" si="1"/>
        <v>0</v>
      </c>
      <c r="Q30" s="33">
        <f t="shared" si="2"/>
        <v>0</v>
      </c>
      <c r="R30" s="33">
        <f t="shared" si="3"/>
        <v>0</v>
      </c>
      <c r="S30" s="33"/>
      <c r="T30" s="33"/>
      <c r="U30" s="33"/>
      <c r="V30" s="33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</row>
    <row r="31" s="1" customFormat="1" ht="14" customHeight="1" spans="1:38">
      <c r="A31" s="33">
        <v>19</v>
      </c>
      <c r="B31" s="33"/>
      <c r="C31" s="34"/>
      <c r="D31" s="34" t="s">
        <v>115</v>
      </c>
      <c r="E31" s="33"/>
      <c r="F31" s="33"/>
      <c r="G31" s="33"/>
      <c r="H31" s="33"/>
      <c r="I31" s="33"/>
      <c r="J31" s="33"/>
      <c r="K31" s="58"/>
      <c r="L31" s="33"/>
      <c r="M31" s="59">
        <v>64600</v>
      </c>
      <c r="N31" s="33"/>
      <c r="O31" s="33">
        <f t="shared" si="0"/>
        <v>-64600</v>
      </c>
      <c r="P31" s="33">
        <f t="shared" si="1"/>
        <v>0</v>
      </c>
      <c r="Q31" s="33">
        <f t="shared" si="2"/>
        <v>0</v>
      </c>
      <c r="R31" s="33">
        <f t="shared" si="3"/>
        <v>0</v>
      </c>
      <c r="S31" s="33"/>
      <c r="T31" s="33"/>
      <c r="U31" s="33"/>
      <c r="V31" s="33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</row>
    <row r="32" s="1" customFormat="1" ht="26" customHeight="1" spans="1:38">
      <c r="A32" s="33">
        <v>20</v>
      </c>
      <c r="B32" s="33"/>
      <c r="C32" s="34"/>
      <c r="D32" s="34" t="s">
        <v>116</v>
      </c>
      <c r="E32" s="33"/>
      <c r="F32" s="33"/>
      <c r="G32" s="33"/>
      <c r="H32" s="33"/>
      <c r="I32" s="33"/>
      <c r="J32" s="33"/>
      <c r="K32" s="58"/>
      <c r="L32" s="33"/>
      <c r="M32" s="59">
        <v>42912.81</v>
      </c>
      <c r="N32" s="33"/>
      <c r="O32" s="33">
        <f t="shared" si="0"/>
        <v>-42912.81</v>
      </c>
      <c r="P32" s="33">
        <f t="shared" si="1"/>
        <v>0</v>
      </c>
      <c r="Q32" s="33">
        <f t="shared" si="2"/>
        <v>0</v>
      </c>
      <c r="R32" s="33">
        <f t="shared" si="3"/>
        <v>0</v>
      </c>
      <c r="S32" s="33"/>
      <c r="T32" s="33"/>
      <c r="U32" s="33"/>
      <c r="V32" s="33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</row>
    <row r="33" s="1" customFormat="1" ht="14" customHeight="1" spans="1:38">
      <c r="A33" s="28"/>
      <c r="B33" s="29"/>
      <c r="C33" s="29"/>
      <c r="D33" s="35" t="s">
        <v>117</v>
      </c>
      <c r="E33" s="36"/>
      <c r="F33" s="36"/>
      <c r="G33" s="36"/>
      <c r="H33" s="31"/>
      <c r="I33" s="31"/>
      <c r="J33" s="31"/>
      <c r="K33" s="55"/>
      <c r="L33" s="56"/>
      <c r="M33" s="31"/>
      <c r="N33" s="31"/>
      <c r="O33" s="31">
        <f t="shared" si="0"/>
        <v>0</v>
      </c>
      <c r="P33" s="31">
        <f t="shared" si="1"/>
        <v>0</v>
      </c>
      <c r="Q33" s="31">
        <f t="shared" si="2"/>
        <v>0</v>
      </c>
      <c r="R33" s="31">
        <f t="shared" si="3"/>
        <v>0</v>
      </c>
      <c r="S33" s="67">
        <f>SUM(T33:V33)</f>
        <v>0</v>
      </c>
      <c r="T33" s="31"/>
      <c r="U33" s="31"/>
      <c r="V33" s="31"/>
      <c r="W33" s="31"/>
      <c r="X33" s="31"/>
      <c r="Y33" s="31"/>
      <c r="Z33" s="31">
        <f>SUM(AA16:AJ16)</f>
        <v>0</v>
      </c>
      <c r="AA33" s="78"/>
      <c r="AB33" s="68"/>
      <c r="AC33" s="68"/>
      <c r="AD33" s="68"/>
      <c r="AE33" s="68"/>
      <c r="AF33" s="68"/>
      <c r="AG33" s="68"/>
      <c r="AH33" s="68"/>
      <c r="AI33" s="68"/>
      <c r="AJ33" s="68"/>
      <c r="AK33" s="68">
        <f>AB16/1.17*0.17+AC16/1.16*0.16+AD16/1.11*0.11+AE16/1.1*0.1+AF16/1.09*0.09+AI16/1.03*0.03</f>
        <v>0</v>
      </c>
      <c r="AL33" s="82"/>
    </row>
    <row r="34" s="1" customFormat="1" ht="14" customHeight="1" spans="1:38">
      <c r="A34" s="37"/>
      <c r="B34" s="38"/>
      <c r="C34" s="38"/>
      <c r="D34" s="39" t="s">
        <v>118</v>
      </c>
      <c r="E34" s="40">
        <f t="shared" ref="E34:AK34" si="4">SUM(E12:E33)</f>
        <v>0</v>
      </c>
      <c r="F34" s="40">
        <f t="shared" si="4"/>
        <v>0</v>
      </c>
      <c r="G34" s="40">
        <f t="shared" si="4"/>
        <v>0</v>
      </c>
      <c r="H34" s="40">
        <f t="shared" si="4"/>
        <v>0</v>
      </c>
      <c r="I34" s="40">
        <f t="shared" si="4"/>
        <v>0</v>
      </c>
      <c r="J34" s="40">
        <f t="shared" si="4"/>
        <v>0</v>
      </c>
      <c r="K34" s="40">
        <f t="shared" si="4"/>
        <v>0</v>
      </c>
      <c r="L34" s="40">
        <f t="shared" si="4"/>
        <v>0</v>
      </c>
      <c r="M34" s="40">
        <f t="shared" si="4"/>
        <v>123639376.32</v>
      </c>
      <c r="N34" s="40">
        <f t="shared" si="4"/>
        <v>3459399.4</v>
      </c>
      <c r="O34" s="40">
        <f t="shared" si="4"/>
        <v>-123639376.32</v>
      </c>
      <c r="P34" s="40">
        <f t="shared" si="4"/>
        <v>-3459399.4</v>
      </c>
      <c r="Q34" s="40">
        <f t="shared" si="4"/>
        <v>0</v>
      </c>
      <c r="R34" s="40">
        <f t="shared" si="4"/>
        <v>-7.27595761418343e-11</v>
      </c>
      <c r="S34" s="40">
        <f t="shared" si="4"/>
        <v>0</v>
      </c>
      <c r="T34" s="40">
        <f t="shared" si="4"/>
        <v>115313509.18</v>
      </c>
      <c r="U34" s="40">
        <f t="shared" si="4"/>
        <v>0</v>
      </c>
      <c r="V34" s="40">
        <f t="shared" si="4"/>
        <v>0</v>
      </c>
      <c r="W34" s="40">
        <f t="shared" si="4"/>
        <v>0</v>
      </c>
      <c r="X34" s="40">
        <f t="shared" si="4"/>
        <v>0</v>
      </c>
      <c r="Y34" s="40">
        <f t="shared" si="4"/>
        <v>0</v>
      </c>
      <c r="Z34" s="40">
        <f t="shared" si="4"/>
        <v>0</v>
      </c>
      <c r="AA34" s="40">
        <f t="shared" si="4"/>
        <v>0</v>
      </c>
      <c r="AB34" s="40">
        <f t="shared" si="4"/>
        <v>0</v>
      </c>
      <c r="AC34" s="40">
        <f t="shared" si="4"/>
        <v>0</v>
      </c>
      <c r="AD34" s="40">
        <f t="shared" si="4"/>
        <v>0</v>
      </c>
      <c r="AE34" s="40">
        <f t="shared" si="4"/>
        <v>0</v>
      </c>
      <c r="AF34" s="40">
        <f t="shared" si="4"/>
        <v>0</v>
      </c>
      <c r="AG34" s="40">
        <f t="shared" si="4"/>
        <v>0</v>
      </c>
      <c r="AH34" s="40">
        <f t="shared" si="4"/>
        <v>0</v>
      </c>
      <c r="AI34" s="40">
        <f t="shared" si="4"/>
        <v>0</v>
      </c>
      <c r="AJ34" s="40">
        <f t="shared" si="4"/>
        <v>0</v>
      </c>
      <c r="AK34" s="40">
        <f t="shared" si="4"/>
        <v>0</v>
      </c>
      <c r="AL34" s="81"/>
    </row>
    <row r="35" s="1" customFormat="1" ht="14" customHeight="1" spans="1:38">
      <c r="A35" s="28"/>
      <c r="B35" s="29"/>
      <c r="C35" s="29"/>
      <c r="D35" s="41" t="s">
        <v>119</v>
      </c>
      <c r="E35" s="29"/>
      <c r="F35" s="29"/>
      <c r="G35" s="29"/>
      <c r="H35" s="31"/>
      <c r="I35" s="31"/>
      <c r="J35" s="31"/>
      <c r="K35" s="55"/>
      <c r="L35" s="56"/>
      <c r="M35" s="31"/>
      <c r="N35" s="31"/>
      <c r="O35" s="31">
        <f t="shared" ref="O35:O64" si="5">L35-M35</f>
        <v>0</v>
      </c>
      <c r="P35" s="31">
        <f t="shared" ref="P35:P64" si="6">K35-N35</f>
        <v>0</v>
      </c>
      <c r="Q35" s="31">
        <f t="shared" ref="Q35:Q64" si="7">M35+O35</f>
        <v>0</v>
      </c>
      <c r="R35" s="31">
        <f t="shared" ref="R35:R64" si="8">M35+N35+O35+P35</f>
        <v>0</v>
      </c>
      <c r="S35" s="67">
        <f>SUM(T35:V35)</f>
        <v>0</v>
      </c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8">
        <f>AB18/1.17*0.17+AC18/1.16*0.16+AD18/1.11*0.11+AE18/1.1*0.1+AF18/1.09*0.09+AI18/1.03*0.03</f>
        <v>0</v>
      </c>
      <c r="AL35" s="81"/>
    </row>
    <row r="36" s="1" customFormat="1" ht="14" customHeight="1" spans="1:38">
      <c r="A36" s="33">
        <v>1</v>
      </c>
      <c r="B36" s="33" t="s">
        <v>120</v>
      </c>
      <c r="C36" s="34" t="s">
        <v>121</v>
      </c>
      <c r="D36" s="34" t="s">
        <v>122</v>
      </c>
      <c r="E36" s="33"/>
      <c r="F36" s="33"/>
      <c r="G36" s="33"/>
      <c r="H36" s="33"/>
      <c r="I36" s="33"/>
      <c r="J36" s="33"/>
      <c r="K36" s="58"/>
      <c r="L36" s="33"/>
      <c r="M36" s="59">
        <v>461205.33</v>
      </c>
      <c r="N36" s="59">
        <v>61180.3</v>
      </c>
      <c r="O36" s="33">
        <f t="shared" si="5"/>
        <v>-461205.33</v>
      </c>
      <c r="P36" s="33">
        <f t="shared" si="6"/>
        <v>-61180.3</v>
      </c>
      <c r="Q36" s="33">
        <f t="shared" si="7"/>
        <v>0</v>
      </c>
      <c r="R36" s="33">
        <f t="shared" si="8"/>
        <v>0</v>
      </c>
      <c r="S36" s="33"/>
      <c r="T36" s="59">
        <v>507773.85</v>
      </c>
      <c r="U36" s="33"/>
      <c r="V36" s="33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</row>
    <row r="37" s="1" customFormat="1" ht="14" customHeight="1" spans="1:38">
      <c r="A37" s="33">
        <v>2</v>
      </c>
      <c r="B37" s="33" t="s">
        <v>123</v>
      </c>
      <c r="C37" s="34" t="s">
        <v>124</v>
      </c>
      <c r="D37" s="34" t="s">
        <v>125</v>
      </c>
      <c r="E37" s="33"/>
      <c r="F37" s="33"/>
      <c r="G37" s="33"/>
      <c r="H37" s="33"/>
      <c r="I37" s="33"/>
      <c r="J37" s="33"/>
      <c r="K37" s="58"/>
      <c r="L37" s="33"/>
      <c r="M37" s="59">
        <v>17622990.53</v>
      </c>
      <c r="N37" s="59">
        <v>1620857.48</v>
      </c>
      <c r="O37" s="33">
        <f t="shared" si="5"/>
        <v>-17622990.53</v>
      </c>
      <c r="P37" s="33">
        <f t="shared" si="6"/>
        <v>-1620857.48</v>
      </c>
      <c r="Q37" s="33">
        <f t="shared" si="7"/>
        <v>0</v>
      </c>
      <c r="R37" s="33">
        <f t="shared" si="8"/>
        <v>0</v>
      </c>
      <c r="S37" s="33"/>
      <c r="T37" s="59">
        <v>17382710</v>
      </c>
      <c r="U37" s="33"/>
      <c r="V37" s="33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</row>
    <row r="38" s="1" customFormat="1" ht="14" customHeight="1" spans="1:38">
      <c r="A38" s="33">
        <v>3</v>
      </c>
      <c r="B38" s="33" t="s">
        <v>126</v>
      </c>
      <c r="C38" s="34" t="s">
        <v>127</v>
      </c>
      <c r="D38" s="34" t="s">
        <v>128</v>
      </c>
      <c r="E38" s="33"/>
      <c r="F38" s="33"/>
      <c r="G38" s="33"/>
      <c r="H38" s="33"/>
      <c r="I38" s="33"/>
      <c r="J38" s="33"/>
      <c r="K38" s="58"/>
      <c r="L38" s="33"/>
      <c r="M38" s="59">
        <v>1164215.34</v>
      </c>
      <c r="N38" s="59">
        <v>108019.98</v>
      </c>
      <c r="O38" s="33">
        <f t="shared" si="5"/>
        <v>-1164215.34</v>
      </c>
      <c r="P38" s="33">
        <f t="shared" si="6"/>
        <v>-108019.98</v>
      </c>
      <c r="Q38" s="33">
        <f t="shared" si="7"/>
        <v>0</v>
      </c>
      <c r="R38" s="33">
        <f t="shared" si="8"/>
        <v>0</v>
      </c>
      <c r="S38" s="33"/>
      <c r="T38" s="59">
        <v>1215005</v>
      </c>
      <c r="U38" s="33"/>
      <c r="V38" s="33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</row>
    <row r="39" s="1" customFormat="1" ht="14" customHeight="1" spans="1:38">
      <c r="A39" s="33">
        <v>4</v>
      </c>
      <c r="B39" s="33" t="s">
        <v>129</v>
      </c>
      <c r="C39" s="34" t="s">
        <v>130</v>
      </c>
      <c r="D39" s="34" t="s">
        <v>131</v>
      </c>
      <c r="E39" s="33"/>
      <c r="F39" s="33"/>
      <c r="G39" s="33"/>
      <c r="H39" s="33"/>
      <c r="I39" s="33"/>
      <c r="J39" s="33"/>
      <c r="K39" s="58"/>
      <c r="L39" s="33"/>
      <c r="M39" s="59">
        <v>422454.4</v>
      </c>
      <c r="N39" s="59">
        <v>13065.6</v>
      </c>
      <c r="O39" s="33">
        <f t="shared" si="5"/>
        <v>-422454.4</v>
      </c>
      <c r="P39" s="33">
        <f t="shared" si="6"/>
        <v>-13065.6</v>
      </c>
      <c r="Q39" s="33">
        <f t="shared" si="7"/>
        <v>0</v>
      </c>
      <c r="R39" s="33">
        <f t="shared" si="8"/>
        <v>-2.36468622460961e-11</v>
      </c>
      <c r="S39" s="33"/>
      <c r="T39" s="59">
        <v>260000</v>
      </c>
      <c r="U39" s="33"/>
      <c r="V39" s="33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</row>
    <row r="40" s="1" customFormat="1" ht="14" customHeight="1" spans="1:38">
      <c r="A40" s="33">
        <v>5</v>
      </c>
      <c r="B40" s="33" t="s">
        <v>132</v>
      </c>
      <c r="C40" s="34" t="s">
        <v>133</v>
      </c>
      <c r="D40" s="34" t="s">
        <v>134</v>
      </c>
      <c r="E40" s="33"/>
      <c r="F40" s="33"/>
      <c r="G40" s="33"/>
      <c r="H40" s="33"/>
      <c r="I40" s="33"/>
      <c r="J40" s="33"/>
      <c r="K40" s="58"/>
      <c r="L40" s="33"/>
      <c r="M40" s="59">
        <v>2383550.91</v>
      </c>
      <c r="N40" s="59">
        <v>122373.19</v>
      </c>
      <c r="O40" s="33">
        <f t="shared" si="5"/>
        <v>-2383550.91</v>
      </c>
      <c r="P40" s="33">
        <f t="shared" si="6"/>
        <v>-122373.19</v>
      </c>
      <c r="Q40" s="33">
        <f t="shared" si="7"/>
        <v>0</v>
      </c>
      <c r="R40" s="33">
        <f t="shared" si="8"/>
        <v>0</v>
      </c>
      <c r="S40" s="33"/>
      <c r="T40" s="59">
        <v>2284661</v>
      </c>
      <c r="U40" s="33"/>
      <c r="V40" s="33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</row>
    <row r="41" s="1" customFormat="1" ht="14" customHeight="1" spans="1:38">
      <c r="A41" s="33">
        <v>6</v>
      </c>
      <c r="B41" s="33" t="s">
        <v>135</v>
      </c>
      <c r="C41" s="34" t="s">
        <v>136</v>
      </c>
      <c r="D41" s="34" t="s">
        <v>137</v>
      </c>
      <c r="E41" s="33"/>
      <c r="F41" s="33"/>
      <c r="G41" s="33"/>
      <c r="H41" s="33"/>
      <c r="I41" s="33"/>
      <c r="J41" s="33"/>
      <c r="K41" s="58"/>
      <c r="L41" s="33"/>
      <c r="M41" s="59">
        <v>9646066.36</v>
      </c>
      <c r="N41" s="59">
        <v>889462.14</v>
      </c>
      <c r="O41" s="33">
        <f t="shared" si="5"/>
        <v>-9646066.36</v>
      </c>
      <c r="P41" s="33">
        <f t="shared" si="6"/>
        <v>-889462.14</v>
      </c>
      <c r="Q41" s="33">
        <f t="shared" si="7"/>
        <v>0</v>
      </c>
      <c r="R41" s="33">
        <f t="shared" si="8"/>
        <v>0</v>
      </c>
      <c r="S41" s="33"/>
      <c r="T41" s="59">
        <v>9688900</v>
      </c>
      <c r="U41" s="33"/>
      <c r="V41" s="33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</row>
    <row r="42" s="1" customFormat="1" ht="14" customHeight="1" spans="1:38">
      <c r="A42" s="33">
        <v>7</v>
      </c>
      <c r="B42" s="33" t="s">
        <v>138</v>
      </c>
      <c r="C42" s="34" t="s">
        <v>139</v>
      </c>
      <c r="D42" s="34" t="s">
        <v>140</v>
      </c>
      <c r="E42" s="33"/>
      <c r="F42" s="33"/>
      <c r="G42" s="33"/>
      <c r="H42" s="33"/>
      <c r="I42" s="33"/>
      <c r="J42" s="33"/>
      <c r="K42" s="58"/>
      <c r="L42" s="33"/>
      <c r="M42" s="59">
        <v>31780341.05</v>
      </c>
      <c r="N42" s="59">
        <v>2928739.94</v>
      </c>
      <c r="O42" s="33">
        <f t="shared" si="5"/>
        <v>-31780341.05</v>
      </c>
      <c r="P42" s="33">
        <f t="shared" si="6"/>
        <v>-2928739.94</v>
      </c>
      <c r="Q42" s="33">
        <f t="shared" si="7"/>
        <v>0</v>
      </c>
      <c r="R42" s="33">
        <f t="shared" si="8"/>
        <v>0</v>
      </c>
      <c r="S42" s="33"/>
      <c r="T42" s="59">
        <v>34881345</v>
      </c>
      <c r="U42" s="33"/>
      <c r="V42" s="33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</row>
    <row r="43" s="1" customFormat="1" ht="14" customHeight="1" spans="1:38">
      <c r="A43" s="33">
        <v>8</v>
      </c>
      <c r="B43" s="33" t="s">
        <v>141</v>
      </c>
      <c r="C43" s="34" t="s">
        <v>142</v>
      </c>
      <c r="D43" s="34" t="s">
        <v>143</v>
      </c>
      <c r="E43" s="33"/>
      <c r="F43" s="33"/>
      <c r="G43" s="33"/>
      <c r="H43" s="33"/>
      <c r="I43" s="33"/>
      <c r="J43" s="33"/>
      <c r="K43" s="58"/>
      <c r="L43" s="33"/>
      <c r="M43" s="59">
        <v>678606.99</v>
      </c>
      <c r="N43" s="59">
        <v>62680.61</v>
      </c>
      <c r="O43" s="33">
        <f t="shared" si="5"/>
        <v>-678606.99</v>
      </c>
      <c r="P43" s="33">
        <f t="shared" si="6"/>
        <v>-62680.61</v>
      </c>
      <c r="Q43" s="33">
        <f t="shared" si="7"/>
        <v>0</v>
      </c>
      <c r="R43" s="33">
        <f t="shared" si="8"/>
        <v>0</v>
      </c>
      <c r="S43" s="33"/>
      <c r="T43" s="59">
        <v>756733.7</v>
      </c>
      <c r="U43" s="33"/>
      <c r="V43" s="33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</row>
    <row r="44" s="1" customFormat="1" ht="14" customHeight="1" spans="1:38">
      <c r="A44" s="33">
        <v>9</v>
      </c>
      <c r="B44" s="33" t="s">
        <v>141</v>
      </c>
      <c r="C44" s="34" t="s">
        <v>144</v>
      </c>
      <c r="D44" s="34" t="s">
        <v>143</v>
      </c>
      <c r="E44" s="33"/>
      <c r="F44" s="33"/>
      <c r="G44" s="33"/>
      <c r="H44" s="33"/>
      <c r="I44" s="33"/>
      <c r="J44" s="33"/>
      <c r="K44" s="58"/>
      <c r="L44" s="33"/>
      <c r="M44" s="59">
        <v>1543302.24</v>
      </c>
      <c r="N44" s="59">
        <v>142971.95</v>
      </c>
      <c r="O44" s="33">
        <f t="shared" si="5"/>
        <v>-1543302.24</v>
      </c>
      <c r="P44" s="33">
        <f t="shared" si="6"/>
        <v>-142971.95</v>
      </c>
      <c r="Q44" s="33">
        <f t="shared" si="7"/>
        <v>0</v>
      </c>
      <c r="R44" s="33">
        <f t="shared" si="8"/>
        <v>0</v>
      </c>
      <c r="S44" s="33"/>
      <c r="T44" s="59">
        <v>1731549.1</v>
      </c>
      <c r="U44" s="33"/>
      <c r="V44" s="33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</row>
    <row r="45" s="1" customFormat="1" ht="14" customHeight="1" spans="1:38">
      <c r="A45" s="33">
        <v>10</v>
      </c>
      <c r="B45" s="33" t="s">
        <v>94</v>
      </c>
      <c r="C45" s="34" t="s">
        <v>145</v>
      </c>
      <c r="D45" s="34" t="s">
        <v>96</v>
      </c>
      <c r="E45" s="33"/>
      <c r="F45" s="33"/>
      <c r="G45" s="33"/>
      <c r="H45" s="33"/>
      <c r="I45" s="33"/>
      <c r="J45" s="33"/>
      <c r="K45" s="58"/>
      <c r="L45" s="33"/>
      <c r="M45" s="59">
        <v>14558358.96</v>
      </c>
      <c r="N45" s="59">
        <v>448169.28</v>
      </c>
      <c r="O45" s="33">
        <f t="shared" si="5"/>
        <v>-14558358.96</v>
      </c>
      <c r="P45" s="33">
        <f t="shared" si="6"/>
        <v>-448169.28</v>
      </c>
      <c r="Q45" s="33">
        <f t="shared" si="7"/>
        <v>0</v>
      </c>
      <c r="R45" s="33">
        <f t="shared" si="8"/>
        <v>-6.98491930961609e-10</v>
      </c>
      <c r="S45" s="33"/>
      <c r="T45" s="59">
        <v>14546400</v>
      </c>
      <c r="U45" s="33"/>
      <c r="V45" s="33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</row>
    <row r="46" s="1" customFormat="1" ht="14" customHeight="1" spans="1:38">
      <c r="A46" s="33">
        <v>11</v>
      </c>
      <c r="B46" s="33" t="s">
        <v>94</v>
      </c>
      <c r="C46" s="34" t="s">
        <v>146</v>
      </c>
      <c r="D46" s="34" t="s">
        <v>96</v>
      </c>
      <c r="E46" s="33"/>
      <c r="F46" s="33"/>
      <c r="G46" s="33"/>
      <c r="H46" s="33"/>
      <c r="I46" s="33"/>
      <c r="J46" s="33"/>
      <c r="K46" s="58"/>
      <c r="L46" s="33"/>
      <c r="M46" s="59">
        <v>40402570.47</v>
      </c>
      <c r="N46" s="59">
        <v>1242269.38</v>
      </c>
      <c r="O46" s="33">
        <f t="shared" si="5"/>
        <v>-40402570.47</v>
      </c>
      <c r="P46" s="33">
        <f t="shared" si="6"/>
        <v>-1242269.38</v>
      </c>
      <c r="Q46" s="33">
        <f t="shared" si="7"/>
        <v>0</v>
      </c>
      <c r="R46" s="33">
        <f t="shared" si="8"/>
        <v>2.79396772384644e-9</v>
      </c>
      <c r="S46" s="33"/>
      <c r="T46" s="59">
        <v>42593124.4</v>
      </c>
      <c r="U46" s="33"/>
      <c r="V46" s="33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</row>
    <row r="47" s="1" customFormat="1" ht="14" customHeight="1" spans="1:38">
      <c r="A47" s="33">
        <v>12</v>
      </c>
      <c r="B47" s="33" t="s">
        <v>147</v>
      </c>
      <c r="C47" s="34" t="s">
        <v>148</v>
      </c>
      <c r="D47" s="34" t="s">
        <v>149</v>
      </c>
      <c r="E47" s="33"/>
      <c r="F47" s="33"/>
      <c r="G47" s="33"/>
      <c r="H47" s="33"/>
      <c r="I47" s="33"/>
      <c r="J47" s="33"/>
      <c r="K47" s="58"/>
      <c r="L47" s="33"/>
      <c r="M47" s="59">
        <v>4222327.28</v>
      </c>
      <c r="N47" s="59">
        <v>389361.13</v>
      </c>
      <c r="O47" s="33">
        <f t="shared" si="5"/>
        <v>-4222327.28</v>
      </c>
      <c r="P47" s="33">
        <f t="shared" si="6"/>
        <v>-389361.13</v>
      </c>
      <c r="Q47" s="33">
        <f t="shared" si="7"/>
        <v>0</v>
      </c>
      <c r="R47" s="33">
        <f t="shared" si="8"/>
        <v>0</v>
      </c>
      <c r="S47" s="33"/>
      <c r="T47" s="59">
        <v>4669100</v>
      </c>
      <c r="U47" s="33"/>
      <c r="V47" s="33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</row>
    <row r="48" s="1" customFormat="1" ht="14" customHeight="1" spans="1:38">
      <c r="A48" s="33">
        <v>13</v>
      </c>
      <c r="B48" s="33" t="s">
        <v>150</v>
      </c>
      <c r="C48" s="34" t="s">
        <v>151</v>
      </c>
      <c r="D48" s="34" t="s">
        <v>152</v>
      </c>
      <c r="E48" s="33"/>
      <c r="F48" s="33"/>
      <c r="G48" s="33"/>
      <c r="H48" s="33"/>
      <c r="I48" s="33"/>
      <c r="J48" s="33"/>
      <c r="K48" s="58"/>
      <c r="L48" s="33"/>
      <c r="M48" s="59">
        <v>229902.49</v>
      </c>
      <c r="N48" s="59">
        <v>7082.56</v>
      </c>
      <c r="O48" s="33">
        <f t="shared" si="5"/>
        <v>-229902.49</v>
      </c>
      <c r="P48" s="33">
        <f t="shared" si="6"/>
        <v>-7082.56</v>
      </c>
      <c r="Q48" s="33">
        <f t="shared" si="7"/>
        <v>0</v>
      </c>
      <c r="R48" s="33">
        <f t="shared" si="8"/>
        <v>0</v>
      </c>
      <c r="S48" s="33"/>
      <c r="T48" s="59">
        <v>243167.55</v>
      </c>
      <c r="U48" s="33"/>
      <c r="V48" s="33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</row>
    <row r="49" s="1" customFormat="1" ht="14" customHeight="1" spans="1:38">
      <c r="A49" s="33">
        <v>14</v>
      </c>
      <c r="B49" s="33" t="s">
        <v>153</v>
      </c>
      <c r="C49" s="34" t="s">
        <v>154</v>
      </c>
      <c r="D49" s="34" t="s">
        <v>155</v>
      </c>
      <c r="E49" s="33"/>
      <c r="F49" s="33"/>
      <c r="G49" s="33"/>
      <c r="H49" s="33"/>
      <c r="I49" s="33"/>
      <c r="J49" s="33"/>
      <c r="K49" s="58"/>
      <c r="L49" s="33"/>
      <c r="M49" s="59">
        <v>1025077.57</v>
      </c>
      <c r="N49" s="59">
        <v>95110.29</v>
      </c>
      <c r="O49" s="33">
        <f t="shared" si="5"/>
        <v>-1025077.57</v>
      </c>
      <c r="P49" s="33">
        <f t="shared" si="6"/>
        <v>-95110.29</v>
      </c>
      <c r="Q49" s="33">
        <f t="shared" si="7"/>
        <v>0</v>
      </c>
      <c r="R49" s="33">
        <f t="shared" si="8"/>
        <v>0</v>
      </c>
      <c r="S49" s="33"/>
      <c r="T49" s="59">
        <v>953000</v>
      </c>
      <c r="U49" s="33"/>
      <c r="V49" s="33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</row>
    <row r="50" s="1" customFormat="1" ht="14" customHeight="1" spans="1:38">
      <c r="A50" s="33">
        <v>15</v>
      </c>
      <c r="B50" s="33" t="s">
        <v>156</v>
      </c>
      <c r="C50" s="34" t="s">
        <v>157</v>
      </c>
      <c r="D50" s="34" t="s">
        <v>158</v>
      </c>
      <c r="E50" s="33"/>
      <c r="F50" s="33"/>
      <c r="G50" s="33"/>
      <c r="H50" s="33"/>
      <c r="I50" s="33"/>
      <c r="J50" s="33"/>
      <c r="K50" s="58"/>
      <c r="L50" s="33"/>
      <c r="M50" s="59">
        <v>1270396</v>
      </c>
      <c r="N50" s="59">
        <v>116872.2</v>
      </c>
      <c r="O50" s="33">
        <f t="shared" si="5"/>
        <v>-1270396</v>
      </c>
      <c r="P50" s="33">
        <f t="shared" si="6"/>
        <v>-116872.2</v>
      </c>
      <c r="Q50" s="33">
        <f t="shared" si="7"/>
        <v>0</v>
      </c>
      <c r="R50" s="33">
        <f t="shared" si="8"/>
        <v>0</v>
      </c>
      <c r="S50" s="33"/>
      <c r="T50" s="59">
        <v>1412300</v>
      </c>
      <c r="U50" s="33"/>
      <c r="V50" s="33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</row>
    <row r="51" s="1" customFormat="1" ht="14" customHeight="1" spans="1:38">
      <c r="A51" s="33">
        <v>16</v>
      </c>
      <c r="B51" s="33" t="s">
        <v>159</v>
      </c>
      <c r="C51" s="34" t="s">
        <v>160</v>
      </c>
      <c r="D51" s="34" t="s">
        <v>161</v>
      </c>
      <c r="E51" s="33"/>
      <c r="F51" s="33"/>
      <c r="G51" s="33"/>
      <c r="H51" s="33"/>
      <c r="I51" s="33"/>
      <c r="J51" s="33"/>
      <c r="K51" s="58"/>
      <c r="L51" s="33"/>
      <c r="M51" s="59">
        <v>440556.7</v>
      </c>
      <c r="N51" s="59">
        <v>27250.93</v>
      </c>
      <c r="O51" s="33">
        <f t="shared" si="5"/>
        <v>-440556.7</v>
      </c>
      <c r="P51" s="33">
        <f t="shared" si="6"/>
        <v>-27250.93</v>
      </c>
      <c r="Q51" s="33">
        <f t="shared" si="7"/>
        <v>0</v>
      </c>
      <c r="R51" s="33">
        <f t="shared" si="8"/>
        <v>0</v>
      </c>
      <c r="S51" s="33"/>
      <c r="T51" s="59">
        <v>481000</v>
      </c>
      <c r="U51" s="33"/>
      <c r="V51" s="33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</row>
    <row r="52" s="1" customFormat="1" ht="14" customHeight="1" spans="1:38">
      <c r="A52" s="33">
        <v>17</v>
      </c>
      <c r="B52" s="33" t="s">
        <v>162</v>
      </c>
      <c r="C52" s="34" t="s">
        <v>163</v>
      </c>
      <c r="D52" s="34" t="s">
        <v>164</v>
      </c>
      <c r="E52" s="33"/>
      <c r="F52" s="33"/>
      <c r="G52" s="33"/>
      <c r="H52" s="33"/>
      <c r="I52" s="33"/>
      <c r="J52" s="33"/>
      <c r="K52" s="58"/>
      <c r="L52" s="33"/>
      <c r="M52" s="59">
        <v>691816.8</v>
      </c>
      <c r="N52" s="59">
        <v>64189.19</v>
      </c>
      <c r="O52" s="33">
        <f t="shared" si="5"/>
        <v>-691816.8</v>
      </c>
      <c r="P52" s="33">
        <f t="shared" si="6"/>
        <v>-64189.19</v>
      </c>
      <c r="Q52" s="33">
        <f t="shared" si="7"/>
        <v>0</v>
      </c>
      <c r="R52" s="33">
        <f t="shared" si="8"/>
        <v>-5.82076609134674e-11</v>
      </c>
      <c r="S52" s="33"/>
      <c r="T52" s="59">
        <v>685000</v>
      </c>
      <c r="U52" s="33"/>
      <c r="V52" s="33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</row>
    <row r="53" s="1" customFormat="1" ht="14" customHeight="1" spans="1:38">
      <c r="A53" s="33">
        <v>18</v>
      </c>
      <c r="B53" s="33" t="s">
        <v>105</v>
      </c>
      <c r="C53" s="34" t="s">
        <v>165</v>
      </c>
      <c r="D53" s="34" t="s">
        <v>107</v>
      </c>
      <c r="E53" s="33"/>
      <c r="F53" s="33"/>
      <c r="G53" s="33"/>
      <c r="H53" s="33"/>
      <c r="I53" s="33"/>
      <c r="J53" s="33"/>
      <c r="K53" s="58"/>
      <c r="L53" s="33"/>
      <c r="M53" s="59">
        <v>5332586.7</v>
      </c>
      <c r="N53" s="59">
        <v>491883.5</v>
      </c>
      <c r="O53" s="33">
        <f t="shared" si="5"/>
        <v>-5332586.7</v>
      </c>
      <c r="P53" s="33">
        <f t="shared" si="6"/>
        <v>-491883.5</v>
      </c>
      <c r="Q53" s="33">
        <f t="shared" si="7"/>
        <v>0</v>
      </c>
      <c r="R53" s="33">
        <f t="shared" si="8"/>
        <v>0</v>
      </c>
      <c r="S53" s="33"/>
      <c r="T53" s="59">
        <v>5957255.62</v>
      </c>
      <c r="U53" s="33"/>
      <c r="V53" s="33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</row>
    <row r="54" s="1" customFormat="1" ht="14" customHeight="1" spans="1:38">
      <c r="A54" s="33">
        <v>19</v>
      </c>
      <c r="B54" s="33" t="s">
        <v>166</v>
      </c>
      <c r="C54" s="34" t="s">
        <v>167</v>
      </c>
      <c r="D54" s="34" t="s">
        <v>168</v>
      </c>
      <c r="E54" s="33"/>
      <c r="F54" s="33"/>
      <c r="G54" s="33"/>
      <c r="H54" s="33"/>
      <c r="I54" s="33"/>
      <c r="J54" s="33"/>
      <c r="K54" s="58"/>
      <c r="L54" s="33"/>
      <c r="M54" s="59">
        <v>4591554.32</v>
      </c>
      <c r="N54" s="59">
        <v>425595.11</v>
      </c>
      <c r="O54" s="33">
        <f t="shared" si="5"/>
        <v>-4591554.32</v>
      </c>
      <c r="P54" s="33">
        <f t="shared" si="6"/>
        <v>-425595.11</v>
      </c>
      <c r="Q54" s="33">
        <f t="shared" si="7"/>
        <v>0</v>
      </c>
      <c r="R54" s="33">
        <f t="shared" si="8"/>
        <v>0</v>
      </c>
      <c r="S54" s="33"/>
      <c r="T54" s="59">
        <v>4881700</v>
      </c>
      <c r="U54" s="33"/>
      <c r="V54" s="33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</row>
    <row r="55" s="1" customFormat="1" ht="14" customHeight="1" spans="1:38">
      <c r="A55" s="33">
        <v>20</v>
      </c>
      <c r="B55" s="33" t="s">
        <v>169</v>
      </c>
      <c r="C55" s="34" t="s">
        <v>170</v>
      </c>
      <c r="D55" s="34" t="s">
        <v>171</v>
      </c>
      <c r="E55" s="33"/>
      <c r="F55" s="33"/>
      <c r="G55" s="33"/>
      <c r="H55" s="33"/>
      <c r="I55" s="33"/>
      <c r="J55" s="33"/>
      <c r="K55" s="58"/>
      <c r="L55" s="33"/>
      <c r="M55" s="59">
        <v>1310979.55</v>
      </c>
      <c r="N55" s="59">
        <v>35791.76</v>
      </c>
      <c r="O55" s="33">
        <f t="shared" si="5"/>
        <v>-1310979.55</v>
      </c>
      <c r="P55" s="33">
        <f t="shared" si="6"/>
        <v>-35791.76</v>
      </c>
      <c r="Q55" s="33">
        <f t="shared" si="7"/>
        <v>0</v>
      </c>
      <c r="R55" s="33">
        <f t="shared" si="8"/>
        <v>0</v>
      </c>
      <c r="S55" s="33"/>
      <c r="T55" s="59">
        <v>1378952.99</v>
      </c>
      <c r="U55" s="33"/>
      <c r="V55" s="33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</row>
    <row r="56" s="1" customFormat="1" ht="14" customHeight="1" spans="1:38">
      <c r="A56" s="33">
        <v>21</v>
      </c>
      <c r="B56" s="33" t="s">
        <v>172</v>
      </c>
      <c r="C56" s="34" t="s">
        <v>173</v>
      </c>
      <c r="D56" s="34" t="s">
        <v>174</v>
      </c>
      <c r="E56" s="33"/>
      <c r="F56" s="33"/>
      <c r="G56" s="33"/>
      <c r="H56" s="33"/>
      <c r="I56" s="33"/>
      <c r="J56" s="33"/>
      <c r="K56" s="58"/>
      <c r="L56" s="33"/>
      <c r="M56" s="59">
        <v>275636.96</v>
      </c>
      <c r="N56" s="59">
        <v>8437.87</v>
      </c>
      <c r="O56" s="33">
        <f t="shared" si="5"/>
        <v>-275636.96</v>
      </c>
      <c r="P56" s="33">
        <f t="shared" si="6"/>
        <v>-8437.87</v>
      </c>
      <c r="Q56" s="33">
        <f t="shared" si="7"/>
        <v>0</v>
      </c>
      <c r="R56" s="33">
        <f t="shared" si="8"/>
        <v>0</v>
      </c>
      <c r="S56" s="33"/>
      <c r="T56" s="59">
        <v>282000</v>
      </c>
      <c r="U56" s="33"/>
      <c r="V56" s="33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</row>
    <row r="57" s="1" customFormat="1" ht="14" customHeight="1" spans="1:38">
      <c r="A57" s="33">
        <v>22</v>
      </c>
      <c r="B57" s="33" t="s">
        <v>175</v>
      </c>
      <c r="C57" s="34" t="s">
        <v>176</v>
      </c>
      <c r="D57" s="34" t="s">
        <v>177</v>
      </c>
      <c r="E57" s="33"/>
      <c r="F57" s="33"/>
      <c r="G57" s="33"/>
      <c r="H57" s="33"/>
      <c r="I57" s="33"/>
      <c r="J57" s="33"/>
      <c r="K57" s="58"/>
      <c r="L57" s="33"/>
      <c r="M57" s="59">
        <v>1028396.83</v>
      </c>
      <c r="N57" s="59">
        <v>136848.07</v>
      </c>
      <c r="O57" s="33">
        <f t="shared" si="5"/>
        <v>-1028396.83</v>
      </c>
      <c r="P57" s="33">
        <f t="shared" si="6"/>
        <v>-136848.07</v>
      </c>
      <c r="Q57" s="33">
        <f t="shared" si="7"/>
        <v>0</v>
      </c>
      <c r="R57" s="33">
        <f t="shared" si="8"/>
        <v>0</v>
      </c>
      <c r="S57" s="33"/>
      <c r="T57" s="59">
        <v>1189525.58</v>
      </c>
      <c r="U57" s="33"/>
      <c r="V57" s="33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</row>
    <row r="58" s="1" customFormat="1" ht="14" customHeight="1" spans="1:38">
      <c r="A58" s="33">
        <v>23</v>
      </c>
      <c r="B58" s="33" t="s">
        <v>175</v>
      </c>
      <c r="C58" s="34" t="s">
        <v>178</v>
      </c>
      <c r="D58" s="34" t="s">
        <v>177</v>
      </c>
      <c r="E58" s="33"/>
      <c r="F58" s="33"/>
      <c r="G58" s="33"/>
      <c r="H58" s="33"/>
      <c r="I58" s="33"/>
      <c r="J58" s="33"/>
      <c r="K58" s="58"/>
      <c r="L58" s="33"/>
      <c r="M58" s="59">
        <v>863347.49</v>
      </c>
      <c r="N58" s="59">
        <v>114830.34</v>
      </c>
      <c r="O58" s="33">
        <f t="shared" si="5"/>
        <v>-863347.49</v>
      </c>
      <c r="P58" s="33">
        <f t="shared" si="6"/>
        <v>-114830.34</v>
      </c>
      <c r="Q58" s="33">
        <f t="shared" si="7"/>
        <v>0</v>
      </c>
      <c r="R58" s="33">
        <f t="shared" si="8"/>
        <v>0</v>
      </c>
      <c r="S58" s="33"/>
      <c r="T58" s="59">
        <v>998140.64</v>
      </c>
      <c r="U58" s="33"/>
      <c r="V58" s="33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</row>
    <row r="59" s="1" customFormat="1" ht="14" customHeight="1" spans="1:38">
      <c r="A59" s="33">
        <v>24</v>
      </c>
      <c r="B59" s="33" t="s">
        <v>179</v>
      </c>
      <c r="C59" s="34" t="s">
        <v>180</v>
      </c>
      <c r="D59" s="34" t="s">
        <v>181</v>
      </c>
      <c r="E59" s="33"/>
      <c r="F59" s="33"/>
      <c r="G59" s="33"/>
      <c r="H59" s="33"/>
      <c r="I59" s="33"/>
      <c r="J59" s="33"/>
      <c r="K59" s="58"/>
      <c r="L59" s="33"/>
      <c r="M59" s="59">
        <v>8910792.42</v>
      </c>
      <c r="N59" s="59">
        <v>1184934.15</v>
      </c>
      <c r="O59" s="33">
        <f t="shared" si="5"/>
        <v>-8910792.42</v>
      </c>
      <c r="P59" s="33">
        <f t="shared" si="6"/>
        <v>-1184934.15</v>
      </c>
      <c r="Q59" s="33">
        <f t="shared" si="7"/>
        <v>0</v>
      </c>
      <c r="R59" s="33">
        <f t="shared" si="8"/>
        <v>0</v>
      </c>
      <c r="S59" s="33"/>
      <c r="T59" s="59">
        <v>10299812.4</v>
      </c>
      <c r="U59" s="33"/>
      <c r="V59" s="33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</row>
    <row r="60" s="1" customFormat="1" ht="14" customHeight="1" spans="1:38">
      <c r="A60" s="33">
        <v>25</v>
      </c>
      <c r="B60" s="33" t="s">
        <v>182</v>
      </c>
      <c r="C60" s="34" t="s">
        <v>183</v>
      </c>
      <c r="D60" s="34" t="s">
        <v>184</v>
      </c>
      <c r="E60" s="33"/>
      <c r="F60" s="33"/>
      <c r="G60" s="33"/>
      <c r="H60" s="33"/>
      <c r="I60" s="33"/>
      <c r="J60" s="33"/>
      <c r="K60" s="58"/>
      <c r="L60" s="33"/>
      <c r="M60" s="59">
        <v>1200868.51</v>
      </c>
      <c r="N60" s="59">
        <v>108396.07</v>
      </c>
      <c r="O60" s="33">
        <f t="shared" si="5"/>
        <v>-1200868.51</v>
      </c>
      <c r="P60" s="33">
        <f t="shared" si="6"/>
        <v>-108396.07</v>
      </c>
      <c r="Q60" s="33">
        <f t="shared" si="7"/>
        <v>0</v>
      </c>
      <c r="R60" s="33">
        <f t="shared" si="8"/>
        <v>0</v>
      </c>
      <c r="S60" s="33"/>
      <c r="T60" s="59">
        <v>1308300</v>
      </c>
      <c r="U60" s="33"/>
      <c r="V60" s="33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</row>
    <row r="61" s="1" customFormat="1" ht="14" customHeight="1" spans="1:38">
      <c r="A61" s="33">
        <v>26</v>
      </c>
      <c r="B61" s="33" t="s">
        <v>185</v>
      </c>
      <c r="C61" s="34" t="s">
        <v>186</v>
      </c>
      <c r="D61" s="34" t="s">
        <v>187</v>
      </c>
      <c r="E61" s="33"/>
      <c r="F61" s="33"/>
      <c r="G61" s="33"/>
      <c r="H61" s="33"/>
      <c r="I61" s="33"/>
      <c r="J61" s="33"/>
      <c r="K61" s="58"/>
      <c r="L61" s="33"/>
      <c r="M61" s="59">
        <v>360003.32</v>
      </c>
      <c r="N61" s="59">
        <v>33118.76</v>
      </c>
      <c r="O61" s="33">
        <f t="shared" si="5"/>
        <v>-360003.32</v>
      </c>
      <c r="P61" s="33">
        <f t="shared" si="6"/>
        <v>-33118.76</v>
      </c>
      <c r="Q61" s="33">
        <f t="shared" si="7"/>
        <v>0</v>
      </c>
      <c r="R61" s="33">
        <f t="shared" si="8"/>
        <v>0</v>
      </c>
      <c r="S61" s="33"/>
      <c r="T61" s="59">
        <v>401100</v>
      </c>
      <c r="U61" s="33"/>
      <c r="V61" s="33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</row>
    <row r="62" s="1" customFormat="1" ht="14" customHeight="1" spans="1:38">
      <c r="A62" s="33">
        <v>27</v>
      </c>
      <c r="B62" s="33" t="s">
        <v>188</v>
      </c>
      <c r="C62" s="34" t="s">
        <v>189</v>
      </c>
      <c r="D62" s="34" t="s">
        <v>190</v>
      </c>
      <c r="E62" s="33"/>
      <c r="F62" s="33"/>
      <c r="G62" s="33"/>
      <c r="H62" s="33"/>
      <c r="I62" s="33"/>
      <c r="J62" s="33"/>
      <c r="K62" s="58"/>
      <c r="L62" s="33"/>
      <c r="M62" s="59">
        <v>31380176.19</v>
      </c>
      <c r="N62" s="59">
        <v>2909197.29</v>
      </c>
      <c r="O62" s="33">
        <f t="shared" si="5"/>
        <v>-31380176.19</v>
      </c>
      <c r="P62" s="33">
        <f t="shared" si="6"/>
        <v>-2909197.29</v>
      </c>
      <c r="Q62" s="33">
        <f t="shared" si="7"/>
        <v>0</v>
      </c>
      <c r="R62" s="33">
        <f t="shared" si="8"/>
        <v>0</v>
      </c>
      <c r="S62" s="33"/>
      <c r="T62" s="59">
        <v>33467842.59</v>
      </c>
      <c r="U62" s="33"/>
      <c r="V62" s="33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</row>
    <row r="63" s="1" customFormat="1" ht="14" customHeight="1" spans="1:38">
      <c r="A63" s="33">
        <v>28</v>
      </c>
      <c r="B63" s="33"/>
      <c r="C63" s="34"/>
      <c r="D63" s="34" t="s">
        <v>116</v>
      </c>
      <c r="E63" s="33"/>
      <c r="F63" s="33"/>
      <c r="G63" s="33"/>
      <c r="H63" s="33"/>
      <c r="I63" s="33"/>
      <c r="J63" s="33"/>
      <c r="K63" s="58"/>
      <c r="L63" s="33"/>
      <c r="M63" s="59">
        <v>-7872000.23</v>
      </c>
      <c r="N63" s="33"/>
      <c r="O63" s="33">
        <f t="shared" si="5"/>
        <v>7872000.23</v>
      </c>
      <c r="P63" s="33">
        <f t="shared" si="6"/>
        <v>0</v>
      </c>
      <c r="Q63" s="33">
        <f t="shared" si="7"/>
        <v>0</v>
      </c>
      <c r="R63" s="33">
        <f t="shared" si="8"/>
        <v>0</v>
      </c>
      <c r="S63" s="33"/>
      <c r="T63" s="33"/>
      <c r="U63" s="33"/>
      <c r="V63" s="33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</row>
    <row r="64" s="1" customFormat="1" ht="14" customHeight="1" spans="1:38">
      <c r="A64" s="28"/>
      <c r="B64" s="29"/>
      <c r="C64" s="29"/>
      <c r="D64" s="35" t="s">
        <v>117</v>
      </c>
      <c r="E64" s="42"/>
      <c r="F64" s="42"/>
      <c r="G64" s="42"/>
      <c r="H64" s="31"/>
      <c r="I64" s="31"/>
      <c r="J64" s="31"/>
      <c r="K64" s="55"/>
      <c r="L64" s="56"/>
      <c r="M64" s="31"/>
      <c r="N64" s="31"/>
      <c r="O64" s="31">
        <f t="shared" si="5"/>
        <v>0</v>
      </c>
      <c r="P64" s="31">
        <f t="shared" si="6"/>
        <v>0</v>
      </c>
      <c r="Q64" s="31">
        <f t="shared" si="7"/>
        <v>0</v>
      </c>
      <c r="R64" s="31">
        <f t="shared" si="8"/>
        <v>0</v>
      </c>
      <c r="S64" s="67">
        <f>SUM(T64:V64)</f>
        <v>0</v>
      </c>
      <c r="T64" s="31"/>
      <c r="U64" s="31"/>
      <c r="V64" s="31"/>
      <c r="W64" s="31"/>
      <c r="X64" s="31"/>
      <c r="Y64" s="31"/>
      <c r="Z64" s="67"/>
      <c r="AA64" s="67"/>
      <c r="AB64" s="68"/>
      <c r="AC64" s="68"/>
      <c r="AD64" s="68"/>
      <c r="AE64" s="68"/>
      <c r="AF64" s="68"/>
      <c r="AG64" s="68"/>
      <c r="AH64" s="68"/>
      <c r="AI64" s="68"/>
      <c r="AJ64" s="68"/>
      <c r="AK64" s="68">
        <f>AB22/1.17*0.17+AC22/1.16*0.16+AD22/1.11*0.11+AE22/1.1*0.1+AF22/1.09*0.09+AI22/1.03*0.03</f>
        <v>0</v>
      </c>
      <c r="AL64" s="82"/>
    </row>
    <row r="65" s="1" customFormat="1" ht="14" customHeight="1" spans="1:38">
      <c r="A65" s="37"/>
      <c r="B65" s="38"/>
      <c r="C65" s="38"/>
      <c r="D65" s="39" t="s">
        <v>191</v>
      </c>
      <c r="E65" s="40">
        <f t="shared" ref="E65:AK65" si="9">SUM(E35:E64)</f>
        <v>0</v>
      </c>
      <c r="F65" s="40">
        <f t="shared" si="9"/>
        <v>0</v>
      </c>
      <c r="G65" s="40">
        <f t="shared" si="9"/>
        <v>0</v>
      </c>
      <c r="H65" s="40">
        <f t="shared" si="9"/>
        <v>0</v>
      </c>
      <c r="I65" s="40">
        <f t="shared" si="9"/>
        <v>0</v>
      </c>
      <c r="J65" s="40">
        <f t="shared" si="9"/>
        <v>0</v>
      </c>
      <c r="K65" s="40">
        <f t="shared" si="9"/>
        <v>0</v>
      </c>
      <c r="L65" s="40">
        <f t="shared" si="9"/>
        <v>0</v>
      </c>
      <c r="M65" s="40">
        <f t="shared" si="9"/>
        <v>175926081.48</v>
      </c>
      <c r="N65" s="40">
        <f t="shared" si="9"/>
        <v>13788689.07</v>
      </c>
      <c r="O65" s="40">
        <f t="shared" si="9"/>
        <v>-175926081.48</v>
      </c>
      <c r="P65" s="40">
        <f t="shared" si="9"/>
        <v>-13788689.07</v>
      </c>
      <c r="Q65" s="40">
        <f t="shared" si="9"/>
        <v>0</v>
      </c>
      <c r="R65" s="40">
        <f t="shared" si="9"/>
        <v>2.01362126972526e-9</v>
      </c>
      <c r="S65" s="40">
        <f t="shared" si="9"/>
        <v>0</v>
      </c>
      <c r="T65" s="40">
        <f t="shared" si="9"/>
        <v>194456399.42</v>
      </c>
      <c r="U65" s="40">
        <f t="shared" si="9"/>
        <v>0</v>
      </c>
      <c r="V65" s="40">
        <f t="shared" si="9"/>
        <v>0</v>
      </c>
      <c r="W65" s="40">
        <f t="shared" si="9"/>
        <v>0</v>
      </c>
      <c r="X65" s="40">
        <f t="shared" si="9"/>
        <v>0</v>
      </c>
      <c r="Y65" s="40">
        <f t="shared" si="9"/>
        <v>0</v>
      </c>
      <c r="Z65" s="40">
        <f t="shared" si="9"/>
        <v>0</v>
      </c>
      <c r="AA65" s="40">
        <f t="shared" si="9"/>
        <v>0</v>
      </c>
      <c r="AB65" s="40">
        <f t="shared" si="9"/>
        <v>0</v>
      </c>
      <c r="AC65" s="40">
        <f t="shared" si="9"/>
        <v>0</v>
      </c>
      <c r="AD65" s="40">
        <f t="shared" si="9"/>
        <v>0</v>
      </c>
      <c r="AE65" s="40">
        <f t="shared" si="9"/>
        <v>0</v>
      </c>
      <c r="AF65" s="40">
        <f t="shared" si="9"/>
        <v>0</v>
      </c>
      <c r="AG65" s="40">
        <f t="shared" si="9"/>
        <v>0</v>
      </c>
      <c r="AH65" s="40">
        <f t="shared" si="9"/>
        <v>0</v>
      </c>
      <c r="AI65" s="40">
        <f t="shared" si="9"/>
        <v>0</v>
      </c>
      <c r="AJ65" s="40">
        <f t="shared" si="9"/>
        <v>0</v>
      </c>
      <c r="AK65" s="40">
        <f t="shared" si="9"/>
        <v>0</v>
      </c>
      <c r="AL65" s="81"/>
    </row>
    <row r="66" s="1" customFormat="1" ht="14" customHeight="1" spans="1:38">
      <c r="A66" s="28"/>
      <c r="B66" s="29"/>
      <c r="C66" s="29"/>
      <c r="D66" s="41" t="s">
        <v>192</v>
      </c>
      <c r="E66" s="29"/>
      <c r="F66" s="29"/>
      <c r="G66" s="29"/>
      <c r="H66" s="31"/>
      <c r="I66" s="31"/>
      <c r="J66" s="31"/>
      <c r="K66" s="55"/>
      <c r="L66" s="56"/>
      <c r="M66" s="31"/>
      <c r="N66" s="31"/>
      <c r="O66" s="31">
        <f t="shared" ref="O66:O116" si="10">L66-M66</f>
        <v>0</v>
      </c>
      <c r="P66" s="31">
        <f t="shared" ref="P66:P116" si="11">K66-N66</f>
        <v>0</v>
      </c>
      <c r="Q66" s="31">
        <f t="shared" ref="Q66:Q116" si="12">M66+O66</f>
        <v>0</v>
      </c>
      <c r="R66" s="31">
        <f t="shared" ref="R66:R116" si="13">M66+N66+O66+P66</f>
        <v>0</v>
      </c>
      <c r="S66" s="67">
        <f t="shared" ref="S66:S71" si="14">SUM(T66:V66)</f>
        <v>0</v>
      </c>
      <c r="T66" s="67"/>
      <c r="U66" s="67"/>
      <c r="V66" s="67"/>
      <c r="W66" s="67"/>
      <c r="X66" s="67"/>
      <c r="Y66" s="67"/>
      <c r="Z66" s="67"/>
      <c r="AA66" s="67"/>
      <c r="AB66" s="94"/>
      <c r="AC66" s="94"/>
      <c r="AD66" s="94"/>
      <c r="AE66" s="94"/>
      <c r="AF66" s="94"/>
      <c r="AG66" s="94"/>
      <c r="AH66" s="94"/>
      <c r="AI66" s="94"/>
      <c r="AJ66" s="94"/>
      <c r="AK66" s="68">
        <f t="shared" ref="AK66:AK71" si="15">AB24/1.17*0.17+AC24/1.16*0.16+AD24/1.11*0.11+AE24/1.1*0.1+AF24/1.09*0.09+AI24/1.03*0.03</f>
        <v>0</v>
      </c>
      <c r="AL66" s="97"/>
    </row>
    <row r="67" s="1" customFormat="1" ht="14" customHeight="1" spans="1:38">
      <c r="A67" s="28"/>
      <c r="B67" s="29"/>
      <c r="C67" s="29"/>
      <c r="D67" s="31" t="s">
        <v>193</v>
      </c>
      <c r="E67" s="29"/>
      <c r="F67" s="29"/>
      <c r="G67" s="29"/>
      <c r="H67" s="31"/>
      <c r="I67" s="31"/>
      <c r="J67" s="31"/>
      <c r="K67" s="55"/>
      <c r="L67" s="56"/>
      <c r="M67" s="31"/>
      <c r="N67" s="31"/>
      <c r="O67" s="31">
        <f t="shared" si="10"/>
        <v>0</v>
      </c>
      <c r="P67" s="31">
        <f t="shared" si="11"/>
        <v>0</v>
      </c>
      <c r="Q67" s="31">
        <f t="shared" si="12"/>
        <v>0</v>
      </c>
      <c r="R67" s="31">
        <f t="shared" si="13"/>
        <v>0</v>
      </c>
      <c r="S67" s="67">
        <f t="shared" si="14"/>
        <v>0</v>
      </c>
      <c r="T67" s="67"/>
      <c r="U67" s="67"/>
      <c r="V67" s="67"/>
      <c r="W67" s="67"/>
      <c r="X67" s="67"/>
      <c r="Y67" s="67"/>
      <c r="Z67" s="67"/>
      <c r="AA67" s="67"/>
      <c r="AB67" s="94"/>
      <c r="AC67" s="94"/>
      <c r="AD67" s="94"/>
      <c r="AE67" s="94"/>
      <c r="AF67" s="94"/>
      <c r="AG67" s="94"/>
      <c r="AH67" s="94"/>
      <c r="AI67" s="94"/>
      <c r="AJ67" s="94"/>
      <c r="AK67" s="68">
        <f t="shared" si="15"/>
        <v>0</v>
      </c>
      <c r="AL67" s="97"/>
    </row>
    <row r="68" s="1" customFormat="1" ht="14" customHeight="1" spans="1:38">
      <c r="A68" s="83"/>
      <c r="B68" s="84"/>
      <c r="C68" s="84"/>
      <c r="D68" s="85"/>
      <c r="E68" s="86"/>
      <c r="F68" s="86"/>
      <c r="G68" s="86"/>
      <c r="H68" s="75"/>
      <c r="I68" s="75"/>
      <c r="J68" s="75"/>
      <c r="K68" s="89"/>
      <c r="L68" s="90"/>
      <c r="M68" s="75"/>
      <c r="N68" s="75"/>
      <c r="O68" s="75">
        <f t="shared" si="10"/>
        <v>0</v>
      </c>
      <c r="P68" s="75">
        <f t="shared" si="11"/>
        <v>0</v>
      </c>
      <c r="Q68" s="75">
        <f t="shared" si="12"/>
        <v>0</v>
      </c>
      <c r="R68" s="75">
        <f t="shared" si="13"/>
        <v>0</v>
      </c>
      <c r="S68" s="93">
        <f t="shared" si="14"/>
        <v>0</v>
      </c>
      <c r="T68" s="93"/>
      <c r="U68" s="93"/>
      <c r="V68" s="93"/>
      <c r="W68" s="93"/>
      <c r="X68" s="93"/>
      <c r="Y68" s="93"/>
      <c r="Z68" s="75">
        <f>SUM(AA26:AJ26)</f>
        <v>0</v>
      </c>
      <c r="AA68" s="93"/>
      <c r="AB68" s="95"/>
      <c r="AC68" s="95"/>
      <c r="AD68" s="95"/>
      <c r="AE68" s="95"/>
      <c r="AF68" s="95"/>
      <c r="AG68" s="95"/>
      <c r="AH68" s="95"/>
      <c r="AI68" s="95"/>
      <c r="AJ68" s="95"/>
      <c r="AK68" s="64">
        <f t="shared" si="15"/>
        <v>0</v>
      </c>
      <c r="AL68" s="98"/>
    </row>
    <row r="69" s="1" customFormat="1" ht="39" customHeight="1" spans="1:38">
      <c r="A69" s="83"/>
      <c r="B69" s="84"/>
      <c r="C69" s="84"/>
      <c r="D69" s="85"/>
      <c r="E69" s="86"/>
      <c r="F69" s="86"/>
      <c r="G69" s="86"/>
      <c r="H69" s="75"/>
      <c r="I69" s="75"/>
      <c r="J69" s="75"/>
      <c r="K69" s="89"/>
      <c r="L69" s="90"/>
      <c r="M69" s="75"/>
      <c r="N69" s="75"/>
      <c r="O69" s="75">
        <f t="shared" si="10"/>
        <v>0</v>
      </c>
      <c r="P69" s="75">
        <f t="shared" si="11"/>
        <v>0</v>
      </c>
      <c r="Q69" s="75">
        <f t="shared" si="12"/>
        <v>0</v>
      </c>
      <c r="R69" s="75">
        <f t="shared" si="13"/>
        <v>0</v>
      </c>
      <c r="S69" s="93">
        <f t="shared" si="14"/>
        <v>0</v>
      </c>
      <c r="T69" s="93"/>
      <c r="U69" s="93"/>
      <c r="V69" s="93"/>
      <c r="W69" s="93"/>
      <c r="X69" s="93"/>
      <c r="Y69" s="93"/>
      <c r="Z69" s="75">
        <f>SUM(AA27:AJ27)</f>
        <v>0</v>
      </c>
      <c r="AA69" s="93"/>
      <c r="AB69" s="95"/>
      <c r="AC69" s="95"/>
      <c r="AD69" s="95"/>
      <c r="AE69" s="95"/>
      <c r="AF69" s="95"/>
      <c r="AG69" s="95"/>
      <c r="AH69" s="95"/>
      <c r="AI69" s="95"/>
      <c r="AJ69" s="95"/>
      <c r="AK69" s="64">
        <f t="shared" si="15"/>
        <v>0</v>
      </c>
      <c r="AL69" s="98"/>
    </row>
    <row r="70" s="1" customFormat="1" ht="14" customHeight="1" spans="1:38">
      <c r="A70" s="83"/>
      <c r="B70" s="84"/>
      <c r="C70" s="84"/>
      <c r="D70" s="85"/>
      <c r="E70" s="86"/>
      <c r="F70" s="86"/>
      <c r="G70" s="86"/>
      <c r="H70" s="75"/>
      <c r="I70" s="75"/>
      <c r="J70" s="75"/>
      <c r="K70" s="89"/>
      <c r="L70" s="90"/>
      <c r="M70" s="75"/>
      <c r="N70" s="75"/>
      <c r="O70" s="75">
        <f t="shared" si="10"/>
        <v>0</v>
      </c>
      <c r="P70" s="75">
        <f t="shared" si="11"/>
        <v>0</v>
      </c>
      <c r="Q70" s="75">
        <f t="shared" si="12"/>
        <v>0</v>
      </c>
      <c r="R70" s="75">
        <f t="shared" si="13"/>
        <v>0</v>
      </c>
      <c r="S70" s="93">
        <f t="shared" si="14"/>
        <v>0</v>
      </c>
      <c r="T70" s="93"/>
      <c r="U70" s="93"/>
      <c r="V70" s="93"/>
      <c r="W70" s="93"/>
      <c r="X70" s="93"/>
      <c r="Y70" s="93"/>
      <c r="Z70" s="75">
        <f>SUM(AA28:AJ28)</f>
        <v>0</v>
      </c>
      <c r="AA70" s="93"/>
      <c r="AB70" s="95"/>
      <c r="AC70" s="95"/>
      <c r="AD70" s="95"/>
      <c r="AE70" s="95"/>
      <c r="AF70" s="95"/>
      <c r="AG70" s="95"/>
      <c r="AH70" s="95"/>
      <c r="AI70" s="95"/>
      <c r="AJ70" s="95"/>
      <c r="AK70" s="64">
        <f t="shared" si="15"/>
        <v>0</v>
      </c>
      <c r="AL70" s="98"/>
    </row>
    <row r="71" s="1" customFormat="1" ht="14" customHeight="1" spans="1:38">
      <c r="A71" s="28"/>
      <c r="B71" s="29"/>
      <c r="C71" s="29"/>
      <c r="D71" s="31" t="s">
        <v>194</v>
      </c>
      <c r="E71" s="42"/>
      <c r="F71" s="42"/>
      <c r="G71" s="42"/>
      <c r="H71" s="31"/>
      <c r="I71" s="31"/>
      <c r="J71" s="31"/>
      <c r="K71" s="55"/>
      <c r="L71" s="56"/>
      <c r="M71" s="31"/>
      <c r="N71" s="31"/>
      <c r="O71" s="31">
        <f t="shared" si="10"/>
        <v>0</v>
      </c>
      <c r="P71" s="31">
        <f t="shared" si="11"/>
        <v>0</v>
      </c>
      <c r="Q71" s="31">
        <f t="shared" si="12"/>
        <v>0</v>
      </c>
      <c r="R71" s="31">
        <f t="shared" si="13"/>
        <v>0</v>
      </c>
      <c r="S71" s="67">
        <f t="shared" si="14"/>
        <v>0</v>
      </c>
      <c r="T71" s="67"/>
      <c r="U71" s="67"/>
      <c r="V71" s="67"/>
      <c r="W71" s="67"/>
      <c r="X71" s="67"/>
      <c r="Y71" s="67"/>
      <c r="Z71" s="31">
        <f>SUM(AA29:AJ29)</f>
        <v>0</v>
      </c>
      <c r="AA71" s="67"/>
      <c r="AB71" s="94"/>
      <c r="AC71" s="94"/>
      <c r="AD71" s="94"/>
      <c r="AE71" s="94"/>
      <c r="AF71" s="94"/>
      <c r="AG71" s="94"/>
      <c r="AH71" s="94"/>
      <c r="AI71" s="94"/>
      <c r="AJ71" s="94"/>
      <c r="AK71" s="68">
        <f t="shared" si="15"/>
        <v>0</v>
      </c>
      <c r="AL71" s="97"/>
    </row>
    <row r="72" s="1" customFormat="1" ht="14" customHeight="1" spans="1:38">
      <c r="A72" s="33">
        <v>1</v>
      </c>
      <c r="B72" s="33" t="s">
        <v>195</v>
      </c>
      <c r="C72" s="34" t="s">
        <v>196</v>
      </c>
      <c r="D72" s="34" t="s">
        <v>197</v>
      </c>
      <c r="E72" s="33"/>
      <c r="F72" s="33"/>
      <c r="G72" s="33"/>
      <c r="H72" s="33"/>
      <c r="I72" s="33"/>
      <c r="J72" s="33"/>
      <c r="K72" s="58"/>
      <c r="L72" s="33"/>
      <c r="M72" s="59">
        <v>2740600.46</v>
      </c>
      <c r="N72" s="59">
        <v>356278.05</v>
      </c>
      <c r="O72" s="33">
        <f t="shared" si="10"/>
        <v>-2740600.46</v>
      </c>
      <c r="P72" s="33">
        <f t="shared" si="11"/>
        <v>-356278.05</v>
      </c>
      <c r="Q72" s="33">
        <f t="shared" si="12"/>
        <v>0</v>
      </c>
      <c r="R72" s="33">
        <f t="shared" si="13"/>
        <v>0</v>
      </c>
      <c r="S72" s="33"/>
      <c r="T72" s="59">
        <v>3096878.51</v>
      </c>
      <c r="U72" s="33"/>
      <c r="V72" s="33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</row>
    <row r="73" s="1" customFormat="1" ht="14" customHeight="1" spans="1:38">
      <c r="A73" s="33">
        <v>2</v>
      </c>
      <c r="B73" s="33" t="s">
        <v>198</v>
      </c>
      <c r="C73" s="34" t="s">
        <v>199</v>
      </c>
      <c r="D73" s="34" t="s">
        <v>200</v>
      </c>
      <c r="E73" s="33"/>
      <c r="F73" s="33"/>
      <c r="G73" s="33"/>
      <c r="H73" s="33"/>
      <c r="I73" s="33"/>
      <c r="J73" s="33"/>
      <c r="K73" s="58"/>
      <c r="L73" s="33"/>
      <c r="M73" s="59">
        <v>752363.78</v>
      </c>
      <c r="N73" s="59">
        <v>97807.23</v>
      </c>
      <c r="O73" s="33">
        <f t="shared" si="10"/>
        <v>-752363.78</v>
      </c>
      <c r="P73" s="33">
        <f t="shared" si="11"/>
        <v>-97807.23</v>
      </c>
      <c r="Q73" s="33">
        <f t="shared" si="12"/>
        <v>0</v>
      </c>
      <c r="R73" s="33">
        <f t="shared" si="13"/>
        <v>0</v>
      </c>
      <c r="S73" s="33"/>
      <c r="T73" s="59">
        <v>850171.01</v>
      </c>
      <c r="U73" s="33"/>
      <c r="V73" s="33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</row>
    <row r="74" s="1" customFormat="1" ht="14" customHeight="1" spans="1:38">
      <c r="A74" s="33">
        <v>3</v>
      </c>
      <c r="B74" s="33" t="s">
        <v>201</v>
      </c>
      <c r="C74" s="34" t="s">
        <v>202</v>
      </c>
      <c r="D74" s="34" t="s">
        <v>203</v>
      </c>
      <c r="E74" s="33"/>
      <c r="F74" s="33"/>
      <c r="G74" s="33"/>
      <c r="H74" s="33"/>
      <c r="I74" s="33"/>
      <c r="J74" s="33"/>
      <c r="K74" s="58"/>
      <c r="L74" s="33"/>
      <c r="M74" s="59">
        <v>4776307.53</v>
      </c>
      <c r="N74" s="59">
        <v>620919.97</v>
      </c>
      <c r="O74" s="33">
        <f t="shared" si="10"/>
        <v>-4776307.53</v>
      </c>
      <c r="P74" s="33">
        <f t="shared" si="11"/>
        <v>-620919.97</v>
      </c>
      <c r="Q74" s="33">
        <f t="shared" si="12"/>
        <v>0</v>
      </c>
      <c r="R74" s="33">
        <f t="shared" si="13"/>
        <v>0</v>
      </c>
      <c r="S74" s="33"/>
      <c r="T74" s="59">
        <v>5397227.5</v>
      </c>
      <c r="U74" s="33"/>
      <c r="V74" s="33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</row>
    <row r="75" s="1" customFormat="1" ht="14" customHeight="1" spans="1:38">
      <c r="A75" s="33">
        <v>4</v>
      </c>
      <c r="B75" s="33" t="s">
        <v>204</v>
      </c>
      <c r="C75" s="34" t="s">
        <v>205</v>
      </c>
      <c r="D75" s="34" t="s">
        <v>206</v>
      </c>
      <c r="E75" s="33"/>
      <c r="F75" s="33"/>
      <c r="G75" s="33"/>
      <c r="H75" s="33"/>
      <c r="I75" s="33"/>
      <c r="J75" s="33"/>
      <c r="K75" s="58"/>
      <c r="L75" s="33"/>
      <c r="M75" s="59">
        <v>14369</v>
      </c>
      <c r="N75" s="59">
        <v>1867.97</v>
      </c>
      <c r="O75" s="33">
        <f t="shared" si="10"/>
        <v>-14369</v>
      </c>
      <c r="P75" s="33">
        <f t="shared" si="11"/>
        <v>-1867.97</v>
      </c>
      <c r="Q75" s="33">
        <f t="shared" si="12"/>
        <v>0</v>
      </c>
      <c r="R75" s="33">
        <f t="shared" si="13"/>
        <v>0</v>
      </c>
      <c r="S75" s="33"/>
      <c r="T75" s="59">
        <v>16236.97</v>
      </c>
      <c r="U75" s="33"/>
      <c r="V75" s="33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</row>
    <row r="76" s="1" customFormat="1" ht="14" customHeight="1" spans="1:38">
      <c r="A76" s="33">
        <v>5</v>
      </c>
      <c r="B76" s="33" t="s">
        <v>204</v>
      </c>
      <c r="C76" s="34" t="s">
        <v>207</v>
      </c>
      <c r="D76" s="34" t="s">
        <v>206</v>
      </c>
      <c r="E76" s="33"/>
      <c r="F76" s="33"/>
      <c r="G76" s="33"/>
      <c r="H76" s="33"/>
      <c r="I76" s="33"/>
      <c r="J76" s="33"/>
      <c r="K76" s="58"/>
      <c r="L76" s="33"/>
      <c r="M76" s="59">
        <v>130267</v>
      </c>
      <c r="N76" s="59">
        <v>16934.71</v>
      </c>
      <c r="O76" s="33">
        <f t="shared" si="10"/>
        <v>-130267</v>
      </c>
      <c r="P76" s="33">
        <f t="shared" si="11"/>
        <v>-16934.71</v>
      </c>
      <c r="Q76" s="33">
        <f t="shared" si="12"/>
        <v>0</v>
      </c>
      <c r="R76" s="33">
        <f t="shared" si="13"/>
        <v>0</v>
      </c>
      <c r="S76" s="33"/>
      <c r="T76" s="59">
        <v>147201.71</v>
      </c>
      <c r="U76" s="33"/>
      <c r="V76" s="33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</row>
    <row r="77" s="1" customFormat="1" ht="14" customHeight="1" spans="1:38">
      <c r="A77" s="33">
        <v>6</v>
      </c>
      <c r="B77" s="33" t="s">
        <v>204</v>
      </c>
      <c r="C77" s="34" t="s">
        <v>208</v>
      </c>
      <c r="D77" s="34" t="s">
        <v>206</v>
      </c>
      <c r="E77" s="33"/>
      <c r="F77" s="33"/>
      <c r="G77" s="33"/>
      <c r="H77" s="33"/>
      <c r="I77" s="33"/>
      <c r="J77" s="33"/>
      <c r="K77" s="58"/>
      <c r="L77" s="33"/>
      <c r="M77" s="59">
        <v>2550134.38</v>
      </c>
      <c r="N77" s="59">
        <v>331517.47</v>
      </c>
      <c r="O77" s="33">
        <f t="shared" si="10"/>
        <v>-2550134.38</v>
      </c>
      <c r="P77" s="33">
        <f t="shared" si="11"/>
        <v>-331517.47</v>
      </c>
      <c r="Q77" s="33">
        <f t="shared" si="12"/>
        <v>0</v>
      </c>
      <c r="R77" s="33">
        <f t="shared" si="13"/>
        <v>0</v>
      </c>
      <c r="S77" s="33"/>
      <c r="T77" s="59">
        <v>2881651.85</v>
      </c>
      <c r="U77" s="33"/>
      <c r="V77" s="33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</row>
    <row r="78" s="1" customFormat="1" ht="26" customHeight="1" spans="1:38">
      <c r="A78" s="33">
        <v>7</v>
      </c>
      <c r="B78" s="33" t="s">
        <v>204</v>
      </c>
      <c r="C78" s="34" t="s">
        <v>209</v>
      </c>
      <c r="D78" s="34" t="s">
        <v>206</v>
      </c>
      <c r="E78" s="33"/>
      <c r="F78" s="33"/>
      <c r="G78" s="33"/>
      <c r="H78" s="33"/>
      <c r="I78" s="33"/>
      <c r="J78" s="33"/>
      <c r="K78" s="58"/>
      <c r="L78" s="33"/>
      <c r="M78" s="59">
        <v>2123772.79</v>
      </c>
      <c r="N78" s="59">
        <v>276090.52</v>
      </c>
      <c r="O78" s="33">
        <f t="shared" si="10"/>
        <v>-2123772.79</v>
      </c>
      <c r="P78" s="33">
        <f t="shared" si="11"/>
        <v>-276090.52</v>
      </c>
      <c r="Q78" s="33">
        <f t="shared" si="12"/>
        <v>0</v>
      </c>
      <c r="R78" s="33">
        <f t="shared" si="13"/>
        <v>0</v>
      </c>
      <c r="S78" s="33"/>
      <c r="T78" s="59">
        <v>2399863.31</v>
      </c>
      <c r="U78" s="33"/>
      <c r="V78" s="33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</row>
    <row r="79" s="1" customFormat="1" ht="26" customHeight="1" spans="1:38">
      <c r="A79" s="33">
        <v>8</v>
      </c>
      <c r="B79" s="33" t="s">
        <v>210</v>
      </c>
      <c r="C79" s="34" t="s">
        <v>211</v>
      </c>
      <c r="D79" s="34" t="s">
        <v>212</v>
      </c>
      <c r="E79" s="33"/>
      <c r="F79" s="33"/>
      <c r="G79" s="33"/>
      <c r="H79" s="33"/>
      <c r="I79" s="33"/>
      <c r="J79" s="33"/>
      <c r="K79" s="58"/>
      <c r="L79" s="33"/>
      <c r="M79" s="59">
        <v>1006289.65</v>
      </c>
      <c r="N79" s="59">
        <v>130817.7</v>
      </c>
      <c r="O79" s="33">
        <f t="shared" si="10"/>
        <v>-1006289.65</v>
      </c>
      <c r="P79" s="33">
        <f t="shared" si="11"/>
        <v>-130817.7</v>
      </c>
      <c r="Q79" s="33">
        <f t="shared" si="12"/>
        <v>0</v>
      </c>
      <c r="R79" s="33">
        <f t="shared" si="13"/>
        <v>0</v>
      </c>
      <c r="S79" s="33"/>
      <c r="T79" s="59">
        <v>1137107.35</v>
      </c>
      <c r="U79" s="33"/>
      <c r="V79" s="33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</row>
    <row r="80" s="1" customFormat="1" ht="14" customHeight="1" spans="1:38">
      <c r="A80" s="33">
        <v>9</v>
      </c>
      <c r="B80" s="33" t="s">
        <v>213</v>
      </c>
      <c r="C80" s="34" t="s">
        <v>214</v>
      </c>
      <c r="D80" s="34" t="s">
        <v>215</v>
      </c>
      <c r="E80" s="33"/>
      <c r="F80" s="33"/>
      <c r="G80" s="33"/>
      <c r="H80" s="33"/>
      <c r="I80" s="33"/>
      <c r="J80" s="33"/>
      <c r="K80" s="58"/>
      <c r="L80" s="33"/>
      <c r="M80" s="59">
        <v>63203</v>
      </c>
      <c r="N80" s="59">
        <v>8216.39</v>
      </c>
      <c r="O80" s="33">
        <f t="shared" si="10"/>
        <v>-63203</v>
      </c>
      <c r="P80" s="33">
        <f t="shared" si="11"/>
        <v>-8216.39</v>
      </c>
      <c r="Q80" s="33">
        <f t="shared" si="12"/>
        <v>0</v>
      </c>
      <c r="R80" s="33">
        <f t="shared" si="13"/>
        <v>0</v>
      </c>
      <c r="S80" s="33"/>
      <c r="T80" s="59">
        <v>71419.39</v>
      </c>
      <c r="U80" s="33"/>
      <c r="V80" s="33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</row>
    <row r="81" s="2" customFormat="1" ht="14" customHeight="1" spans="1:38">
      <c r="A81" s="33">
        <v>10</v>
      </c>
      <c r="B81" s="33" t="s">
        <v>216</v>
      </c>
      <c r="C81" s="34" t="s">
        <v>217</v>
      </c>
      <c r="D81" s="34" t="s">
        <v>218</v>
      </c>
      <c r="E81" s="33"/>
      <c r="F81" s="33"/>
      <c r="G81" s="33"/>
      <c r="H81" s="33"/>
      <c r="I81" s="33"/>
      <c r="J81" s="33"/>
      <c r="K81" s="58"/>
      <c r="L81" s="33"/>
      <c r="M81" s="59">
        <v>4369961.51</v>
      </c>
      <c r="N81" s="59">
        <v>568095.32</v>
      </c>
      <c r="O81" s="33">
        <f t="shared" si="10"/>
        <v>-4369961.51</v>
      </c>
      <c r="P81" s="33">
        <f t="shared" si="11"/>
        <v>-568095.32</v>
      </c>
      <c r="Q81" s="33">
        <f t="shared" si="12"/>
        <v>0</v>
      </c>
      <c r="R81" s="33">
        <f t="shared" si="13"/>
        <v>0</v>
      </c>
      <c r="S81" s="33"/>
      <c r="T81" s="59">
        <v>4938056.52</v>
      </c>
      <c r="U81" s="33"/>
      <c r="V81" s="33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</row>
    <row r="82" ht="14" customHeight="1" spans="1:38">
      <c r="A82" s="33">
        <v>11</v>
      </c>
      <c r="B82" s="33" t="s">
        <v>219</v>
      </c>
      <c r="C82" s="34" t="s">
        <v>220</v>
      </c>
      <c r="D82" s="34" t="s">
        <v>221</v>
      </c>
      <c r="E82" s="33"/>
      <c r="F82" s="33"/>
      <c r="G82" s="33"/>
      <c r="H82" s="33"/>
      <c r="I82" s="33"/>
      <c r="J82" s="33"/>
      <c r="K82" s="58"/>
      <c r="L82" s="33"/>
      <c r="M82" s="59">
        <v>333728</v>
      </c>
      <c r="N82" s="59">
        <v>43384.64</v>
      </c>
      <c r="O82" s="33">
        <f t="shared" si="10"/>
        <v>-333728</v>
      </c>
      <c r="P82" s="33">
        <f t="shared" si="11"/>
        <v>-43384.64</v>
      </c>
      <c r="Q82" s="33">
        <f t="shared" si="12"/>
        <v>0</v>
      </c>
      <c r="R82" s="33">
        <f t="shared" si="13"/>
        <v>0</v>
      </c>
      <c r="S82" s="33"/>
      <c r="T82" s="59">
        <v>301690.11</v>
      </c>
      <c r="U82" s="33"/>
      <c r="V82" s="33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</row>
    <row r="83" ht="14" customHeight="1" spans="1:38">
      <c r="A83" s="33">
        <v>12</v>
      </c>
      <c r="B83" s="33" t="s">
        <v>222</v>
      </c>
      <c r="C83" s="34" t="s">
        <v>223</v>
      </c>
      <c r="D83" s="34" t="s">
        <v>224</v>
      </c>
      <c r="E83" s="33"/>
      <c r="F83" s="33"/>
      <c r="G83" s="33"/>
      <c r="H83" s="33"/>
      <c r="I83" s="33"/>
      <c r="J83" s="33"/>
      <c r="K83" s="58"/>
      <c r="L83" s="33"/>
      <c r="M83" s="59">
        <v>8873935.29</v>
      </c>
      <c r="N83" s="59">
        <v>1153611.59</v>
      </c>
      <c r="O83" s="33">
        <f t="shared" si="10"/>
        <v>-8873935.29</v>
      </c>
      <c r="P83" s="33">
        <f t="shared" si="11"/>
        <v>-1153611.59</v>
      </c>
      <c r="Q83" s="33">
        <f t="shared" si="12"/>
        <v>0</v>
      </c>
      <c r="R83" s="33">
        <f t="shared" si="13"/>
        <v>0</v>
      </c>
      <c r="S83" s="33"/>
      <c r="T83" s="59">
        <v>10027546.88</v>
      </c>
      <c r="U83" s="33"/>
      <c r="V83" s="33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</row>
    <row r="84" ht="26" spans="1:38">
      <c r="A84" s="33">
        <v>13</v>
      </c>
      <c r="B84" s="33" t="s">
        <v>225</v>
      </c>
      <c r="C84" s="34" t="s">
        <v>226</v>
      </c>
      <c r="D84" s="34" t="s">
        <v>227</v>
      </c>
      <c r="E84" s="33"/>
      <c r="F84" s="33"/>
      <c r="G84" s="33"/>
      <c r="H84" s="33"/>
      <c r="I84" s="33"/>
      <c r="J84" s="33"/>
      <c r="K84" s="58"/>
      <c r="L84" s="33"/>
      <c r="M84" s="59">
        <v>385917.65</v>
      </c>
      <c r="N84" s="59">
        <v>50169.29</v>
      </c>
      <c r="O84" s="33">
        <f t="shared" si="10"/>
        <v>-385917.65</v>
      </c>
      <c r="P84" s="33">
        <f t="shared" si="11"/>
        <v>-50169.29</v>
      </c>
      <c r="Q84" s="33">
        <f t="shared" si="12"/>
        <v>0</v>
      </c>
      <c r="R84" s="33">
        <f t="shared" si="13"/>
        <v>0</v>
      </c>
      <c r="S84" s="33"/>
      <c r="T84" s="59">
        <v>436086.94</v>
      </c>
      <c r="U84" s="33"/>
      <c r="V84" s="33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</row>
    <row r="85" ht="39" spans="1:38">
      <c r="A85" s="33">
        <v>14</v>
      </c>
      <c r="B85" s="33" t="s">
        <v>228</v>
      </c>
      <c r="C85" s="34" t="s">
        <v>229</v>
      </c>
      <c r="D85" s="34" t="s">
        <v>230</v>
      </c>
      <c r="E85" s="33"/>
      <c r="F85" s="33"/>
      <c r="G85" s="33"/>
      <c r="H85" s="33"/>
      <c r="I85" s="33"/>
      <c r="J85" s="33"/>
      <c r="K85" s="58"/>
      <c r="L85" s="33"/>
      <c r="M85" s="59">
        <v>4299184.04</v>
      </c>
      <c r="N85" s="59">
        <v>558893.95</v>
      </c>
      <c r="O85" s="33">
        <f t="shared" si="10"/>
        <v>-4299184.04</v>
      </c>
      <c r="P85" s="33">
        <f t="shared" si="11"/>
        <v>-558893.95</v>
      </c>
      <c r="Q85" s="33">
        <f t="shared" si="12"/>
        <v>0</v>
      </c>
      <c r="R85" s="33">
        <f t="shared" si="13"/>
        <v>0</v>
      </c>
      <c r="S85" s="33"/>
      <c r="T85" s="59">
        <v>4858077.99</v>
      </c>
      <c r="U85" s="33"/>
      <c r="V85" s="33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</row>
    <row r="86" ht="26" spans="1:38">
      <c r="A86" s="33">
        <v>15</v>
      </c>
      <c r="B86" s="33" t="s">
        <v>231</v>
      </c>
      <c r="C86" s="34" t="s">
        <v>232</v>
      </c>
      <c r="D86" s="34" t="s">
        <v>233</v>
      </c>
      <c r="E86" s="33"/>
      <c r="F86" s="33"/>
      <c r="G86" s="33"/>
      <c r="H86" s="33"/>
      <c r="I86" s="33"/>
      <c r="J86" s="33"/>
      <c r="K86" s="58"/>
      <c r="L86" s="33"/>
      <c r="M86" s="59">
        <v>52140600.21</v>
      </c>
      <c r="N86" s="59">
        <v>6778278.02</v>
      </c>
      <c r="O86" s="33">
        <f t="shared" si="10"/>
        <v>-52140600.21</v>
      </c>
      <c r="P86" s="33">
        <f t="shared" si="11"/>
        <v>-6778278.02</v>
      </c>
      <c r="Q86" s="33">
        <f t="shared" si="12"/>
        <v>0</v>
      </c>
      <c r="R86" s="33">
        <f t="shared" si="13"/>
        <v>0</v>
      </c>
      <c r="S86" s="33"/>
      <c r="T86" s="59">
        <v>57634200</v>
      </c>
      <c r="U86" s="33"/>
      <c r="V86" s="33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</row>
    <row r="87" ht="26" spans="1:38">
      <c r="A87" s="33">
        <v>16</v>
      </c>
      <c r="B87" s="33" t="s">
        <v>234</v>
      </c>
      <c r="C87" s="34" t="s">
        <v>235</v>
      </c>
      <c r="D87" s="34" t="s">
        <v>236</v>
      </c>
      <c r="E87" s="33"/>
      <c r="F87" s="33"/>
      <c r="G87" s="33"/>
      <c r="H87" s="33"/>
      <c r="I87" s="33"/>
      <c r="J87" s="33"/>
      <c r="K87" s="58"/>
      <c r="L87" s="33"/>
      <c r="M87" s="59">
        <v>9943627.46</v>
      </c>
      <c r="N87" s="59">
        <v>1292671.55</v>
      </c>
      <c r="O87" s="33">
        <f t="shared" si="10"/>
        <v>-9943627.46</v>
      </c>
      <c r="P87" s="33">
        <f t="shared" si="11"/>
        <v>-1292671.55</v>
      </c>
      <c r="Q87" s="33">
        <f t="shared" si="12"/>
        <v>0</v>
      </c>
      <c r="R87" s="33">
        <f t="shared" si="13"/>
        <v>0</v>
      </c>
      <c r="S87" s="33"/>
      <c r="T87" s="59">
        <v>10199210.04</v>
      </c>
      <c r="U87" s="33"/>
      <c r="V87" s="33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</row>
    <row r="88" ht="26" spans="1:38">
      <c r="A88" s="33">
        <v>17</v>
      </c>
      <c r="B88" s="33" t="s">
        <v>237</v>
      </c>
      <c r="C88" s="34" t="s">
        <v>238</v>
      </c>
      <c r="D88" s="34" t="s">
        <v>239</v>
      </c>
      <c r="E88" s="33"/>
      <c r="F88" s="33"/>
      <c r="G88" s="33"/>
      <c r="H88" s="33"/>
      <c r="I88" s="33"/>
      <c r="J88" s="33"/>
      <c r="K88" s="58"/>
      <c r="L88" s="33"/>
      <c r="M88" s="59">
        <v>5074499.2</v>
      </c>
      <c r="N88" s="59">
        <v>659684.51</v>
      </c>
      <c r="O88" s="33">
        <f t="shared" si="10"/>
        <v>-5074499.2</v>
      </c>
      <c r="P88" s="33">
        <f t="shared" si="11"/>
        <v>-659684.51</v>
      </c>
      <c r="Q88" s="33">
        <f t="shared" si="12"/>
        <v>0</v>
      </c>
      <c r="R88" s="33">
        <f t="shared" si="13"/>
        <v>0</v>
      </c>
      <c r="S88" s="33"/>
      <c r="T88" s="59">
        <v>5722211.35</v>
      </c>
      <c r="U88" s="33"/>
      <c r="V88" s="33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</row>
    <row r="89" ht="26" spans="1:38">
      <c r="A89" s="33">
        <v>18</v>
      </c>
      <c r="B89" s="33" t="s">
        <v>240</v>
      </c>
      <c r="C89" s="34" t="s">
        <v>241</v>
      </c>
      <c r="D89" s="34" t="s">
        <v>242</v>
      </c>
      <c r="E89" s="33"/>
      <c r="F89" s="33"/>
      <c r="G89" s="33"/>
      <c r="H89" s="33"/>
      <c r="I89" s="33"/>
      <c r="J89" s="33"/>
      <c r="K89" s="58"/>
      <c r="L89" s="33"/>
      <c r="M89" s="59">
        <v>82619375.07</v>
      </c>
      <c r="N89" s="59">
        <v>2479172.51</v>
      </c>
      <c r="O89" s="33">
        <f t="shared" si="10"/>
        <v>-82619375.07</v>
      </c>
      <c r="P89" s="33">
        <f t="shared" si="11"/>
        <v>-2479172.51</v>
      </c>
      <c r="Q89" s="33">
        <f t="shared" si="12"/>
        <v>0</v>
      </c>
      <c r="R89" s="33">
        <f t="shared" si="13"/>
        <v>5.58793544769287e-9</v>
      </c>
      <c r="S89" s="33"/>
      <c r="T89" s="59">
        <v>76114127.56</v>
      </c>
      <c r="U89" s="33"/>
      <c r="V89" s="33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</row>
    <row r="90" ht="26" spans="1:38">
      <c r="A90" s="33">
        <v>19</v>
      </c>
      <c r="B90" s="33" t="s">
        <v>243</v>
      </c>
      <c r="C90" s="34" t="s">
        <v>244</v>
      </c>
      <c r="D90" s="34" t="s">
        <v>245</v>
      </c>
      <c r="E90" s="33"/>
      <c r="F90" s="33"/>
      <c r="G90" s="33"/>
      <c r="H90" s="33"/>
      <c r="I90" s="33"/>
      <c r="J90" s="33"/>
      <c r="K90" s="58"/>
      <c r="L90" s="33"/>
      <c r="M90" s="59">
        <v>7029897.31</v>
      </c>
      <c r="N90" s="59">
        <v>210896.97</v>
      </c>
      <c r="O90" s="33">
        <f t="shared" si="10"/>
        <v>-7029897.31</v>
      </c>
      <c r="P90" s="33">
        <f t="shared" si="11"/>
        <v>-210896.97</v>
      </c>
      <c r="Q90" s="33">
        <f t="shared" si="12"/>
        <v>0</v>
      </c>
      <c r="R90" s="33">
        <f t="shared" si="13"/>
        <v>-2.61934474110603e-10</v>
      </c>
      <c r="S90" s="33"/>
      <c r="T90" s="59">
        <v>7240794.28</v>
      </c>
      <c r="U90" s="33"/>
      <c r="V90" s="33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</row>
    <row r="91" ht="26" spans="1:38">
      <c r="A91" s="33">
        <v>20</v>
      </c>
      <c r="B91" s="33" t="s">
        <v>246</v>
      </c>
      <c r="C91" s="34" t="s">
        <v>247</v>
      </c>
      <c r="D91" s="34" t="s">
        <v>248</v>
      </c>
      <c r="E91" s="33"/>
      <c r="F91" s="33"/>
      <c r="G91" s="33"/>
      <c r="H91" s="33"/>
      <c r="I91" s="33"/>
      <c r="J91" s="33"/>
      <c r="K91" s="58"/>
      <c r="L91" s="33"/>
      <c r="M91" s="59">
        <v>416379</v>
      </c>
      <c r="N91" s="59">
        <v>54129.27</v>
      </c>
      <c r="O91" s="33">
        <f t="shared" si="10"/>
        <v>-416379</v>
      </c>
      <c r="P91" s="33">
        <f t="shared" si="11"/>
        <v>-54129.27</v>
      </c>
      <c r="Q91" s="33">
        <f t="shared" si="12"/>
        <v>0</v>
      </c>
      <c r="R91" s="33">
        <f t="shared" si="13"/>
        <v>0</v>
      </c>
      <c r="S91" s="33"/>
      <c r="T91" s="59">
        <v>470508.27</v>
      </c>
      <c r="U91" s="33"/>
      <c r="V91" s="33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</row>
    <row r="92" ht="26" spans="1:38">
      <c r="A92" s="33">
        <v>21</v>
      </c>
      <c r="B92" s="33" t="s">
        <v>249</v>
      </c>
      <c r="C92" s="34" t="s">
        <v>250</v>
      </c>
      <c r="D92" s="34" t="s">
        <v>251</v>
      </c>
      <c r="E92" s="33"/>
      <c r="F92" s="33"/>
      <c r="G92" s="33"/>
      <c r="H92" s="33"/>
      <c r="I92" s="33"/>
      <c r="J92" s="33"/>
      <c r="K92" s="58"/>
      <c r="L92" s="33"/>
      <c r="M92" s="59">
        <v>32639</v>
      </c>
      <c r="N92" s="59">
        <v>4243.07</v>
      </c>
      <c r="O92" s="33">
        <f t="shared" si="10"/>
        <v>-32639</v>
      </c>
      <c r="P92" s="33">
        <f t="shared" si="11"/>
        <v>-4243.07</v>
      </c>
      <c r="Q92" s="33">
        <f t="shared" si="12"/>
        <v>0</v>
      </c>
      <c r="R92" s="33">
        <f t="shared" si="13"/>
        <v>0</v>
      </c>
      <c r="S92" s="33"/>
      <c r="T92" s="59">
        <v>36882.07</v>
      </c>
      <c r="U92" s="33"/>
      <c r="V92" s="33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</row>
    <row r="93" ht="26" spans="1:38">
      <c r="A93" s="33">
        <v>22</v>
      </c>
      <c r="B93" s="33" t="s">
        <v>252</v>
      </c>
      <c r="C93" s="34" t="s">
        <v>253</v>
      </c>
      <c r="D93" s="34" t="s">
        <v>254</v>
      </c>
      <c r="E93" s="33"/>
      <c r="F93" s="33"/>
      <c r="G93" s="33"/>
      <c r="H93" s="33"/>
      <c r="I93" s="33"/>
      <c r="J93" s="33"/>
      <c r="K93" s="58"/>
      <c r="L93" s="33"/>
      <c r="M93" s="59">
        <v>7683428.5</v>
      </c>
      <c r="N93" s="59">
        <v>998845.46</v>
      </c>
      <c r="O93" s="33">
        <f t="shared" si="10"/>
        <v>-7683428.5</v>
      </c>
      <c r="P93" s="33">
        <f t="shared" si="11"/>
        <v>-998845.46</v>
      </c>
      <c r="Q93" s="33">
        <f t="shared" si="12"/>
        <v>0</v>
      </c>
      <c r="R93" s="33">
        <f t="shared" si="13"/>
        <v>9.31322574615479e-10</v>
      </c>
      <c r="S93" s="33"/>
      <c r="T93" s="59">
        <v>8682273.96</v>
      </c>
      <c r="U93" s="33"/>
      <c r="V93" s="33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</row>
    <row r="94" ht="26" spans="1:38">
      <c r="A94" s="33">
        <v>23</v>
      </c>
      <c r="B94" s="33" t="s">
        <v>255</v>
      </c>
      <c r="C94" s="34" t="s">
        <v>256</v>
      </c>
      <c r="D94" s="34" t="s">
        <v>257</v>
      </c>
      <c r="E94" s="33"/>
      <c r="F94" s="33"/>
      <c r="G94" s="33"/>
      <c r="H94" s="33"/>
      <c r="I94" s="33"/>
      <c r="J94" s="33"/>
      <c r="K94" s="58"/>
      <c r="L94" s="33"/>
      <c r="M94" s="59">
        <v>950254.54</v>
      </c>
      <c r="N94" s="59">
        <v>123533.02</v>
      </c>
      <c r="O94" s="33">
        <f t="shared" si="10"/>
        <v>-950254.54</v>
      </c>
      <c r="P94" s="33">
        <f t="shared" si="11"/>
        <v>-123533.02</v>
      </c>
      <c r="Q94" s="33">
        <f t="shared" si="12"/>
        <v>0</v>
      </c>
      <c r="R94" s="33">
        <f t="shared" si="13"/>
        <v>0</v>
      </c>
      <c r="S94" s="33"/>
      <c r="T94" s="59">
        <v>1067146.16</v>
      </c>
      <c r="U94" s="33"/>
      <c r="V94" s="33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</row>
    <row r="95" ht="26" spans="1:38">
      <c r="A95" s="33">
        <v>24</v>
      </c>
      <c r="B95" s="33" t="s">
        <v>258</v>
      </c>
      <c r="C95" s="34" t="s">
        <v>259</v>
      </c>
      <c r="D95" s="34" t="s">
        <v>260</v>
      </c>
      <c r="E95" s="33"/>
      <c r="F95" s="33"/>
      <c r="G95" s="33"/>
      <c r="H95" s="33"/>
      <c r="I95" s="33"/>
      <c r="J95" s="33"/>
      <c r="K95" s="58"/>
      <c r="L95" s="33"/>
      <c r="M95" s="59">
        <v>274015</v>
      </c>
      <c r="N95" s="59">
        <v>35621.95</v>
      </c>
      <c r="O95" s="33">
        <f t="shared" si="10"/>
        <v>-274015</v>
      </c>
      <c r="P95" s="33">
        <f t="shared" si="11"/>
        <v>-35621.95</v>
      </c>
      <c r="Q95" s="33">
        <f t="shared" si="12"/>
        <v>0</v>
      </c>
      <c r="R95" s="33">
        <f t="shared" si="13"/>
        <v>0</v>
      </c>
      <c r="S95" s="33"/>
      <c r="T95" s="59">
        <v>309636.95</v>
      </c>
      <c r="U95" s="33"/>
      <c r="V95" s="33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</row>
    <row r="96" ht="26" spans="1:38">
      <c r="A96" s="33">
        <v>25</v>
      </c>
      <c r="B96" s="33" t="s">
        <v>261</v>
      </c>
      <c r="C96" s="34" t="s">
        <v>262</v>
      </c>
      <c r="D96" s="34" t="s">
        <v>263</v>
      </c>
      <c r="E96" s="33"/>
      <c r="F96" s="33"/>
      <c r="G96" s="33"/>
      <c r="H96" s="33"/>
      <c r="I96" s="33"/>
      <c r="J96" s="33"/>
      <c r="K96" s="58"/>
      <c r="L96" s="33"/>
      <c r="M96" s="59">
        <v>1561706.28</v>
      </c>
      <c r="N96" s="59">
        <v>203021.99</v>
      </c>
      <c r="O96" s="33">
        <f t="shared" si="10"/>
        <v>-1561706.28</v>
      </c>
      <c r="P96" s="33">
        <f t="shared" si="11"/>
        <v>-203021.99</v>
      </c>
      <c r="Q96" s="33">
        <f t="shared" si="12"/>
        <v>0</v>
      </c>
      <c r="R96" s="33">
        <f t="shared" si="13"/>
        <v>0</v>
      </c>
      <c r="S96" s="33"/>
      <c r="T96" s="59">
        <v>1764728.27</v>
      </c>
      <c r="U96" s="33"/>
      <c r="V96" s="33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</row>
    <row r="97" ht="26" spans="1:38">
      <c r="A97" s="33">
        <v>26</v>
      </c>
      <c r="B97" s="33" t="s">
        <v>264</v>
      </c>
      <c r="C97" s="34" t="s">
        <v>265</v>
      </c>
      <c r="D97" s="34" t="s">
        <v>266</v>
      </c>
      <c r="E97" s="33"/>
      <c r="F97" s="33"/>
      <c r="G97" s="33"/>
      <c r="H97" s="33"/>
      <c r="I97" s="33"/>
      <c r="J97" s="33"/>
      <c r="K97" s="58"/>
      <c r="L97" s="33"/>
      <c r="M97" s="59">
        <v>27146211.76</v>
      </c>
      <c r="N97" s="59">
        <v>814386.39</v>
      </c>
      <c r="O97" s="33">
        <f t="shared" si="10"/>
        <v>-27146211.76</v>
      </c>
      <c r="P97" s="33">
        <f t="shared" si="11"/>
        <v>-814386.39</v>
      </c>
      <c r="Q97" s="33">
        <f t="shared" si="12"/>
        <v>0</v>
      </c>
      <c r="R97" s="33">
        <f t="shared" si="13"/>
        <v>0</v>
      </c>
      <c r="S97" s="33"/>
      <c r="T97" s="59">
        <v>27960598.15</v>
      </c>
      <c r="U97" s="33"/>
      <c r="V97" s="33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</row>
    <row r="98" ht="26" spans="1:38">
      <c r="A98" s="33">
        <v>27</v>
      </c>
      <c r="B98" s="33" t="s">
        <v>267</v>
      </c>
      <c r="C98" s="34" t="s">
        <v>268</v>
      </c>
      <c r="D98" s="34" t="s">
        <v>269</v>
      </c>
      <c r="E98" s="33"/>
      <c r="F98" s="33"/>
      <c r="G98" s="33"/>
      <c r="H98" s="33"/>
      <c r="I98" s="33"/>
      <c r="J98" s="33"/>
      <c r="K98" s="58"/>
      <c r="L98" s="33"/>
      <c r="M98" s="59">
        <v>7126276.05</v>
      </c>
      <c r="N98" s="59">
        <v>213788.29</v>
      </c>
      <c r="O98" s="33">
        <f t="shared" si="10"/>
        <v>-7126276.05</v>
      </c>
      <c r="P98" s="33">
        <f t="shared" si="11"/>
        <v>-213788.29</v>
      </c>
      <c r="Q98" s="33">
        <f t="shared" si="12"/>
        <v>0</v>
      </c>
      <c r="R98" s="33">
        <f t="shared" si="13"/>
        <v>0</v>
      </c>
      <c r="S98" s="33"/>
      <c r="T98" s="59">
        <v>7297640.86</v>
      </c>
      <c r="U98" s="33"/>
      <c r="V98" s="33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</row>
    <row r="99" ht="26" spans="1:38">
      <c r="A99" s="33">
        <v>28</v>
      </c>
      <c r="B99" s="33" t="s">
        <v>270</v>
      </c>
      <c r="C99" s="34" t="s">
        <v>271</v>
      </c>
      <c r="D99" s="34" t="s">
        <v>272</v>
      </c>
      <c r="E99" s="33"/>
      <c r="F99" s="33"/>
      <c r="G99" s="33"/>
      <c r="H99" s="33"/>
      <c r="I99" s="33"/>
      <c r="J99" s="33"/>
      <c r="K99" s="58"/>
      <c r="L99" s="33"/>
      <c r="M99" s="59">
        <v>1538956.12</v>
      </c>
      <c r="N99" s="59">
        <v>200064.3</v>
      </c>
      <c r="O99" s="33">
        <f t="shared" si="10"/>
        <v>-1538956.12</v>
      </c>
      <c r="P99" s="33">
        <f t="shared" si="11"/>
        <v>-200064.3</v>
      </c>
      <c r="Q99" s="33">
        <f t="shared" si="12"/>
        <v>0</v>
      </c>
      <c r="R99" s="33">
        <f t="shared" si="13"/>
        <v>0</v>
      </c>
      <c r="S99" s="33"/>
      <c r="T99" s="59">
        <v>1739020.42</v>
      </c>
      <c r="U99" s="33"/>
      <c r="V99" s="33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</row>
    <row r="100" ht="26" spans="1:38">
      <c r="A100" s="33">
        <v>29</v>
      </c>
      <c r="B100" s="33" t="s">
        <v>273</v>
      </c>
      <c r="C100" s="34" t="s">
        <v>274</v>
      </c>
      <c r="D100" s="34" t="s">
        <v>275</v>
      </c>
      <c r="E100" s="33"/>
      <c r="F100" s="33"/>
      <c r="G100" s="33"/>
      <c r="H100" s="33"/>
      <c r="I100" s="33"/>
      <c r="J100" s="33"/>
      <c r="K100" s="58"/>
      <c r="L100" s="33"/>
      <c r="M100" s="59">
        <v>140000</v>
      </c>
      <c r="N100" s="59">
        <v>18200</v>
      </c>
      <c r="O100" s="33">
        <f t="shared" si="10"/>
        <v>-140000</v>
      </c>
      <c r="P100" s="33">
        <f t="shared" si="11"/>
        <v>-18200</v>
      </c>
      <c r="Q100" s="33">
        <f t="shared" si="12"/>
        <v>0</v>
      </c>
      <c r="R100" s="33">
        <f t="shared" si="13"/>
        <v>0</v>
      </c>
      <c r="S100" s="33"/>
      <c r="T100" s="59">
        <v>158200</v>
      </c>
      <c r="U100" s="33"/>
      <c r="V100" s="33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</row>
    <row r="101" ht="26" spans="1:38">
      <c r="A101" s="33">
        <v>30</v>
      </c>
      <c r="B101" s="33" t="s">
        <v>276</v>
      </c>
      <c r="C101" s="34" t="s">
        <v>277</v>
      </c>
      <c r="D101" s="34" t="s">
        <v>278</v>
      </c>
      <c r="E101" s="33"/>
      <c r="F101" s="33"/>
      <c r="G101" s="33"/>
      <c r="H101" s="33"/>
      <c r="I101" s="33"/>
      <c r="J101" s="33"/>
      <c r="K101" s="58"/>
      <c r="L101" s="33"/>
      <c r="M101" s="59">
        <v>13945976.97</v>
      </c>
      <c r="N101" s="59">
        <v>1793690.33</v>
      </c>
      <c r="O101" s="33">
        <f t="shared" si="10"/>
        <v>-13945976.97</v>
      </c>
      <c r="P101" s="33">
        <f t="shared" si="11"/>
        <v>-1793690.33</v>
      </c>
      <c r="Q101" s="33">
        <f t="shared" si="12"/>
        <v>0</v>
      </c>
      <c r="R101" s="33">
        <f t="shared" si="13"/>
        <v>0</v>
      </c>
      <c r="S101" s="33"/>
      <c r="T101" s="59">
        <v>8652600</v>
      </c>
      <c r="U101" s="33"/>
      <c r="V101" s="33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</row>
    <row r="102" ht="26" spans="1:38">
      <c r="A102" s="33">
        <v>31</v>
      </c>
      <c r="B102" s="33" t="s">
        <v>279</v>
      </c>
      <c r="C102" s="34" t="s">
        <v>280</v>
      </c>
      <c r="D102" s="34" t="s">
        <v>281</v>
      </c>
      <c r="E102" s="33"/>
      <c r="F102" s="33"/>
      <c r="G102" s="33"/>
      <c r="H102" s="33"/>
      <c r="I102" s="33"/>
      <c r="J102" s="33"/>
      <c r="K102" s="58"/>
      <c r="L102" s="33"/>
      <c r="M102" s="59">
        <v>43710.65</v>
      </c>
      <c r="N102" s="59">
        <v>5682.39</v>
      </c>
      <c r="O102" s="33">
        <f t="shared" si="10"/>
        <v>-43710.65</v>
      </c>
      <c r="P102" s="33">
        <f t="shared" si="11"/>
        <v>-5682.39</v>
      </c>
      <c r="Q102" s="33">
        <f t="shared" si="12"/>
        <v>0</v>
      </c>
      <c r="R102" s="33">
        <f t="shared" si="13"/>
        <v>0</v>
      </c>
      <c r="S102" s="33"/>
      <c r="T102" s="59">
        <v>49393.04</v>
      </c>
      <c r="U102" s="33"/>
      <c r="V102" s="33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</row>
    <row r="103" ht="26" spans="1:38">
      <c r="A103" s="33">
        <v>32</v>
      </c>
      <c r="B103" s="33" t="s">
        <v>282</v>
      </c>
      <c r="C103" s="34" t="s">
        <v>283</v>
      </c>
      <c r="D103" s="34" t="s">
        <v>284</v>
      </c>
      <c r="E103" s="33"/>
      <c r="F103" s="33"/>
      <c r="G103" s="33"/>
      <c r="H103" s="33"/>
      <c r="I103" s="33"/>
      <c r="J103" s="33"/>
      <c r="K103" s="58"/>
      <c r="L103" s="33"/>
      <c r="M103" s="59">
        <v>582161.09</v>
      </c>
      <c r="N103" s="59">
        <v>75681</v>
      </c>
      <c r="O103" s="33">
        <f t="shared" si="10"/>
        <v>-582161.09</v>
      </c>
      <c r="P103" s="33">
        <f t="shared" si="11"/>
        <v>-75681</v>
      </c>
      <c r="Q103" s="33">
        <f t="shared" si="12"/>
        <v>0</v>
      </c>
      <c r="R103" s="33">
        <f t="shared" si="13"/>
        <v>0</v>
      </c>
      <c r="S103" s="33"/>
      <c r="T103" s="59">
        <v>657842.08</v>
      </c>
      <c r="U103" s="33"/>
      <c r="V103" s="33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</row>
    <row r="104" ht="26" spans="1:38">
      <c r="A104" s="33">
        <v>33</v>
      </c>
      <c r="B104" s="33" t="s">
        <v>285</v>
      </c>
      <c r="C104" s="34" t="s">
        <v>286</v>
      </c>
      <c r="D104" s="34" t="s">
        <v>287</v>
      </c>
      <c r="E104" s="33"/>
      <c r="F104" s="33"/>
      <c r="G104" s="33"/>
      <c r="H104" s="33"/>
      <c r="I104" s="33"/>
      <c r="J104" s="33"/>
      <c r="K104" s="58"/>
      <c r="L104" s="33"/>
      <c r="M104" s="59">
        <v>30291914.17</v>
      </c>
      <c r="N104" s="59">
        <v>3937948.82</v>
      </c>
      <c r="O104" s="33">
        <f t="shared" si="10"/>
        <v>-30291914.17</v>
      </c>
      <c r="P104" s="33">
        <f t="shared" si="11"/>
        <v>-3937948.82</v>
      </c>
      <c r="Q104" s="33">
        <f t="shared" si="12"/>
        <v>0</v>
      </c>
      <c r="R104" s="33">
        <f t="shared" si="13"/>
        <v>0</v>
      </c>
      <c r="S104" s="33"/>
      <c r="T104" s="59">
        <v>34229862.99</v>
      </c>
      <c r="U104" s="33"/>
      <c r="V104" s="33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</row>
    <row r="105" ht="26" spans="1:38">
      <c r="A105" s="33">
        <v>34</v>
      </c>
      <c r="B105" s="33" t="s">
        <v>288</v>
      </c>
      <c r="C105" s="34" t="s">
        <v>289</v>
      </c>
      <c r="D105" s="34" t="s">
        <v>290</v>
      </c>
      <c r="E105" s="33"/>
      <c r="F105" s="33"/>
      <c r="G105" s="33"/>
      <c r="H105" s="33"/>
      <c r="I105" s="33"/>
      <c r="J105" s="33"/>
      <c r="K105" s="58"/>
      <c r="L105" s="33"/>
      <c r="M105" s="59">
        <v>3566769.49</v>
      </c>
      <c r="N105" s="59">
        <v>463680.09</v>
      </c>
      <c r="O105" s="33">
        <f t="shared" si="10"/>
        <v>-3566769.49</v>
      </c>
      <c r="P105" s="33">
        <f t="shared" si="11"/>
        <v>-463680.09</v>
      </c>
      <c r="Q105" s="33">
        <f t="shared" si="12"/>
        <v>0</v>
      </c>
      <c r="R105" s="33">
        <f t="shared" si="13"/>
        <v>0</v>
      </c>
      <c r="S105" s="33"/>
      <c r="T105" s="59">
        <v>4017620.13</v>
      </c>
      <c r="U105" s="33"/>
      <c r="V105" s="33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</row>
    <row r="106" ht="26" spans="1:38">
      <c r="A106" s="33">
        <v>35</v>
      </c>
      <c r="B106" s="33" t="s">
        <v>291</v>
      </c>
      <c r="C106" s="34" t="s">
        <v>292</v>
      </c>
      <c r="D106" s="34" t="s">
        <v>293</v>
      </c>
      <c r="E106" s="33"/>
      <c r="F106" s="33"/>
      <c r="G106" s="33"/>
      <c r="H106" s="33"/>
      <c r="I106" s="33"/>
      <c r="J106" s="33"/>
      <c r="K106" s="58"/>
      <c r="L106" s="33"/>
      <c r="M106" s="59">
        <v>44247.79</v>
      </c>
      <c r="N106" s="59">
        <v>5752.21</v>
      </c>
      <c r="O106" s="33">
        <f t="shared" si="10"/>
        <v>-44247.79</v>
      </c>
      <c r="P106" s="33">
        <f t="shared" si="11"/>
        <v>-5752.21</v>
      </c>
      <c r="Q106" s="33">
        <f t="shared" si="12"/>
        <v>0</v>
      </c>
      <c r="R106" s="33">
        <f t="shared" si="13"/>
        <v>0</v>
      </c>
      <c r="S106" s="33"/>
      <c r="T106" s="59">
        <v>50000</v>
      </c>
      <c r="U106" s="33"/>
      <c r="V106" s="33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</row>
    <row r="107" ht="26" spans="1:38">
      <c r="A107" s="33">
        <v>36</v>
      </c>
      <c r="B107" s="33" t="s">
        <v>294</v>
      </c>
      <c r="C107" s="34" t="s">
        <v>295</v>
      </c>
      <c r="D107" s="34" t="s">
        <v>296</v>
      </c>
      <c r="E107" s="33"/>
      <c r="F107" s="33"/>
      <c r="G107" s="33"/>
      <c r="H107" s="33"/>
      <c r="I107" s="33"/>
      <c r="J107" s="33"/>
      <c r="K107" s="58"/>
      <c r="L107" s="33"/>
      <c r="M107" s="59">
        <v>697130.35</v>
      </c>
      <c r="N107" s="59">
        <v>90626.95</v>
      </c>
      <c r="O107" s="33">
        <f t="shared" si="10"/>
        <v>-697130.35</v>
      </c>
      <c r="P107" s="33">
        <f t="shared" si="11"/>
        <v>-90626.95</v>
      </c>
      <c r="Q107" s="33">
        <f t="shared" si="12"/>
        <v>0</v>
      </c>
      <c r="R107" s="33">
        <f t="shared" si="13"/>
        <v>0</v>
      </c>
      <c r="S107" s="33"/>
      <c r="T107" s="59">
        <v>787757.3</v>
      </c>
      <c r="U107" s="33"/>
      <c r="V107" s="33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</row>
    <row r="108" ht="26" spans="1:38">
      <c r="A108" s="33">
        <v>37</v>
      </c>
      <c r="B108" s="33" t="s">
        <v>297</v>
      </c>
      <c r="C108" s="34" t="s">
        <v>298</v>
      </c>
      <c r="D108" s="34" t="s">
        <v>299</v>
      </c>
      <c r="E108" s="33"/>
      <c r="F108" s="33"/>
      <c r="G108" s="33"/>
      <c r="H108" s="33"/>
      <c r="I108" s="33"/>
      <c r="J108" s="33"/>
      <c r="K108" s="58"/>
      <c r="L108" s="33"/>
      <c r="M108" s="59">
        <v>46390</v>
      </c>
      <c r="N108" s="59">
        <v>6030.7</v>
      </c>
      <c r="O108" s="33">
        <f t="shared" si="10"/>
        <v>-46390</v>
      </c>
      <c r="P108" s="33">
        <f t="shared" si="11"/>
        <v>-6030.7</v>
      </c>
      <c r="Q108" s="33">
        <f t="shared" si="12"/>
        <v>0</v>
      </c>
      <c r="R108" s="33">
        <f t="shared" si="13"/>
        <v>0</v>
      </c>
      <c r="S108" s="33"/>
      <c r="T108" s="59">
        <v>52420.7</v>
      </c>
      <c r="U108" s="33"/>
      <c r="V108" s="33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</row>
    <row r="109" ht="26" spans="1:38">
      <c r="A109" s="33">
        <v>38</v>
      </c>
      <c r="B109" s="33" t="s">
        <v>300</v>
      </c>
      <c r="C109" s="34" t="s">
        <v>301</v>
      </c>
      <c r="D109" s="34" t="s">
        <v>302</v>
      </c>
      <c r="E109" s="33"/>
      <c r="F109" s="33"/>
      <c r="G109" s="33"/>
      <c r="H109" s="33"/>
      <c r="I109" s="33"/>
      <c r="J109" s="33"/>
      <c r="K109" s="58"/>
      <c r="L109" s="33"/>
      <c r="M109" s="59">
        <v>220443.53</v>
      </c>
      <c r="N109" s="59">
        <v>28657.66</v>
      </c>
      <c r="O109" s="33">
        <f t="shared" si="10"/>
        <v>-220443.53</v>
      </c>
      <c r="P109" s="33">
        <f t="shared" si="11"/>
        <v>-28657.66</v>
      </c>
      <c r="Q109" s="33">
        <f t="shared" si="12"/>
        <v>0</v>
      </c>
      <c r="R109" s="33">
        <f t="shared" si="13"/>
        <v>0</v>
      </c>
      <c r="S109" s="33"/>
      <c r="T109" s="59">
        <v>249101.19</v>
      </c>
      <c r="U109" s="33"/>
      <c r="V109" s="33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</row>
    <row r="110" ht="26" spans="1:38">
      <c r="A110" s="33">
        <v>39</v>
      </c>
      <c r="B110" s="33" t="s">
        <v>303</v>
      </c>
      <c r="C110" s="34" t="s">
        <v>304</v>
      </c>
      <c r="D110" s="34" t="s">
        <v>305</v>
      </c>
      <c r="E110" s="33"/>
      <c r="F110" s="33"/>
      <c r="G110" s="33"/>
      <c r="H110" s="33"/>
      <c r="I110" s="33"/>
      <c r="J110" s="33"/>
      <c r="K110" s="58"/>
      <c r="L110" s="33"/>
      <c r="M110" s="59">
        <v>1271717.14</v>
      </c>
      <c r="N110" s="59">
        <v>165323.22</v>
      </c>
      <c r="O110" s="33">
        <f t="shared" si="10"/>
        <v>-1271717.14</v>
      </c>
      <c r="P110" s="33">
        <f t="shared" si="11"/>
        <v>-165323.22</v>
      </c>
      <c r="Q110" s="33">
        <f t="shared" si="12"/>
        <v>0</v>
      </c>
      <c r="R110" s="33">
        <f t="shared" si="13"/>
        <v>0</v>
      </c>
      <c r="S110" s="33"/>
      <c r="T110" s="59">
        <v>1437040.36</v>
      </c>
      <c r="U110" s="33"/>
      <c r="V110" s="33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</row>
    <row r="111" ht="26" spans="1:38">
      <c r="A111" s="33">
        <v>40</v>
      </c>
      <c r="B111" s="33" t="s">
        <v>306</v>
      </c>
      <c r="C111" s="34" t="s">
        <v>307</v>
      </c>
      <c r="D111" s="34" t="s">
        <v>308</v>
      </c>
      <c r="E111" s="33"/>
      <c r="F111" s="33"/>
      <c r="G111" s="33"/>
      <c r="H111" s="33"/>
      <c r="I111" s="33"/>
      <c r="J111" s="33"/>
      <c r="K111" s="58"/>
      <c r="L111" s="33"/>
      <c r="M111" s="59">
        <v>534785.89</v>
      </c>
      <c r="N111" s="59">
        <v>16863.59</v>
      </c>
      <c r="O111" s="33">
        <f t="shared" si="10"/>
        <v>-534785.89</v>
      </c>
      <c r="P111" s="33">
        <f t="shared" si="11"/>
        <v>-16863.59</v>
      </c>
      <c r="Q111" s="33">
        <f t="shared" si="12"/>
        <v>0</v>
      </c>
      <c r="R111" s="33">
        <f t="shared" si="13"/>
        <v>-3.27418092638254e-11</v>
      </c>
      <c r="S111" s="33"/>
      <c r="T111" s="59">
        <v>549855.73</v>
      </c>
      <c r="U111" s="33"/>
      <c r="V111" s="33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</row>
    <row r="112" ht="26" spans="1:38">
      <c r="A112" s="33">
        <v>41</v>
      </c>
      <c r="B112" s="33" t="s">
        <v>309</v>
      </c>
      <c r="C112" s="34" t="s">
        <v>310</v>
      </c>
      <c r="D112" s="34" t="s">
        <v>311</v>
      </c>
      <c r="E112" s="33"/>
      <c r="F112" s="33"/>
      <c r="G112" s="33"/>
      <c r="H112" s="33"/>
      <c r="I112" s="33"/>
      <c r="J112" s="33"/>
      <c r="K112" s="58"/>
      <c r="L112" s="33"/>
      <c r="M112" s="59">
        <v>509280.38</v>
      </c>
      <c r="N112" s="59">
        <v>66206.65</v>
      </c>
      <c r="O112" s="33">
        <f t="shared" si="10"/>
        <v>-509280.38</v>
      </c>
      <c r="P112" s="33">
        <f t="shared" si="11"/>
        <v>-66206.65</v>
      </c>
      <c r="Q112" s="33">
        <f t="shared" si="12"/>
        <v>0</v>
      </c>
      <c r="R112" s="33">
        <f t="shared" si="13"/>
        <v>0</v>
      </c>
      <c r="S112" s="33"/>
      <c r="T112" s="59">
        <v>575487.03</v>
      </c>
      <c r="U112" s="33"/>
      <c r="V112" s="33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</row>
    <row r="113" ht="26" spans="1:38">
      <c r="A113" s="33">
        <v>42</v>
      </c>
      <c r="B113" s="33" t="s">
        <v>309</v>
      </c>
      <c r="C113" s="34" t="s">
        <v>312</v>
      </c>
      <c r="D113" s="34" t="s">
        <v>311</v>
      </c>
      <c r="E113" s="33"/>
      <c r="F113" s="33"/>
      <c r="G113" s="33"/>
      <c r="H113" s="33"/>
      <c r="I113" s="33"/>
      <c r="J113" s="33"/>
      <c r="K113" s="58"/>
      <c r="L113" s="33"/>
      <c r="M113" s="59">
        <v>48485.21</v>
      </c>
      <c r="N113" s="59">
        <v>6303.07</v>
      </c>
      <c r="O113" s="33">
        <f t="shared" si="10"/>
        <v>-48485.21</v>
      </c>
      <c r="P113" s="33">
        <f t="shared" si="11"/>
        <v>-6303.07</v>
      </c>
      <c r="Q113" s="33">
        <f t="shared" si="12"/>
        <v>0</v>
      </c>
      <c r="R113" s="33">
        <f t="shared" si="13"/>
        <v>0</v>
      </c>
      <c r="S113" s="33"/>
      <c r="T113" s="59">
        <v>54788.28</v>
      </c>
      <c r="U113" s="33"/>
      <c r="V113" s="33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</row>
    <row r="114" ht="14" spans="1:38">
      <c r="A114" s="33">
        <v>43</v>
      </c>
      <c r="B114" s="33"/>
      <c r="C114" s="34"/>
      <c r="D114" s="34" t="s">
        <v>313</v>
      </c>
      <c r="E114" s="33"/>
      <c r="F114" s="33"/>
      <c r="G114" s="33"/>
      <c r="H114" s="33"/>
      <c r="I114" s="33"/>
      <c r="J114" s="33"/>
      <c r="K114" s="58"/>
      <c r="L114" s="33"/>
      <c r="M114" s="59">
        <v>-25030932</v>
      </c>
      <c r="N114" s="33"/>
      <c r="O114" s="33">
        <f t="shared" si="10"/>
        <v>25030932</v>
      </c>
      <c r="P114" s="33">
        <f t="shared" si="11"/>
        <v>0</v>
      </c>
      <c r="Q114" s="33">
        <f t="shared" si="12"/>
        <v>0</v>
      </c>
      <c r="R114" s="33">
        <f t="shared" si="13"/>
        <v>0</v>
      </c>
      <c r="S114" s="33"/>
      <c r="T114" s="33"/>
      <c r="U114" s="33"/>
      <c r="V114" s="33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</row>
    <row r="115" ht="14" spans="1:38">
      <c r="A115" s="28">
        <v>44</v>
      </c>
      <c r="B115" s="29"/>
      <c r="C115" s="29"/>
      <c r="D115" s="41" t="s">
        <v>314</v>
      </c>
      <c r="E115" s="29"/>
      <c r="F115" s="29"/>
      <c r="G115" s="29"/>
      <c r="H115" s="31"/>
      <c r="I115" s="31"/>
      <c r="J115" s="31"/>
      <c r="K115" s="55"/>
      <c r="L115" s="56"/>
      <c r="M115" s="91">
        <v>17996069.15</v>
      </c>
      <c r="N115" s="31"/>
      <c r="O115" s="31">
        <f t="shared" si="10"/>
        <v>-17996069.15</v>
      </c>
      <c r="P115" s="31">
        <f t="shared" si="11"/>
        <v>0</v>
      </c>
      <c r="Q115" s="31">
        <f t="shared" si="12"/>
        <v>0</v>
      </c>
      <c r="R115" s="31">
        <f t="shared" si="13"/>
        <v>0</v>
      </c>
      <c r="S115" s="67">
        <f>SUM(T115:V115)</f>
        <v>0</v>
      </c>
      <c r="T115" s="67"/>
      <c r="U115" s="67"/>
      <c r="V115" s="67"/>
      <c r="W115" s="67"/>
      <c r="X115" s="67"/>
      <c r="Y115" s="67"/>
      <c r="Z115" s="31">
        <f>SUM(AA30:AJ30)</f>
        <v>0</v>
      </c>
      <c r="AA115" s="67"/>
      <c r="AB115" s="94"/>
      <c r="AC115" s="94"/>
      <c r="AD115" s="94"/>
      <c r="AE115" s="94"/>
      <c r="AF115" s="94"/>
      <c r="AG115" s="94"/>
      <c r="AH115" s="94"/>
      <c r="AI115" s="94"/>
      <c r="AJ115" s="94"/>
      <c r="AK115" s="68">
        <f>AB30/1.17*0.17+AC30/1.16*0.16+AD30/1.11*0.11+AE30/1.1*0.1+AF30/1.09*0.09+AI30/1.03*0.03</f>
        <v>0</v>
      </c>
      <c r="AL115" s="97"/>
    </row>
    <row r="116" ht="14" spans="1:38">
      <c r="A116" s="28">
        <v>45</v>
      </c>
      <c r="B116" s="29"/>
      <c r="C116" s="29"/>
      <c r="D116" s="41" t="s">
        <v>315</v>
      </c>
      <c r="E116" s="87"/>
      <c r="F116" s="87"/>
      <c r="G116" s="87"/>
      <c r="H116" s="88"/>
      <c r="I116" s="88"/>
      <c r="J116" s="31"/>
      <c r="K116" s="55"/>
      <c r="L116" s="56"/>
      <c r="M116" s="92">
        <v>-8003517.42</v>
      </c>
      <c r="N116" s="88"/>
      <c r="O116" s="31">
        <f t="shared" si="10"/>
        <v>8003517.42</v>
      </c>
      <c r="P116" s="31">
        <f t="shared" si="11"/>
        <v>0</v>
      </c>
      <c r="Q116" s="31">
        <f t="shared" si="12"/>
        <v>0</v>
      </c>
      <c r="R116" s="31">
        <f t="shared" si="13"/>
        <v>0</v>
      </c>
      <c r="S116" s="67">
        <f>SUM(T116:V116)</f>
        <v>0</v>
      </c>
      <c r="T116" s="88"/>
      <c r="U116" s="88"/>
      <c r="V116" s="88"/>
      <c r="W116" s="88"/>
      <c r="X116" s="88"/>
      <c r="Y116" s="88"/>
      <c r="Z116" s="31">
        <f>SUM(AA31:AJ31)</f>
        <v>0</v>
      </c>
      <c r="AA116" s="88"/>
      <c r="AB116" s="96"/>
      <c r="AC116" s="96"/>
      <c r="AD116" s="96"/>
      <c r="AE116" s="96"/>
      <c r="AF116" s="96"/>
      <c r="AG116" s="96"/>
      <c r="AH116" s="96"/>
      <c r="AI116" s="96"/>
      <c r="AJ116" s="96"/>
      <c r="AK116" s="68">
        <f>AB31/1.17*0.17+AC31/1.16*0.16+AD31/1.11*0.11+AE31/1.1*0.1+AF31/1.09*0.09+AI31/1.03*0.03</f>
        <v>0</v>
      </c>
      <c r="AL116" s="99"/>
    </row>
    <row r="117" ht="26" spans="1:38">
      <c r="A117" s="28"/>
      <c r="B117" s="29"/>
      <c r="C117" s="29"/>
      <c r="D117" s="41" t="s">
        <v>316</v>
      </c>
      <c r="E117" s="87"/>
      <c r="F117" s="87"/>
      <c r="G117" s="87"/>
      <c r="H117" s="88"/>
      <c r="I117" s="88"/>
      <c r="J117" s="31"/>
      <c r="K117" s="55"/>
      <c r="L117" s="56"/>
      <c r="M117" s="88"/>
      <c r="N117" s="88"/>
      <c r="O117" s="31"/>
      <c r="P117" s="31"/>
      <c r="Q117" s="31"/>
      <c r="R117" s="31"/>
      <c r="S117" s="67"/>
      <c r="T117" s="88"/>
      <c r="U117" s="88"/>
      <c r="V117" s="88"/>
      <c r="W117" s="88"/>
      <c r="X117" s="88"/>
      <c r="Y117" s="88"/>
      <c r="Z117" s="31"/>
      <c r="AA117" s="88"/>
      <c r="AB117" s="96"/>
      <c r="AC117" s="96"/>
      <c r="AD117" s="96"/>
      <c r="AE117" s="96"/>
      <c r="AF117" s="96"/>
      <c r="AG117" s="96"/>
      <c r="AH117" s="96"/>
      <c r="AI117" s="96"/>
      <c r="AJ117" s="96"/>
      <c r="AK117" s="68"/>
      <c r="AL117" s="99"/>
    </row>
    <row r="118" ht="14" spans="1:38">
      <c r="A118" s="28"/>
      <c r="B118" s="29"/>
      <c r="C118" s="29"/>
      <c r="D118" s="35" t="s">
        <v>117</v>
      </c>
      <c r="E118" s="42"/>
      <c r="F118" s="42"/>
      <c r="G118" s="42"/>
      <c r="H118" s="31"/>
      <c r="I118" s="31"/>
      <c r="J118" s="31"/>
      <c r="K118" s="55"/>
      <c r="L118" s="56"/>
      <c r="M118" s="31"/>
      <c r="N118" s="31"/>
      <c r="O118" s="31">
        <f>L118-M118</f>
        <v>0</v>
      </c>
      <c r="P118" s="31">
        <f>K118-N118</f>
        <v>0</v>
      </c>
      <c r="Q118" s="31">
        <f>M118+O118</f>
        <v>0</v>
      </c>
      <c r="R118" s="31">
        <f>M118+N118+O118+P118</f>
        <v>0</v>
      </c>
      <c r="S118" s="67">
        <f>SUM(T118:V118)</f>
        <v>0</v>
      </c>
      <c r="T118" s="67"/>
      <c r="U118" s="67"/>
      <c r="V118" s="67"/>
      <c r="W118" s="67"/>
      <c r="X118" s="67"/>
      <c r="Y118" s="67"/>
      <c r="Z118" s="67"/>
      <c r="AA118" s="67"/>
      <c r="AB118" s="94"/>
      <c r="AC118" s="94"/>
      <c r="AD118" s="94"/>
      <c r="AE118" s="94"/>
      <c r="AF118" s="94"/>
      <c r="AG118" s="94"/>
      <c r="AH118" s="94"/>
      <c r="AI118" s="94"/>
      <c r="AJ118" s="94"/>
      <c r="AK118" s="68">
        <f>AB33/1.17*0.17+AC33/1.16*0.16+AD33/1.11*0.11+AE33/1.1*0.1+AF33/1.09*0.09+AI33/1.03*0.03</f>
        <v>0</v>
      </c>
      <c r="AL118" s="97"/>
    </row>
    <row r="119" ht="14" spans="1:38">
      <c r="A119" s="37"/>
      <c r="B119" s="38"/>
      <c r="C119" s="38"/>
      <c r="D119" s="39" t="s">
        <v>317</v>
      </c>
      <c r="E119" s="40">
        <f t="shared" ref="E119:AK119" si="16">SUM(E66:E118)</f>
        <v>0</v>
      </c>
      <c r="F119" s="40">
        <f t="shared" si="16"/>
        <v>0</v>
      </c>
      <c r="G119" s="40">
        <f t="shared" si="16"/>
        <v>0</v>
      </c>
      <c r="H119" s="40">
        <f t="shared" si="16"/>
        <v>0</v>
      </c>
      <c r="I119" s="40">
        <f t="shared" si="16"/>
        <v>0</v>
      </c>
      <c r="J119" s="40">
        <f t="shared" si="16"/>
        <v>0</v>
      </c>
      <c r="K119" s="40">
        <f t="shared" si="16"/>
        <v>0</v>
      </c>
      <c r="L119" s="40">
        <f t="shared" si="16"/>
        <v>0</v>
      </c>
      <c r="M119" s="40">
        <f t="shared" si="16"/>
        <v>272862531.97</v>
      </c>
      <c r="N119" s="40">
        <f t="shared" si="16"/>
        <v>24963588.78</v>
      </c>
      <c r="O119" s="40">
        <f t="shared" si="16"/>
        <v>-272862531.97</v>
      </c>
      <c r="P119" s="40">
        <f t="shared" si="16"/>
        <v>-24963588.78</v>
      </c>
      <c r="Q119" s="40">
        <f t="shared" si="16"/>
        <v>0</v>
      </c>
      <c r="R119" s="40">
        <f t="shared" si="16"/>
        <v>6.22458173893392e-9</v>
      </c>
      <c r="S119" s="40">
        <f t="shared" si="16"/>
        <v>0</v>
      </c>
      <c r="T119" s="40">
        <f t="shared" si="16"/>
        <v>294320163.21</v>
      </c>
      <c r="U119" s="40">
        <f t="shared" si="16"/>
        <v>0</v>
      </c>
      <c r="V119" s="40">
        <f t="shared" si="16"/>
        <v>0</v>
      </c>
      <c r="W119" s="40">
        <f t="shared" si="16"/>
        <v>0</v>
      </c>
      <c r="X119" s="40">
        <f t="shared" si="16"/>
        <v>0</v>
      </c>
      <c r="Y119" s="40">
        <f t="shared" si="16"/>
        <v>0</v>
      </c>
      <c r="Z119" s="40">
        <f t="shared" si="16"/>
        <v>0</v>
      </c>
      <c r="AA119" s="40">
        <f t="shared" si="16"/>
        <v>0</v>
      </c>
      <c r="AB119" s="40">
        <f t="shared" si="16"/>
        <v>0</v>
      </c>
      <c r="AC119" s="40">
        <f t="shared" si="16"/>
        <v>0</v>
      </c>
      <c r="AD119" s="40">
        <f t="shared" si="16"/>
        <v>0</v>
      </c>
      <c r="AE119" s="40">
        <f t="shared" si="16"/>
        <v>0</v>
      </c>
      <c r="AF119" s="40">
        <f t="shared" si="16"/>
        <v>0</v>
      </c>
      <c r="AG119" s="40">
        <f t="shared" si="16"/>
        <v>0</v>
      </c>
      <c r="AH119" s="40">
        <f t="shared" si="16"/>
        <v>0</v>
      </c>
      <c r="AI119" s="40">
        <f t="shared" si="16"/>
        <v>0</v>
      </c>
      <c r="AJ119" s="40">
        <f t="shared" si="16"/>
        <v>0</v>
      </c>
      <c r="AK119" s="40">
        <f t="shared" si="16"/>
        <v>0</v>
      </c>
      <c r="AL119" s="81"/>
    </row>
    <row r="120" ht="14" spans="1:38">
      <c r="A120" s="28"/>
      <c r="B120" s="29"/>
      <c r="C120" s="29"/>
      <c r="D120" s="41" t="s">
        <v>318</v>
      </c>
      <c r="E120" s="36"/>
      <c r="F120" s="36"/>
      <c r="G120" s="36"/>
      <c r="H120" s="31"/>
      <c r="I120" s="31"/>
      <c r="J120" s="31"/>
      <c r="K120" s="55">
        <v>0</v>
      </c>
      <c r="L120" s="56">
        <f t="shared" ref="L120:L134" si="17">J120-K120</f>
        <v>0</v>
      </c>
      <c r="M120" s="57"/>
      <c r="N120" s="57"/>
      <c r="O120" s="31">
        <f t="shared" ref="O120:O134" si="18">L120-M120</f>
        <v>0</v>
      </c>
      <c r="P120" s="31">
        <f t="shared" ref="P120:P134" si="19">K120-N120</f>
        <v>0</v>
      </c>
      <c r="Q120" s="31">
        <f t="shared" ref="Q120:Q134" si="20">M120+O120</f>
        <v>0</v>
      </c>
      <c r="R120" s="31">
        <f t="shared" ref="R120:R134" si="21">M120+N120+O120+P120</f>
        <v>0</v>
      </c>
      <c r="S120" s="67">
        <f>SUM(T120:V120)</f>
        <v>0</v>
      </c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8">
        <f>AB35/1.17*0.17+AC35/1.16*0.16+AD35/1.11*0.11+AE35/1.1*0.1+AF35/1.09*0.09+AI35/1.03*0.03</f>
        <v>0</v>
      </c>
      <c r="AL120" s="81"/>
    </row>
    <row r="121" ht="26" spans="1:38">
      <c r="A121" s="33">
        <v>1</v>
      </c>
      <c r="B121" s="33" t="s">
        <v>319</v>
      </c>
      <c r="C121" s="34" t="s">
        <v>320</v>
      </c>
      <c r="D121" s="34" t="s">
        <v>321</v>
      </c>
      <c r="E121" s="33"/>
      <c r="F121" s="33"/>
      <c r="G121" s="33"/>
      <c r="H121" s="33"/>
      <c r="I121" s="33"/>
      <c r="J121" s="33">
        <f t="shared" ref="J121:J133" si="22">H121+I121</f>
        <v>0</v>
      </c>
      <c r="K121" s="58"/>
      <c r="L121" s="33">
        <f t="shared" si="17"/>
        <v>0</v>
      </c>
      <c r="M121" s="59">
        <v>39943.9</v>
      </c>
      <c r="N121" s="59">
        <v>3594.95</v>
      </c>
      <c r="O121" s="33">
        <f t="shared" si="18"/>
        <v>-39943.9</v>
      </c>
      <c r="P121" s="33">
        <f t="shared" si="19"/>
        <v>-3594.95</v>
      </c>
      <c r="Q121" s="33">
        <f t="shared" si="20"/>
        <v>0</v>
      </c>
      <c r="R121" s="33">
        <f t="shared" si="21"/>
        <v>0</v>
      </c>
      <c r="S121" s="33"/>
      <c r="T121" s="59">
        <v>43538.85</v>
      </c>
      <c r="U121" s="33"/>
      <c r="V121" s="33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</row>
    <row r="122" ht="26" spans="1:38">
      <c r="A122" s="33">
        <v>2</v>
      </c>
      <c r="B122" s="33" t="s">
        <v>322</v>
      </c>
      <c r="C122" s="34" t="s">
        <v>323</v>
      </c>
      <c r="D122" s="34" t="s">
        <v>324</v>
      </c>
      <c r="E122" s="33"/>
      <c r="F122" s="33"/>
      <c r="G122" s="33"/>
      <c r="H122" s="33"/>
      <c r="I122" s="33"/>
      <c r="J122" s="33">
        <f t="shared" si="22"/>
        <v>0</v>
      </c>
      <c r="K122" s="58"/>
      <c r="L122" s="33">
        <f t="shared" si="17"/>
        <v>0</v>
      </c>
      <c r="M122" s="59">
        <v>5518783.19</v>
      </c>
      <c r="N122" s="59">
        <v>738597.94</v>
      </c>
      <c r="O122" s="33">
        <f t="shared" si="18"/>
        <v>-5518783.19</v>
      </c>
      <c r="P122" s="33">
        <f t="shared" si="19"/>
        <v>-738597.94</v>
      </c>
      <c r="Q122" s="33">
        <f t="shared" si="20"/>
        <v>0</v>
      </c>
      <c r="R122" s="33">
        <f t="shared" si="21"/>
        <v>0</v>
      </c>
      <c r="S122" s="33"/>
      <c r="T122" s="59">
        <v>6405720.63</v>
      </c>
      <c r="U122" s="33"/>
      <c r="V122" s="33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</row>
    <row r="123" ht="26" spans="1:38">
      <c r="A123" s="33">
        <v>3</v>
      </c>
      <c r="B123" s="33" t="s">
        <v>325</v>
      </c>
      <c r="C123" s="34" t="s">
        <v>326</v>
      </c>
      <c r="D123" s="34" t="s">
        <v>327</v>
      </c>
      <c r="E123" s="33"/>
      <c r="F123" s="33"/>
      <c r="G123" s="33"/>
      <c r="H123" s="33"/>
      <c r="I123" s="33"/>
      <c r="J123" s="33">
        <f t="shared" si="22"/>
        <v>0</v>
      </c>
      <c r="K123" s="58"/>
      <c r="L123" s="33">
        <f t="shared" si="17"/>
        <v>0</v>
      </c>
      <c r="M123" s="59">
        <v>1197689.75</v>
      </c>
      <c r="N123" s="59">
        <v>36663.97</v>
      </c>
      <c r="O123" s="33">
        <f t="shared" si="18"/>
        <v>-1197689.75</v>
      </c>
      <c r="P123" s="33">
        <f t="shared" si="19"/>
        <v>-36663.97</v>
      </c>
      <c r="Q123" s="33">
        <f t="shared" si="20"/>
        <v>0</v>
      </c>
      <c r="R123" s="33">
        <f t="shared" si="21"/>
        <v>0</v>
      </c>
      <c r="S123" s="33"/>
      <c r="T123" s="59">
        <v>1258000</v>
      </c>
      <c r="U123" s="33"/>
      <c r="V123" s="33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</row>
    <row r="124" ht="26" spans="1:38">
      <c r="A124" s="33">
        <v>4</v>
      </c>
      <c r="B124" s="33" t="s">
        <v>328</v>
      </c>
      <c r="C124" s="34" t="s">
        <v>329</v>
      </c>
      <c r="D124" s="34" t="s">
        <v>330</v>
      </c>
      <c r="E124" s="33"/>
      <c r="F124" s="33"/>
      <c r="G124" s="33"/>
      <c r="H124" s="33"/>
      <c r="I124" s="33"/>
      <c r="J124" s="33">
        <f t="shared" si="22"/>
        <v>0</v>
      </c>
      <c r="K124" s="58"/>
      <c r="L124" s="33">
        <f t="shared" si="17"/>
        <v>0</v>
      </c>
      <c r="M124" s="59">
        <v>947713.86</v>
      </c>
      <c r="N124" s="59">
        <v>29244.62</v>
      </c>
      <c r="O124" s="33">
        <f t="shared" si="18"/>
        <v>-947713.86</v>
      </c>
      <c r="P124" s="33">
        <f t="shared" si="19"/>
        <v>-29244.62</v>
      </c>
      <c r="Q124" s="33">
        <f t="shared" si="20"/>
        <v>0</v>
      </c>
      <c r="R124" s="33">
        <f t="shared" si="21"/>
        <v>0</v>
      </c>
      <c r="S124" s="33"/>
      <c r="T124" s="59">
        <v>999000</v>
      </c>
      <c r="U124" s="33"/>
      <c r="V124" s="33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</row>
    <row r="125" ht="26" spans="1:38">
      <c r="A125" s="33">
        <v>5</v>
      </c>
      <c r="B125" s="33" t="s">
        <v>331</v>
      </c>
      <c r="C125" s="34" t="s">
        <v>332</v>
      </c>
      <c r="D125" s="34" t="s">
        <v>333</v>
      </c>
      <c r="E125" s="33"/>
      <c r="F125" s="33"/>
      <c r="G125" s="33"/>
      <c r="H125" s="33"/>
      <c r="I125" s="33"/>
      <c r="J125" s="33">
        <f t="shared" si="22"/>
        <v>0</v>
      </c>
      <c r="K125" s="58"/>
      <c r="L125" s="33">
        <f t="shared" si="17"/>
        <v>0</v>
      </c>
      <c r="M125" s="59">
        <v>1387247.1</v>
      </c>
      <c r="N125" s="59">
        <v>180342.12</v>
      </c>
      <c r="O125" s="33">
        <f t="shared" si="18"/>
        <v>-1387247.1</v>
      </c>
      <c r="P125" s="33">
        <f t="shared" si="19"/>
        <v>-180342.12</v>
      </c>
      <c r="Q125" s="33">
        <f t="shared" si="20"/>
        <v>0</v>
      </c>
      <c r="R125" s="33">
        <f t="shared" si="21"/>
        <v>0</v>
      </c>
      <c r="S125" s="33"/>
      <c r="T125" s="59">
        <v>1567589.22</v>
      </c>
      <c r="U125" s="33"/>
      <c r="V125" s="33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</row>
    <row r="126" ht="26" spans="1:38">
      <c r="A126" s="33">
        <v>6</v>
      </c>
      <c r="B126" s="33" t="s">
        <v>334</v>
      </c>
      <c r="C126" s="34" t="s">
        <v>335</v>
      </c>
      <c r="D126" s="34" t="s">
        <v>336</v>
      </c>
      <c r="E126" s="33"/>
      <c r="F126" s="33"/>
      <c r="G126" s="33"/>
      <c r="H126" s="33"/>
      <c r="I126" s="33"/>
      <c r="J126" s="33">
        <f t="shared" si="22"/>
        <v>0</v>
      </c>
      <c r="K126" s="58"/>
      <c r="L126" s="33">
        <f t="shared" si="17"/>
        <v>0</v>
      </c>
      <c r="M126" s="59">
        <v>1065730.14</v>
      </c>
      <c r="N126" s="59">
        <v>138544.93</v>
      </c>
      <c r="O126" s="33">
        <f t="shared" si="18"/>
        <v>-1065730.14</v>
      </c>
      <c r="P126" s="33">
        <f t="shared" si="19"/>
        <v>-138544.93</v>
      </c>
      <c r="Q126" s="33">
        <f t="shared" si="20"/>
        <v>0</v>
      </c>
      <c r="R126" s="33">
        <f t="shared" si="21"/>
        <v>0</v>
      </c>
      <c r="S126" s="33"/>
      <c r="T126" s="59">
        <v>1204275.07</v>
      </c>
      <c r="U126" s="33"/>
      <c r="V126" s="33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</row>
    <row r="127" ht="26" spans="1:38">
      <c r="A127" s="33">
        <v>7</v>
      </c>
      <c r="B127" s="33" t="s">
        <v>337</v>
      </c>
      <c r="C127" s="34" t="s">
        <v>338</v>
      </c>
      <c r="D127" s="34" t="s">
        <v>339</v>
      </c>
      <c r="E127" s="33"/>
      <c r="F127" s="33"/>
      <c r="G127" s="33"/>
      <c r="H127" s="33"/>
      <c r="I127" s="33"/>
      <c r="J127" s="33">
        <f t="shared" si="22"/>
        <v>0</v>
      </c>
      <c r="K127" s="58"/>
      <c r="L127" s="33">
        <f t="shared" si="17"/>
        <v>0</v>
      </c>
      <c r="M127" s="59">
        <v>11189319.59</v>
      </c>
      <c r="N127" s="59">
        <v>1022884.43</v>
      </c>
      <c r="O127" s="33">
        <f t="shared" si="18"/>
        <v>-11189319.59</v>
      </c>
      <c r="P127" s="33">
        <f t="shared" si="19"/>
        <v>-1022884.43</v>
      </c>
      <c r="Q127" s="33">
        <f t="shared" si="20"/>
        <v>0</v>
      </c>
      <c r="R127" s="33">
        <f t="shared" si="21"/>
        <v>0</v>
      </c>
      <c r="S127" s="33"/>
      <c r="T127" s="59">
        <v>12388266.76</v>
      </c>
      <c r="U127" s="33"/>
      <c r="V127" s="33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</row>
    <row r="128" ht="26" spans="1:38">
      <c r="A128" s="33">
        <v>8</v>
      </c>
      <c r="B128" s="33" t="s">
        <v>340</v>
      </c>
      <c r="C128" s="34" t="s">
        <v>341</v>
      </c>
      <c r="D128" s="34" t="s">
        <v>342</v>
      </c>
      <c r="E128" s="33"/>
      <c r="F128" s="33"/>
      <c r="G128" s="33"/>
      <c r="H128" s="33"/>
      <c r="I128" s="33"/>
      <c r="J128" s="33">
        <f t="shared" si="22"/>
        <v>0</v>
      </c>
      <c r="K128" s="58"/>
      <c r="L128" s="33">
        <f t="shared" si="17"/>
        <v>0</v>
      </c>
      <c r="M128" s="59">
        <v>183165.02</v>
      </c>
      <c r="N128" s="59">
        <v>5494.92</v>
      </c>
      <c r="O128" s="33">
        <f t="shared" si="18"/>
        <v>-183165.02</v>
      </c>
      <c r="P128" s="33">
        <f t="shared" si="19"/>
        <v>-5494.92</v>
      </c>
      <c r="Q128" s="33">
        <f t="shared" si="20"/>
        <v>0</v>
      </c>
      <c r="R128" s="33">
        <f t="shared" si="21"/>
        <v>1.2732925824821e-11</v>
      </c>
      <c r="S128" s="33"/>
      <c r="T128" s="59">
        <v>188659.94</v>
      </c>
      <c r="U128" s="33"/>
      <c r="V128" s="33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</row>
    <row r="129" ht="26" spans="1:38">
      <c r="A129" s="33">
        <v>9</v>
      </c>
      <c r="B129" s="33" t="s">
        <v>343</v>
      </c>
      <c r="C129" s="34" t="s">
        <v>344</v>
      </c>
      <c r="D129" s="34" t="s">
        <v>345</v>
      </c>
      <c r="E129" s="33"/>
      <c r="F129" s="33"/>
      <c r="G129" s="33"/>
      <c r="H129" s="33"/>
      <c r="I129" s="33"/>
      <c r="J129" s="33">
        <f t="shared" si="22"/>
        <v>0</v>
      </c>
      <c r="K129" s="58"/>
      <c r="L129" s="33">
        <f t="shared" si="17"/>
        <v>0</v>
      </c>
      <c r="M129" s="59">
        <v>213962.98</v>
      </c>
      <c r="N129" s="59">
        <v>4631.78</v>
      </c>
      <c r="O129" s="33">
        <f t="shared" si="18"/>
        <v>-213962.98</v>
      </c>
      <c r="P129" s="33">
        <f t="shared" si="19"/>
        <v>-4631.78</v>
      </c>
      <c r="Q129" s="33">
        <f t="shared" si="20"/>
        <v>0</v>
      </c>
      <c r="R129" s="33">
        <f t="shared" si="21"/>
        <v>0</v>
      </c>
      <c r="S129" s="33"/>
      <c r="T129" s="59">
        <v>218594.76</v>
      </c>
      <c r="U129" s="33"/>
      <c r="V129" s="33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</row>
    <row r="130" ht="26" spans="1:38">
      <c r="A130" s="33">
        <v>10</v>
      </c>
      <c r="B130" s="33" t="s">
        <v>346</v>
      </c>
      <c r="C130" s="34" t="s">
        <v>347</v>
      </c>
      <c r="D130" s="34" t="s">
        <v>348</v>
      </c>
      <c r="E130" s="33"/>
      <c r="F130" s="33"/>
      <c r="G130" s="33"/>
      <c r="H130" s="33"/>
      <c r="I130" s="33"/>
      <c r="J130" s="33">
        <f t="shared" si="22"/>
        <v>0</v>
      </c>
      <c r="K130" s="58"/>
      <c r="L130" s="33">
        <f t="shared" si="17"/>
        <v>0</v>
      </c>
      <c r="M130" s="59">
        <v>68419.1</v>
      </c>
      <c r="N130" s="59">
        <v>6157.73</v>
      </c>
      <c r="O130" s="33">
        <f t="shared" si="18"/>
        <v>-68419.1</v>
      </c>
      <c r="P130" s="33">
        <f t="shared" si="19"/>
        <v>-6157.73</v>
      </c>
      <c r="Q130" s="33">
        <f t="shared" si="20"/>
        <v>0</v>
      </c>
      <c r="R130" s="33">
        <f t="shared" si="21"/>
        <v>0</v>
      </c>
      <c r="S130" s="33"/>
      <c r="T130" s="59">
        <v>74576.83</v>
      </c>
      <c r="U130" s="33"/>
      <c r="V130" s="33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</row>
    <row r="131" ht="14" spans="1:38">
      <c r="A131" s="33">
        <v>11</v>
      </c>
      <c r="B131" s="33"/>
      <c r="C131" s="34"/>
      <c r="D131" s="34" t="s">
        <v>116</v>
      </c>
      <c r="E131" s="33"/>
      <c r="F131" s="33"/>
      <c r="G131" s="33"/>
      <c r="H131" s="33"/>
      <c r="I131" s="33"/>
      <c r="J131" s="33">
        <f t="shared" si="22"/>
        <v>0</v>
      </c>
      <c r="K131" s="58"/>
      <c r="L131" s="33">
        <f t="shared" si="17"/>
        <v>0</v>
      </c>
      <c r="M131" s="59">
        <v>-709.27</v>
      </c>
      <c r="N131" s="33"/>
      <c r="O131" s="33">
        <f t="shared" si="18"/>
        <v>709.27</v>
      </c>
      <c r="P131" s="33">
        <f t="shared" si="19"/>
        <v>0</v>
      </c>
      <c r="Q131" s="33">
        <f t="shared" si="20"/>
        <v>0</v>
      </c>
      <c r="R131" s="33">
        <f t="shared" si="21"/>
        <v>0</v>
      </c>
      <c r="S131" s="33"/>
      <c r="T131" s="33"/>
      <c r="U131" s="33"/>
      <c r="V131" s="33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</row>
    <row r="132" ht="14" spans="1:38">
      <c r="A132" s="33"/>
      <c r="B132" s="33"/>
      <c r="C132" s="34"/>
      <c r="D132" s="34"/>
      <c r="E132" s="33"/>
      <c r="F132" s="33"/>
      <c r="G132" s="33"/>
      <c r="H132" s="33"/>
      <c r="I132" s="33"/>
      <c r="J132" s="33">
        <f t="shared" si="22"/>
        <v>0</v>
      </c>
      <c r="K132" s="58"/>
      <c r="L132" s="33">
        <f t="shared" si="17"/>
        <v>0</v>
      </c>
      <c r="M132" s="59">
        <v>5438.34</v>
      </c>
      <c r="N132" s="33"/>
      <c r="O132" s="33">
        <f t="shared" si="18"/>
        <v>-5438.34</v>
      </c>
      <c r="P132" s="33">
        <f t="shared" si="19"/>
        <v>0</v>
      </c>
      <c r="Q132" s="33">
        <f t="shared" si="20"/>
        <v>0</v>
      </c>
      <c r="R132" s="33">
        <f t="shared" si="21"/>
        <v>0</v>
      </c>
      <c r="S132" s="33"/>
      <c r="T132" s="33"/>
      <c r="U132" s="33"/>
      <c r="V132" s="33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</row>
    <row r="133" ht="14" spans="1:38">
      <c r="A133" s="33">
        <v>12</v>
      </c>
      <c r="B133" s="33"/>
      <c r="C133" s="34"/>
      <c r="D133" s="34" t="s">
        <v>349</v>
      </c>
      <c r="E133" s="33"/>
      <c r="F133" s="33"/>
      <c r="G133" s="33"/>
      <c r="H133" s="33"/>
      <c r="I133" s="33"/>
      <c r="J133" s="33">
        <f t="shared" si="22"/>
        <v>0</v>
      </c>
      <c r="K133" s="58"/>
      <c r="L133" s="33">
        <f t="shared" si="17"/>
        <v>0</v>
      </c>
      <c r="M133" s="59">
        <v>30661.52</v>
      </c>
      <c r="N133" s="33"/>
      <c r="O133" s="33">
        <f t="shared" si="18"/>
        <v>-30661.52</v>
      </c>
      <c r="P133" s="33">
        <f t="shared" si="19"/>
        <v>0</v>
      </c>
      <c r="Q133" s="33">
        <f t="shared" si="20"/>
        <v>0</v>
      </c>
      <c r="R133" s="33">
        <f t="shared" si="21"/>
        <v>0</v>
      </c>
      <c r="S133" s="33"/>
      <c r="T133" s="33"/>
      <c r="U133" s="33"/>
      <c r="V133" s="33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</row>
    <row r="134" ht="14" spans="1:38">
      <c r="A134" s="28"/>
      <c r="B134" s="29"/>
      <c r="C134" s="29"/>
      <c r="D134" s="35" t="s">
        <v>117</v>
      </c>
      <c r="E134" s="100"/>
      <c r="F134" s="100"/>
      <c r="G134" s="100"/>
      <c r="H134" s="31"/>
      <c r="I134" s="31"/>
      <c r="J134" s="31"/>
      <c r="K134" s="55">
        <v>0</v>
      </c>
      <c r="L134" s="56">
        <f t="shared" si="17"/>
        <v>0</v>
      </c>
      <c r="M134" s="107"/>
      <c r="N134" s="107"/>
      <c r="O134" s="31">
        <f t="shared" si="18"/>
        <v>0</v>
      </c>
      <c r="P134" s="31">
        <f t="shared" si="19"/>
        <v>0</v>
      </c>
      <c r="Q134" s="31">
        <f t="shared" si="20"/>
        <v>0</v>
      </c>
      <c r="R134" s="31">
        <f t="shared" si="21"/>
        <v>0</v>
      </c>
      <c r="S134" s="67">
        <f>SUM(T134:V134)</f>
        <v>0</v>
      </c>
      <c r="T134" s="107"/>
      <c r="U134" s="107"/>
      <c r="V134" s="107"/>
      <c r="W134" s="107"/>
      <c r="X134" s="107"/>
      <c r="Y134" s="107"/>
      <c r="Z134" s="107"/>
      <c r="AA134" s="67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>
        <f>AB37/1.17*0.17+AC37/1.16*0.16+AD37/1.11*0.11+AE37/1.1*0.1+AF37/1.09*0.09+AI37/1.03*0.03</f>
        <v>0</v>
      </c>
      <c r="AL134" s="82"/>
    </row>
    <row r="135" ht="14" spans="1:38">
      <c r="A135" s="37"/>
      <c r="B135" s="38"/>
      <c r="C135" s="38"/>
      <c r="D135" s="101" t="s">
        <v>350</v>
      </c>
      <c r="E135" s="102"/>
      <c r="F135" s="102"/>
      <c r="G135" s="102"/>
      <c r="H135" s="40">
        <f t="shared" ref="H135:S135" si="23">SUM(H120:H134)</f>
        <v>0</v>
      </c>
      <c r="I135" s="40">
        <f t="shared" si="23"/>
        <v>0</v>
      </c>
      <c r="J135" s="40">
        <f t="shared" si="23"/>
        <v>0</v>
      </c>
      <c r="K135" s="40">
        <f t="shared" si="23"/>
        <v>0</v>
      </c>
      <c r="L135" s="108">
        <f t="shared" si="23"/>
        <v>0</v>
      </c>
      <c r="M135" s="40">
        <f t="shared" si="23"/>
        <v>21847365.22</v>
      </c>
      <c r="N135" s="40">
        <f t="shared" si="23"/>
        <v>2166157.39</v>
      </c>
      <c r="O135" s="40">
        <f t="shared" si="23"/>
        <v>-21847365.22</v>
      </c>
      <c r="P135" s="40">
        <f t="shared" si="23"/>
        <v>-2166157.39</v>
      </c>
      <c r="Q135" s="40">
        <f t="shared" si="23"/>
        <v>0</v>
      </c>
      <c r="R135" s="40">
        <f t="shared" si="23"/>
        <v>1.2732925824821e-11</v>
      </c>
      <c r="S135" s="40">
        <f t="shared" si="23"/>
        <v>0</v>
      </c>
      <c r="T135" s="40"/>
      <c r="U135" s="40"/>
      <c r="V135" s="40"/>
      <c r="W135" s="40"/>
      <c r="X135" s="40"/>
      <c r="Y135" s="40"/>
      <c r="Z135" s="40">
        <f>SUM(Z120:Z134)</f>
        <v>0</v>
      </c>
      <c r="AA135" s="40">
        <f>SUM(AA120:AA134)</f>
        <v>0</v>
      </c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81"/>
    </row>
    <row r="136" ht="14" spans="1:38">
      <c r="A136" s="28"/>
      <c r="B136" s="29"/>
      <c r="C136" s="29"/>
      <c r="D136" s="41" t="s">
        <v>351</v>
      </c>
      <c r="E136" s="36"/>
      <c r="F136" s="36"/>
      <c r="G136" s="36"/>
      <c r="H136" s="31"/>
      <c r="I136" s="31"/>
      <c r="J136" s="57">
        <v>0</v>
      </c>
      <c r="K136" s="55">
        <v>0</v>
      </c>
      <c r="L136" s="56">
        <f>J136-N136-P136</f>
        <v>0</v>
      </c>
      <c r="M136" s="57"/>
      <c r="N136" s="57"/>
      <c r="O136" s="31">
        <f t="shared" ref="O136:O184" si="24">L136-M136</f>
        <v>0</v>
      </c>
      <c r="P136" s="31">
        <f t="shared" ref="P136:P142" si="25">K136-N136</f>
        <v>0</v>
      </c>
      <c r="Q136" s="31">
        <f t="shared" ref="Q136:Q184" si="26">M136+O136</f>
        <v>0</v>
      </c>
      <c r="R136" s="31">
        <f t="shared" ref="R136:R142" si="27">M136+N136+O136+P136</f>
        <v>0</v>
      </c>
      <c r="S136" s="67">
        <f>SUM(T136:V136)</f>
        <v>0</v>
      </c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8"/>
      <c r="AL136" s="81"/>
    </row>
    <row r="137" ht="14" spans="1:38">
      <c r="A137" s="33">
        <v>1</v>
      </c>
      <c r="B137" s="33"/>
      <c r="C137" s="34"/>
      <c r="D137" s="34" t="s">
        <v>352</v>
      </c>
      <c r="E137" s="33"/>
      <c r="F137" s="33"/>
      <c r="G137" s="33"/>
      <c r="H137" s="33"/>
      <c r="I137" s="33"/>
      <c r="J137" s="33">
        <f>H137+I137</f>
        <v>0</v>
      </c>
      <c r="K137" s="58"/>
      <c r="L137" s="33">
        <f t="shared" ref="L137:L142" si="28">J137-K137</f>
        <v>0</v>
      </c>
      <c r="M137" s="59">
        <v>2060794.4</v>
      </c>
      <c r="N137" s="33"/>
      <c r="O137" s="33">
        <f t="shared" si="24"/>
        <v>-2060794.4</v>
      </c>
      <c r="P137" s="33">
        <f t="shared" si="25"/>
        <v>0</v>
      </c>
      <c r="Q137" s="33">
        <f t="shared" si="26"/>
        <v>0</v>
      </c>
      <c r="R137" s="33">
        <f t="shared" si="27"/>
        <v>0</v>
      </c>
      <c r="S137" s="33"/>
      <c r="T137" s="33"/>
      <c r="U137" s="33"/>
      <c r="V137" s="33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</row>
    <row r="138" ht="14" spans="1:38">
      <c r="A138" s="33">
        <v>2</v>
      </c>
      <c r="B138" s="33"/>
      <c r="C138" s="34"/>
      <c r="D138" s="34" t="s">
        <v>353</v>
      </c>
      <c r="E138" s="33"/>
      <c r="F138" s="33"/>
      <c r="G138" s="33"/>
      <c r="H138" s="33"/>
      <c r="I138" s="33"/>
      <c r="J138" s="33">
        <f>H138+I138</f>
        <v>0</v>
      </c>
      <c r="K138" s="58"/>
      <c r="L138" s="33">
        <f t="shared" si="28"/>
        <v>0</v>
      </c>
      <c r="M138" s="59">
        <v>4351039.99</v>
      </c>
      <c r="N138" s="33"/>
      <c r="O138" s="33">
        <f t="shared" si="24"/>
        <v>-4351039.99</v>
      </c>
      <c r="P138" s="33">
        <f t="shared" si="25"/>
        <v>0</v>
      </c>
      <c r="Q138" s="33">
        <f t="shared" si="26"/>
        <v>0</v>
      </c>
      <c r="R138" s="33">
        <f t="shared" si="27"/>
        <v>0</v>
      </c>
      <c r="S138" s="33"/>
      <c r="T138" s="33"/>
      <c r="U138" s="33"/>
      <c r="V138" s="33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</row>
    <row r="139" ht="14" spans="1:38">
      <c r="A139" s="33">
        <v>3</v>
      </c>
      <c r="B139" s="33"/>
      <c r="C139" s="34"/>
      <c r="D139" s="34" t="s">
        <v>354</v>
      </c>
      <c r="E139" s="33"/>
      <c r="F139" s="33"/>
      <c r="G139" s="33"/>
      <c r="H139" s="33"/>
      <c r="I139" s="33"/>
      <c r="J139" s="33">
        <f>H139+I139</f>
        <v>0</v>
      </c>
      <c r="K139" s="58"/>
      <c r="L139" s="33">
        <f t="shared" si="28"/>
        <v>0</v>
      </c>
      <c r="M139" s="59">
        <v>1165.05</v>
      </c>
      <c r="N139" s="33"/>
      <c r="O139" s="33">
        <f t="shared" si="24"/>
        <v>-1165.05</v>
      </c>
      <c r="P139" s="33">
        <f t="shared" si="25"/>
        <v>0</v>
      </c>
      <c r="Q139" s="33">
        <f t="shared" si="26"/>
        <v>0</v>
      </c>
      <c r="R139" s="33">
        <f t="shared" si="27"/>
        <v>0</v>
      </c>
      <c r="S139" s="33"/>
      <c r="T139" s="33"/>
      <c r="U139" s="33"/>
      <c r="V139" s="33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</row>
    <row r="140" ht="14" spans="1:38">
      <c r="A140" s="33">
        <v>4</v>
      </c>
      <c r="B140" s="33"/>
      <c r="C140" s="34"/>
      <c r="D140" s="34" t="s">
        <v>355</v>
      </c>
      <c r="E140" s="33"/>
      <c r="F140" s="33"/>
      <c r="G140" s="33"/>
      <c r="H140" s="33"/>
      <c r="I140" s="33"/>
      <c r="J140" s="33">
        <f>H140+I140</f>
        <v>0</v>
      </c>
      <c r="K140" s="58"/>
      <c r="L140" s="33">
        <f t="shared" si="28"/>
        <v>0</v>
      </c>
      <c r="M140" s="59">
        <v>2298882.29</v>
      </c>
      <c r="N140" s="33"/>
      <c r="O140" s="33">
        <f t="shared" si="24"/>
        <v>-2298882.29</v>
      </c>
      <c r="P140" s="33">
        <f t="shared" si="25"/>
        <v>0</v>
      </c>
      <c r="Q140" s="33">
        <f t="shared" si="26"/>
        <v>0</v>
      </c>
      <c r="R140" s="33">
        <f t="shared" si="27"/>
        <v>0</v>
      </c>
      <c r="S140" s="33"/>
      <c r="T140" s="33"/>
      <c r="U140" s="33"/>
      <c r="V140" s="33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</row>
    <row r="141" ht="14" spans="1:38">
      <c r="A141" s="33">
        <v>5</v>
      </c>
      <c r="B141" s="33"/>
      <c r="C141" s="34"/>
      <c r="D141" s="34" t="s">
        <v>356</v>
      </c>
      <c r="E141" s="33"/>
      <c r="F141" s="33"/>
      <c r="G141" s="33"/>
      <c r="H141" s="33"/>
      <c r="I141" s="33"/>
      <c r="J141" s="33">
        <f>H141+I141</f>
        <v>0</v>
      </c>
      <c r="K141" s="58"/>
      <c r="L141" s="33">
        <f t="shared" si="28"/>
        <v>0</v>
      </c>
      <c r="M141" s="59">
        <v>8300988.65</v>
      </c>
      <c r="N141" s="33"/>
      <c r="O141" s="33">
        <f t="shared" si="24"/>
        <v>-8300988.65</v>
      </c>
      <c r="P141" s="33">
        <f t="shared" si="25"/>
        <v>0</v>
      </c>
      <c r="Q141" s="33">
        <f t="shared" si="26"/>
        <v>0</v>
      </c>
      <c r="R141" s="33">
        <f t="shared" si="27"/>
        <v>0</v>
      </c>
      <c r="S141" s="33"/>
      <c r="T141" s="33"/>
      <c r="U141" s="33"/>
      <c r="V141" s="33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</row>
    <row r="142" ht="14" spans="1:38">
      <c r="A142" s="28"/>
      <c r="B142" s="29"/>
      <c r="C142" s="29"/>
      <c r="D142" s="35" t="s">
        <v>117</v>
      </c>
      <c r="E142" s="36"/>
      <c r="F142" s="36"/>
      <c r="G142" s="36"/>
      <c r="H142" s="31"/>
      <c r="I142" s="31"/>
      <c r="J142" s="57"/>
      <c r="K142" s="55"/>
      <c r="L142" s="56">
        <f t="shared" si="28"/>
        <v>0</v>
      </c>
      <c r="M142" s="106"/>
      <c r="N142" s="106"/>
      <c r="O142" s="31">
        <f t="shared" si="24"/>
        <v>0</v>
      </c>
      <c r="P142" s="31">
        <f t="shared" si="25"/>
        <v>0</v>
      </c>
      <c r="Q142" s="31">
        <f t="shared" si="26"/>
        <v>0</v>
      </c>
      <c r="R142" s="31">
        <f t="shared" si="27"/>
        <v>0</v>
      </c>
      <c r="S142" s="67">
        <f>SUM(T142:V142)</f>
        <v>0</v>
      </c>
      <c r="T142" s="106"/>
      <c r="U142" s="106"/>
      <c r="V142" s="106"/>
      <c r="W142" s="106"/>
      <c r="X142" s="106"/>
      <c r="Y142" s="106"/>
      <c r="Z142" s="31">
        <f>SUM(AA45:AJ45)</f>
        <v>0</v>
      </c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8"/>
      <c r="AL142" s="81"/>
    </row>
    <row r="143" ht="14" spans="1:38">
      <c r="A143" s="103"/>
      <c r="B143" s="104"/>
      <c r="C143" s="104"/>
      <c r="D143" s="101" t="s">
        <v>357</v>
      </c>
      <c r="E143" s="105"/>
      <c r="F143" s="105"/>
      <c r="G143" s="105"/>
      <c r="H143" s="40">
        <f t="shared" ref="H143:N143" si="29">SUM(H136:H142)</f>
        <v>0</v>
      </c>
      <c r="I143" s="40">
        <f t="shared" si="29"/>
        <v>0</v>
      </c>
      <c r="J143" s="40">
        <f t="shared" si="29"/>
        <v>0</v>
      </c>
      <c r="K143" s="40">
        <f t="shared" si="29"/>
        <v>0</v>
      </c>
      <c r="L143" s="108">
        <f t="shared" si="29"/>
        <v>0</v>
      </c>
      <c r="M143" s="40">
        <f t="shared" si="29"/>
        <v>17012870.38</v>
      </c>
      <c r="N143" s="40">
        <f t="shared" si="29"/>
        <v>0</v>
      </c>
      <c r="O143" s="40">
        <f t="shared" si="24"/>
        <v>-17012870.38</v>
      </c>
      <c r="P143" s="40">
        <f>SUM(P136:P142)</f>
        <v>0</v>
      </c>
      <c r="Q143" s="40">
        <f t="shared" si="26"/>
        <v>0</v>
      </c>
      <c r="R143" s="40">
        <f>SUM(R136:R142)</f>
        <v>0</v>
      </c>
      <c r="S143" s="40">
        <f>SUM(S136:S142)</f>
        <v>0</v>
      </c>
      <c r="T143" s="40"/>
      <c r="U143" s="40"/>
      <c r="V143" s="40"/>
      <c r="W143" s="40"/>
      <c r="X143" s="40"/>
      <c r="Y143" s="40"/>
      <c r="Z143" s="40">
        <f t="shared" ref="Z143:AF143" si="30">SUM(Z136:Z142)</f>
        <v>0</v>
      </c>
      <c r="AA143" s="40">
        <f t="shared" si="30"/>
        <v>0</v>
      </c>
      <c r="AB143" s="40">
        <f t="shared" si="30"/>
        <v>0</v>
      </c>
      <c r="AC143" s="40">
        <f t="shared" si="30"/>
        <v>0</v>
      </c>
      <c r="AD143" s="40">
        <f t="shared" si="30"/>
        <v>0</v>
      </c>
      <c r="AE143" s="40">
        <f t="shared" si="30"/>
        <v>0</v>
      </c>
      <c r="AF143" s="40">
        <f t="shared" si="30"/>
        <v>0</v>
      </c>
      <c r="AG143" s="40"/>
      <c r="AH143" s="40"/>
      <c r="AI143" s="40">
        <f>SUM(AI136:AI142)</f>
        <v>0</v>
      </c>
      <c r="AJ143" s="40">
        <f>SUM(AJ136:AJ142)</f>
        <v>0</v>
      </c>
      <c r="AK143" s="40">
        <f>SUM(AK136:AK142)</f>
        <v>0</v>
      </c>
      <c r="AL143" s="81"/>
    </row>
    <row r="144" ht="14" spans="1:38">
      <c r="A144" s="28"/>
      <c r="B144" s="29"/>
      <c r="C144" s="29"/>
      <c r="D144" s="41" t="s">
        <v>358</v>
      </c>
      <c r="E144" s="36"/>
      <c r="F144" s="36"/>
      <c r="G144" s="36"/>
      <c r="H144" s="57"/>
      <c r="I144" s="31"/>
      <c r="J144" s="31">
        <v>0</v>
      </c>
      <c r="K144" s="55">
        <v>0</v>
      </c>
      <c r="L144" s="56">
        <f>J144-N144-P144</f>
        <v>0</v>
      </c>
      <c r="M144" s="57"/>
      <c r="N144" s="57"/>
      <c r="O144" s="31">
        <f t="shared" si="24"/>
        <v>0</v>
      </c>
      <c r="P144" s="31">
        <f t="shared" ref="P144:P184" si="31">K144-N144</f>
        <v>0</v>
      </c>
      <c r="Q144" s="31">
        <f t="shared" si="26"/>
        <v>0</v>
      </c>
      <c r="R144" s="31">
        <f t="shared" ref="R144:R184" si="32">M144+N144+O144+P144</f>
        <v>0</v>
      </c>
      <c r="S144" s="67">
        <f>SUM(T144:V144)</f>
        <v>0</v>
      </c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8"/>
      <c r="AL144" s="81"/>
    </row>
    <row r="145" ht="14" spans="1:38">
      <c r="A145" s="33">
        <v>1</v>
      </c>
      <c r="B145" s="33"/>
      <c r="C145" s="34"/>
      <c r="D145" s="34" t="s">
        <v>116</v>
      </c>
      <c r="E145" s="33"/>
      <c r="F145" s="33"/>
      <c r="G145" s="33"/>
      <c r="H145" s="33"/>
      <c r="I145" s="33"/>
      <c r="J145" s="33">
        <f t="shared" ref="J145:J183" si="33">H145+I145</f>
        <v>0</v>
      </c>
      <c r="K145" s="58"/>
      <c r="L145" s="33">
        <f t="shared" ref="L145:L183" si="34">J145-K145</f>
        <v>0</v>
      </c>
      <c r="M145" s="59">
        <v>73932.02</v>
      </c>
      <c r="N145" s="33"/>
      <c r="O145" s="33">
        <f t="shared" si="24"/>
        <v>-73932.02</v>
      </c>
      <c r="P145" s="33">
        <f t="shared" si="31"/>
        <v>0</v>
      </c>
      <c r="Q145" s="33">
        <f t="shared" si="26"/>
        <v>0</v>
      </c>
      <c r="R145" s="33">
        <f t="shared" si="32"/>
        <v>0</v>
      </c>
      <c r="S145" s="33"/>
      <c r="T145" s="33"/>
      <c r="U145" s="33"/>
      <c r="V145" s="33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</row>
    <row r="146" ht="14" spans="1:38">
      <c r="A146" s="33">
        <v>2</v>
      </c>
      <c r="B146" s="33"/>
      <c r="C146" s="34"/>
      <c r="D146" s="34" t="s">
        <v>359</v>
      </c>
      <c r="E146" s="33"/>
      <c r="F146" s="33"/>
      <c r="G146" s="33"/>
      <c r="H146" s="33"/>
      <c r="I146" s="33"/>
      <c r="J146" s="33">
        <f t="shared" si="33"/>
        <v>0</v>
      </c>
      <c r="K146" s="58"/>
      <c r="L146" s="33">
        <f t="shared" si="34"/>
        <v>0</v>
      </c>
      <c r="M146" s="59">
        <v>220.88</v>
      </c>
      <c r="N146" s="33"/>
      <c r="O146" s="33">
        <f t="shared" si="24"/>
        <v>-220.88</v>
      </c>
      <c r="P146" s="33">
        <f t="shared" si="31"/>
        <v>0</v>
      </c>
      <c r="Q146" s="33">
        <f t="shared" si="26"/>
        <v>0</v>
      </c>
      <c r="R146" s="33">
        <f t="shared" si="32"/>
        <v>0</v>
      </c>
      <c r="S146" s="33"/>
      <c r="T146" s="33"/>
      <c r="U146" s="33"/>
      <c r="V146" s="33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</row>
    <row r="147" ht="14" spans="1:38">
      <c r="A147" s="33">
        <v>3</v>
      </c>
      <c r="B147" s="33"/>
      <c r="C147" s="34"/>
      <c r="D147" s="34" t="s">
        <v>360</v>
      </c>
      <c r="E147" s="33"/>
      <c r="F147" s="33"/>
      <c r="G147" s="33"/>
      <c r="H147" s="33"/>
      <c r="I147" s="33"/>
      <c r="J147" s="33">
        <f t="shared" si="33"/>
        <v>0</v>
      </c>
      <c r="K147" s="58"/>
      <c r="L147" s="33">
        <f t="shared" si="34"/>
        <v>0</v>
      </c>
      <c r="M147" s="59">
        <v>186548.56</v>
      </c>
      <c r="N147" s="33"/>
      <c r="O147" s="33">
        <f t="shared" si="24"/>
        <v>-186548.56</v>
      </c>
      <c r="P147" s="33">
        <f t="shared" si="31"/>
        <v>0</v>
      </c>
      <c r="Q147" s="33">
        <f t="shared" si="26"/>
        <v>0</v>
      </c>
      <c r="R147" s="33">
        <f t="shared" si="32"/>
        <v>0</v>
      </c>
      <c r="S147" s="33"/>
      <c r="T147" s="33"/>
      <c r="U147" s="33"/>
      <c r="V147" s="33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</row>
    <row r="148" ht="14" spans="1:38">
      <c r="A148" s="33">
        <v>4</v>
      </c>
      <c r="B148" s="33"/>
      <c r="C148" s="34"/>
      <c r="D148" s="34" t="s">
        <v>361</v>
      </c>
      <c r="E148" s="33"/>
      <c r="F148" s="33"/>
      <c r="G148" s="33"/>
      <c r="H148" s="33"/>
      <c r="I148" s="33"/>
      <c r="J148" s="33">
        <f t="shared" si="33"/>
        <v>0</v>
      </c>
      <c r="K148" s="58"/>
      <c r="L148" s="33">
        <f t="shared" si="34"/>
        <v>0</v>
      </c>
      <c r="M148" s="59">
        <v>5867.37</v>
      </c>
      <c r="N148" s="33"/>
      <c r="O148" s="33">
        <f t="shared" si="24"/>
        <v>-5867.37</v>
      </c>
      <c r="P148" s="33">
        <f t="shared" si="31"/>
        <v>0</v>
      </c>
      <c r="Q148" s="33">
        <f t="shared" si="26"/>
        <v>0</v>
      </c>
      <c r="R148" s="33">
        <f t="shared" si="32"/>
        <v>0</v>
      </c>
      <c r="S148" s="33"/>
      <c r="T148" s="33"/>
      <c r="U148" s="33"/>
      <c r="V148" s="33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</row>
    <row r="149" ht="14" spans="1:38">
      <c r="A149" s="33">
        <v>5</v>
      </c>
      <c r="B149" s="33"/>
      <c r="C149" s="34"/>
      <c r="D149" s="34" t="s">
        <v>362</v>
      </c>
      <c r="E149" s="33"/>
      <c r="F149" s="33"/>
      <c r="G149" s="33"/>
      <c r="H149" s="33"/>
      <c r="I149" s="33"/>
      <c r="J149" s="33">
        <f t="shared" si="33"/>
        <v>0</v>
      </c>
      <c r="K149" s="58"/>
      <c r="L149" s="33">
        <f t="shared" si="34"/>
        <v>0</v>
      </c>
      <c r="M149" s="59">
        <v>921583.74</v>
      </c>
      <c r="N149" s="33"/>
      <c r="O149" s="33">
        <f t="shared" si="24"/>
        <v>-921583.74</v>
      </c>
      <c r="P149" s="33">
        <f t="shared" si="31"/>
        <v>0</v>
      </c>
      <c r="Q149" s="33">
        <f t="shared" si="26"/>
        <v>0</v>
      </c>
      <c r="R149" s="33">
        <f t="shared" si="32"/>
        <v>0</v>
      </c>
      <c r="S149" s="33"/>
      <c r="T149" s="33"/>
      <c r="U149" s="33"/>
      <c r="V149" s="33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</row>
    <row r="150" ht="14" spans="1:38">
      <c r="A150" s="33">
        <v>6</v>
      </c>
      <c r="B150" s="33"/>
      <c r="C150" s="34"/>
      <c r="D150" s="34" t="s">
        <v>352</v>
      </c>
      <c r="E150" s="33"/>
      <c r="F150" s="33"/>
      <c r="G150" s="33"/>
      <c r="H150" s="33"/>
      <c r="I150" s="33"/>
      <c r="J150" s="33">
        <f t="shared" si="33"/>
        <v>0</v>
      </c>
      <c r="K150" s="58"/>
      <c r="L150" s="33">
        <f t="shared" si="34"/>
        <v>0</v>
      </c>
      <c r="M150" s="59">
        <v>4245.28</v>
      </c>
      <c r="N150" s="33"/>
      <c r="O150" s="33">
        <f t="shared" si="24"/>
        <v>-4245.28</v>
      </c>
      <c r="P150" s="33">
        <f t="shared" si="31"/>
        <v>0</v>
      </c>
      <c r="Q150" s="33">
        <f t="shared" si="26"/>
        <v>0</v>
      </c>
      <c r="R150" s="33">
        <f t="shared" si="32"/>
        <v>0</v>
      </c>
      <c r="S150" s="33"/>
      <c r="T150" s="33"/>
      <c r="U150" s="33"/>
      <c r="V150" s="33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</row>
    <row r="151" ht="14" spans="1:38">
      <c r="A151" s="33">
        <v>7</v>
      </c>
      <c r="B151" s="33"/>
      <c r="C151" s="34"/>
      <c r="D151" s="34" t="s">
        <v>363</v>
      </c>
      <c r="E151" s="33"/>
      <c r="F151" s="33"/>
      <c r="G151" s="33"/>
      <c r="H151" s="33"/>
      <c r="I151" s="33"/>
      <c r="J151" s="33">
        <f t="shared" si="33"/>
        <v>0</v>
      </c>
      <c r="K151" s="58"/>
      <c r="L151" s="33">
        <f t="shared" si="34"/>
        <v>0</v>
      </c>
      <c r="M151" s="59">
        <v>27769.38</v>
      </c>
      <c r="N151" s="33"/>
      <c r="O151" s="33">
        <f t="shared" si="24"/>
        <v>-27769.38</v>
      </c>
      <c r="P151" s="33">
        <f t="shared" si="31"/>
        <v>0</v>
      </c>
      <c r="Q151" s="33">
        <f t="shared" si="26"/>
        <v>0</v>
      </c>
      <c r="R151" s="33">
        <f t="shared" si="32"/>
        <v>0</v>
      </c>
      <c r="S151" s="33"/>
      <c r="T151" s="33"/>
      <c r="U151" s="33"/>
      <c r="V151" s="33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</row>
    <row r="152" ht="14" spans="1:38">
      <c r="A152" s="33">
        <v>8</v>
      </c>
      <c r="B152" s="33"/>
      <c r="C152" s="34"/>
      <c r="D152" s="34" t="s">
        <v>353</v>
      </c>
      <c r="E152" s="33"/>
      <c r="F152" s="33"/>
      <c r="G152" s="33"/>
      <c r="H152" s="33"/>
      <c r="I152" s="33"/>
      <c r="J152" s="33">
        <f t="shared" si="33"/>
        <v>0</v>
      </c>
      <c r="K152" s="58"/>
      <c r="L152" s="33">
        <f t="shared" si="34"/>
        <v>0</v>
      </c>
      <c r="M152" s="59">
        <v>445466.64</v>
      </c>
      <c r="N152" s="33"/>
      <c r="O152" s="33">
        <f t="shared" si="24"/>
        <v>-445466.64</v>
      </c>
      <c r="P152" s="33">
        <f t="shared" si="31"/>
        <v>0</v>
      </c>
      <c r="Q152" s="33">
        <f t="shared" si="26"/>
        <v>0</v>
      </c>
      <c r="R152" s="33">
        <f t="shared" si="32"/>
        <v>0</v>
      </c>
      <c r="S152" s="33"/>
      <c r="T152" s="33"/>
      <c r="U152" s="33"/>
      <c r="V152" s="33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</row>
    <row r="153" ht="14" spans="1:38">
      <c r="A153" s="33">
        <v>9</v>
      </c>
      <c r="B153" s="33"/>
      <c r="C153" s="34"/>
      <c r="D153" s="34" t="s">
        <v>364</v>
      </c>
      <c r="E153" s="33"/>
      <c r="F153" s="33"/>
      <c r="G153" s="33"/>
      <c r="H153" s="33"/>
      <c r="I153" s="33"/>
      <c r="J153" s="33">
        <f t="shared" si="33"/>
        <v>0</v>
      </c>
      <c r="K153" s="58"/>
      <c r="L153" s="33">
        <f t="shared" si="34"/>
        <v>0</v>
      </c>
      <c r="M153" s="59">
        <v>87.84</v>
      </c>
      <c r="N153" s="33"/>
      <c r="O153" s="33">
        <f t="shared" si="24"/>
        <v>-87.84</v>
      </c>
      <c r="P153" s="33">
        <f t="shared" si="31"/>
        <v>0</v>
      </c>
      <c r="Q153" s="33">
        <f t="shared" si="26"/>
        <v>0</v>
      </c>
      <c r="R153" s="33">
        <f t="shared" si="32"/>
        <v>0</v>
      </c>
      <c r="S153" s="33"/>
      <c r="T153" s="33"/>
      <c r="U153" s="33"/>
      <c r="V153" s="33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</row>
    <row r="154" ht="14" spans="1:38">
      <c r="A154" s="33">
        <v>10</v>
      </c>
      <c r="B154" s="33"/>
      <c r="C154" s="34"/>
      <c r="D154" s="34" t="s">
        <v>365</v>
      </c>
      <c r="E154" s="33"/>
      <c r="F154" s="33"/>
      <c r="G154" s="33"/>
      <c r="H154" s="33"/>
      <c r="I154" s="33"/>
      <c r="J154" s="33">
        <f t="shared" si="33"/>
        <v>0</v>
      </c>
      <c r="K154" s="58"/>
      <c r="L154" s="33">
        <f t="shared" si="34"/>
        <v>0</v>
      </c>
      <c r="M154" s="59">
        <v>112428.15</v>
      </c>
      <c r="N154" s="33"/>
      <c r="O154" s="33">
        <f t="shared" si="24"/>
        <v>-112428.15</v>
      </c>
      <c r="P154" s="33">
        <f t="shared" si="31"/>
        <v>0</v>
      </c>
      <c r="Q154" s="33">
        <f t="shared" si="26"/>
        <v>0</v>
      </c>
      <c r="R154" s="33">
        <f t="shared" si="32"/>
        <v>0</v>
      </c>
      <c r="S154" s="33"/>
      <c r="T154" s="33"/>
      <c r="U154" s="33"/>
      <c r="V154" s="33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</row>
    <row r="155" ht="14" spans="1:38">
      <c r="A155" s="33">
        <v>11</v>
      </c>
      <c r="B155" s="33"/>
      <c r="C155" s="34"/>
      <c r="D155" s="34" t="s">
        <v>366</v>
      </c>
      <c r="E155" s="33"/>
      <c r="F155" s="33"/>
      <c r="G155" s="33"/>
      <c r="H155" s="33"/>
      <c r="I155" s="33"/>
      <c r="J155" s="33">
        <f t="shared" si="33"/>
        <v>0</v>
      </c>
      <c r="K155" s="58"/>
      <c r="L155" s="33">
        <f t="shared" si="34"/>
        <v>0</v>
      </c>
      <c r="M155" s="59">
        <v>607692.39</v>
      </c>
      <c r="N155" s="33"/>
      <c r="O155" s="33">
        <f t="shared" si="24"/>
        <v>-607692.39</v>
      </c>
      <c r="P155" s="33">
        <f t="shared" si="31"/>
        <v>0</v>
      </c>
      <c r="Q155" s="33">
        <f t="shared" si="26"/>
        <v>0</v>
      </c>
      <c r="R155" s="33">
        <f t="shared" si="32"/>
        <v>0</v>
      </c>
      <c r="S155" s="33"/>
      <c r="T155" s="33"/>
      <c r="U155" s="33"/>
      <c r="V155" s="33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</row>
    <row r="156" ht="14" spans="1:38">
      <c r="A156" s="33">
        <v>12</v>
      </c>
      <c r="B156" s="33"/>
      <c r="C156" s="34"/>
      <c r="D156" s="34" t="s">
        <v>367</v>
      </c>
      <c r="E156" s="33"/>
      <c r="F156" s="33"/>
      <c r="G156" s="33"/>
      <c r="H156" s="33"/>
      <c r="I156" s="33"/>
      <c r="J156" s="33">
        <f t="shared" si="33"/>
        <v>0</v>
      </c>
      <c r="K156" s="58"/>
      <c r="L156" s="33">
        <f t="shared" si="34"/>
        <v>0</v>
      </c>
      <c r="M156" s="59">
        <v>453554.98</v>
      </c>
      <c r="N156" s="33"/>
      <c r="O156" s="33">
        <f t="shared" si="24"/>
        <v>-453554.98</v>
      </c>
      <c r="P156" s="33">
        <f t="shared" si="31"/>
        <v>0</v>
      </c>
      <c r="Q156" s="33">
        <f t="shared" si="26"/>
        <v>0</v>
      </c>
      <c r="R156" s="33">
        <f t="shared" si="32"/>
        <v>0</v>
      </c>
      <c r="S156" s="33"/>
      <c r="T156" s="33"/>
      <c r="U156" s="33"/>
      <c r="V156" s="33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</row>
    <row r="157" ht="14" spans="1:38">
      <c r="A157" s="33">
        <v>13</v>
      </c>
      <c r="B157" s="33"/>
      <c r="C157" s="34"/>
      <c r="D157" s="34" t="s">
        <v>368</v>
      </c>
      <c r="E157" s="33"/>
      <c r="F157" s="33"/>
      <c r="G157" s="33"/>
      <c r="H157" s="33"/>
      <c r="I157" s="33"/>
      <c r="J157" s="33">
        <f t="shared" si="33"/>
        <v>0</v>
      </c>
      <c r="K157" s="58"/>
      <c r="L157" s="33">
        <f t="shared" si="34"/>
        <v>0</v>
      </c>
      <c r="M157" s="59">
        <v>1111816.95</v>
      </c>
      <c r="N157" s="33"/>
      <c r="O157" s="33">
        <f t="shared" si="24"/>
        <v>-1111816.95</v>
      </c>
      <c r="P157" s="33">
        <f t="shared" si="31"/>
        <v>0</v>
      </c>
      <c r="Q157" s="33">
        <f t="shared" si="26"/>
        <v>0</v>
      </c>
      <c r="R157" s="33">
        <f t="shared" si="32"/>
        <v>0</v>
      </c>
      <c r="S157" s="33"/>
      <c r="T157" s="33"/>
      <c r="U157" s="33"/>
      <c r="V157" s="33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</row>
    <row r="158" ht="14" spans="1:38">
      <c r="A158" s="33">
        <v>14</v>
      </c>
      <c r="B158" s="33"/>
      <c r="C158" s="34"/>
      <c r="D158" s="34" t="s">
        <v>369</v>
      </c>
      <c r="E158" s="33"/>
      <c r="F158" s="33"/>
      <c r="G158" s="33"/>
      <c r="H158" s="33"/>
      <c r="I158" s="33"/>
      <c r="J158" s="33">
        <f t="shared" si="33"/>
        <v>0</v>
      </c>
      <c r="K158" s="58"/>
      <c r="L158" s="33">
        <f t="shared" si="34"/>
        <v>0</v>
      </c>
      <c r="M158" s="59">
        <v>28860.18</v>
      </c>
      <c r="N158" s="33"/>
      <c r="O158" s="33">
        <f t="shared" si="24"/>
        <v>-28860.18</v>
      </c>
      <c r="P158" s="33">
        <f t="shared" si="31"/>
        <v>0</v>
      </c>
      <c r="Q158" s="33">
        <f t="shared" si="26"/>
        <v>0</v>
      </c>
      <c r="R158" s="33">
        <f t="shared" si="32"/>
        <v>0</v>
      </c>
      <c r="S158" s="33"/>
      <c r="T158" s="33"/>
      <c r="U158" s="33"/>
      <c r="V158" s="33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</row>
    <row r="159" ht="14" spans="1:38">
      <c r="A159" s="33">
        <v>15</v>
      </c>
      <c r="B159" s="33"/>
      <c r="C159" s="34"/>
      <c r="D159" s="34" t="s">
        <v>370</v>
      </c>
      <c r="E159" s="33"/>
      <c r="F159" s="33"/>
      <c r="G159" s="33"/>
      <c r="H159" s="33"/>
      <c r="I159" s="33"/>
      <c r="J159" s="33">
        <f t="shared" si="33"/>
        <v>0</v>
      </c>
      <c r="K159" s="58"/>
      <c r="L159" s="33">
        <f t="shared" si="34"/>
        <v>0</v>
      </c>
      <c r="M159" s="59">
        <v>45975.32</v>
      </c>
      <c r="N159" s="33"/>
      <c r="O159" s="33">
        <f t="shared" si="24"/>
        <v>-45975.32</v>
      </c>
      <c r="P159" s="33">
        <f t="shared" si="31"/>
        <v>0</v>
      </c>
      <c r="Q159" s="33">
        <f t="shared" si="26"/>
        <v>0</v>
      </c>
      <c r="R159" s="33">
        <f t="shared" si="32"/>
        <v>0</v>
      </c>
      <c r="S159" s="33"/>
      <c r="T159" s="33"/>
      <c r="U159" s="33"/>
      <c r="V159" s="33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</row>
    <row r="160" ht="14" spans="1:38">
      <c r="A160" s="33">
        <v>16</v>
      </c>
      <c r="B160" s="33"/>
      <c r="C160" s="34"/>
      <c r="D160" s="34" t="s">
        <v>371</v>
      </c>
      <c r="E160" s="33"/>
      <c r="F160" s="33"/>
      <c r="G160" s="33"/>
      <c r="H160" s="33"/>
      <c r="I160" s="33"/>
      <c r="J160" s="33">
        <f t="shared" si="33"/>
        <v>0</v>
      </c>
      <c r="K160" s="58"/>
      <c r="L160" s="33">
        <f t="shared" si="34"/>
        <v>0</v>
      </c>
      <c r="M160" s="59">
        <v>150995.69</v>
      </c>
      <c r="N160" s="33"/>
      <c r="O160" s="33">
        <f t="shared" si="24"/>
        <v>-150995.69</v>
      </c>
      <c r="P160" s="33">
        <f t="shared" si="31"/>
        <v>0</v>
      </c>
      <c r="Q160" s="33">
        <f t="shared" si="26"/>
        <v>0</v>
      </c>
      <c r="R160" s="33">
        <f t="shared" si="32"/>
        <v>0</v>
      </c>
      <c r="S160" s="33"/>
      <c r="T160" s="33"/>
      <c r="U160" s="33"/>
      <c r="V160" s="33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</row>
    <row r="161" ht="14" spans="1:38">
      <c r="A161" s="33">
        <v>17</v>
      </c>
      <c r="B161" s="33"/>
      <c r="C161" s="34"/>
      <c r="D161" s="34" t="s">
        <v>372</v>
      </c>
      <c r="E161" s="33"/>
      <c r="F161" s="33"/>
      <c r="G161" s="33"/>
      <c r="H161" s="33"/>
      <c r="I161" s="33"/>
      <c r="J161" s="33">
        <f t="shared" si="33"/>
        <v>0</v>
      </c>
      <c r="K161" s="58"/>
      <c r="L161" s="33">
        <f t="shared" si="34"/>
        <v>0</v>
      </c>
      <c r="M161" s="59">
        <v>43560.14</v>
      </c>
      <c r="N161" s="33"/>
      <c r="O161" s="33">
        <f t="shared" si="24"/>
        <v>-43560.14</v>
      </c>
      <c r="P161" s="33">
        <f t="shared" si="31"/>
        <v>0</v>
      </c>
      <c r="Q161" s="33">
        <f t="shared" si="26"/>
        <v>0</v>
      </c>
      <c r="R161" s="33">
        <f t="shared" si="32"/>
        <v>0</v>
      </c>
      <c r="S161" s="33"/>
      <c r="T161" s="33"/>
      <c r="U161" s="33"/>
      <c r="V161" s="33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</row>
    <row r="162" ht="14" spans="1:38">
      <c r="A162" s="33">
        <v>18</v>
      </c>
      <c r="B162" s="33"/>
      <c r="C162" s="34"/>
      <c r="D162" s="34" t="s">
        <v>373</v>
      </c>
      <c r="E162" s="33"/>
      <c r="F162" s="33"/>
      <c r="G162" s="33"/>
      <c r="H162" s="33"/>
      <c r="I162" s="33"/>
      <c r="J162" s="33">
        <f t="shared" si="33"/>
        <v>0</v>
      </c>
      <c r="K162" s="58"/>
      <c r="L162" s="33">
        <f t="shared" si="34"/>
        <v>0</v>
      </c>
      <c r="M162" s="59">
        <v>21079637.05</v>
      </c>
      <c r="N162" s="33"/>
      <c r="O162" s="33">
        <f t="shared" si="24"/>
        <v>-21079637.05</v>
      </c>
      <c r="P162" s="33">
        <f t="shared" si="31"/>
        <v>0</v>
      </c>
      <c r="Q162" s="33">
        <f t="shared" si="26"/>
        <v>0</v>
      </c>
      <c r="R162" s="33">
        <f t="shared" si="32"/>
        <v>0</v>
      </c>
      <c r="S162" s="33"/>
      <c r="T162" s="33"/>
      <c r="U162" s="33"/>
      <c r="V162" s="33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</row>
    <row r="163" ht="14" spans="1:38">
      <c r="A163" s="33">
        <v>19</v>
      </c>
      <c r="B163" s="33"/>
      <c r="C163" s="34"/>
      <c r="D163" s="34" t="s">
        <v>374</v>
      </c>
      <c r="E163" s="33"/>
      <c r="F163" s="33"/>
      <c r="G163" s="33"/>
      <c r="H163" s="33"/>
      <c r="I163" s="33"/>
      <c r="J163" s="33">
        <f t="shared" si="33"/>
        <v>0</v>
      </c>
      <c r="K163" s="58"/>
      <c r="L163" s="33">
        <f t="shared" si="34"/>
        <v>0</v>
      </c>
      <c r="M163" s="59">
        <v>5663.74</v>
      </c>
      <c r="N163" s="33"/>
      <c r="O163" s="33">
        <f t="shared" si="24"/>
        <v>-5663.74</v>
      </c>
      <c r="P163" s="33">
        <f t="shared" si="31"/>
        <v>0</v>
      </c>
      <c r="Q163" s="33">
        <f t="shared" si="26"/>
        <v>0</v>
      </c>
      <c r="R163" s="33">
        <f t="shared" si="32"/>
        <v>0</v>
      </c>
      <c r="S163" s="33"/>
      <c r="T163" s="33"/>
      <c r="U163" s="33"/>
      <c r="V163" s="33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</row>
    <row r="164" ht="14" spans="1:38">
      <c r="A164" s="33">
        <v>20</v>
      </c>
      <c r="B164" s="33"/>
      <c r="C164" s="34"/>
      <c r="D164" s="34" t="s">
        <v>375</v>
      </c>
      <c r="E164" s="33"/>
      <c r="F164" s="33"/>
      <c r="G164" s="33"/>
      <c r="H164" s="33"/>
      <c r="I164" s="33"/>
      <c r="J164" s="33">
        <f t="shared" si="33"/>
        <v>0</v>
      </c>
      <c r="K164" s="58"/>
      <c r="L164" s="33">
        <f t="shared" si="34"/>
        <v>0</v>
      </c>
      <c r="M164" s="59">
        <v>14327.83</v>
      </c>
      <c r="N164" s="33"/>
      <c r="O164" s="33">
        <f t="shared" si="24"/>
        <v>-14327.83</v>
      </c>
      <c r="P164" s="33">
        <f t="shared" si="31"/>
        <v>0</v>
      </c>
      <c r="Q164" s="33">
        <f t="shared" si="26"/>
        <v>0</v>
      </c>
      <c r="R164" s="33">
        <f t="shared" si="32"/>
        <v>0</v>
      </c>
      <c r="S164" s="33"/>
      <c r="T164" s="33"/>
      <c r="U164" s="33"/>
      <c r="V164" s="33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</row>
    <row r="165" ht="14" spans="1:38">
      <c r="A165" s="33">
        <v>21</v>
      </c>
      <c r="B165" s="33"/>
      <c r="C165" s="34"/>
      <c r="D165" s="34" t="s">
        <v>376</v>
      </c>
      <c r="E165" s="33"/>
      <c r="F165" s="33"/>
      <c r="G165" s="33"/>
      <c r="H165" s="33"/>
      <c r="I165" s="33"/>
      <c r="J165" s="33">
        <f t="shared" si="33"/>
        <v>0</v>
      </c>
      <c r="K165" s="58"/>
      <c r="L165" s="33">
        <f t="shared" si="34"/>
        <v>0</v>
      </c>
      <c r="M165" s="59">
        <v>65460.13</v>
      </c>
      <c r="N165" s="33"/>
      <c r="O165" s="33">
        <f t="shared" si="24"/>
        <v>-65460.13</v>
      </c>
      <c r="P165" s="33">
        <f t="shared" si="31"/>
        <v>0</v>
      </c>
      <c r="Q165" s="33">
        <f t="shared" si="26"/>
        <v>0</v>
      </c>
      <c r="R165" s="33">
        <f t="shared" si="32"/>
        <v>0</v>
      </c>
      <c r="S165" s="33"/>
      <c r="T165" s="33"/>
      <c r="U165" s="33"/>
      <c r="V165" s="33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</row>
    <row r="166" ht="14" spans="1:38">
      <c r="A166" s="33">
        <v>22</v>
      </c>
      <c r="B166" s="33"/>
      <c r="C166" s="34"/>
      <c r="D166" s="34" t="s">
        <v>356</v>
      </c>
      <c r="E166" s="33"/>
      <c r="F166" s="33"/>
      <c r="G166" s="33"/>
      <c r="H166" s="33"/>
      <c r="I166" s="33"/>
      <c r="J166" s="33">
        <f t="shared" si="33"/>
        <v>0</v>
      </c>
      <c r="K166" s="58"/>
      <c r="L166" s="33">
        <f t="shared" si="34"/>
        <v>0</v>
      </c>
      <c r="M166" s="59">
        <v>1915223.39</v>
      </c>
      <c r="N166" s="33"/>
      <c r="O166" s="33">
        <f t="shared" si="24"/>
        <v>-1915223.39</v>
      </c>
      <c r="P166" s="33">
        <f t="shared" si="31"/>
        <v>0</v>
      </c>
      <c r="Q166" s="33">
        <f t="shared" si="26"/>
        <v>0</v>
      </c>
      <c r="R166" s="33">
        <f t="shared" si="32"/>
        <v>0</v>
      </c>
      <c r="S166" s="33"/>
      <c r="T166" s="33"/>
      <c r="U166" s="33"/>
      <c r="V166" s="33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</row>
    <row r="167" ht="14" spans="1:38">
      <c r="A167" s="33">
        <v>23</v>
      </c>
      <c r="B167" s="33"/>
      <c r="C167" s="34"/>
      <c r="D167" s="34" t="s">
        <v>377</v>
      </c>
      <c r="E167" s="33"/>
      <c r="F167" s="33"/>
      <c r="G167" s="33"/>
      <c r="H167" s="33"/>
      <c r="I167" s="33"/>
      <c r="J167" s="33">
        <f t="shared" si="33"/>
        <v>0</v>
      </c>
      <c r="K167" s="58"/>
      <c r="L167" s="33">
        <f t="shared" si="34"/>
        <v>0</v>
      </c>
      <c r="M167" s="59">
        <v>210747.51</v>
      </c>
      <c r="N167" s="33"/>
      <c r="O167" s="33">
        <f t="shared" si="24"/>
        <v>-210747.51</v>
      </c>
      <c r="P167" s="33">
        <f t="shared" si="31"/>
        <v>0</v>
      </c>
      <c r="Q167" s="33">
        <f t="shared" si="26"/>
        <v>0</v>
      </c>
      <c r="R167" s="33">
        <f t="shared" si="32"/>
        <v>0</v>
      </c>
      <c r="S167" s="33"/>
      <c r="T167" s="33"/>
      <c r="U167" s="33"/>
      <c r="V167" s="33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</row>
    <row r="168" ht="14" spans="1:38">
      <c r="A168" s="33">
        <v>24</v>
      </c>
      <c r="B168" s="33"/>
      <c r="C168" s="34"/>
      <c r="D168" s="34" t="s">
        <v>378</v>
      </c>
      <c r="E168" s="33"/>
      <c r="F168" s="33"/>
      <c r="G168" s="33"/>
      <c r="H168" s="33"/>
      <c r="I168" s="33"/>
      <c r="J168" s="33">
        <f t="shared" si="33"/>
        <v>0</v>
      </c>
      <c r="K168" s="58"/>
      <c r="L168" s="33">
        <f t="shared" si="34"/>
        <v>0</v>
      </c>
      <c r="M168" s="59">
        <v>223298.47</v>
      </c>
      <c r="N168" s="33"/>
      <c r="O168" s="33">
        <f t="shared" si="24"/>
        <v>-223298.47</v>
      </c>
      <c r="P168" s="33">
        <f t="shared" si="31"/>
        <v>0</v>
      </c>
      <c r="Q168" s="33">
        <f t="shared" si="26"/>
        <v>0</v>
      </c>
      <c r="R168" s="33">
        <f t="shared" si="32"/>
        <v>0</v>
      </c>
      <c r="S168" s="33"/>
      <c r="T168" s="33"/>
      <c r="U168" s="33"/>
      <c r="V168" s="33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</row>
    <row r="169" ht="14" spans="1:38">
      <c r="A169" s="33">
        <v>25</v>
      </c>
      <c r="B169" s="33"/>
      <c r="C169" s="34"/>
      <c r="D169" s="34" t="s">
        <v>379</v>
      </c>
      <c r="E169" s="33"/>
      <c r="F169" s="33"/>
      <c r="G169" s="33"/>
      <c r="H169" s="33"/>
      <c r="I169" s="33"/>
      <c r="J169" s="33">
        <f t="shared" si="33"/>
        <v>0</v>
      </c>
      <c r="K169" s="58"/>
      <c r="L169" s="33">
        <f t="shared" si="34"/>
        <v>0</v>
      </c>
      <c r="M169" s="59">
        <v>463287.94</v>
      </c>
      <c r="N169" s="33"/>
      <c r="O169" s="33">
        <f t="shared" si="24"/>
        <v>-463287.94</v>
      </c>
      <c r="P169" s="33">
        <f t="shared" si="31"/>
        <v>0</v>
      </c>
      <c r="Q169" s="33">
        <f t="shared" si="26"/>
        <v>0</v>
      </c>
      <c r="R169" s="33">
        <f t="shared" si="32"/>
        <v>0</v>
      </c>
      <c r="S169" s="33"/>
      <c r="T169" s="33"/>
      <c r="U169" s="33"/>
      <c r="V169" s="33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</row>
    <row r="170" ht="14" spans="1:38">
      <c r="A170" s="33">
        <v>26</v>
      </c>
      <c r="B170" s="33"/>
      <c r="C170" s="34"/>
      <c r="D170" s="34" t="s">
        <v>380</v>
      </c>
      <c r="E170" s="33"/>
      <c r="F170" s="33"/>
      <c r="G170" s="33"/>
      <c r="H170" s="33"/>
      <c r="I170" s="33"/>
      <c r="J170" s="33">
        <f t="shared" si="33"/>
        <v>0</v>
      </c>
      <c r="K170" s="58"/>
      <c r="L170" s="33">
        <f t="shared" si="34"/>
        <v>0</v>
      </c>
      <c r="M170" s="59">
        <v>4059.41</v>
      </c>
      <c r="N170" s="33"/>
      <c r="O170" s="33">
        <f t="shared" si="24"/>
        <v>-4059.41</v>
      </c>
      <c r="P170" s="33">
        <f t="shared" si="31"/>
        <v>0</v>
      </c>
      <c r="Q170" s="33">
        <f t="shared" si="26"/>
        <v>0</v>
      </c>
      <c r="R170" s="33">
        <f t="shared" si="32"/>
        <v>0</v>
      </c>
      <c r="S170" s="33"/>
      <c r="T170" s="33"/>
      <c r="U170" s="33"/>
      <c r="V170" s="33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</row>
    <row r="171" ht="14" spans="1:38">
      <c r="A171" s="33">
        <v>27</v>
      </c>
      <c r="B171" s="33"/>
      <c r="C171" s="34"/>
      <c r="D171" s="34" t="s">
        <v>381</v>
      </c>
      <c r="E171" s="33"/>
      <c r="F171" s="33"/>
      <c r="G171" s="33"/>
      <c r="H171" s="33"/>
      <c r="I171" s="33"/>
      <c r="J171" s="33">
        <f t="shared" si="33"/>
        <v>0</v>
      </c>
      <c r="K171" s="58"/>
      <c r="L171" s="33">
        <f t="shared" si="34"/>
        <v>0</v>
      </c>
      <c r="M171" s="59">
        <v>4798.28</v>
      </c>
      <c r="N171" s="33"/>
      <c r="O171" s="33">
        <f t="shared" si="24"/>
        <v>-4798.28</v>
      </c>
      <c r="P171" s="33">
        <f t="shared" si="31"/>
        <v>0</v>
      </c>
      <c r="Q171" s="33">
        <f t="shared" si="26"/>
        <v>0</v>
      </c>
      <c r="R171" s="33">
        <f t="shared" si="32"/>
        <v>0</v>
      </c>
      <c r="S171" s="33"/>
      <c r="T171" s="33"/>
      <c r="U171" s="33"/>
      <c r="V171" s="33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</row>
    <row r="172" ht="14" spans="1:38">
      <c r="A172" s="33">
        <v>28</v>
      </c>
      <c r="B172" s="33"/>
      <c r="C172" s="34"/>
      <c r="D172" s="34" t="s">
        <v>382</v>
      </c>
      <c r="E172" s="33"/>
      <c r="F172" s="33"/>
      <c r="G172" s="33"/>
      <c r="H172" s="33"/>
      <c r="I172" s="33"/>
      <c r="J172" s="33">
        <f t="shared" si="33"/>
        <v>0</v>
      </c>
      <c r="K172" s="58"/>
      <c r="L172" s="33">
        <f t="shared" si="34"/>
        <v>0</v>
      </c>
      <c r="M172" s="59">
        <v>1410339.33</v>
      </c>
      <c r="N172" s="33"/>
      <c r="O172" s="33">
        <f t="shared" si="24"/>
        <v>-1410339.33</v>
      </c>
      <c r="P172" s="33">
        <f t="shared" si="31"/>
        <v>0</v>
      </c>
      <c r="Q172" s="33">
        <f t="shared" si="26"/>
        <v>0</v>
      </c>
      <c r="R172" s="33">
        <f t="shared" si="32"/>
        <v>0</v>
      </c>
      <c r="S172" s="33"/>
      <c r="T172" s="33"/>
      <c r="U172" s="33"/>
      <c r="V172" s="33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</row>
    <row r="173" ht="14" spans="1:38">
      <c r="A173" s="33">
        <v>29</v>
      </c>
      <c r="B173" s="33"/>
      <c r="C173" s="34"/>
      <c r="D173" s="34" t="s">
        <v>383</v>
      </c>
      <c r="E173" s="33"/>
      <c r="F173" s="33"/>
      <c r="G173" s="33"/>
      <c r="H173" s="33"/>
      <c r="I173" s="33"/>
      <c r="J173" s="33">
        <f t="shared" si="33"/>
        <v>0</v>
      </c>
      <c r="K173" s="58"/>
      <c r="L173" s="33">
        <f t="shared" si="34"/>
        <v>0</v>
      </c>
      <c r="M173" s="59">
        <v>429894.83</v>
      </c>
      <c r="N173" s="33"/>
      <c r="O173" s="33">
        <f t="shared" si="24"/>
        <v>-429894.83</v>
      </c>
      <c r="P173" s="33">
        <f t="shared" si="31"/>
        <v>0</v>
      </c>
      <c r="Q173" s="33">
        <f t="shared" si="26"/>
        <v>0</v>
      </c>
      <c r="R173" s="33">
        <f t="shared" si="32"/>
        <v>0</v>
      </c>
      <c r="S173" s="33"/>
      <c r="T173" s="33"/>
      <c r="U173" s="33"/>
      <c r="V173" s="33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</row>
    <row r="174" ht="14" spans="1:38">
      <c r="A174" s="33">
        <v>30</v>
      </c>
      <c r="B174" s="33"/>
      <c r="C174" s="34"/>
      <c r="D174" s="34" t="s">
        <v>384</v>
      </c>
      <c r="E174" s="33"/>
      <c r="F174" s="33"/>
      <c r="G174" s="33"/>
      <c r="H174" s="33"/>
      <c r="I174" s="33"/>
      <c r="J174" s="33">
        <f t="shared" si="33"/>
        <v>0</v>
      </c>
      <c r="K174" s="58"/>
      <c r="L174" s="33">
        <f t="shared" si="34"/>
        <v>0</v>
      </c>
      <c r="M174" s="59">
        <v>34521.89</v>
      </c>
      <c r="N174" s="33"/>
      <c r="O174" s="33">
        <f t="shared" si="24"/>
        <v>-34521.89</v>
      </c>
      <c r="P174" s="33">
        <f t="shared" si="31"/>
        <v>0</v>
      </c>
      <c r="Q174" s="33">
        <f t="shared" si="26"/>
        <v>0</v>
      </c>
      <c r="R174" s="33">
        <f t="shared" si="32"/>
        <v>0</v>
      </c>
      <c r="S174" s="33"/>
      <c r="T174" s="33"/>
      <c r="U174" s="33"/>
      <c r="V174" s="33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</row>
    <row r="175" ht="14" spans="1:38">
      <c r="A175" s="33">
        <v>31</v>
      </c>
      <c r="B175" s="33"/>
      <c r="C175" s="34"/>
      <c r="D175" s="34" t="s">
        <v>385</v>
      </c>
      <c r="E175" s="33"/>
      <c r="F175" s="33"/>
      <c r="G175" s="33"/>
      <c r="H175" s="33"/>
      <c r="I175" s="33"/>
      <c r="J175" s="33">
        <f t="shared" si="33"/>
        <v>0</v>
      </c>
      <c r="K175" s="58"/>
      <c r="L175" s="33">
        <f t="shared" si="34"/>
        <v>0</v>
      </c>
      <c r="M175" s="59">
        <v>114830.51</v>
      </c>
      <c r="N175" s="33"/>
      <c r="O175" s="33">
        <f t="shared" si="24"/>
        <v>-114830.51</v>
      </c>
      <c r="P175" s="33">
        <f t="shared" si="31"/>
        <v>0</v>
      </c>
      <c r="Q175" s="33">
        <f t="shared" si="26"/>
        <v>0</v>
      </c>
      <c r="R175" s="33">
        <f t="shared" si="32"/>
        <v>0</v>
      </c>
      <c r="S175" s="33"/>
      <c r="T175" s="33"/>
      <c r="U175" s="33"/>
      <c r="V175" s="33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</row>
    <row r="176" ht="14" spans="1:38">
      <c r="A176" s="33">
        <v>32</v>
      </c>
      <c r="B176" s="33"/>
      <c r="C176" s="34"/>
      <c r="D176" s="34" t="s">
        <v>386</v>
      </c>
      <c r="E176" s="33"/>
      <c r="F176" s="33"/>
      <c r="G176" s="33"/>
      <c r="H176" s="33"/>
      <c r="I176" s="33"/>
      <c r="J176" s="33">
        <f t="shared" si="33"/>
        <v>0</v>
      </c>
      <c r="K176" s="58"/>
      <c r="L176" s="33">
        <f t="shared" si="34"/>
        <v>0</v>
      </c>
      <c r="M176" s="59">
        <v>135820.32</v>
      </c>
      <c r="N176" s="33"/>
      <c r="O176" s="33">
        <f t="shared" si="24"/>
        <v>-135820.32</v>
      </c>
      <c r="P176" s="33">
        <f t="shared" si="31"/>
        <v>0</v>
      </c>
      <c r="Q176" s="33">
        <f t="shared" si="26"/>
        <v>0</v>
      </c>
      <c r="R176" s="33">
        <f t="shared" si="32"/>
        <v>0</v>
      </c>
      <c r="S176" s="33"/>
      <c r="T176" s="33"/>
      <c r="U176" s="33"/>
      <c r="V176" s="33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</row>
    <row r="177" ht="14" spans="1:38">
      <c r="A177" s="33">
        <v>33</v>
      </c>
      <c r="B177" s="33"/>
      <c r="C177" s="34"/>
      <c r="D177" s="34" t="s">
        <v>387</v>
      </c>
      <c r="E177" s="33"/>
      <c r="F177" s="33"/>
      <c r="G177" s="33"/>
      <c r="H177" s="33"/>
      <c r="I177" s="33"/>
      <c r="J177" s="33">
        <f t="shared" si="33"/>
        <v>0</v>
      </c>
      <c r="K177" s="58"/>
      <c r="L177" s="33">
        <f t="shared" si="34"/>
        <v>0</v>
      </c>
      <c r="M177" s="59">
        <v>824342.88</v>
      </c>
      <c r="N177" s="33"/>
      <c r="O177" s="33">
        <f t="shared" si="24"/>
        <v>-824342.88</v>
      </c>
      <c r="P177" s="33">
        <f t="shared" si="31"/>
        <v>0</v>
      </c>
      <c r="Q177" s="33">
        <f t="shared" si="26"/>
        <v>0</v>
      </c>
      <c r="R177" s="33">
        <f t="shared" si="32"/>
        <v>0</v>
      </c>
      <c r="S177" s="33"/>
      <c r="T177" s="33"/>
      <c r="U177" s="33"/>
      <c r="V177" s="33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</row>
    <row r="178" ht="14" spans="1:38">
      <c r="A178" s="33">
        <v>34</v>
      </c>
      <c r="B178" s="33"/>
      <c r="C178" s="34"/>
      <c r="D178" s="34" t="s">
        <v>388</v>
      </c>
      <c r="E178" s="33"/>
      <c r="F178" s="33"/>
      <c r="G178" s="33"/>
      <c r="H178" s="33"/>
      <c r="I178" s="33"/>
      <c r="J178" s="33">
        <f t="shared" si="33"/>
        <v>0</v>
      </c>
      <c r="K178" s="58"/>
      <c r="L178" s="33">
        <f t="shared" si="34"/>
        <v>0</v>
      </c>
      <c r="M178" s="59">
        <v>7322.89</v>
      </c>
      <c r="N178" s="33"/>
      <c r="O178" s="33">
        <f t="shared" si="24"/>
        <v>-7322.89</v>
      </c>
      <c r="P178" s="33">
        <f t="shared" si="31"/>
        <v>0</v>
      </c>
      <c r="Q178" s="33">
        <f t="shared" si="26"/>
        <v>0</v>
      </c>
      <c r="R178" s="33">
        <f t="shared" si="32"/>
        <v>0</v>
      </c>
      <c r="S178" s="33"/>
      <c r="T178" s="33"/>
      <c r="U178" s="33"/>
      <c r="V178" s="33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</row>
    <row r="179" ht="14" spans="1:38">
      <c r="A179" s="33">
        <v>35</v>
      </c>
      <c r="B179" s="33"/>
      <c r="C179" s="34"/>
      <c r="D179" s="34" t="s">
        <v>389</v>
      </c>
      <c r="E179" s="33"/>
      <c r="F179" s="33"/>
      <c r="G179" s="33"/>
      <c r="H179" s="33"/>
      <c r="I179" s="33"/>
      <c r="J179" s="33">
        <f t="shared" si="33"/>
        <v>0</v>
      </c>
      <c r="K179" s="58"/>
      <c r="L179" s="33">
        <f t="shared" si="34"/>
        <v>0</v>
      </c>
      <c r="M179" s="59">
        <v>36638.87</v>
      </c>
      <c r="N179" s="33"/>
      <c r="O179" s="33">
        <f t="shared" si="24"/>
        <v>-36638.87</v>
      </c>
      <c r="P179" s="33">
        <f t="shared" si="31"/>
        <v>0</v>
      </c>
      <c r="Q179" s="33">
        <f t="shared" si="26"/>
        <v>0</v>
      </c>
      <c r="R179" s="33">
        <f t="shared" si="32"/>
        <v>0</v>
      </c>
      <c r="S179" s="33"/>
      <c r="T179" s="33"/>
      <c r="U179" s="33"/>
      <c r="V179" s="33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</row>
    <row r="180" ht="14" spans="1:38">
      <c r="A180" s="33">
        <v>36</v>
      </c>
      <c r="B180" s="33"/>
      <c r="C180" s="34"/>
      <c r="D180" s="34" t="s">
        <v>390</v>
      </c>
      <c r="E180" s="33"/>
      <c r="F180" s="33"/>
      <c r="G180" s="33"/>
      <c r="H180" s="33"/>
      <c r="I180" s="33"/>
      <c r="J180" s="33">
        <f t="shared" si="33"/>
        <v>0</v>
      </c>
      <c r="K180" s="58"/>
      <c r="L180" s="33">
        <f t="shared" si="34"/>
        <v>0</v>
      </c>
      <c r="M180" s="59">
        <v>78817.4</v>
      </c>
      <c r="N180" s="33"/>
      <c r="O180" s="33">
        <f t="shared" si="24"/>
        <v>-78817.4</v>
      </c>
      <c r="P180" s="33">
        <f t="shared" si="31"/>
        <v>0</v>
      </c>
      <c r="Q180" s="33">
        <f t="shared" si="26"/>
        <v>0</v>
      </c>
      <c r="R180" s="33">
        <f t="shared" si="32"/>
        <v>0</v>
      </c>
      <c r="S180" s="33"/>
      <c r="T180" s="33"/>
      <c r="U180" s="33"/>
      <c r="V180" s="33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</row>
    <row r="181" ht="14" spans="1:38">
      <c r="A181" s="33">
        <v>37</v>
      </c>
      <c r="B181" s="33"/>
      <c r="C181" s="34"/>
      <c r="D181" s="34" t="s">
        <v>391</v>
      </c>
      <c r="E181" s="33"/>
      <c r="F181" s="33"/>
      <c r="G181" s="33"/>
      <c r="H181" s="33"/>
      <c r="I181" s="33"/>
      <c r="J181" s="33">
        <f t="shared" si="33"/>
        <v>0</v>
      </c>
      <c r="K181" s="58"/>
      <c r="L181" s="33">
        <f t="shared" si="34"/>
        <v>0</v>
      </c>
      <c r="M181" s="59">
        <v>209326.47</v>
      </c>
      <c r="N181" s="33"/>
      <c r="O181" s="33">
        <f t="shared" si="24"/>
        <v>-209326.47</v>
      </c>
      <c r="P181" s="33">
        <f t="shared" si="31"/>
        <v>0</v>
      </c>
      <c r="Q181" s="33">
        <f t="shared" si="26"/>
        <v>0</v>
      </c>
      <c r="R181" s="33">
        <f t="shared" si="32"/>
        <v>0</v>
      </c>
      <c r="S181" s="33"/>
      <c r="T181" s="33"/>
      <c r="U181" s="33"/>
      <c r="V181" s="33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</row>
    <row r="182" ht="14" spans="1:38">
      <c r="A182" s="33">
        <v>38</v>
      </c>
      <c r="B182" s="33"/>
      <c r="C182" s="34"/>
      <c r="D182" s="34" t="s">
        <v>392</v>
      </c>
      <c r="E182" s="33"/>
      <c r="F182" s="33"/>
      <c r="G182" s="33"/>
      <c r="H182" s="33"/>
      <c r="I182" s="33"/>
      <c r="J182" s="33">
        <f t="shared" si="33"/>
        <v>0</v>
      </c>
      <c r="K182" s="58"/>
      <c r="L182" s="33">
        <f t="shared" si="34"/>
        <v>0</v>
      </c>
      <c r="M182" s="59">
        <v>192969.09</v>
      </c>
      <c r="N182" s="33"/>
      <c r="O182" s="33">
        <f t="shared" si="24"/>
        <v>-192969.09</v>
      </c>
      <c r="P182" s="33">
        <f t="shared" si="31"/>
        <v>0</v>
      </c>
      <c r="Q182" s="33">
        <f t="shared" si="26"/>
        <v>0</v>
      </c>
      <c r="R182" s="33">
        <f t="shared" si="32"/>
        <v>0</v>
      </c>
      <c r="S182" s="33"/>
      <c r="T182" s="33"/>
      <c r="U182" s="33"/>
      <c r="V182" s="33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</row>
    <row r="183" ht="14" spans="1:38">
      <c r="A183" s="33">
        <v>39</v>
      </c>
      <c r="B183" s="33"/>
      <c r="C183" s="34"/>
      <c r="D183" s="34" t="s">
        <v>393</v>
      </c>
      <c r="E183" s="33"/>
      <c r="F183" s="33"/>
      <c r="G183" s="33"/>
      <c r="H183" s="33"/>
      <c r="I183" s="33"/>
      <c r="J183" s="33">
        <f t="shared" si="33"/>
        <v>0</v>
      </c>
      <c r="K183" s="58"/>
      <c r="L183" s="33">
        <f t="shared" si="34"/>
        <v>0</v>
      </c>
      <c r="M183" s="59">
        <v>1030.72</v>
      </c>
      <c r="N183" s="33"/>
      <c r="O183" s="33">
        <f t="shared" si="24"/>
        <v>-1030.72</v>
      </c>
      <c r="P183" s="33">
        <f t="shared" si="31"/>
        <v>0</v>
      </c>
      <c r="Q183" s="33">
        <f t="shared" si="26"/>
        <v>0</v>
      </c>
      <c r="R183" s="33">
        <f t="shared" si="32"/>
        <v>0</v>
      </c>
      <c r="S183" s="33"/>
      <c r="T183" s="33"/>
      <c r="U183" s="33"/>
      <c r="V183" s="33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</row>
    <row r="184" ht="14" spans="1:38">
      <c r="A184" s="28"/>
      <c r="B184" s="29"/>
      <c r="C184" s="29"/>
      <c r="D184" s="35" t="s">
        <v>117</v>
      </c>
      <c r="E184" s="36"/>
      <c r="F184" s="36"/>
      <c r="G184" s="36"/>
      <c r="H184" s="106"/>
      <c r="I184" s="31"/>
      <c r="J184" s="106"/>
      <c r="K184" s="55"/>
      <c r="L184" s="56"/>
      <c r="M184" s="106"/>
      <c r="N184" s="31"/>
      <c r="O184" s="31">
        <f t="shared" si="24"/>
        <v>0</v>
      </c>
      <c r="P184" s="31">
        <f t="shared" si="31"/>
        <v>0</v>
      </c>
      <c r="Q184" s="31">
        <f t="shared" si="26"/>
        <v>0</v>
      </c>
      <c r="R184" s="31">
        <f t="shared" si="32"/>
        <v>0</v>
      </c>
      <c r="S184" s="67">
        <f>SUM(T184:V184)</f>
        <v>0</v>
      </c>
      <c r="T184" s="106"/>
      <c r="U184" s="106"/>
      <c r="V184" s="106"/>
      <c r="W184" s="106"/>
      <c r="X184" s="106"/>
      <c r="Y184" s="106"/>
      <c r="Z184" s="106"/>
      <c r="AA184" s="67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82"/>
    </row>
    <row r="185" ht="14" spans="1:38">
      <c r="A185" s="103"/>
      <c r="B185" s="104"/>
      <c r="C185" s="104"/>
      <c r="D185" s="101" t="s">
        <v>394</v>
      </c>
      <c r="E185" s="105"/>
      <c r="F185" s="105"/>
      <c r="G185" s="105"/>
      <c r="H185" s="40">
        <f t="shared" ref="H185:S185" si="35">SUM(H144:H184)</f>
        <v>0</v>
      </c>
      <c r="I185" s="40">
        <f t="shared" si="35"/>
        <v>0</v>
      </c>
      <c r="J185" s="40">
        <f t="shared" si="35"/>
        <v>0</v>
      </c>
      <c r="K185" s="40">
        <f t="shared" si="35"/>
        <v>0</v>
      </c>
      <c r="L185" s="108">
        <f t="shared" si="35"/>
        <v>0</v>
      </c>
      <c r="M185" s="108">
        <f t="shared" si="35"/>
        <v>31682964.46</v>
      </c>
      <c r="N185" s="108">
        <f t="shared" si="35"/>
        <v>0</v>
      </c>
      <c r="O185" s="108">
        <f t="shared" si="35"/>
        <v>-31682964.46</v>
      </c>
      <c r="P185" s="108">
        <f t="shared" si="35"/>
        <v>0</v>
      </c>
      <c r="Q185" s="108">
        <f t="shared" si="35"/>
        <v>0</v>
      </c>
      <c r="R185" s="108">
        <f t="shared" si="35"/>
        <v>0</v>
      </c>
      <c r="S185" s="108">
        <f t="shared" si="35"/>
        <v>0</v>
      </c>
      <c r="T185" s="108"/>
      <c r="U185" s="108"/>
      <c r="V185" s="108"/>
      <c r="W185" s="108"/>
      <c r="X185" s="108"/>
      <c r="Y185" s="108"/>
      <c r="Z185" s="108">
        <f t="shared" ref="Z185:AF185" si="36">SUM(Z144:Z184)</f>
        <v>0</v>
      </c>
      <c r="AA185" s="108">
        <f t="shared" si="36"/>
        <v>0</v>
      </c>
      <c r="AB185" s="108">
        <f t="shared" si="36"/>
        <v>0</v>
      </c>
      <c r="AC185" s="108">
        <f t="shared" si="36"/>
        <v>0</v>
      </c>
      <c r="AD185" s="108">
        <f t="shared" si="36"/>
        <v>0</v>
      </c>
      <c r="AE185" s="108">
        <f t="shared" si="36"/>
        <v>0</v>
      </c>
      <c r="AF185" s="108">
        <f t="shared" si="36"/>
        <v>0</v>
      </c>
      <c r="AG185" s="108"/>
      <c r="AH185" s="108"/>
      <c r="AI185" s="108">
        <f>SUM(AI144:AI184)</f>
        <v>0</v>
      </c>
      <c r="AJ185" s="108">
        <f>SUM(AJ144:AJ184)</f>
        <v>0</v>
      </c>
      <c r="AK185" s="108">
        <f>SUM(AK144:AK184)</f>
        <v>0</v>
      </c>
      <c r="AL185" s="82"/>
    </row>
    <row r="186" ht="14" spans="1:38">
      <c r="A186" s="28"/>
      <c r="B186" s="29"/>
      <c r="C186" s="29"/>
      <c r="D186" s="41" t="s">
        <v>395</v>
      </c>
      <c r="E186" s="36"/>
      <c r="F186" s="36"/>
      <c r="G186" s="36"/>
      <c r="H186" s="31"/>
      <c r="I186" s="31"/>
      <c r="J186" s="57">
        <v>0</v>
      </c>
      <c r="K186" s="109"/>
      <c r="L186" s="56">
        <f>J186-N186-P186</f>
        <v>0</v>
      </c>
      <c r="M186" s="31"/>
      <c r="N186" s="31"/>
      <c r="O186" s="31">
        <f t="shared" ref="O186:O191" si="37">L186-M186</f>
        <v>0</v>
      </c>
      <c r="P186" s="31">
        <f t="shared" ref="P186:P191" si="38">K186-N186</f>
        <v>0</v>
      </c>
      <c r="Q186" s="31">
        <f t="shared" ref="Q186:Q191" si="39">M186+O186</f>
        <v>0</v>
      </c>
      <c r="R186" s="31">
        <f t="shared" ref="R186:R191" si="40">M186+N186+O186+P186</f>
        <v>0</v>
      </c>
      <c r="S186" s="67">
        <f>SUM(T186:V186)</f>
        <v>0</v>
      </c>
      <c r="T186" s="106"/>
      <c r="U186" s="106"/>
      <c r="V186" s="106"/>
      <c r="W186" s="106"/>
      <c r="X186" s="106"/>
      <c r="Y186" s="106"/>
      <c r="Z186" s="107"/>
      <c r="AA186" s="67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82"/>
    </row>
    <row r="187" ht="14" spans="1:38">
      <c r="A187" s="33">
        <v>1</v>
      </c>
      <c r="B187" s="33"/>
      <c r="C187" s="34"/>
      <c r="D187" s="34" t="s">
        <v>116</v>
      </c>
      <c r="E187" s="33"/>
      <c r="F187" s="33"/>
      <c r="G187" s="33"/>
      <c r="H187" s="33"/>
      <c r="I187" s="33"/>
      <c r="J187" s="33">
        <f>H187+I187</f>
        <v>0</v>
      </c>
      <c r="K187" s="58"/>
      <c r="L187" s="33">
        <f t="shared" ref="L187:L192" si="41">J187-K187</f>
        <v>0</v>
      </c>
      <c r="M187" s="59">
        <v>7872000.25</v>
      </c>
      <c r="N187" s="33"/>
      <c r="O187" s="33">
        <f t="shared" si="37"/>
        <v>-7872000.25</v>
      </c>
      <c r="P187" s="33">
        <f t="shared" si="38"/>
        <v>0</v>
      </c>
      <c r="Q187" s="33">
        <f t="shared" si="39"/>
        <v>0</v>
      </c>
      <c r="R187" s="33">
        <f t="shared" si="40"/>
        <v>0</v>
      </c>
      <c r="S187" s="33"/>
      <c r="T187" s="33"/>
      <c r="U187" s="33"/>
      <c r="V187" s="33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</row>
    <row r="188" ht="14" spans="1:38">
      <c r="A188" s="33">
        <v>2</v>
      </c>
      <c r="B188" s="33"/>
      <c r="C188" s="34"/>
      <c r="D188" s="34" t="s">
        <v>396</v>
      </c>
      <c r="E188" s="33"/>
      <c r="F188" s="33"/>
      <c r="G188" s="33"/>
      <c r="H188" s="33"/>
      <c r="I188" s="33"/>
      <c r="J188" s="33">
        <f>H188+I188</f>
        <v>0</v>
      </c>
      <c r="K188" s="58"/>
      <c r="L188" s="33">
        <f t="shared" si="41"/>
        <v>0</v>
      </c>
      <c r="M188" s="59">
        <v>2852405.63</v>
      </c>
      <c r="N188" s="33"/>
      <c r="O188" s="33">
        <f t="shared" si="37"/>
        <v>-2852405.63</v>
      </c>
      <c r="P188" s="33">
        <f t="shared" si="38"/>
        <v>0</v>
      </c>
      <c r="Q188" s="33">
        <f t="shared" si="39"/>
        <v>0</v>
      </c>
      <c r="R188" s="33">
        <f t="shared" si="40"/>
        <v>0</v>
      </c>
      <c r="S188" s="33"/>
      <c r="T188" s="33"/>
      <c r="U188" s="33"/>
      <c r="V188" s="33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</row>
    <row r="189" ht="14" spans="1:38">
      <c r="A189" s="33">
        <v>3</v>
      </c>
      <c r="B189" s="33"/>
      <c r="C189" s="34"/>
      <c r="D189" s="34" t="s">
        <v>397</v>
      </c>
      <c r="E189" s="33"/>
      <c r="F189" s="33"/>
      <c r="G189" s="33"/>
      <c r="H189" s="33"/>
      <c r="I189" s="33"/>
      <c r="J189" s="33">
        <f>H189+I189</f>
        <v>0</v>
      </c>
      <c r="K189" s="58"/>
      <c r="L189" s="33">
        <f t="shared" si="41"/>
        <v>0</v>
      </c>
      <c r="M189" s="59">
        <v>4674095.6</v>
      </c>
      <c r="N189" s="33"/>
      <c r="O189" s="33">
        <f t="shared" si="37"/>
        <v>-4674095.6</v>
      </c>
      <c r="P189" s="33">
        <f t="shared" si="38"/>
        <v>0</v>
      </c>
      <c r="Q189" s="33">
        <f t="shared" si="39"/>
        <v>0</v>
      </c>
      <c r="R189" s="33">
        <f t="shared" si="40"/>
        <v>0</v>
      </c>
      <c r="S189" s="33"/>
      <c r="T189" s="33"/>
      <c r="U189" s="33"/>
      <c r="V189" s="33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</row>
    <row r="190" ht="14" spans="1:38">
      <c r="A190" s="33">
        <v>4</v>
      </c>
      <c r="B190" s="33"/>
      <c r="C190" s="34"/>
      <c r="D190" s="34" t="s">
        <v>398</v>
      </c>
      <c r="E190" s="33"/>
      <c r="F190" s="33"/>
      <c r="G190" s="33"/>
      <c r="H190" s="33"/>
      <c r="I190" s="33"/>
      <c r="J190" s="33">
        <f>H190+I190</f>
        <v>0</v>
      </c>
      <c r="K190" s="58"/>
      <c r="L190" s="33">
        <f t="shared" si="41"/>
        <v>0</v>
      </c>
      <c r="M190" s="59">
        <v>326856.87</v>
      </c>
      <c r="N190" s="33"/>
      <c r="O190" s="33">
        <f t="shared" si="37"/>
        <v>-326856.87</v>
      </c>
      <c r="P190" s="33">
        <f t="shared" si="38"/>
        <v>0</v>
      </c>
      <c r="Q190" s="33">
        <f t="shared" si="39"/>
        <v>0</v>
      </c>
      <c r="R190" s="33">
        <f t="shared" si="40"/>
        <v>0</v>
      </c>
      <c r="S190" s="33"/>
      <c r="T190" s="33"/>
      <c r="U190" s="33"/>
      <c r="V190" s="33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</row>
    <row r="191" ht="14" spans="1:38">
      <c r="A191" s="33">
        <v>5</v>
      </c>
      <c r="B191" s="33"/>
      <c r="C191" s="34"/>
      <c r="D191" s="34" t="s">
        <v>399</v>
      </c>
      <c r="E191" s="33"/>
      <c r="F191" s="33"/>
      <c r="G191" s="33"/>
      <c r="H191" s="33"/>
      <c r="I191" s="33"/>
      <c r="J191" s="33">
        <f>H191+I191</f>
        <v>0</v>
      </c>
      <c r="K191" s="58"/>
      <c r="L191" s="33">
        <f t="shared" si="41"/>
        <v>0</v>
      </c>
      <c r="M191" s="59">
        <v>2066826.1</v>
      </c>
      <c r="N191" s="33"/>
      <c r="O191" s="33">
        <f t="shared" si="37"/>
        <v>-2066826.1</v>
      </c>
      <c r="P191" s="33">
        <f t="shared" si="38"/>
        <v>0</v>
      </c>
      <c r="Q191" s="33">
        <f t="shared" si="39"/>
        <v>0</v>
      </c>
      <c r="R191" s="33">
        <f t="shared" si="40"/>
        <v>0</v>
      </c>
      <c r="S191" s="33"/>
      <c r="T191" s="33"/>
      <c r="U191" s="33"/>
      <c r="V191" s="33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</row>
    <row r="192" ht="14" spans="1:38">
      <c r="A192" s="103"/>
      <c r="B192" s="104"/>
      <c r="C192" s="104"/>
      <c r="D192" s="101" t="s">
        <v>400</v>
      </c>
      <c r="E192" s="101"/>
      <c r="F192" s="101"/>
      <c r="G192" s="101"/>
      <c r="H192" s="40">
        <f>SUM(H186:H191)</f>
        <v>0</v>
      </c>
      <c r="I192" s="40">
        <f>SUM(I186:I191)</f>
        <v>0</v>
      </c>
      <c r="J192" s="40">
        <v>0</v>
      </c>
      <c r="K192" s="40">
        <v>0</v>
      </c>
      <c r="L192" s="110">
        <f t="shared" si="41"/>
        <v>0</v>
      </c>
      <c r="M192" s="108">
        <f t="shared" ref="M192:S192" si="42">SUM(M186:M191)</f>
        <v>17792184.45</v>
      </c>
      <c r="N192" s="108">
        <f t="shared" si="42"/>
        <v>0</v>
      </c>
      <c r="O192" s="108">
        <f t="shared" si="42"/>
        <v>-17792184.45</v>
      </c>
      <c r="P192" s="108">
        <f t="shared" si="42"/>
        <v>0</v>
      </c>
      <c r="Q192" s="108">
        <f t="shared" si="42"/>
        <v>0</v>
      </c>
      <c r="R192" s="108">
        <f t="shared" si="42"/>
        <v>0</v>
      </c>
      <c r="S192" s="108">
        <f t="shared" si="42"/>
        <v>0</v>
      </c>
      <c r="T192" s="111"/>
      <c r="U192" s="111"/>
      <c r="V192" s="111"/>
      <c r="W192" s="111"/>
      <c r="X192" s="111"/>
      <c r="Y192" s="111"/>
      <c r="Z192" s="111"/>
      <c r="AA192" s="111">
        <f t="shared" ref="AA192:AF192" si="43">SUM(AA186:AA191)</f>
        <v>0</v>
      </c>
      <c r="AB192" s="111">
        <f t="shared" si="43"/>
        <v>0</v>
      </c>
      <c r="AC192" s="111">
        <f t="shared" si="43"/>
        <v>0</v>
      </c>
      <c r="AD192" s="111">
        <f t="shared" si="43"/>
        <v>0</v>
      </c>
      <c r="AE192" s="111">
        <f t="shared" si="43"/>
        <v>0</v>
      </c>
      <c r="AF192" s="111">
        <f t="shared" si="43"/>
        <v>0</v>
      </c>
      <c r="AG192" s="111"/>
      <c r="AH192" s="111"/>
      <c r="AI192" s="111">
        <f>SUM(AI186:AI191)</f>
        <v>0</v>
      </c>
      <c r="AJ192" s="111">
        <f>SUM(AJ186:AJ191)</f>
        <v>0</v>
      </c>
      <c r="AK192" s="111">
        <f>SUM(AK186:AK191)</f>
        <v>0</v>
      </c>
      <c r="AL192" s="112"/>
    </row>
    <row r="193" ht="14" spans="1:38">
      <c r="A193" s="103"/>
      <c r="B193" s="104"/>
      <c r="C193" s="104"/>
      <c r="D193" s="101" t="s">
        <v>401</v>
      </c>
      <c r="E193" s="105"/>
      <c r="F193" s="105"/>
      <c r="G193" s="105"/>
      <c r="H193" s="40">
        <f t="shared" ref="H193:S193" si="44">H34+H65+H119+H135+H143+H185+H192</f>
        <v>0</v>
      </c>
      <c r="I193" s="40">
        <f t="shared" si="44"/>
        <v>0</v>
      </c>
      <c r="J193" s="40">
        <f t="shared" si="44"/>
        <v>0</v>
      </c>
      <c r="K193" s="40">
        <f t="shared" si="44"/>
        <v>0</v>
      </c>
      <c r="L193" s="108">
        <f t="shared" si="44"/>
        <v>0</v>
      </c>
      <c r="M193" s="111">
        <f t="shared" si="44"/>
        <v>660763374.28</v>
      </c>
      <c r="N193" s="111">
        <f t="shared" si="44"/>
        <v>44377834.64</v>
      </c>
      <c r="O193" s="111">
        <f t="shared" si="44"/>
        <v>-660763374.28</v>
      </c>
      <c r="P193" s="111">
        <f t="shared" si="44"/>
        <v>-44377834.64</v>
      </c>
      <c r="Q193" s="111">
        <f t="shared" si="44"/>
        <v>0</v>
      </c>
      <c r="R193" s="111">
        <f t="shared" si="44"/>
        <v>8.17817635834217e-9</v>
      </c>
      <c r="S193" s="111">
        <f t="shared" si="44"/>
        <v>0</v>
      </c>
      <c r="T193" s="111"/>
      <c r="U193" s="111"/>
      <c r="V193" s="111"/>
      <c r="W193" s="111"/>
      <c r="X193" s="111"/>
      <c r="Y193" s="111"/>
      <c r="Z193" s="111">
        <f t="shared" ref="Z193:AF193" si="45">Z34+Z65+Z119+Z135+Z143+Z185+Z192</f>
        <v>0</v>
      </c>
      <c r="AA193" s="111">
        <f t="shared" si="45"/>
        <v>0</v>
      </c>
      <c r="AB193" s="111">
        <f t="shared" si="45"/>
        <v>0</v>
      </c>
      <c r="AC193" s="111">
        <f t="shared" si="45"/>
        <v>0</v>
      </c>
      <c r="AD193" s="111">
        <f t="shared" si="45"/>
        <v>0</v>
      </c>
      <c r="AE193" s="111">
        <f t="shared" si="45"/>
        <v>0</v>
      </c>
      <c r="AF193" s="111">
        <f t="shared" si="45"/>
        <v>0</v>
      </c>
      <c r="AG193" s="111"/>
      <c r="AH193" s="111"/>
      <c r="AI193" s="111">
        <f>AI34+AI65+AI119+AI135+AI143+AI185+AI192</f>
        <v>0</v>
      </c>
      <c r="AJ193" s="111">
        <f>AJ34+AJ65+AJ119+AJ135+AJ143+AJ185+AJ192</f>
        <v>0</v>
      </c>
      <c r="AK193" s="111">
        <f>AK34+AK65+AK119+AK135+AK143+AK185+AK192</f>
        <v>0</v>
      </c>
      <c r="AL193" s="112"/>
    </row>
    <row r="194" ht="39" spans="1:38">
      <c r="A194" s="103"/>
      <c r="B194" s="104"/>
      <c r="C194" s="104"/>
      <c r="D194" s="101" t="s">
        <v>402</v>
      </c>
      <c r="E194" s="105" t="s">
        <v>403</v>
      </c>
      <c r="F194" s="105"/>
      <c r="G194" s="105"/>
      <c r="H194" s="40"/>
      <c r="I194" s="40"/>
      <c r="J194" s="40">
        <f>H194+I194</f>
        <v>0</v>
      </c>
      <c r="K194" s="40"/>
      <c r="L194" s="108">
        <f>J194-K194</f>
        <v>0</v>
      </c>
      <c r="M194" s="111"/>
      <c r="N194" s="111"/>
      <c r="O194" s="111">
        <f>L194-M194</f>
        <v>0</v>
      </c>
      <c r="P194" s="111">
        <f>K194-N194</f>
        <v>0</v>
      </c>
      <c r="Q194" s="111">
        <f>M194+O194</f>
        <v>0</v>
      </c>
      <c r="R194" s="111">
        <f>M194+N194+O194+P194</f>
        <v>0</v>
      </c>
      <c r="S194" s="111">
        <f>SUM(T194:V194)</f>
        <v>0</v>
      </c>
      <c r="T194" s="111"/>
      <c r="U194" s="111"/>
      <c r="V194" s="111"/>
      <c r="W194" s="111"/>
      <c r="X194" s="111"/>
      <c r="Y194" s="111"/>
      <c r="Z194" s="111"/>
      <c r="AA194" s="111">
        <f>Q69-S69</f>
        <v>0</v>
      </c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2"/>
    </row>
    <row r="195" ht="14" spans="1:38">
      <c r="A195" s="103"/>
      <c r="B195" s="104"/>
      <c r="C195" s="104"/>
      <c r="D195" s="101" t="s">
        <v>404</v>
      </c>
      <c r="E195" s="105"/>
      <c r="F195" s="105"/>
      <c r="G195" s="105"/>
      <c r="H195" s="40"/>
      <c r="I195" s="40"/>
      <c r="J195" s="40">
        <f>H195+I195</f>
        <v>0</v>
      </c>
      <c r="K195" s="40"/>
      <c r="L195" s="108">
        <f>J195-K195</f>
        <v>0</v>
      </c>
      <c r="M195" s="111"/>
      <c r="N195" s="111"/>
      <c r="O195" s="111">
        <f>L195-M195</f>
        <v>0</v>
      </c>
      <c r="P195" s="111">
        <f>K195-N195</f>
        <v>0</v>
      </c>
      <c r="Q195" s="111">
        <f>M195+O195</f>
        <v>0</v>
      </c>
      <c r="R195" s="111">
        <f>M195+N195+O195+P195</f>
        <v>0</v>
      </c>
      <c r="S195" s="111">
        <f>SUM(T195:V195)</f>
        <v>0</v>
      </c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2"/>
    </row>
    <row r="196" ht="14" spans="1:38">
      <c r="A196" s="103"/>
      <c r="B196" s="104"/>
      <c r="C196" s="104"/>
      <c r="D196" s="101" t="s">
        <v>405</v>
      </c>
      <c r="E196" s="105"/>
      <c r="F196" s="105"/>
      <c r="G196" s="105"/>
      <c r="H196" s="40"/>
      <c r="I196" s="40"/>
      <c r="J196" s="40">
        <f>H196+I196</f>
        <v>0</v>
      </c>
      <c r="K196" s="40"/>
      <c r="L196" s="108">
        <f>J196-K196</f>
        <v>0</v>
      </c>
      <c r="M196" s="122">
        <v>6780777.21</v>
      </c>
      <c r="N196" s="111"/>
      <c r="O196" s="111">
        <f>L196-M196</f>
        <v>-6780777.21</v>
      </c>
      <c r="P196" s="111">
        <f>K196-N196</f>
        <v>0</v>
      </c>
      <c r="Q196" s="111">
        <f>M196+O196</f>
        <v>0</v>
      </c>
      <c r="R196" s="111">
        <f>M196+N196+O196+P196</f>
        <v>0</v>
      </c>
      <c r="S196" s="111">
        <f>SUM(T196:V196)</f>
        <v>0</v>
      </c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2"/>
    </row>
    <row r="197" ht="14" spans="1:38">
      <c r="A197" s="103"/>
      <c r="B197" s="104"/>
      <c r="C197" s="104"/>
      <c r="D197" s="101" t="s">
        <v>406</v>
      </c>
      <c r="E197" s="105"/>
      <c r="F197" s="105"/>
      <c r="G197" s="105"/>
      <c r="H197" s="40"/>
      <c r="I197" s="40"/>
      <c r="J197" s="40">
        <f>H197+I197</f>
        <v>0</v>
      </c>
      <c r="K197" s="40"/>
      <c r="L197" s="108">
        <f>J197-K197</f>
        <v>0</v>
      </c>
      <c r="M197" s="111"/>
      <c r="N197" s="111"/>
      <c r="O197" s="111">
        <f>L197-M197</f>
        <v>0</v>
      </c>
      <c r="P197" s="111">
        <f>K197-N197</f>
        <v>0</v>
      </c>
      <c r="Q197" s="111">
        <f>M197+O197</f>
        <v>0</v>
      </c>
      <c r="R197" s="111">
        <f>M197+N197+O197+P197</f>
        <v>0</v>
      </c>
      <c r="S197" s="111">
        <f>SUM(T197:V197)</f>
        <v>0</v>
      </c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2"/>
    </row>
    <row r="198" ht="14" spans="1:38">
      <c r="A198" s="103"/>
      <c r="B198" s="104"/>
      <c r="C198" s="104"/>
      <c r="D198" s="101" t="s">
        <v>407</v>
      </c>
      <c r="E198" s="105"/>
      <c r="F198" s="105"/>
      <c r="G198" s="105"/>
      <c r="H198" s="40"/>
      <c r="I198" s="40"/>
      <c r="J198" s="40">
        <f>H198+I198</f>
        <v>0</v>
      </c>
      <c r="K198" s="40"/>
      <c r="L198" s="108">
        <f>J198-K198</f>
        <v>0</v>
      </c>
      <c r="M198" s="111">
        <f t="shared" ref="M198:AK198" si="46">SUM(M199:M203)</f>
        <v>27173581.7</v>
      </c>
      <c r="N198" s="111">
        <f t="shared" si="46"/>
        <v>0</v>
      </c>
      <c r="O198" s="111">
        <f t="shared" si="46"/>
        <v>-27173581.7</v>
      </c>
      <c r="P198" s="111">
        <f t="shared" si="46"/>
        <v>0</v>
      </c>
      <c r="Q198" s="111">
        <f t="shared" si="46"/>
        <v>0</v>
      </c>
      <c r="R198" s="111">
        <f t="shared" si="46"/>
        <v>0</v>
      </c>
      <c r="S198" s="111">
        <f t="shared" si="46"/>
        <v>0</v>
      </c>
      <c r="T198" s="111">
        <f t="shared" si="46"/>
        <v>0</v>
      </c>
      <c r="U198" s="111">
        <f t="shared" si="46"/>
        <v>0</v>
      </c>
      <c r="V198" s="111">
        <f t="shared" si="46"/>
        <v>0</v>
      </c>
      <c r="W198" s="111">
        <f t="shared" si="46"/>
        <v>0</v>
      </c>
      <c r="X198" s="111">
        <f t="shared" si="46"/>
        <v>0</v>
      </c>
      <c r="Y198" s="111">
        <f t="shared" si="46"/>
        <v>0</v>
      </c>
      <c r="Z198" s="111">
        <f t="shared" si="46"/>
        <v>0</v>
      </c>
      <c r="AA198" s="111">
        <f t="shared" si="46"/>
        <v>0</v>
      </c>
      <c r="AB198" s="111">
        <f t="shared" si="46"/>
        <v>0</v>
      </c>
      <c r="AC198" s="111">
        <f t="shared" si="46"/>
        <v>0</v>
      </c>
      <c r="AD198" s="111">
        <f t="shared" si="46"/>
        <v>0</v>
      </c>
      <c r="AE198" s="111">
        <f t="shared" si="46"/>
        <v>0</v>
      </c>
      <c r="AF198" s="111">
        <f t="shared" si="46"/>
        <v>0</v>
      </c>
      <c r="AG198" s="111">
        <f t="shared" si="46"/>
        <v>0</v>
      </c>
      <c r="AH198" s="111">
        <f t="shared" si="46"/>
        <v>0</v>
      </c>
      <c r="AI198" s="111">
        <f t="shared" si="46"/>
        <v>0</v>
      </c>
      <c r="AJ198" s="111">
        <f t="shared" si="46"/>
        <v>0</v>
      </c>
      <c r="AK198" s="111">
        <f t="shared" si="46"/>
        <v>0</v>
      </c>
      <c r="AL198" s="112"/>
    </row>
    <row r="199" ht="14" spans="1:38">
      <c r="A199" s="33">
        <v>1</v>
      </c>
      <c r="B199" s="33"/>
      <c r="C199" s="34"/>
      <c r="D199" s="34" t="s">
        <v>408</v>
      </c>
      <c r="E199" s="33"/>
      <c r="F199" s="33"/>
      <c r="G199" s="33"/>
      <c r="H199" s="33"/>
      <c r="I199" s="33"/>
      <c r="J199" s="33"/>
      <c r="K199" s="33"/>
      <c r="L199" s="33"/>
      <c r="M199" s="59">
        <v>2069939.18</v>
      </c>
      <c r="N199" s="33"/>
      <c r="O199" s="33">
        <f>L199-M199</f>
        <v>-2069939.18</v>
      </c>
      <c r="P199" s="33">
        <f>K199-N199</f>
        <v>0</v>
      </c>
      <c r="Q199" s="33">
        <f>M199+O199</f>
        <v>0</v>
      </c>
      <c r="R199" s="33">
        <f>M199+N199+O199+P199</f>
        <v>0</v>
      </c>
      <c r="S199" s="33"/>
      <c r="T199" s="33"/>
      <c r="U199" s="33"/>
      <c r="V199" s="33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</row>
    <row r="200" ht="14" spans="1:38">
      <c r="A200" s="33">
        <v>2</v>
      </c>
      <c r="B200" s="33"/>
      <c r="C200" s="34"/>
      <c r="D200" s="34" t="s">
        <v>409</v>
      </c>
      <c r="E200" s="33"/>
      <c r="F200" s="33"/>
      <c r="G200" s="33"/>
      <c r="H200" s="33"/>
      <c r="I200" s="33"/>
      <c r="J200" s="33"/>
      <c r="K200" s="33"/>
      <c r="L200" s="33"/>
      <c r="M200" s="59">
        <v>2358.5</v>
      </c>
      <c r="N200" s="33"/>
      <c r="O200" s="33">
        <f>L200-M200</f>
        <v>-2358.5</v>
      </c>
      <c r="P200" s="33">
        <f>K200-N200</f>
        <v>0</v>
      </c>
      <c r="Q200" s="33">
        <f>M200+O200</f>
        <v>0</v>
      </c>
      <c r="R200" s="33">
        <f>M200+N200+O200+P200</f>
        <v>0</v>
      </c>
      <c r="S200" s="33"/>
      <c r="T200" s="33"/>
      <c r="U200" s="33"/>
      <c r="V200" s="33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</row>
    <row r="201" ht="14" spans="1:38">
      <c r="A201" s="33">
        <v>3</v>
      </c>
      <c r="B201" s="33"/>
      <c r="C201" s="34"/>
      <c r="D201" s="34" t="s">
        <v>410</v>
      </c>
      <c r="E201" s="33"/>
      <c r="F201" s="33"/>
      <c r="G201" s="33"/>
      <c r="H201" s="33"/>
      <c r="I201" s="33"/>
      <c r="J201" s="33"/>
      <c r="K201" s="33"/>
      <c r="L201" s="33"/>
      <c r="M201" s="59">
        <v>6857.02</v>
      </c>
      <c r="N201" s="33"/>
      <c r="O201" s="33">
        <f>L201-M201</f>
        <v>-6857.02</v>
      </c>
      <c r="P201" s="33">
        <f>K201-N201</f>
        <v>0</v>
      </c>
      <c r="Q201" s="33">
        <f>M201+O201</f>
        <v>0</v>
      </c>
      <c r="R201" s="33">
        <f>M201+N201+O201+P201</f>
        <v>0</v>
      </c>
      <c r="S201" s="33"/>
      <c r="T201" s="33"/>
      <c r="U201" s="33"/>
      <c r="V201" s="33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</row>
    <row r="202" ht="14" spans="1:38">
      <c r="A202" s="33">
        <v>4</v>
      </c>
      <c r="B202" s="33"/>
      <c r="C202" s="34"/>
      <c r="D202" s="34" t="s">
        <v>411</v>
      </c>
      <c r="E202" s="33"/>
      <c r="F202" s="33"/>
      <c r="G202" s="33"/>
      <c r="H202" s="33"/>
      <c r="I202" s="33"/>
      <c r="J202" s="33"/>
      <c r="K202" s="33"/>
      <c r="L202" s="33"/>
      <c r="M202" s="59">
        <v>63495</v>
      </c>
      <c r="N202" s="33"/>
      <c r="O202" s="33">
        <f>L202-M202</f>
        <v>-63495</v>
      </c>
      <c r="P202" s="33">
        <f>K202-N202</f>
        <v>0</v>
      </c>
      <c r="Q202" s="33">
        <f>M202+O202</f>
        <v>0</v>
      </c>
      <c r="R202" s="33">
        <f>M202+N202+O202+P202</f>
        <v>0</v>
      </c>
      <c r="S202" s="33"/>
      <c r="T202" s="33"/>
      <c r="U202" s="33"/>
      <c r="V202" s="33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</row>
    <row r="203" ht="14" spans="1:38">
      <c r="A203" s="33">
        <v>5</v>
      </c>
      <c r="B203" s="33"/>
      <c r="C203" s="34"/>
      <c r="D203" s="34" t="s">
        <v>412</v>
      </c>
      <c r="E203" s="33"/>
      <c r="F203" s="33"/>
      <c r="G203" s="33"/>
      <c r="H203" s="33"/>
      <c r="I203" s="33"/>
      <c r="J203" s="33"/>
      <c r="K203" s="33"/>
      <c r="L203" s="33"/>
      <c r="M203" s="59">
        <v>25030932</v>
      </c>
      <c r="N203" s="33"/>
      <c r="O203" s="33">
        <f>L203-M203</f>
        <v>-25030932</v>
      </c>
      <c r="P203" s="33">
        <f>K203-N203</f>
        <v>0</v>
      </c>
      <c r="Q203" s="33">
        <f>M203+O203</f>
        <v>0</v>
      </c>
      <c r="R203" s="33">
        <f>M203+N203+O203+P203</f>
        <v>0</v>
      </c>
      <c r="S203" s="33"/>
      <c r="T203" s="33"/>
      <c r="U203" s="33"/>
      <c r="V203" s="33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</row>
    <row r="204" ht="14" spans="1:38">
      <c r="A204" s="37"/>
      <c r="B204" s="38"/>
      <c r="C204" s="38"/>
      <c r="D204" s="101" t="s">
        <v>413</v>
      </c>
      <c r="E204" s="102"/>
      <c r="F204" s="102"/>
      <c r="G204" s="102"/>
      <c r="H204" s="40">
        <f t="shared" ref="H204:S204" si="47">H193+H194+H195+H196+H197+H198</f>
        <v>0</v>
      </c>
      <c r="I204" s="40">
        <f t="shared" si="47"/>
        <v>0</v>
      </c>
      <c r="J204" s="123">
        <f t="shared" si="47"/>
        <v>0</v>
      </c>
      <c r="K204" s="40">
        <f t="shared" si="47"/>
        <v>0</v>
      </c>
      <c r="L204" s="124">
        <f t="shared" si="47"/>
        <v>0</v>
      </c>
      <c r="M204" s="124">
        <f t="shared" si="47"/>
        <v>694717733.19</v>
      </c>
      <c r="N204" s="124">
        <f t="shared" si="47"/>
        <v>44377834.64</v>
      </c>
      <c r="O204" s="124">
        <f t="shared" si="47"/>
        <v>-694717733.19</v>
      </c>
      <c r="P204" s="124">
        <f t="shared" si="47"/>
        <v>-44377834.64</v>
      </c>
      <c r="Q204" s="124">
        <f t="shared" si="47"/>
        <v>0</v>
      </c>
      <c r="R204" s="124">
        <f t="shared" si="47"/>
        <v>8.17817635834217e-9</v>
      </c>
      <c r="S204" s="111">
        <f t="shared" si="47"/>
        <v>0</v>
      </c>
      <c r="T204" s="111"/>
      <c r="U204" s="111"/>
      <c r="V204" s="111"/>
      <c r="W204" s="111"/>
      <c r="X204" s="111"/>
      <c r="Y204" s="111"/>
      <c r="Z204" s="111">
        <f>Z193+Z194+Z195+Z196+Z197+Z198</f>
        <v>0</v>
      </c>
      <c r="AA204" s="111">
        <f>AA193+AA194+AA195+AA196+AA197+AA198</f>
        <v>0</v>
      </c>
      <c r="AB204" s="132"/>
      <c r="AC204" s="132"/>
      <c r="AD204" s="132"/>
      <c r="AE204" s="132"/>
      <c r="AF204" s="132"/>
      <c r="AG204" s="132"/>
      <c r="AH204" s="132"/>
      <c r="AI204" s="132"/>
      <c r="AJ204" s="132"/>
      <c r="AK204" s="136"/>
      <c r="AL204" s="137"/>
    </row>
    <row r="205" ht="26" spans="1:38">
      <c r="A205" s="37"/>
      <c r="B205" s="38"/>
      <c r="C205" s="38"/>
      <c r="D205" s="101" t="s">
        <v>414</v>
      </c>
      <c r="E205" s="102" t="s">
        <v>415</v>
      </c>
      <c r="F205" s="102"/>
      <c r="G205" s="102"/>
      <c r="H205" s="40"/>
      <c r="I205" s="40"/>
      <c r="J205" s="123">
        <f>H78+I78</f>
        <v>0</v>
      </c>
      <c r="K205" s="40" t="s">
        <v>416</v>
      </c>
      <c r="L205" s="124" t="s">
        <v>416</v>
      </c>
      <c r="M205" s="124"/>
      <c r="N205" s="124">
        <f>N6-N77</f>
        <v>66818553.96</v>
      </c>
      <c r="O205" s="124"/>
      <c r="P205" s="124"/>
      <c r="Q205" s="124" t="s">
        <v>416</v>
      </c>
      <c r="R205" s="124">
        <f>N78+P78</f>
        <v>0</v>
      </c>
      <c r="S205" s="111"/>
      <c r="T205" s="111"/>
      <c r="U205" s="111"/>
      <c r="V205" s="111"/>
      <c r="W205" s="111"/>
      <c r="X205" s="111"/>
      <c r="Y205" s="111"/>
      <c r="Z205" s="111"/>
      <c r="AA205" s="111"/>
      <c r="AB205" s="132"/>
      <c r="AC205" s="132"/>
      <c r="AD205" s="132"/>
      <c r="AE205" s="132"/>
      <c r="AF205" s="132"/>
      <c r="AG205" s="132"/>
      <c r="AH205" s="132"/>
      <c r="AI205" s="132"/>
      <c r="AJ205" s="132"/>
      <c r="AK205" s="136"/>
      <c r="AL205" s="137"/>
    </row>
    <row r="206" ht="26" spans="1:38">
      <c r="A206" s="37"/>
      <c r="B206" s="38"/>
      <c r="C206" s="38"/>
      <c r="D206" s="101" t="s">
        <v>417</v>
      </c>
      <c r="E206" s="102" t="s">
        <v>418</v>
      </c>
      <c r="F206" s="102"/>
      <c r="G206" s="102"/>
      <c r="H206" s="40"/>
      <c r="I206" s="40"/>
      <c r="J206" s="123">
        <f>H79+I79</f>
        <v>0</v>
      </c>
      <c r="K206" s="40"/>
      <c r="L206" s="124">
        <f>J79</f>
        <v>0</v>
      </c>
      <c r="M206" s="125">
        <v>349670.26</v>
      </c>
      <c r="N206" s="124"/>
      <c r="O206" s="124">
        <f>L79-M79</f>
        <v>-1006289.65</v>
      </c>
      <c r="P206" s="124"/>
      <c r="Q206" s="124">
        <f>M79+O79</f>
        <v>0</v>
      </c>
      <c r="R206" s="124">
        <f>Q79</f>
        <v>0</v>
      </c>
      <c r="S206" s="111"/>
      <c r="T206" s="111"/>
      <c r="U206" s="111"/>
      <c r="V206" s="111"/>
      <c r="W206" s="111"/>
      <c r="X206" s="111"/>
      <c r="Y206" s="111"/>
      <c r="Z206" s="111"/>
      <c r="AA206" s="111"/>
      <c r="AB206" s="132"/>
      <c r="AC206" s="132"/>
      <c r="AD206" s="132"/>
      <c r="AE206" s="132"/>
      <c r="AF206" s="132"/>
      <c r="AG206" s="132"/>
      <c r="AH206" s="132"/>
      <c r="AI206" s="132"/>
      <c r="AJ206" s="132"/>
      <c r="AK206" s="136"/>
      <c r="AL206" s="137"/>
    </row>
    <row r="207" ht="14" spans="1:38">
      <c r="A207" s="37"/>
      <c r="B207" s="38"/>
      <c r="C207" s="38"/>
      <c r="D207" s="101" t="s">
        <v>419</v>
      </c>
      <c r="E207" s="102"/>
      <c r="F207" s="102"/>
      <c r="G207" s="102"/>
      <c r="H207" s="40"/>
      <c r="I207" s="40"/>
      <c r="J207" s="123">
        <f>J6-J204-J205-J206</f>
        <v>0</v>
      </c>
      <c r="K207" s="40"/>
      <c r="L207" s="124"/>
      <c r="M207" s="124"/>
      <c r="N207" s="124"/>
      <c r="O207" s="124"/>
      <c r="P207" s="124"/>
      <c r="Q207" s="124"/>
      <c r="R207" s="124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6"/>
      <c r="AL207" s="137"/>
    </row>
    <row r="208" ht="14" spans="1:38">
      <c r="A208" s="113"/>
      <c r="B208" s="114"/>
      <c r="C208" s="114"/>
      <c r="D208" s="115" t="s">
        <v>420</v>
      </c>
      <c r="E208" s="116"/>
      <c r="F208" s="116"/>
      <c r="G208" s="116"/>
      <c r="H208" s="117"/>
      <c r="I208" s="117"/>
      <c r="J208" s="117" t="e">
        <f>J207/J6</f>
        <v>#DIV/0!</v>
      </c>
      <c r="K208" s="117"/>
      <c r="L208" s="126" t="e">
        <f>L207/L6</f>
        <v>#DIV/0!</v>
      </c>
      <c r="M208" s="126">
        <f>M207/M6</f>
        <v>0</v>
      </c>
      <c r="N208" s="126"/>
      <c r="O208" s="126"/>
      <c r="P208" s="126"/>
      <c r="Q208" s="126" t="e">
        <f>Q207/Q6</f>
        <v>#DIV/0!</v>
      </c>
      <c r="R208" s="126" t="e">
        <f>R207/R6</f>
        <v>#DIV/0!</v>
      </c>
      <c r="S208" s="131"/>
      <c r="T208" s="131"/>
      <c r="U208" s="131"/>
      <c r="V208" s="131"/>
      <c r="W208" s="131"/>
      <c r="X208" s="131"/>
      <c r="Y208" s="131"/>
      <c r="Z208" s="131"/>
      <c r="AA208" s="131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8"/>
      <c r="AL208" s="139"/>
    </row>
    <row r="209" ht="14" spans="1:38">
      <c r="A209" s="118"/>
      <c r="B209" s="118"/>
      <c r="C209" s="118"/>
      <c r="D209" s="119"/>
      <c r="E209" s="120"/>
      <c r="F209" s="120"/>
      <c r="G209" s="120"/>
      <c r="H209" s="121"/>
      <c r="I209" s="121"/>
      <c r="J209" s="127" t="s">
        <v>421</v>
      </c>
      <c r="K209" s="128"/>
      <c r="L209" s="129" t="s">
        <v>422</v>
      </c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4"/>
      <c r="AA209" s="70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40"/>
    </row>
  </sheetData>
  <mergeCells count="58">
    <mergeCell ref="B3:D3"/>
    <mergeCell ref="E3:F3"/>
    <mergeCell ref="G3:I3"/>
    <mergeCell ref="J3:K3"/>
    <mergeCell ref="L3:M3"/>
    <mergeCell ref="H4:L4"/>
    <mergeCell ref="M4:R4"/>
    <mergeCell ref="S4:Y4"/>
    <mergeCell ref="Z4:AK4"/>
    <mergeCell ref="H7:L7"/>
    <mergeCell ref="M7:R7"/>
    <mergeCell ref="S7:Y7"/>
    <mergeCell ref="Z7:AK7"/>
    <mergeCell ref="A3:A9"/>
    <mergeCell ref="B4:B5"/>
    <mergeCell ref="B7:B9"/>
    <mergeCell ref="C4:C5"/>
    <mergeCell ref="C7:C9"/>
    <mergeCell ref="D4:D5"/>
    <mergeCell ref="D7:D9"/>
    <mergeCell ref="E4:E5"/>
    <mergeCell ref="E7:E9"/>
    <mergeCell ref="F4:F5"/>
    <mergeCell ref="F7:F9"/>
    <mergeCell ref="G4:G5"/>
    <mergeCell ref="G7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4:AL10"/>
    <mergeCell ref="A1:S2"/>
  </mergeCells>
  <dataValidations count="1">
    <dataValidation type="list" allowBlank="1" showInputMessage="1" showErrorMessage="1" sqref="E6:G6">
      <formula1>"进场准备,在施,完工未验收,竣工已结,竣工未结,其它（停工）"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</dc:creator>
  <cp:lastModifiedBy>梁朝人</cp:lastModifiedBy>
  <dcterms:created xsi:type="dcterms:W3CDTF">2026-04-17T07:37:00Z</dcterms:created>
  <dcterms:modified xsi:type="dcterms:W3CDTF">2026-04-24T01:32:43Z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65000348E8CA400EBA747A1A2C8A20F2_11</vt:lpwstr>
  </property>
  <property fmtid="{D5CDD505-2E9C-101B-9397-08002B2CF9AE}" pid="3" name="KSOProductBuildVer">
    <vt:lpwstr>2052-12.1.0.21541</vt:lpwstr>
  </property>
</Properties>
</file>