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name="RPA汇总数据源" sheetId="1" state="visible" r:id="rId1"/>
    <sheet name="附表3项目效益审核表" sheetId="2" state="visible" r:id="rId2"/>
  </sheets>
  <externalReferences>
    <externalReference r:id="rId3"/>
    <externalReference r:id="rId4"/>
    <externalReference r:id="rId5"/>
  </externalReferences>
  <definedNames>
    <definedName name="hideComboData0">[1]数据集!$A$1:$A$6212</definedName>
    <definedName name="hideComboData1">[1]数据集!$B$1:$B$118</definedName>
    <definedName name="hideComboData19">[1]数据集!$T$1:$T$4</definedName>
    <definedName name="hideComboData2">[1]数据集!$C$1:$C$6212</definedName>
    <definedName name="hideComboData20">[1]数据集!$U$1:$U$7</definedName>
    <definedName name="hideComboData22">[1]数据集!$W$1:$W$3</definedName>
    <definedName name="hideComboData23">[1]数据集!$X$1:$X$2</definedName>
    <definedName name="hideComboData24">[1]数据集!$Y$1:$Y$2</definedName>
    <definedName name="hideComboData25">[1]数据集!$Z$1:$Z$3</definedName>
    <definedName name="hideComboData3">[1]数据集!$D$1:$D$14</definedName>
    <definedName name="hideComboData4">[1]数据集!$E$1:$E$21</definedName>
    <definedName name="hideComboData5">[1]数据集!$F$1:$F$1038</definedName>
    <definedName name="hideComboData13">[2]数据集!$N$1:$N$8</definedName>
    <definedName name="hideComboData14">[2]数据集!$O$1:$O$6</definedName>
    <definedName name="hideComboData15">[2]数据集!$P$1:$P$3</definedName>
    <definedName name="hideComboData18">[2]数据集!$S$1:$S$2</definedName>
    <definedName name="hideComboData17">[2]数据集!$R$1:$R$2</definedName>
  </definedNames>
  <calcPr calcId="191029" fullCalcOnLoad="1"/>
</workbook>
</file>

<file path=xl/styles.xml><?xml version="1.0" encoding="utf-8"?>
<styleSheet xmlns="http://schemas.openxmlformats.org/spreadsheetml/2006/main">
  <numFmts count="4">
    <numFmt numFmtId="164" formatCode="0.00_);[Red]\(0.00\)"/>
    <numFmt numFmtId="165" formatCode="_ * #,##0.00_ ;_ * \-#,##0.00_ ;_ * &quot;-&quot;??_ ;_ @_ "/>
    <numFmt numFmtId="166" formatCode="_ &quot;￥&quot;* #,##0.00_ ;_ &quot;￥&quot;* \-#,##0.00_ ;_ &quot;￥&quot;* &quot;-&quot;??_ ;_ @_ "/>
    <numFmt numFmtId="167" formatCode="_ * #,##0.00_ ;_ * \-#,##0.00_ ;_ * &quot;-&quot;??.00_ ;_ @_ "/>
  </numFmts>
  <fonts count="39">
    <font>
      <name val="宋体"/>
      <charset val="134"/>
      <color theme="1"/>
      <sz val="11"/>
      <scheme val="minor"/>
    </font>
    <font>
      <name val="宋体"/>
      <charset val="134"/>
      <color indexed="8"/>
      <sz val="10"/>
    </font>
    <font>
      <name val="宋体"/>
      <charset val="134"/>
      <b val="1"/>
      <color indexed="8"/>
      <sz val="10"/>
    </font>
    <font>
      <name val="宋体"/>
      <charset val="134"/>
      <color rgb="FFFF0000"/>
      <sz val="10"/>
    </font>
    <font>
      <name val="宋体"/>
      <charset val="134"/>
      <b val="1"/>
      <color indexed="10"/>
      <sz val="10"/>
    </font>
    <font>
      <name val="宋体"/>
      <charset val="134"/>
      <sz val="12"/>
    </font>
    <font>
      <name val="宋体"/>
      <charset val="134"/>
      <color indexed="8"/>
      <sz val="11"/>
    </font>
    <font>
      <name val="宋体"/>
      <charset val="134"/>
      <b val="1"/>
      <color rgb="FF000000"/>
      <sz val="20"/>
    </font>
    <font>
      <name val="宋体"/>
      <charset val="134"/>
      <b val="1"/>
      <color indexed="8"/>
      <sz val="20"/>
    </font>
    <font>
      <name val="宋体"/>
      <charset val="134"/>
      <b val="1"/>
      <color theme="1"/>
      <sz val="10"/>
    </font>
    <font>
      <name val="宋体"/>
      <charset val="134"/>
      <b val="1"/>
      <color indexed="8"/>
      <sz val="11"/>
    </font>
    <font>
      <name val="宋体"/>
      <charset val="134"/>
      <b val="1"/>
      <sz val="10"/>
    </font>
    <font>
      <name val="宋体"/>
      <charset val="134"/>
      <sz val="10"/>
    </font>
    <font>
      <name val="宋体"/>
      <charset val="134"/>
      <color indexed="0"/>
      <sz val="10"/>
    </font>
    <font>
      <name val="宋体"/>
      <charset val="134"/>
      <b val="1"/>
      <color rgb="FFFF0000"/>
      <sz val="10"/>
    </font>
    <font>
      <name val="宋体"/>
      <charset val="134"/>
      <b val="1"/>
      <color rgb="FF000000"/>
      <sz val="10"/>
    </font>
    <font>
      <name val="Times New Roman"/>
      <charset val="0"/>
      <b val="1"/>
      <sz val="10"/>
    </font>
    <font>
      <name val="宋体"/>
      <charset val="134"/>
      <color indexed="8"/>
      <sz val="12"/>
    </font>
    <font>
      <name val="宋体"/>
      <charset val="134"/>
      <b val="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9"/>
    </font>
  </fonts>
  <fills count="42">
    <fill>
      <patternFill/>
    </fill>
    <fill>
      <patternFill patternType="gray125"/>
    </fill>
    <fill>
      <patternFill patternType="solid">
        <fgColor theme="0"/>
        <bgColor indexed="64"/>
      </patternFill>
    </fill>
    <fill>
      <patternFill patternType="solid">
        <fgColor theme="8" tint="0.6"/>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5"/>
        <bgColor indexed="64"/>
      </patternFill>
    </fill>
    <fill>
      <patternFill patternType="solid">
        <fgColor rgb="FF00B0F0"/>
        <bgColor indexed="64"/>
      </patternFill>
    </fill>
    <fill>
      <patternFill patternType="solid">
        <fgColor theme="7" tint="0.4"/>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11" borderId="3"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4" applyAlignment="1">
      <alignment vertical="center"/>
    </xf>
    <xf numFmtId="0" fontId="25" fillId="0" borderId="4" applyAlignment="1">
      <alignment vertical="center"/>
    </xf>
    <xf numFmtId="0" fontId="26" fillId="0" borderId="5" applyAlignment="1">
      <alignment vertical="center"/>
    </xf>
    <xf numFmtId="0" fontId="26" fillId="0" borderId="0" applyAlignment="1">
      <alignment vertical="center"/>
    </xf>
    <xf numFmtId="0" fontId="27" fillId="12" borderId="6" applyAlignment="1">
      <alignment vertical="center"/>
    </xf>
    <xf numFmtId="0" fontId="28" fillId="13" borderId="7" applyAlignment="1">
      <alignment vertical="center"/>
    </xf>
    <xf numFmtId="0" fontId="29" fillId="13" borderId="6" applyAlignment="1">
      <alignment vertical="center"/>
    </xf>
    <xf numFmtId="0" fontId="30" fillId="14" borderId="8" applyAlignment="1">
      <alignment vertical="center"/>
    </xf>
    <xf numFmtId="0" fontId="31" fillId="0" borderId="9" applyAlignment="1">
      <alignment vertical="center"/>
    </xf>
    <xf numFmtId="0" fontId="32" fillId="0" borderId="10" applyAlignment="1">
      <alignment vertical="center"/>
    </xf>
    <xf numFmtId="0" fontId="33" fillId="15" borderId="0" applyAlignment="1">
      <alignment vertical="center"/>
    </xf>
    <xf numFmtId="0" fontId="34" fillId="16" borderId="0" applyAlignment="1">
      <alignment vertical="center"/>
    </xf>
    <xf numFmtId="0" fontId="35" fillId="17" borderId="0" applyAlignment="1">
      <alignment vertical="center"/>
    </xf>
    <xf numFmtId="0" fontId="36" fillId="18" borderId="0" applyAlignment="1">
      <alignment vertical="center"/>
    </xf>
    <xf numFmtId="0" fontId="37" fillId="19" borderId="0" applyAlignment="1">
      <alignment vertical="center"/>
    </xf>
    <xf numFmtId="0" fontId="37" fillId="20" borderId="0" applyAlignment="1">
      <alignment vertical="center"/>
    </xf>
    <xf numFmtId="0" fontId="36" fillId="21" borderId="0" applyAlignment="1">
      <alignment vertical="center"/>
    </xf>
    <xf numFmtId="0" fontId="36" fillId="22" borderId="0" applyAlignment="1">
      <alignment vertical="center"/>
    </xf>
    <xf numFmtId="0" fontId="37" fillId="23" borderId="0" applyAlignment="1">
      <alignment vertical="center"/>
    </xf>
    <xf numFmtId="0" fontId="37" fillId="24" borderId="0" applyAlignment="1">
      <alignment vertical="center"/>
    </xf>
    <xf numFmtId="0" fontId="36" fillId="25" borderId="0" applyAlignment="1">
      <alignment vertical="center"/>
    </xf>
    <xf numFmtId="0" fontId="36" fillId="26" borderId="0" applyAlignment="1">
      <alignment vertical="center"/>
    </xf>
    <xf numFmtId="0" fontId="37" fillId="27" borderId="0" applyAlignment="1">
      <alignment vertical="center"/>
    </xf>
    <xf numFmtId="0" fontId="37" fillId="28" borderId="0" applyAlignment="1">
      <alignment vertical="center"/>
    </xf>
    <xf numFmtId="0" fontId="36" fillId="29" borderId="0" applyAlignment="1">
      <alignment vertical="center"/>
    </xf>
    <xf numFmtId="0" fontId="36" fillId="30" borderId="0" applyAlignment="1">
      <alignment vertical="center"/>
    </xf>
    <xf numFmtId="0" fontId="37" fillId="31" borderId="0" applyAlignment="1">
      <alignment vertical="center"/>
    </xf>
    <xf numFmtId="0" fontId="37" fillId="32" borderId="0" applyAlignment="1">
      <alignment vertical="center"/>
    </xf>
    <xf numFmtId="0" fontId="36" fillId="33" borderId="0" applyAlignment="1">
      <alignment vertical="center"/>
    </xf>
    <xf numFmtId="0" fontId="36" fillId="34" borderId="0" applyAlignment="1">
      <alignment vertical="center"/>
    </xf>
    <xf numFmtId="0" fontId="37" fillId="35" borderId="0" applyAlignment="1">
      <alignment vertical="center"/>
    </xf>
    <xf numFmtId="0" fontId="37" fillId="36" borderId="0" applyAlignment="1">
      <alignment vertical="center"/>
    </xf>
    <xf numFmtId="0" fontId="36" fillId="37" borderId="0" applyAlignment="1">
      <alignment vertical="center"/>
    </xf>
    <xf numFmtId="0" fontId="36" fillId="38" borderId="0" applyAlignment="1">
      <alignment vertical="center"/>
    </xf>
    <xf numFmtId="0" fontId="37" fillId="39" borderId="0" applyAlignment="1">
      <alignment vertical="center"/>
    </xf>
    <xf numFmtId="0" fontId="37" fillId="40" borderId="0" applyAlignment="1">
      <alignment vertical="center"/>
    </xf>
    <xf numFmtId="0" fontId="36" fillId="41" borderId="0" applyAlignment="1">
      <alignment vertical="center"/>
    </xf>
    <xf numFmtId="0" fontId="5" fillId="0" borderId="0" applyAlignment="1">
      <alignment vertical="center"/>
    </xf>
  </cellStyleXfs>
  <cellXfs count="203">
    <xf numFmtId="0" fontId="0" fillId="0" borderId="0" pivotButton="0" quotePrefix="0" xfId="0"/>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1" fillId="0" borderId="0" applyProtection="1" pivotButton="0" quotePrefix="0" xfId="0">
      <protection locked="0" hidden="0"/>
    </xf>
    <xf numFmtId="0" fontId="3" fillId="0" borderId="0" applyProtection="1" pivotButton="0" quotePrefix="0" xfId="0">
      <protection locked="0" hidden="0"/>
    </xf>
    <xf numFmtId="0" fontId="2" fillId="0" borderId="0" applyProtection="1" pivotButton="0" quotePrefix="0" xfId="0">
      <protection locked="0" hidden="0"/>
    </xf>
    <xf numFmtId="0" fontId="4" fillId="0" borderId="0" applyAlignment="1" applyProtection="1" pivotButton="0" quotePrefix="0" xfId="0">
      <alignment vertical="center"/>
      <protection locked="0" hidden="0"/>
    </xf>
    <xf numFmtId="0" fontId="5" fillId="2" borderId="0" applyAlignment="1" pivotButton="0" quotePrefix="0" xfId="0">
      <alignment horizontal="center" vertical="center"/>
    </xf>
    <xf numFmtId="0" fontId="5" fillId="0" borderId="0" applyAlignment="1" applyProtection="1" pivotButton="0" quotePrefix="0" xfId="0">
      <alignment vertical="center"/>
      <protection locked="0" hidden="0"/>
    </xf>
    <xf numFmtId="164" fontId="5" fillId="0" borderId="0" applyAlignment="1" pivotButton="0" quotePrefix="0" xfId="0">
      <alignment vertical="center"/>
    </xf>
    <xf numFmtId="0" fontId="6" fillId="0" borderId="0" applyAlignment="1" applyProtection="1" pivotButton="0" quotePrefix="0" xfId="0">
      <alignment vertical="center"/>
      <protection locked="0" hidden="0"/>
    </xf>
    <xf numFmtId="0" fontId="7"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wrapText="1"/>
      <protection locked="0" hidden="0"/>
    </xf>
    <xf numFmtId="0" fontId="10" fillId="0" borderId="0" applyAlignment="1" applyProtection="1" pivotButton="0" quotePrefix="0" xfId="0">
      <alignment horizontal="left" vertical="center"/>
      <protection locked="0" hidden="0"/>
    </xf>
    <xf numFmtId="0" fontId="9" fillId="0" borderId="2" applyAlignment="1" applyProtection="1" pivotButton="0" quotePrefix="0" xfId="0">
      <alignment horizontal="center" vertical="center" wrapText="1"/>
      <protection locked="0" hidden="0"/>
    </xf>
    <xf numFmtId="0" fontId="9" fillId="3"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protection locked="0" hidden="0"/>
    </xf>
    <xf numFmtId="0" fontId="11" fillId="4"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wrapText="1"/>
      <protection locked="0" hidden="0"/>
    </xf>
    <xf numFmtId="0" fontId="9" fillId="5" borderId="2" applyAlignment="1" applyProtection="1" pivotButton="0" quotePrefix="0" xfId="0">
      <alignment horizontal="center" vertical="center" wrapText="1"/>
      <protection locked="0" hidden="0"/>
    </xf>
    <xf numFmtId="165" fontId="11" fillId="4" borderId="2" applyAlignment="1" applyProtection="1" pivotButton="0" quotePrefix="0" xfId="1">
      <alignment horizontal="center" vertical="center" wrapText="1"/>
      <protection locked="0" hidden="0"/>
    </xf>
    <xf numFmtId="0" fontId="2" fillId="0" borderId="2" applyAlignment="1" applyProtection="1" pivotButton="0" quotePrefix="0" xfId="0">
      <alignment horizontal="center" vertical="center"/>
      <protection locked="0" hidden="0"/>
    </xf>
    <xf numFmtId="165" fontId="11" fillId="0" borderId="2" applyAlignment="1" applyProtection="1" pivotButton="0" quotePrefix="0" xfId="1">
      <alignment horizontal="center" vertical="center" wrapText="1" shrinkToFit="1"/>
      <protection locked="0" hidden="0"/>
    </xf>
    <xf numFmtId="165" fontId="9" fillId="4" borderId="2" applyAlignment="1" applyProtection="1" pivotButton="0" quotePrefix="0" xfId="1">
      <alignment horizontal="center" vertical="center" wrapText="1"/>
      <protection locked="0" hidden="0"/>
    </xf>
    <xf numFmtId="0" fontId="9" fillId="6" borderId="2"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protection locked="0" hidden="0"/>
    </xf>
    <xf numFmtId="0" fontId="11" fillId="0" borderId="2" applyAlignment="1" applyProtection="1" pivotButton="0" quotePrefix="0" xfId="0">
      <alignment horizontal="left" vertical="center"/>
      <protection locked="0" hidden="0"/>
    </xf>
    <xf numFmtId="165" fontId="12" fillId="0" borderId="2" applyAlignment="1" applyProtection="1" pivotButton="0" quotePrefix="0" xfId="1">
      <alignment vertical="center"/>
      <protection locked="0" hidden="0"/>
    </xf>
    <xf numFmtId="0" fontId="2" fillId="0" borderId="2" applyAlignment="1" applyProtection="1" pivotButton="0" quotePrefix="0" xfId="0">
      <alignment horizontal="left" vertical="center" wrapText="1"/>
      <protection locked="0" hidden="0"/>
    </xf>
    <xf numFmtId="166" fontId="1" fillId="0" borderId="2" applyAlignment="1" pivotButton="0" quotePrefix="0" xfId="49">
      <alignment horizontal="left" vertical="center"/>
    </xf>
    <xf numFmtId="49" fontId="1" fillId="5" borderId="2" applyAlignment="1" applyProtection="1" pivotButton="0" quotePrefix="0" xfId="0">
      <alignment horizontal="left" vertical="center" wrapText="1"/>
      <protection locked="0" hidden="0"/>
    </xf>
    <xf numFmtId="0" fontId="13" fillId="0" borderId="2" applyAlignment="1" applyProtection="1" pivotButton="0" quotePrefix="0" xfId="0">
      <alignment horizontal="center" vertical="center" wrapText="1"/>
      <protection locked="0" hidden="0"/>
    </xf>
    <xf numFmtId="0" fontId="2" fillId="6" borderId="2" applyAlignment="1" applyProtection="1" pivotButton="0" quotePrefix="0" xfId="0">
      <alignment horizontal="center" vertical="center"/>
      <protection locked="0" hidden="0"/>
    </xf>
    <xf numFmtId="0" fontId="2" fillId="6" borderId="2" applyAlignment="1" applyProtection="1" pivotButton="0" quotePrefix="0" xfId="0">
      <alignment horizontal="left" vertical="center" wrapText="1"/>
      <protection locked="0" hidden="0"/>
    </xf>
    <xf numFmtId="165" fontId="11" fillId="6" borderId="2" applyAlignment="1" applyProtection="1" pivotButton="0" quotePrefix="0" xfId="1">
      <alignment vertical="center"/>
      <protection locked="0" hidden="0"/>
    </xf>
    <xf numFmtId="0" fontId="1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shrinkToFit="1"/>
      <protection locked="0" hidden="0"/>
    </xf>
    <xf numFmtId="165" fontId="1" fillId="0" borderId="2" applyAlignment="1" applyProtection="1" pivotButton="0" quotePrefix="0" xfId="1">
      <alignment horizontal="center" vertical="center"/>
      <protection locked="0" hidden="0"/>
    </xf>
    <xf numFmtId="165" fontId="1" fillId="0" borderId="2" applyAlignment="1" applyProtection="1" pivotButton="0" quotePrefix="0" xfId="1">
      <alignment horizontal="center" vertical="center" wrapText="1"/>
      <protection locked="0" hidden="0"/>
    </xf>
    <xf numFmtId="0" fontId="11" fillId="6" borderId="2" applyAlignment="1" applyProtection="1" pivotButton="0" quotePrefix="0" xfId="0">
      <alignment horizontal="left" vertical="center" wrapText="1"/>
      <protection locked="0" hidden="0"/>
    </xf>
    <xf numFmtId="165" fontId="12" fillId="0" borderId="2" applyAlignment="1" applyProtection="1" pivotButton="0" quotePrefix="0" xfId="1">
      <alignment vertical="center"/>
      <protection locked="0" hidden="0"/>
    </xf>
    <xf numFmtId="0" fontId="14" fillId="0" borderId="2" applyAlignment="1" applyProtection="1" pivotButton="0" quotePrefix="0" xfId="0">
      <alignment horizontal="left" vertical="center" wrapText="1"/>
      <protection locked="0" hidden="0"/>
    </xf>
    <xf numFmtId="0" fontId="3" fillId="0" borderId="2" applyAlignment="1" applyProtection="1" pivotButton="0" quotePrefix="0" xfId="0">
      <alignment horizontal="center" vertical="center"/>
      <protection locked="0" hidden="0"/>
    </xf>
    <xf numFmtId="165" fontId="3" fillId="0" borderId="2" applyAlignment="1" applyProtection="1" pivotButton="0" quotePrefix="0" xfId="1">
      <alignment vertical="center"/>
      <protection locked="0" hidden="0"/>
    </xf>
    <xf numFmtId="0" fontId="2" fillId="6"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49" fontId="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protection locked="0" hidden="0"/>
    </xf>
    <xf numFmtId="0" fontId="12" fillId="0"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wrapText="1"/>
      <protection locked="0" hidden="0"/>
    </xf>
    <xf numFmtId="165" fontId="11" fillId="0" borderId="2" applyAlignment="1" applyProtection="1" pivotButton="0" quotePrefix="0" xfId="1">
      <alignment vertical="center"/>
      <protection locked="0" hidden="0"/>
    </xf>
    <xf numFmtId="165" fontId="12" fillId="0" borderId="2" applyAlignment="1" applyProtection="1" pivotButton="0" quotePrefix="0" xfId="1">
      <alignment horizontal="right" vertical="center" wrapText="1"/>
      <protection locked="0" hidden="0"/>
    </xf>
    <xf numFmtId="10" fontId="8" fillId="0" borderId="0" applyAlignment="1" pivotButton="0" quotePrefix="0" xfId="0">
      <alignment horizontal="center" vertical="center"/>
    </xf>
    <xf numFmtId="10" fontId="11" fillId="4" borderId="2" applyAlignment="1" pivotButton="0" quotePrefix="0" xfId="1">
      <alignment horizontal="center" vertical="center" wrapText="1"/>
    </xf>
    <xf numFmtId="165" fontId="11" fillId="8" borderId="2" applyAlignment="1" applyProtection="1" pivotButton="0" quotePrefix="0" xfId="1">
      <alignment horizontal="center" vertical="center" wrapText="1" shrinkToFit="1"/>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9" fillId="4" borderId="2" applyAlignment="1" pivotButton="0" quotePrefix="0" xfId="1">
      <alignment horizontal="center" vertical="center" wrapText="1"/>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6" fillId="8" borderId="2" applyAlignment="1" applyProtection="1" pivotButton="0" quotePrefix="0" xfId="1">
      <alignment horizontal="center" vertical="center" wrapText="1"/>
      <protection locked="0" hidden="0"/>
    </xf>
    <xf numFmtId="0" fontId="2" fillId="7"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1" fillId="6" borderId="2" applyAlignment="1" pivotButton="0" quotePrefix="0" xfId="1">
      <alignment horizontal="center" vertical="center" wrapText="1"/>
    </xf>
    <xf numFmtId="165" fontId="12" fillId="2" borderId="2" applyAlignment="1" applyProtection="1" pivotButton="0" quotePrefix="0" xfId="1">
      <alignment vertical="center"/>
      <protection locked="0" hidden="0"/>
    </xf>
    <xf numFmtId="0" fontId="12" fillId="0" borderId="2" applyAlignment="1" applyProtection="1" pivotButton="0" quotePrefix="0" xfId="1">
      <alignment vertical="center"/>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4" fontId="1" fillId="0" borderId="2" applyAlignment="1" applyProtection="1" pivotButton="0" quotePrefix="0" xfId="0">
      <alignment horizontal="right" vertical="center" wrapText="1"/>
      <protection locked="0" hidden="0"/>
    </xf>
    <xf numFmtId="165" fontId="12" fillId="0" borderId="2" applyAlignment="1" applyProtection="1" pivotButton="0" quotePrefix="0" xfId="1">
      <alignment horizontal="center" vertical="center"/>
      <protection locked="0" hidden="0"/>
    </xf>
    <xf numFmtId="165" fontId="11" fillId="2" borderId="2" applyAlignment="1" applyProtection="1" pivotButton="0" quotePrefix="0" xfId="1">
      <alignment vertical="center"/>
      <protection locked="0" hidden="0"/>
    </xf>
    <xf numFmtId="0" fontId="8" fillId="0" borderId="0" applyAlignment="1" applyProtection="1" pivotButton="0" quotePrefix="0" xfId="0">
      <alignment vertical="center"/>
      <protection locked="0" hidden="0"/>
    </xf>
    <xf numFmtId="165" fontId="11" fillId="9" borderId="2" applyAlignment="1" applyProtection="1" pivotButton="0" quotePrefix="0" xfId="1">
      <alignment horizontal="center" vertical="center" wrapText="1" shrinkToFit="1"/>
      <protection locked="0" hidden="0"/>
    </xf>
    <xf numFmtId="165" fontId="2" fillId="9"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165" fontId="1" fillId="0" borderId="0" applyAlignment="1" applyProtection="1" pivotButton="0" quotePrefix="0" xfId="1">
      <alignment horizontal="right" vertical="center"/>
      <protection locked="0" hidden="0"/>
    </xf>
    <xf numFmtId="165" fontId="2" fillId="5" borderId="2" applyAlignment="1" applyProtection="1" pivotButton="0" quotePrefix="0" xfId="1">
      <alignment horizontal="center" vertical="center"/>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 fillId="0" borderId="2" applyProtection="1" pivotButton="0" quotePrefix="0" xfId="1">
      <protection locked="0" hidden="0"/>
    </xf>
    <xf numFmtId="165" fontId="3" fillId="0" borderId="2" applyProtection="1" pivotButton="0" quotePrefix="0" xfId="1">
      <protection locked="0" hidden="0"/>
    </xf>
    <xf numFmtId="165" fontId="2" fillId="0" borderId="2" applyAlignment="1" applyProtection="1" pivotButton="0" quotePrefix="0" xfId="1">
      <alignment horizontal="center" vertical="center"/>
      <protection locked="0" hidden="0"/>
    </xf>
    <xf numFmtId="0" fontId="1" fillId="0" borderId="2" applyAlignment="1" applyProtection="1" pivotButton="0" quotePrefix="0" xfId="0">
      <alignment vertical="center"/>
      <protection locked="0" hidden="0"/>
    </xf>
    <xf numFmtId="0" fontId="2" fillId="0" borderId="2" applyAlignment="1" applyProtection="1" pivotButton="0" quotePrefix="0" xfId="0">
      <alignment vertical="center"/>
      <protection locked="0" hidden="0"/>
    </xf>
    <xf numFmtId="0" fontId="1" fillId="0" borderId="2" applyProtection="1" pivotButton="0" quotePrefix="0" xfId="0">
      <protection locked="0" hidden="0"/>
    </xf>
    <xf numFmtId="0" fontId="3" fillId="0" borderId="2" applyProtection="1" pivotButton="0" quotePrefix="0" xfId="0">
      <protection locked="0" hidden="0"/>
    </xf>
    <xf numFmtId="0" fontId="14" fillId="0" borderId="2" applyAlignment="1" applyProtection="1" pivotButton="0" quotePrefix="0" xfId="0">
      <alignment horizontal="center" vertical="center" wrapText="1"/>
      <protection locked="0" hidden="0"/>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wrapText="1"/>
      <protection locked="0" hidden="0"/>
    </xf>
    <xf numFmtId="164" fontId="11" fillId="0" borderId="0" applyAlignment="1" applyProtection="1" pivotButton="0" quotePrefix="0" xfId="1">
      <alignment vertical="center" wrapText="1"/>
      <protection locked="0" hidden="0"/>
    </xf>
    <xf numFmtId="0" fontId="17" fillId="0" borderId="0"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5" fillId="2" borderId="0" applyAlignment="1" pivotButton="0" quotePrefix="0" xfId="0">
      <alignment horizontal="left" vertical="center"/>
    </xf>
    <xf numFmtId="0" fontId="17" fillId="0" borderId="0" applyAlignment="1" applyProtection="1" pivotButton="0" quotePrefix="0" xfId="0">
      <alignment vertical="center"/>
      <protection locked="0" hidden="0"/>
    </xf>
    <xf numFmtId="0" fontId="17" fillId="0" borderId="0" applyAlignment="1" applyProtection="1" pivotButton="0" quotePrefix="0" xfId="0">
      <alignment horizontal="left" vertical="center"/>
      <protection locked="0" hidden="0"/>
    </xf>
    <xf numFmtId="0" fontId="18" fillId="0" borderId="0" applyAlignment="1" pivotButton="0" quotePrefix="0" xfId="0">
      <alignment horizontal="left" vertical="center"/>
    </xf>
    <xf numFmtId="165" fontId="11" fillId="10"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0" fontId="11" fillId="6" borderId="2" applyAlignment="1" applyProtection="1" pivotButton="0" quotePrefix="0" xfId="3">
      <alignment vertical="center"/>
      <protection locked="0" hidden="0"/>
    </xf>
    <xf numFmtId="10" fontId="11" fillId="6" borderId="2" applyAlignment="1" pivotButton="0" quotePrefix="0" xfId="3">
      <alignment vertical="center"/>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1" fillId="0" borderId="0" applyAlignment="1" applyProtection="1" pivotButton="0" quotePrefix="0" xfId="1">
      <alignment vertical="center"/>
      <protection locked="0" hidden="0"/>
    </xf>
    <xf numFmtId="0" fontId="5" fillId="0" borderId="0" applyAlignment="1" applyProtection="1" pivotButton="0" quotePrefix="0" xfId="0">
      <alignment horizontal="left" vertical="center"/>
      <protection locked="0" hidden="0"/>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4" fontId="17" fillId="0" borderId="0" applyAlignment="1" applyProtection="1" pivotButton="0" quotePrefix="0" xfId="0">
      <alignment horizontal="lef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7" fillId="0" borderId="0" applyAlignment="1" applyProtection="1" pivotButton="0" quotePrefix="0" xfId="1">
      <alignment vertical="center"/>
      <protection locked="0" hidden="0"/>
    </xf>
    <xf numFmtId="0" fontId="2" fillId="0" borderId="2" applyProtection="1" pivotButton="0" quotePrefix="0" xfId="0">
      <protection locked="0" hidden="0"/>
    </xf>
    <xf numFmtId="165" fontId="2" fillId="6" borderId="2" applyAlignment="1" applyProtection="1" pivotButton="0" quotePrefix="0" xfId="1">
      <alignment vertical="center"/>
      <protection locked="0" hidden="0"/>
    </xf>
    <xf numFmtId="0" fontId="4" fillId="0" borderId="2" applyAlignment="1" applyProtection="1" pivotButton="0" quotePrefix="0" xfId="0">
      <alignment vertical="center"/>
      <protection locked="0" hidden="0"/>
    </xf>
    <xf numFmtId="164" fontId="5" fillId="0" borderId="0" applyAlignment="1" pivotButton="0" quotePrefix="0" xfId="0">
      <alignment vertical="center"/>
    </xf>
    <xf numFmtId="0" fontId="0" fillId="0" borderId="0" applyProtection="1" pivotButton="0" quotePrefix="0" xfId="0">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0" fontId="0" fillId="0" borderId="16" applyProtection="1" pivotButton="0" quotePrefix="0" xfId="0">
      <protection locked="0" hidden="0"/>
    </xf>
    <xf numFmtId="165" fontId="11" fillId="4" borderId="2" applyAlignment="1" applyProtection="1" pivotButton="0" quotePrefix="0" xfId="1">
      <alignment horizontal="center" vertical="center" wrapTex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5" fontId="11" fillId="8" borderId="2" applyAlignment="1" applyProtection="1" pivotButton="0" quotePrefix="0" xfId="1">
      <alignment horizontal="center" vertical="center" wrapText="1" shrinkToFit="1"/>
      <protection locked="0" hidden="0"/>
    </xf>
    <xf numFmtId="165" fontId="11" fillId="9" borderId="2" applyAlignment="1" applyProtection="1" pivotButton="0" quotePrefix="0" xfId="1">
      <alignment horizontal="center" vertical="center" wrapText="1" shrinkToFit="1"/>
      <protection locked="0" hidden="0"/>
    </xf>
    <xf numFmtId="165" fontId="2" fillId="5" borderId="2" applyAlignment="1" applyProtection="1" pivotButton="0" quotePrefix="0" xfId="1">
      <alignment horizontal="center" vertical="center"/>
      <protection locked="0" hidden="0"/>
    </xf>
    <xf numFmtId="165" fontId="2" fillId="0" borderId="2" applyAlignment="1" applyProtection="1" pivotButton="0" quotePrefix="0" xfId="1">
      <alignment horizontal="center" vertical="center"/>
      <protection locked="0" hidden="0"/>
    </xf>
    <xf numFmtId="0" fontId="0" fillId="0" borderId="17" applyProtection="1" pivotButton="0" quotePrefix="0" xfId="0">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2" fillId="9" borderId="2" applyAlignment="1" applyProtection="1" pivotButton="0" quotePrefix="0" xfId="1">
      <alignment horizontal="center" vertical="center" wrapText="1"/>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1" fillId="0" borderId="2" applyAlignment="1" applyProtection="1" pivotButton="0" quotePrefix="0" xfId="1">
      <alignment horizontal="center" vertical="center" wrapText="1" shrinkToFi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2"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9" fillId="4" borderId="2" applyAlignment="1" applyProtection="1" pivotButton="0" quotePrefix="0" xfId="1">
      <alignment horizontal="center" vertical="center" wrapText="1"/>
      <protection locked="0" hidden="0"/>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 fillId="0" borderId="2" applyAlignment="1" applyProtection="1" pivotButton="0" quotePrefix="0" xfId="1">
      <alignment vertical="center"/>
      <protection locked="0" hidden="0"/>
    </xf>
    <xf numFmtId="166" fontId="1" fillId="0" borderId="2" applyAlignment="1" pivotButton="0" quotePrefix="0" xfId="49">
      <alignment horizontal="left" vertical="center"/>
    </xf>
    <xf numFmtId="165" fontId="11" fillId="6" borderId="2" applyAlignment="1" pivotButton="0" quotePrefix="0" xfId="1">
      <alignment horizontal="center" vertical="center" wrapText="1"/>
    </xf>
    <xf numFmtId="165" fontId="1" fillId="0"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protection locked="0" hidden="0"/>
    </xf>
    <xf numFmtId="165" fontId="1" fillId="0" borderId="2" applyAlignment="1" applyProtection="1" pivotButton="0" quotePrefix="0" xfId="1">
      <alignment horizontal="center" vertical="center" wrapText="1"/>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165" fontId="1" fillId="0" borderId="2" applyProtection="1" pivotButton="0" quotePrefix="0" xfId="1">
      <protection locked="0" hidden="0"/>
    </xf>
    <xf numFmtId="165" fontId="3" fillId="0" borderId="2" applyAlignment="1" applyProtection="1" pivotButton="0" quotePrefix="0" xfId="1">
      <alignment vertical="center"/>
      <protection locked="0" hidden="0"/>
    </xf>
    <xf numFmtId="165" fontId="3" fillId="0" borderId="2" applyProtection="1" pivotButton="0" quotePrefix="0" xfId="1">
      <protection locked="0" hidden="0"/>
    </xf>
    <xf numFmtId="165" fontId="12" fillId="0" borderId="2" applyAlignment="1" applyProtection="1" pivotButton="0" quotePrefix="0" xfId="1">
      <alignment horizontal="center" vertical="center"/>
      <protection locked="0" hidden="0"/>
    </xf>
    <xf numFmtId="165" fontId="12" fillId="0" borderId="2" applyAlignment="1" applyProtection="1" pivotButton="0" quotePrefix="0" xfId="1">
      <alignment horizontal="right" vertical="center" wrapText="1"/>
      <protection locked="0" hidden="0"/>
    </xf>
    <xf numFmtId="165" fontId="11" fillId="2" borderId="2" applyAlignment="1" applyProtection="1" pivotButton="0" quotePrefix="0" xfId="1">
      <alignment vertical="center"/>
      <protection locked="0" hidden="0"/>
    </xf>
    <xf numFmtId="165" fontId="11" fillId="10" borderId="2" applyAlignment="1" applyProtection="1" pivotButton="0" quotePrefix="0" xfId="1">
      <alignmen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6"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64" fontId="11" fillId="0" borderId="0" applyAlignment="1" applyProtection="1" pivotButton="0" quotePrefix="0" xfId="1">
      <alignment vertical="center" wrapText="1"/>
      <protection locked="0" hidden="0"/>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5" fontId="17" fillId="0" borderId="0" applyAlignment="1" applyProtection="1" pivotButton="0" quotePrefix="0" xfId="1">
      <alignment vertical="center"/>
      <protection locked="0" hidden="0"/>
    </xf>
    <xf numFmtId="164" fontId="17" fillId="0" borderId="0" applyAlignment="1" applyProtection="1" pivotButton="0" quotePrefix="0" xfId="0">
      <alignment horizontal="left" vertical="center"/>
      <protection locked="0" hidden="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externalLink" Target="/xl/externalLinks/externalLink2.xml" Id="rId4" /><Relationship Type="http://schemas.openxmlformats.org/officeDocument/2006/relationships/externalLink" Target="/xl/externalLinks/externalLink3.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于</author>
    <author>Administrator</author>
    <author>51458</author>
    <author>Admin</author>
  </authors>
  <commentList>
    <comment ref="M17" authorId="0" shapeId="0">
      <text>
        <t>于:
**同财务账面合同履约成本/工程施工成本/直接人工费数据一致**</t>
      </text>
    </comment>
    <comment ref="M23" authorId="0" shapeId="0">
      <text>
        <t>于:
**同财务账面合同履约成本/工程施工成本/分包工程支出数据一致**</t>
      </text>
    </comment>
    <comment ref="M36" authorId="1" shapeId="0">
      <text>
        <t>**同财务账面合同履约成本/工程施工成本/直接材料费数据一致**</t>
      </text>
    </comment>
    <comment ref="M40" authorId="1" shapeId="0">
      <text>
        <t xml:space="preserve">**同财务账面合同履约成本/工程施工成本/机械租赁费数据一致**
</t>
      </text>
    </comment>
    <comment ref="M48" authorId="0" shapeId="0">
      <text>
        <t>于:
**同财务账面合同履约成本/工程施工成本其他直接费数据一致**</t>
      </text>
    </comment>
    <comment ref="M63" authorId="1" shapeId="0">
      <text>
        <t>**同财务账面合同履约成本/工程施工成本/间接费数据一致**</t>
      </text>
    </comment>
    <comment ref="D67" authorId="2" shapeId="0">
      <text>
        <t>（在建：房建0.6%，其它0.4%；在保修期间的按0.3~0.5%自行确定;保修期结束为0）</t>
      </text>
    </comment>
    <comment ref="E72" authorId="3" shapeId="0">
      <text>
        <t>Admin:
尚需缴纳的增值税额=尚需向业主开票（累计实际完成工程量-累计已开票金额）金额对应的销项税额-分包分供尚可抵扣的进项税额</t>
      </text>
    </comment>
    <comment ref="E73" authorId="3" shapeId="0">
      <text>
        <t>Admin:
尚需缴纳的税金及附加=尚需缴纳的增值税*税金及附加税率</t>
      </text>
    </comment>
  </commentList>
</comments>
</file>

<file path=xl/externalLinks/_rels/externalLink1.xml.rels><Relationships xmlns="http://schemas.openxmlformats.org/package/2006/relationships"><Relationship Type="http://schemas.microsoft.com/office/2006/relationships/xlExternalLinkPath/xlPathMissing" Target="file:///C:\Users\liuxuesong\Downloads\&#22806;&#37096;&#23548;&#20837;&#38382;&#39064;&#27169;&#26495;&#65288;&#33258;&#21160;&#29983;&#25104;&#65289;(092947617).xlsx" TargetMode="External" Id="rId1" /></Relationships>
</file>

<file path=xl/externalLinks/_rels/externalLink2.xml.rels><Relationships xmlns="http://schemas.openxmlformats.org/package/2006/relationships"><Relationship Type="http://schemas.microsoft.com/office/2006/relationships/xlExternalLinkPath/xlPathMissing" Target="file:///C:\Users\feitian\Desktop\&#22806;&#37096;&#23548;&#20837;&#38382;&#39064;&#27169;&#26495;&#65288;&#33258;&#21160;&#29983;&#25104;&#65289;(101656259).xlsx" TargetMode="External" Id="rId1" /></Relationships>
</file>

<file path=xl/externalLinks/_rels/externalLink3.xml.rels><Relationships xmlns="http://schemas.openxmlformats.org/package/2006/relationships"><Relationship Type="http://schemas.openxmlformats.org/officeDocument/2006/relationships/externalLinkPath" Target="\Users\sasa\AppData\Local\Temp\360zip$Temp\360$4\8.2&#31459;&#24037;&#39033;&#30446;&#23457;&#35745;&#26631;&#20934;&#22871;&#3492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附表1项目目标责任完成情况表 "/>
      <sheetName val="附表2项目损益情况表"/>
      <sheetName val="附表3项目效益审核表"/>
    </sheetNames>
    <sheetDataSet>
      <sheetData sheetId="0"/>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96"/>
  <sheetViews>
    <sheetView workbookViewId="0">
      <selection activeCell="A1" sqref="A1"/>
    </sheetView>
  </sheetViews>
  <sheetFormatPr baseColWidth="8" defaultRowHeight="15"/>
  <sheetData>
    <row r="1">
      <c r="A1" t="inlineStr">
        <is>
          <t>成本分类</t>
        </is>
      </c>
      <c r="B1" t="inlineStr">
        <is>
          <t>客商</t>
        </is>
      </c>
      <c r="C1" t="inlineStr">
        <is>
          <t>合同</t>
        </is>
      </c>
      <c r="D1" t="inlineStr">
        <is>
          <t>净发生额</t>
        </is>
      </c>
    </row>
    <row r="2">
      <c r="A2" t="inlineStr">
        <is>
          <t>人工费</t>
        </is>
      </c>
      <c r="B2" t="inlineStr">
        <is>
          <t>无客商-劳务费</t>
        </is>
      </c>
      <c r="C2" t="n">
        <v/>
      </c>
      <c r="D2" t="n">
        <v>39456446.11</v>
      </c>
    </row>
    <row r="3">
      <c r="A3" t="inlineStr">
        <is>
          <t>人工费</t>
        </is>
      </c>
      <c r="B3" t="inlineStr">
        <is>
          <t>无客商-应付汤村旧改项目复建</t>
        </is>
      </c>
      <c r="C3" t="n">
        <v/>
      </c>
      <c r="D3" t="n">
        <v>27591468.22</v>
      </c>
    </row>
    <row r="4">
      <c r="A4" t="inlineStr">
        <is>
          <t>人工费</t>
        </is>
      </c>
      <c r="B4" t="inlineStr">
        <is>
          <t>无客商-应付汤村项目复一广东</t>
        </is>
      </c>
      <c r="C4" t="n">
        <v/>
      </c>
      <c r="D4" t="n">
        <v>1429064.55</v>
      </c>
    </row>
    <row r="5">
      <c r="A5" t="inlineStr">
        <is>
          <t>人工费</t>
        </is>
      </c>
      <c r="B5" t="inlineStr">
        <is>
          <t>无客商-应付汤村项目复建地块</t>
        </is>
      </c>
      <c r="C5" t="n">
        <v/>
      </c>
      <c r="D5" t="n">
        <v>6342638.57</v>
      </c>
    </row>
    <row r="6">
      <c r="A6" t="inlineStr">
        <is>
          <t>人工费</t>
        </is>
      </c>
      <c r="B6" t="inlineStr">
        <is>
          <t>无客商-结算分包工程款-广东</t>
        </is>
      </c>
      <c r="C6" t="n">
        <v/>
      </c>
      <c r="D6" t="n">
        <v>568828.21</v>
      </c>
    </row>
    <row r="7">
      <c r="A7" t="inlineStr">
        <is>
          <t>人工费</t>
        </is>
      </c>
      <c r="B7" t="inlineStr">
        <is>
          <t>无客商-计提汤村复1地块安全</t>
        </is>
      </c>
      <c r="C7" t="n">
        <v/>
      </c>
      <c r="D7" t="n">
        <v>-5809818.35</v>
      </c>
    </row>
    <row r="8">
      <c r="A8" t="inlineStr">
        <is>
          <t>其他直接费</t>
        </is>
      </c>
      <c r="B8" t="inlineStr">
        <is>
          <t>无客商-应付汤村复一项目佛山</t>
        </is>
      </c>
      <c r="C8" t="n">
        <v/>
      </c>
      <c r="D8" t="n">
        <v>3140750.01</v>
      </c>
    </row>
    <row r="9">
      <c r="A9" t="inlineStr">
        <is>
          <t>其他直接费</t>
        </is>
      </c>
      <c r="B9" t="inlineStr">
        <is>
          <t>无客商-应付汤村复一项目广东</t>
        </is>
      </c>
      <c r="C9" t="n">
        <v/>
      </c>
      <c r="D9" t="n">
        <v>394403.33</v>
      </c>
    </row>
    <row r="10">
      <c r="A10" t="inlineStr">
        <is>
          <t>其他直接费</t>
        </is>
      </c>
      <c r="B10" t="inlineStr">
        <is>
          <t>无客商-应付汤村复一项目广州</t>
        </is>
      </c>
      <c r="C10" t="n">
        <v/>
      </c>
      <c r="D10" t="n">
        <v>7248949.96</v>
      </c>
    </row>
    <row r="11">
      <c r="A11" t="inlineStr">
        <is>
          <t>其他直接费</t>
        </is>
      </c>
      <c r="B11" t="inlineStr">
        <is>
          <t>无客商-应付汤村复一项目深圳</t>
        </is>
      </c>
      <c r="C11" t="n">
        <v/>
      </c>
      <c r="D11" t="n">
        <v>260430</v>
      </c>
    </row>
    <row r="12">
      <c r="A12" t="inlineStr">
        <is>
          <t>其他直接费</t>
        </is>
      </c>
      <c r="B12" t="inlineStr">
        <is>
          <t>无客商-应付汤村项目复建区1</t>
        </is>
      </c>
      <c r="C12" t="n">
        <v/>
      </c>
      <c r="D12" t="n">
        <v>1132740.61</v>
      </c>
    </row>
    <row r="13">
      <c r="A13" t="inlineStr">
        <is>
          <t>分包工程</t>
        </is>
      </c>
      <c r="B13" t="inlineStr">
        <is>
          <t>无客商-2025年二季度大型</t>
        </is>
      </c>
      <c r="C13" t="n">
        <v/>
      </c>
      <c r="D13" t="n">
        <v>6509.43</v>
      </c>
    </row>
    <row r="14">
      <c r="A14" t="inlineStr">
        <is>
          <t>分包工程</t>
        </is>
      </c>
      <c r="B14" t="inlineStr">
        <is>
          <t>无客商-2025年四季度大型</t>
        </is>
      </c>
      <c r="C14" t="n">
        <v/>
      </c>
      <c r="D14" t="n">
        <v>2830.19</v>
      </c>
    </row>
    <row r="15">
      <c r="A15" t="inlineStr">
        <is>
          <t>分包工程</t>
        </is>
      </c>
      <c r="B15" t="inlineStr">
        <is>
          <t>无客商-付广州市黄埔区汤村村</t>
        </is>
      </c>
      <c r="C15" t="n">
        <v/>
      </c>
      <c r="D15" t="n">
        <v>20035</v>
      </c>
    </row>
    <row r="16">
      <c r="A16" t="inlineStr">
        <is>
          <t>分包工程</t>
        </is>
      </c>
      <c r="B16" t="inlineStr">
        <is>
          <t>无客商-付广州市黄埔区汤村项</t>
        </is>
      </c>
      <c r="C16" t="n">
        <v/>
      </c>
      <c r="D16" t="n">
        <v>31612.26</v>
      </c>
    </row>
    <row r="17">
      <c r="A17" t="inlineStr">
        <is>
          <t>分包工程</t>
        </is>
      </c>
      <c r="B17" t="inlineStr">
        <is>
          <t>无客商-支付中国大地财产保险</t>
        </is>
      </c>
      <c r="C17" t="n">
        <v/>
      </c>
      <c r="D17" t="n">
        <v>432696.64</v>
      </c>
    </row>
    <row r="18">
      <c r="A18" t="inlineStr">
        <is>
          <t>分包工程</t>
        </is>
      </c>
      <c r="B18" t="inlineStr">
        <is>
          <t>无客商-支付凤凰路西二地块项</t>
        </is>
      </c>
      <c r="C18" t="n">
        <v/>
      </c>
      <c r="D18" t="n">
        <v>381512.1</v>
      </c>
    </row>
    <row r="19">
      <c r="A19" t="inlineStr">
        <is>
          <t>分包工程</t>
        </is>
      </c>
      <c r="B19" t="inlineStr">
        <is>
          <t>无客商-支付汤村复1地块大型</t>
        </is>
      </c>
      <c r="C19" t="n">
        <v/>
      </c>
      <c r="D19" t="n">
        <v>7169.81</v>
      </c>
    </row>
    <row r="20">
      <c r="A20" t="inlineStr">
        <is>
          <t>分包工程</t>
        </is>
      </c>
      <c r="B20" t="inlineStr">
        <is>
          <t>无客商-支付汤村复一项目简显</t>
        </is>
      </c>
      <c r="C20" t="n">
        <v/>
      </c>
      <c r="D20" t="n">
        <v>22831.03</v>
      </c>
    </row>
    <row r="21">
      <c r="A21" t="inlineStr">
        <is>
          <t>分包工程</t>
        </is>
      </c>
      <c r="B21" t="inlineStr">
        <is>
          <t>无客商-支付汤村旧改复建地块</t>
        </is>
      </c>
      <c r="C21" t="n">
        <v/>
      </c>
      <c r="D21" t="n">
        <v>610735.84</v>
      </c>
    </row>
    <row r="22">
      <c r="A22" t="inlineStr">
        <is>
          <t>分包工程</t>
        </is>
      </c>
      <c r="B22" t="inlineStr">
        <is>
          <t>无客商-支付汤村旧改项目复建</t>
        </is>
      </c>
      <c r="C22" t="n">
        <v/>
      </c>
      <c r="D22" t="n">
        <v>29886.79</v>
      </c>
    </row>
    <row r="23">
      <c r="A23" t="inlineStr">
        <is>
          <t>分包工程</t>
        </is>
      </c>
      <c r="B23" t="inlineStr">
        <is>
          <t>无客商-汤村复1地块2025</t>
        </is>
      </c>
      <c r="C23" t="n">
        <v/>
      </c>
      <c r="D23" t="n">
        <v>4528.3</v>
      </c>
    </row>
    <row r="24">
      <c r="A24" t="inlineStr">
        <is>
          <t>分包工程</t>
        </is>
      </c>
      <c r="B24" t="inlineStr">
        <is>
          <t>无客商-汤村旧改项目复建一地</t>
        </is>
      </c>
      <c r="C24" t="n">
        <v/>
      </c>
      <c r="D24" t="n">
        <v>73729.73</v>
      </c>
    </row>
    <row r="25">
      <c r="A25" t="inlineStr">
        <is>
          <t>分包工程</t>
        </is>
      </c>
      <c r="B25" t="inlineStr">
        <is>
          <t>无客商-汤村旧改项目对外支付</t>
        </is>
      </c>
      <c r="C25" t="n">
        <v/>
      </c>
      <c r="D25" t="n">
        <v>56182.08</v>
      </c>
    </row>
    <row r="26">
      <c r="A26" t="inlineStr">
        <is>
          <t>分包工程</t>
        </is>
      </c>
      <c r="B26" t="inlineStr">
        <is>
          <t>无客商-汤村旧村改造项目对外</t>
        </is>
      </c>
      <c r="C26" t="n">
        <v/>
      </c>
      <c r="D26" t="n">
        <v>564616.53</v>
      </c>
    </row>
    <row r="27">
      <c r="A27" t="inlineStr">
        <is>
          <t>分包工程</t>
        </is>
      </c>
      <c r="B27" t="inlineStr">
        <is>
          <t>无客商-汤村项目付广州市中洁</t>
        </is>
      </c>
      <c r="C27" t="n">
        <v/>
      </c>
      <c r="D27" t="n">
        <v>45742.58</v>
      </c>
    </row>
    <row r="28">
      <c r="A28" t="inlineStr">
        <is>
          <t>分包工程</t>
        </is>
      </c>
      <c r="B28" t="inlineStr">
        <is>
          <t>无客商-汤村项目付广州陇飞广</t>
        </is>
      </c>
      <c r="C28" t="n">
        <v/>
      </c>
      <c r="D28" t="n">
        <v>1000</v>
      </c>
    </row>
    <row r="29">
      <c r="A29" t="inlineStr">
        <is>
          <t>安全生产费</t>
        </is>
      </c>
      <c r="B29" t="inlineStr">
        <is>
          <t>无客商-计提广州市黄埔区汤村</t>
        </is>
      </c>
      <c r="C29" t="n">
        <v/>
      </c>
      <c r="D29" t="n">
        <v>8518630.220000001</v>
      </c>
    </row>
    <row r="30">
      <c r="A30" t="inlineStr">
        <is>
          <t>未分类</t>
        </is>
      </c>
      <c r="B30" t="inlineStr">
        <is>
          <t>东莞市广拓建材贸易有限公司</t>
        </is>
      </c>
      <c r="C30" t="inlineStr">
        <is>
          <t>中建四局02002021036060015</t>
        </is>
      </c>
      <c r="D30" t="n">
        <v>5127230.72</v>
      </c>
    </row>
    <row r="31">
      <c r="A31" t="inlineStr">
        <is>
          <t>未分类</t>
        </is>
      </c>
      <c r="B31" t="inlineStr">
        <is>
          <t>东莞市广拓建材贸易有限公司</t>
        </is>
      </c>
      <c r="C31" t="n">
        <v/>
      </c>
      <c r="D31" t="n">
        <v>642890.7</v>
      </c>
    </row>
    <row r="32">
      <c r="A32" t="inlineStr">
        <is>
          <t>未分类</t>
        </is>
      </c>
      <c r="B32" t="inlineStr">
        <is>
          <t>中信银行股份有限公司</t>
        </is>
      </c>
      <c r="C32" t="n">
        <v/>
      </c>
      <c r="D32" t="n">
        <v>16801020.69</v>
      </c>
    </row>
    <row r="33">
      <c r="A33" t="inlineStr">
        <is>
          <t>未分类</t>
        </is>
      </c>
      <c r="B33" t="inlineStr">
        <is>
          <t>中励供应链管理（浙江）有限公司</t>
        </is>
      </c>
      <c r="C33" t="inlineStr">
        <is>
          <t>中建四局0200202103606012</t>
        </is>
      </c>
      <c r="D33" t="n">
        <v>53365603</v>
      </c>
    </row>
    <row r="34">
      <c r="A34" t="inlineStr">
        <is>
          <t>未分类</t>
        </is>
      </c>
      <c r="B34" t="inlineStr">
        <is>
          <t>中励供应链管理（浙江）有限公司</t>
        </is>
      </c>
      <c r="C34" t="n">
        <v/>
      </c>
      <c r="D34" t="n">
        <v>6139406.01</v>
      </c>
    </row>
    <row r="35">
      <c r="A35" t="inlineStr">
        <is>
          <t>未分类</t>
        </is>
      </c>
      <c r="B35" t="inlineStr">
        <is>
          <t>中国农业银行股份有限公司</t>
        </is>
      </c>
      <c r="C35" t="n">
        <v/>
      </c>
      <c r="D35" t="n">
        <v>8768911.26</v>
      </c>
    </row>
    <row r="36">
      <c r="A36" t="inlineStr">
        <is>
          <t>未分类</t>
        </is>
      </c>
      <c r="B36" t="inlineStr">
        <is>
          <t>中国大地财产保险股份有限公司广东分公司营业部</t>
        </is>
      </c>
      <c r="C36" t="n">
        <v/>
      </c>
      <c r="D36" t="n">
        <v>917316.88</v>
      </c>
    </row>
    <row r="37">
      <c r="A37" t="inlineStr">
        <is>
          <t>未分类</t>
        </is>
      </c>
      <c r="B37" t="inlineStr">
        <is>
          <t>中国建筑第四工程局有限公司</t>
        </is>
      </c>
      <c r="C37" t="n">
        <v/>
      </c>
      <c r="D37" t="n">
        <v>1392337.87</v>
      </c>
    </row>
    <row r="38">
      <c r="A38" t="inlineStr">
        <is>
          <t>未分类</t>
        </is>
      </c>
      <c r="B38" t="inlineStr">
        <is>
          <t>中国建筑第四工程局有限公司直营项目（四）</t>
        </is>
      </c>
      <c r="C38" t="n">
        <v/>
      </c>
      <c r="D38" t="n">
        <v>375816585.36</v>
      </c>
    </row>
    <row r="39">
      <c r="A39" t="inlineStr">
        <is>
          <t>未分类</t>
        </is>
      </c>
      <c r="B39" t="inlineStr">
        <is>
          <t>中国建设银行股份有限公司</t>
        </is>
      </c>
      <c r="C39" t="n">
        <v/>
      </c>
      <c r="D39" t="n">
        <v>7101840.8</v>
      </c>
    </row>
    <row r="40">
      <c r="A40" t="inlineStr">
        <is>
          <t>未分类</t>
        </is>
      </c>
      <c r="B40" t="inlineStr">
        <is>
          <t>中山万科金域中央工程5-9标段</t>
        </is>
      </c>
      <c r="C40" t="n">
        <v/>
      </c>
      <c r="D40" t="n">
        <v>12000000</v>
      </c>
    </row>
    <row r="41">
      <c r="A41" t="inlineStr">
        <is>
          <t>未分类</t>
        </is>
      </c>
      <c r="B41" t="inlineStr">
        <is>
          <t>中建四局一公司广州分公司以局名义项目</t>
        </is>
      </c>
      <c r="C41" t="n">
        <v/>
      </c>
      <c r="D41" t="n">
        <v>400839584.88</v>
      </c>
    </row>
    <row r="42">
      <c r="A42" t="inlineStr">
        <is>
          <t>未分类</t>
        </is>
      </c>
      <c r="B42" t="inlineStr">
        <is>
          <t>中建四局第一建设有限公司</t>
        </is>
      </c>
      <c r="C42" t="n">
        <v/>
      </c>
      <c r="D42" t="n">
        <v>300000</v>
      </c>
    </row>
    <row r="43">
      <c r="A43" t="inlineStr">
        <is>
          <t>未分类</t>
        </is>
      </c>
      <c r="B43" t="inlineStr">
        <is>
          <t>中建四局第一建设有限公司广州分公司</t>
        </is>
      </c>
      <c r="C43" t="n">
        <v/>
      </c>
      <c r="D43" t="n">
        <v>14688279.06</v>
      </c>
    </row>
    <row r="44">
      <c r="A44" t="inlineStr">
        <is>
          <t>未分类</t>
        </is>
      </c>
      <c r="B44" t="inlineStr">
        <is>
          <t>交通银行股份有限公司</t>
        </is>
      </c>
      <c r="C44" t="n">
        <v/>
      </c>
      <c r="D44" t="n">
        <v>28052800.86</v>
      </c>
    </row>
    <row r="45">
      <c r="A45" t="inlineStr">
        <is>
          <t>未分类</t>
        </is>
      </c>
      <c r="B45" t="inlineStr">
        <is>
          <t>佛山唐贵五金电器有限公司</t>
        </is>
      </c>
      <c r="C45" t="inlineStr">
        <is>
          <t>中建四局0200202103606002</t>
        </is>
      </c>
      <c r="D45" t="n">
        <v>3595528.46</v>
      </c>
    </row>
    <row r="46">
      <c r="A46" t="inlineStr">
        <is>
          <t>未分类</t>
        </is>
      </c>
      <c r="B46" t="inlineStr">
        <is>
          <t>佛山唐贵五金电器有限公司</t>
        </is>
      </c>
      <c r="C46" t="inlineStr">
        <is>
          <t>中建四局0200202103606010</t>
        </is>
      </c>
      <c r="D46" t="n">
        <v>138408.52</v>
      </c>
    </row>
    <row r="47">
      <c r="A47" t="inlineStr">
        <is>
          <t>未分类</t>
        </is>
      </c>
      <c r="B47" t="inlineStr">
        <is>
          <t>佛山唐贵五金电器有限公司</t>
        </is>
      </c>
      <c r="C47" t="n">
        <v/>
      </c>
      <c r="D47" t="n">
        <v>430059.14</v>
      </c>
    </row>
    <row r="48">
      <c r="A48" t="inlineStr">
        <is>
          <t>未分类</t>
        </is>
      </c>
      <c r="B48" t="inlineStr">
        <is>
          <t>佛山市众万油品贸易有限公司</t>
        </is>
      </c>
      <c r="C48" t="inlineStr">
        <is>
          <t>中建四局0200202103606004</t>
        </is>
      </c>
      <c r="D48" t="n">
        <v>360683.4</v>
      </c>
    </row>
    <row r="49">
      <c r="A49" t="inlineStr">
        <is>
          <t>未分类</t>
        </is>
      </c>
      <c r="B49" t="inlineStr">
        <is>
          <t>佛山市众万油品贸易有限公司</t>
        </is>
      </c>
      <c r="C49" t="n">
        <v/>
      </c>
      <c r="D49" t="n">
        <v>41435.96</v>
      </c>
    </row>
    <row r="50">
      <c r="A50" t="inlineStr">
        <is>
          <t>未分类</t>
        </is>
      </c>
      <c r="B50" t="inlineStr">
        <is>
          <t>佛山市南海鼎赞机械设备有限公司</t>
        </is>
      </c>
      <c r="C50" t="inlineStr">
        <is>
          <t>中建四局020020210036050002</t>
        </is>
      </c>
      <c r="D50" t="n">
        <v>6002614.01</v>
      </c>
    </row>
    <row r="51">
      <c r="A51" t="inlineStr">
        <is>
          <t>未分类</t>
        </is>
      </c>
      <c r="B51" t="inlineStr">
        <is>
          <t>佛山市南海鼎赞机械设备有限公司</t>
        </is>
      </c>
      <c r="C51" t="n">
        <v/>
      </c>
      <c r="D51" t="n">
        <v>718916.97</v>
      </c>
    </row>
    <row r="52">
      <c r="A52" t="inlineStr">
        <is>
          <t>未分类</t>
        </is>
      </c>
      <c r="B52" t="inlineStr">
        <is>
          <t>佛山市翊德通新型环保科技建材有限公司</t>
        </is>
      </c>
      <c r="C52" t="inlineStr">
        <is>
          <t>中建四局0200202103606013</t>
        </is>
      </c>
      <c r="D52" t="n">
        <v>8241034.86</v>
      </c>
    </row>
    <row r="53">
      <c r="A53" t="inlineStr">
        <is>
          <t>未分类</t>
        </is>
      </c>
      <c r="B53" t="inlineStr">
        <is>
          <t>佛山市翊德通新型环保科技建材有限公司</t>
        </is>
      </c>
      <c r="C53" t="n">
        <v/>
      </c>
      <c r="D53" t="n">
        <v>1006365.86</v>
      </c>
    </row>
    <row r="54">
      <c r="A54" t="inlineStr">
        <is>
          <t>未分类</t>
        </is>
      </c>
      <c r="B54" t="inlineStr">
        <is>
          <t>华工国际学校东北角地块项目施工总承包及总承包管理配合服务</t>
        </is>
      </c>
      <c r="C54" t="n">
        <v/>
      </c>
      <c r="D54" t="n">
        <v>661186.35</v>
      </c>
    </row>
    <row r="55">
      <c r="A55" t="inlineStr">
        <is>
          <t>未分类</t>
        </is>
      </c>
      <c r="B55" t="inlineStr">
        <is>
          <t>南沙滨海花园十二期二区项目</t>
        </is>
      </c>
      <c r="C55" t="n">
        <v/>
      </c>
      <c r="D55" t="n">
        <v>739338.8</v>
      </c>
    </row>
    <row r="56">
      <c r="A56" t="inlineStr">
        <is>
          <t>未分类</t>
        </is>
      </c>
      <c r="B56" t="inlineStr">
        <is>
          <t>博实乐海南碧桂园学校（中学）项目</t>
        </is>
      </c>
      <c r="C56" t="n">
        <v/>
      </c>
      <c r="D56" t="n">
        <v>549545.91</v>
      </c>
    </row>
    <row r="57">
      <c r="A57" t="inlineStr">
        <is>
          <t>未分类</t>
        </is>
      </c>
      <c r="B57" t="inlineStr">
        <is>
          <t>天下行（广东）食品饮料有限公司</t>
        </is>
      </c>
      <c r="C57" t="n">
        <v/>
      </c>
      <c r="D57" t="n">
        <v>42000</v>
      </c>
    </row>
    <row r="58">
      <c r="A58" t="inlineStr">
        <is>
          <t>未分类</t>
        </is>
      </c>
      <c r="B58" t="inlineStr">
        <is>
          <t>天河区黄云路AT1003011、AT1003072地块项目施工总承包及总承包管理配合服务工程</t>
        </is>
      </c>
      <c r="C58" t="n">
        <v/>
      </c>
      <c r="D58" t="n">
        <v>11207.4</v>
      </c>
    </row>
    <row r="59">
      <c r="A59" t="inlineStr">
        <is>
          <t>未分类</t>
        </is>
      </c>
      <c r="B59" t="inlineStr">
        <is>
          <t>姚建霞-封存</t>
        </is>
      </c>
      <c r="C59" t="n">
        <v/>
      </c>
      <c r="D59" t="n">
        <v>295343.58</v>
      </c>
    </row>
    <row r="60">
      <c r="A60" t="inlineStr">
        <is>
          <t>未分类</t>
        </is>
      </c>
      <c r="B60" t="inlineStr">
        <is>
          <t>小新塘融资区I1、I2、I3地块</t>
        </is>
      </c>
      <c r="C60" t="n">
        <v/>
      </c>
      <c r="D60" t="n">
        <v>188962.71</v>
      </c>
    </row>
    <row r="61">
      <c r="A61" t="inlineStr">
        <is>
          <t>未分类</t>
        </is>
      </c>
      <c r="B61" t="inlineStr">
        <is>
          <t>广东君晖建筑工程有限公司</t>
        </is>
      </c>
      <c r="C61" t="inlineStr">
        <is>
          <t>中建四局020020210036050001</t>
        </is>
      </c>
      <c r="D61" t="n">
        <v>735675.76</v>
      </c>
    </row>
    <row r="62">
      <c r="A62" t="inlineStr">
        <is>
          <t>未分类</t>
        </is>
      </c>
      <c r="B62" t="inlineStr">
        <is>
          <t>广东君晖建筑工程有限公司</t>
        </is>
      </c>
      <c r="C62" t="n">
        <v/>
      </c>
      <c r="D62" t="n">
        <v>103042.32</v>
      </c>
    </row>
    <row r="63">
      <c r="A63" t="inlineStr">
        <is>
          <t>未分类</t>
        </is>
      </c>
      <c r="B63" t="inlineStr">
        <is>
          <t>广东广物物资有限公司</t>
        </is>
      </c>
      <c r="C63" t="inlineStr">
        <is>
          <t>中建四局0200202103606003</t>
        </is>
      </c>
      <c r="D63" t="n">
        <v>25813361.54</v>
      </c>
    </row>
    <row r="64">
      <c r="A64" t="inlineStr">
        <is>
          <t>未分类</t>
        </is>
      </c>
      <c r="B64" t="inlineStr">
        <is>
          <t>广东广物物资有限公司</t>
        </is>
      </c>
      <c r="C64" t="n">
        <v/>
      </c>
      <c r="D64" t="n">
        <v>3071642.84</v>
      </c>
    </row>
    <row r="65">
      <c r="A65" t="inlineStr">
        <is>
          <t>未分类</t>
        </is>
      </c>
      <c r="B65" t="inlineStr">
        <is>
          <t>广东新添美安防技术有限公司</t>
        </is>
      </c>
      <c r="C65" t="inlineStr">
        <is>
          <t>中建四局0200202103603003</t>
        </is>
      </c>
      <c r="D65" t="n">
        <v>14277612.97</v>
      </c>
    </row>
    <row r="66">
      <c r="A66" t="inlineStr">
        <is>
          <t>未分类</t>
        </is>
      </c>
      <c r="B66" t="inlineStr">
        <is>
          <t>广东新添美安防技术有限公司</t>
        </is>
      </c>
      <c r="C66" t="n">
        <v/>
      </c>
      <c r="D66" t="n">
        <v>1364048.18</v>
      </c>
    </row>
    <row r="67">
      <c r="A67" t="inlineStr">
        <is>
          <t>未分类</t>
        </is>
      </c>
      <c r="B67" t="inlineStr">
        <is>
          <t>广东爱加医疗科技有限公司</t>
        </is>
      </c>
      <c r="C67" t="n">
        <v/>
      </c>
      <c r="D67" t="n">
        <v>1122605.7</v>
      </c>
    </row>
    <row r="68">
      <c r="A68" t="inlineStr">
        <is>
          <t>未分类</t>
        </is>
      </c>
      <c r="B68" t="inlineStr">
        <is>
          <t>广东穗建工程检测有限公司</t>
        </is>
      </c>
      <c r="C68" t="n">
        <v/>
      </c>
      <c r="D68" t="n">
        <v>50410</v>
      </c>
    </row>
    <row r="69">
      <c r="A69" t="inlineStr">
        <is>
          <t>未分类</t>
        </is>
      </c>
      <c r="B69" t="inlineStr">
        <is>
          <t>广东粤忠晟保安服务有限公司</t>
        </is>
      </c>
      <c r="C69" t="inlineStr">
        <is>
          <t>中建四局020020210036030002</t>
        </is>
      </c>
      <c r="D69" t="n">
        <v>2958864.38</v>
      </c>
    </row>
    <row r="70">
      <c r="A70" t="inlineStr">
        <is>
          <t>未分类</t>
        </is>
      </c>
      <c r="B70" t="inlineStr">
        <is>
          <t>广东粤忠晟保安服务有限公司</t>
        </is>
      </c>
      <c r="C70" t="n">
        <v/>
      </c>
      <c r="D70" t="n">
        <v>16840.76</v>
      </c>
    </row>
    <row r="71">
      <c r="A71" t="inlineStr">
        <is>
          <t>未分类</t>
        </is>
      </c>
      <c r="B71" t="inlineStr">
        <is>
          <t>广东金辩律师事务所</t>
        </is>
      </c>
      <c r="C71" t="n">
        <v/>
      </c>
      <c r="D71" t="n">
        <v>3773.58</v>
      </c>
    </row>
    <row r="72">
      <c r="A72" t="inlineStr">
        <is>
          <t>未分类</t>
        </is>
      </c>
      <c r="B72" t="inlineStr">
        <is>
          <t>广州东龙混凝土有限公司</t>
        </is>
      </c>
      <c r="C72" t="inlineStr">
        <is>
          <t>中建四局02002021036060014</t>
        </is>
      </c>
      <c r="D72" t="n">
        <v>43181550.91</v>
      </c>
    </row>
    <row r="73">
      <c r="A73" t="inlineStr">
        <is>
          <t>未分类</t>
        </is>
      </c>
      <c r="B73" t="inlineStr">
        <is>
          <t>广州东龙混凝土有限公司</t>
        </is>
      </c>
      <c r="C73" t="n">
        <v/>
      </c>
      <c r="D73" t="n">
        <v>1264819.86</v>
      </c>
    </row>
    <row r="74">
      <c r="A74" t="inlineStr">
        <is>
          <t>未分类</t>
        </is>
      </c>
      <c r="B74" t="inlineStr">
        <is>
          <t>广州升龙锦盛置业有限公司</t>
        </is>
      </c>
      <c r="C74" t="inlineStr">
        <is>
          <t>中建四局0200202103602001</t>
        </is>
      </c>
      <c r="D74" t="n">
        <v>1361091472.32</v>
      </c>
    </row>
    <row r="75">
      <c r="A75" t="inlineStr">
        <is>
          <t>未分类</t>
        </is>
      </c>
      <c r="B75" t="inlineStr">
        <is>
          <t>广州升龙锦盛置业有限公司</t>
        </is>
      </c>
      <c r="C75" t="n">
        <v/>
      </c>
      <c r="D75" t="n">
        <v>12445874.4</v>
      </c>
    </row>
    <row r="76">
      <c r="A76" t="inlineStr">
        <is>
          <t>未分类</t>
        </is>
      </c>
      <c r="B76" t="inlineStr">
        <is>
          <t>广州嘉特电子科技有限公司</t>
        </is>
      </c>
      <c r="C76" t="n">
        <v/>
      </c>
      <c r="D76" t="n">
        <v>264732.9</v>
      </c>
    </row>
    <row r="77">
      <c r="A77" t="inlineStr">
        <is>
          <t>未分类</t>
        </is>
      </c>
      <c r="B77" t="inlineStr">
        <is>
          <t>广州国盛医学检验所有限公司</t>
        </is>
      </c>
      <c r="C77" t="n">
        <v/>
      </c>
      <c r="D77" t="n">
        <v>303000</v>
      </c>
    </row>
    <row r="78">
      <c r="A78" t="inlineStr">
        <is>
          <t>未分类</t>
        </is>
      </c>
      <c r="B78" t="inlineStr">
        <is>
          <t>广州国际创新城一期C居住地块项目施工总承包及总承包管理配合服务</t>
        </is>
      </c>
      <c r="C78" t="n">
        <v/>
      </c>
      <c r="D78" t="n">
        <v>394628.84</v>
      </c>
    </row>
    <row r="79">
      <c r="A79" t="inlineStr">
        <is>
          <t>未分类</t>
        </is>
      </c>
      <c r="B79" t="inlineStr">
        <is>
          <t>广州富莱盛家具有限公司</t>
        </is>
      </c>
      <c r="C79" t="inlineStr">
        <is>
          <t>ZZZZ</t>
        </is>
      </c>
      <c r="D79" t="n">
        <v>121500</v>
      </c>
    </row>
    <row r="80">
      <c r="A80" t="inlineStr">
        <is>
          <t>未分类</t>
        </is>
      </c>
      <c r="B80" t="inlineStr">
        <is>
          <t>广州富莱盛家具有限公司</t>
        </is>
      </c>
      <c r="C80" t="n">
        <v/>
      </c>
      <c r="D80" t="n">
        <v>430230</v>
      </c>
    </row>
    <row r="81">
      <c r="A81" t="inlineStr">
        <is>
          <t>未分类</t>
        </is>
      </c>
      <c r="B81" t="inlineStr">
        <is>
          <t>广州小老虎建筑机械租赁有限公司</t>
        </is>
      </c>
      <c r="C81" t="inlineStr">
        <is>
          <t>中建四局0200202103605001</t>
        </is>
      </c>
      <c r="D81" t="n">
        <v>17923151.27</v>
      </c>
    </row>
    <row r="82">
      <c r="A82" t="inlineStr">
        <is>
          <t>未分类</t>
        </is>
      </c>
      <c r="B82" t="inlineStr">
        <is>
          <t>广州小老虎建筑机械租赁有限公司</t>
        </is>
      </c>
      <c r="C82" t="n">
        <v/>
      </c>
      <c r="D82" t="n">
        <v>1423809.25</v>
      </c>
    </row>
    <row r="83">
      <c r="A83" t="inlineStr">
        <is>
          <t>未分类</t>
        </is>
      </c>
      <c r="B83" t="inlineStr">
        <is>
          <t>广州市万有达建筑工程有限公司</t>
        </is>
      </c>
      <c r="C83" t="inlineStr">
        <is>
          <t>中建四局0200202103604002</t>
        </is>
      </c>
      <c r="D83" t="n">
        <v>85828408.33</v>
      </c>
    </row>
    <row r="84">
      <c r="A84" t="inlineStr">
        <is>
          <t>未分类</t>
        </is>
      </c>
      <c r="B84" t="inlineStr">
        <is>
          <t>广州市万有达建筑工程有限公司</t>
        </is>
      </c>
      <c r="C84" t="n">
        <v/>
      </c>
      <c r="D84" t="n">
        <v>9248979.4</v>
      </c>
    </row>
    <row r="85">
      <c r="A85" t="inlineStr">
        <is>
          <t>未分类</t>
        </is>
      </c>
      <c r="B85" t="inlineStr">
        <is>
          <t>广州市万竣混凝土有限公司</t>
        </is>
      </c>
      <c r="C85" t="inlineStr">
        <is>
          <t>中建四局0200202103606001</t>
        </is>
      </c>
      <c r="D85" t="n">
        <v>37408736.19</v>
      </c>
    </row>
    <row r="86">
      <c r="A86" t="inlineStr">
        <is>
          <t>未分类</t>
        </is>
      </c>
      <c r="B86" t="inlineStr">
        <is>
          <t>广州市万竣混凝土有限公司</t>
        </is>
      </c>
      <c r="C86" t="n">
        <v/>
      </c>
      <c r="D86" t="n">
        <v>1088194.2</v>
      </c>
    </row>
    <row r="87">
      <c r="A87" t="inlineStr">
        <is>
          <t>未分类</t>
        </is>
      </c>
      <c r="B87" t="inlineStr">
        <is>
          <t>广州市中洁环境工程有限公司花都分公司</t>
        </is>
      </c>
      <c r="C87" t="n">
        <v/>
      </c>
      <c r="D87" t="n">
        <v>92400</v>
      </c>
    </row>
    <row r="88">
      <c r="A88" t="inlineStr">
        <is>
          <t>未分类</t>
        </is>
      </c>
      <c r="B88" t="inlineStr">
        <is>
          <t>广州市国防教育训练基地一期工程施工总承包</t>
        </is>
      </c>
      <c r="C88" t="n">
        <v/>
      </c>
      <c r="D88" t="n">
        <v>219339.69</v>
      </c>
    </row>
    <row r="89">
      <c r="A89" t="inlineStr">
        <is>
          <t>未分类</t>
        </is>
      </c>
      <c r="B89" t="inlineStr">
        <is>
          <t>广州市增城区群星项目复建区6号地块施工总承包及总承包管理配合服务工程</t>
        </is>
      </c>
      <c r="C89" t="n">
        <v/>
      </c>
      <c r="D89" t="n">
        <v>1000000</v>
      </c>
    </row>
    <row r="90">
      <c r="A90" t="inlineStr">
        <is>
          <t>未分类</t>
        </is>
      </c>
      <c r="B90" t="inlineStr">
        <is>
          <t>广州市洪康通办公设备有限公司</t>
        </is>
      </c>
      <c r="C90" t="n">
        <v/>
      </c>
      <c r="D90" t="n">
        <v>83645.5</v>
      </c>
    </row>
    <row r="91">
      <c r="A91" t="inlineStr">
        <is>
          <t>未分类</t>
        </is>
      </c>
      <c r="B91" t="inlineStr">
        <is>
          <t>广州市番禺区石楼镇沙南建材二厂</t>
        </is>
      </c>
      <c r="C91" t="inlineStr">
        <is>
          <t>中建四局0200202103606005</t>
        </is>
      </c>
      <c r="D91" t="n">
        <v>2761840.8</v>
      </c>
    </row>
    <row r="92">
      <c r="A92" t="inlineStr">
        <is>
          <t>未分类</t>
        </is>
      </c>
      <c r="B92" t="inlineStr">
        <is>
          <t>广州市番禺区石楼镇沙南建材二厂</t>
        </is>
      </c>
      <c r="C92" t="n">
        <v/>
      </c>
      <c r="D92" t="n">
        <v>317743.06</v>
      </c>
    </row>
    <row r="93">
      <c r="A93" t="inlineStr">
        <is>
          <t>未分类</t>
        </is>
      </c>
      <c r="B93" t="inlineStr">
        <is>
          <t>广州市盈园绿化清洁管理有限公司</t>
        </is>
      </c>
      <c r="C93" t="n">
        <v/>
      </c>
      <c r="D93" t="n">
        <v>214665</v>
      </c>
    </row>
    <row r="94">
      <c r="A94" t="inlineStr">
        <is>
          <t>未分类</t>
        </is>
      </c>
      <c r="B94" t="inlineStr">
        <is>
          <t>广州市立成建筑工程咨询有限公司</t>
        </is>
      </c>
      <c r="C94" t="n">
        <v/>
      </c>
      <c r="D94" t="n">
        <v>18000</v>
      </c>
    </row>
    <row r="95">
      <c r="A95" t="inlineStr">
        <is>
          <t>未分类</t>
        </is>
      </c>
      <c r="B95" t="inlineStr">
        <is>
          <t>广州市耀泽贸易有限公司</t>
        </is>
      </c>
      <c r="C95" t="n">
        <v/>
      </c>
      <c r="D95" t="n">
        <v>52500</v>
      </c>
    </row>
    <row r="96">
      <c r="A96" t="inlineStr">
        <is>
          <t>未分类</t>
        </is>
      </c>
      <c r="B96" t="inlineStr">
        <is>
          <t>广州市花都区凤凰路西二地块项目设计施工（EPC）总承包</t>
        </is>
      </c>
      <c r="C96" t="n">
        <v/>
      </c>
      <c r="D96" t="n">
        <v>1293325.98</v>
      </c>
    </row>
    <row r="97">
      <c r="A97" t="inlineStr">
        <is>
          <t>未分类</t>
        </is>
      </c>
      <c r="B97" t="inlineStr">
        <is>
          <t>广州市萝岗区佳优图文广告服务部</t>
        </is>
      </c>
      <c r="C97" t="n">
        <v/>
      </c>
      <c r="D97" t="n">
        <v>285928</v>
      </c>
    </row>
    <row r="98">
      <c r="A98" t="inlineStr">
        <is>
          <t>未分类</t>
        </is>
      </c>
      <c r="B98" t="inlineStr">
        <is>
          <t>广州市黄埔区文人文具店</t>
        </is>
      </c>
      <c r="C98" t="n">
        <v/>
      </c>
      <c r="D98" t="n">
        <v>60301</v>
      </c>
    </row>
    <row r="99">
      <c r="A99" t="inlineStr">
        <is>
          <t>未分类</t>
        </is>
      </c>
      <c r="B99" t="inlineStr">
        <is>
          <t>广州市黄埔区水世纪经营部</t>
        </is>
      </c>
      <c r="C99" t="n">
        <v/>
      </c>
      <c r="D99" t="n">
        <v>27104</v>
      </c>
    </row>
    <row r="100">
      <c r="A100" t="inlineStr">
        <is>
          <t>未分类</t>
        </is>
      </c>
      <c r="B100" t="inlineStr">
        <is>
          <t>广州市黄埔区汤村村旧村改造项目融资商业区一期施工总承包及总承包管理配合服务工程</t>
        </is>
      </c>
      <c r="C100" t="n">
        <v/>
      </c>
      <c r="D100" t="n">
        <v>39470765.82</v>
      </c>
    </row>
    <row r="101">
      <c r="A101" t="inlineStr">
        <is>
          <t>未分类</t>
        </is>
      </c>
      <c r="B101" t="inlineStr">
        <is>
          <t>广州市黄埔区汤村项目九年一贯制学校（融资地块四）施工总承包及总承包管理配合服务</t>
        </is>
      </c>
      <c r="C101" t="n">
        <v/>
      </c>
      <c r="D101" t="n">
        <v>9902672.67</v>
      </c>
    </row>
    <row r="102">
      <c r="A102" t="inlineStr">
        <is>
          <t>未分类</t>
        </is>
      </c>
      <c r="B102" t="inlineStr">
        <is>
          <t>广州易达运输有限公司</t>
        </is>
      </c>
      <c r="C102" t="inlineStr">
        <is>
          <t>中建四局0200202103605002</t>
        </is>
      </c>
      <c r="D102" t="n">
        <v>121365.74</v>
      </c>
    </row>
    <row r="103">
      <c r="A103" t="inlineStr">
        <is>
          <t>未分类</t>
        </is>
      </c>
      <c r="B103" t="inlineStr">
        <is>
          <t>广州易达运输有限公司</t>
        </is>
      </c>
      <c r="C103" t="n">
        <v/>
      </c>
      <c r="D103" t="n">
        <v>3535.15</v>
      </c>
    </row>
    <row r="104">
      <c r="A104" t="inlineStr">
        <is>
          <t>未分类</t>
        </is>
      </c>
      <c r="B104" t="inlineStr">
        <is>
          <t>广州稔华建材有限公司</t>
        </is>
      </c>
      <c r="C104" t="inlineStr">
        <is>
          <t>中建四局0200202103606009</t>
        </is>
      </c>
      <c r="D104" t="n">
        <v>1575103.81</v>
      </c>
    </row>
    <row r="105">
      <c r="A105" t="inlineStr">
        <is>
          <t>未分类</t>
        </is>
      </c>
      <c r="B105" t="inlineStr">
        <is>
          <t>广州稔华建材有限公司</t>
        </is>
      </c>
      <c r="C105" t="n">
        <v/>
      </c>
      <c r="D105" t="n">
        <v>194448.77</v>
      </c>
    </row>
    <row r="106">
      <c r="A106" t="inlineStr">
        <is>
          <t>未分类</t>
        </is>
      </c>
      <c r="B106" t="inlineStr">
        <is>
          <t>广州穗镓工程技术有限公司</t>
        </is>
      </c>
      <c r="C106" t="n">
        <v/>
      </c>
      <c r="D106" t="n">
        <v>1425138</v>
      </c>
    </row>
    <row r="107">
      <c r="A107" t="inlineStr">
        <is>
          <t>未分类</t>
        </is>
      </c>
      <c r="B107" t="inlineStr">
        <is>
          <t>广州辰辰建材租赁有限公司</t>
        </is>
      </c>
      <c r="C107" t="inlineStr">
        <is>
          <t>中建四局0200202103606007</t>
        </is>
      </c>
      <c r="D107" t="n">
        <v>1008095.6</v>
      </c>
    </row>
    <row r="108">
      <c r="A108" t="inlineStr">
        <is>
          <t>未分类</t>
        </is>
      </c>
      <c r="B108" t="inlineStr">
        <is>
          <t>广州辰辰建材租赁有限公司</t>
        </is>
      </c>
      <c r="C108" t="n">
        <v/>
      </c>
      <c r="D108" t="n">
        <v>115975.6</v>
      </c>
    </row>
    <row r="109">
      <c r="A109" t="inlineStr">
        <is>
          <t>未分类</t>
        </is>
      </c>
      <c r="B109" t="inlineStr">
        <is>
          <t>广州银行股份有限公司</t>
        </is>
      </c>
      <c r="C109" t="n">
        <v/>
      </c>
      <c r="D109" t="n">
        <v>1139216</v>
      </c>
    </row>
    <row r="110">
      <c r="A110" t="inlineStr">
        <is>
          <t>未分类</t>
        </is>
      </c>
      <c r="B110" t="inlineStr">
        <is>
          <t>广州陇飞广告有限公司</t>
        </is>
      </c>
      <c r="C110" t="n">
        <v/>
      </c>
      <c r="D110" t="n">
        <v>2060</v>
      </c>
    </row>
    <row r="111">
      <c r="A111" t="inlineStr">
        <is>
          <t>未分类</t>
        </is>
      </c>
      <c r="B111" t="inlineStr">
        <is>
          <t>广清城际轨道交通项目(花都段)安置区工程（新华街三华安置区)施工总承包</t>
        </is>
      </c>
      <c r="C111" t="n">
        <v/>
      </c>
      <c r="D111" t="n">
        <v>181408.23</v>
      </c>
    </row>
    <row r="112">
      <c r="A112" t="inlineStr">
        <is>
          <t>未分类</t>
        </is>
      </c>
      <c r="B112" t="inlineStr">
        <is>
          <t>无客商-2021年12月增值</t>
        </is>
      </c>
      <c r="C112" t="n">
        <v/>
      </c>
      <c r="D112" t="n">
        <v>7100917.44</v>
      </c>
    </row>
    <row r="113">
      <c r="A113" t="inlineStr">
        <is>
          <t>未分类</t>
        </is>
      </c>
      <c r="B113" t="inlineStr">
        <is>
          <t>无客商-2022年02月增值</t>
        </is>
      </c>
      <c r="C113" t="n">
        <v/>
      </c>
      <c r="D113" t="n">
        <v>-350991.72</v>
      </c>
    </row>
    <row r="114">
      <c r="A114" t="inlineStr">
        <is>
          <t>未分类</t>
        </is>
      </c>
      <c r="B114" t="inlineStr">
        <is>
          <t>无客商-2022年03月增值</t>
        </is>
      </c>
      <c r="C114" t="n">
        <v/>
      </c>
      <c r="D114" t="n">
        <v>-203488.18</v>
      </c>
    </row>
    <row r="115">
      <c r="A115" t="inlineStr">
        <is>
          <t>未分类</t>
        </is>
      </c>
      <c r="B115" t="inlineStr">
        <is>
          <t>无客商-2022年04月增值</t>
        </is>
      </c>
      <c r="C115" t="n">
        <v/>
      </c>
      <c r="D115" t="n">
        <v>-313295.52</v>
      </c>
    </row>
    <row r="116">
      <c r="A116" t="inlineStr">
        <is>
          <t>未分类</t>
        </is>
      </c>
      <c r="B116" t="inlineStr">
        <is>
          <t>无客商-2022年05月增值</t>
        </is>
      </c>
      <c r="C116" t="n">
        <v/>
      </c>
      <c r="D116" t="n">
        <v>4058306.54</v>
      </c>
    </row>
    <row r="117">
      <c r="A117" t="inlineStr">
        <is>
          <t>未分类</t>
        </is>
      </c>
      <c r="B117" t="inlineStr">
        <is>
          <t>无客商-2022年06月增值</t>
        </is>
      </c>
      <c r="C117" t="n">
        <v/>
      </c>
      <c r="D117" t="n">
        <v>-1324235.28</v>
      </c>
    </row>
    <row r="118">
      <c r="A118" t="inlineStr">
        <is>
          <t>未分类</t>
        </is>
      </c>
      <c r="B118" t="inlineStr">
        <is>
          <t>无客商-2022年07月增值</t>
        </is>
      </c>
      <c r="C118" t="n">
        <v/>
      </c>
      <c r="D118" t="n">
        <v>1933283</v>
      </c>
    </row>
    <row r="119">
      <c r="A119" t="inlineStr">
        <is>
          <t>未分类</t>
        </is>
      </c>
      <c r="B119" t="inlineStr">
        <is>
          <t>无客商-2022年08月增值</t>
        </is>
      </c>
      <c r="C119" t="n">
        <v/>
      </c>
      <c r="D119" t="n">
        <v>3315112.4</v>
      </c>
    </row>
    <row r="120">
      <c r="A120" t="inlineStr">
        <is>
          <t>未分类</t>
        </is>
      </c>
      <c r="B120" t="inlineStr">
        <is>
          <t>无客商-2022年09月增值</t>
        </is>
      </c>
      <c r="C120" t="n">
        <v/>
      </c>
      <c r="D120" t="n">
        <v>-1865172.72</v>
      </c>
    </row>
    <row r="121">
      <c r="A121" t="inlineStr">
        <is>
          <t>未分类</t>
        </is>
      </c>
      <c r="B121" t="inlineStr">
        <is>
          <t>无客商-2022年10月增值</t>
        </is>
      </c>
      <c r="C121" t="n">
        <v/>
      </c>
      <c r="D121" t="n">
        <v>-1202292.34</v>
      </c>
    </row>
    <row r="122">
      <c r="A122" t="inlineStr">
        <is>
          <t>未分类</t>
        </is>
      </c>
      <c r="B122" t="inlineStr">
        <is>
          <t>无客商-2022年11月印花</t>
        </is>
      </c>
      <c r="C122" t="n">
        <v/>
      </c>
      <c r="D122" t="n">
        <v>54610.74</v>
      </c>
    </row>
    <row r="123">
      <c r="A123" t="inlineStr">
        <is>
          <t>未分类</t>
        </is>
      </c>
      <c r="B123" t="inlineStr">
        <is>
          <t>无客商-2022年11月增值</t>
        </is>
      </c>
      <c r="C123" t="n">
        <v/>
      </c>
      <c r="D123" t="n">
        <v>-4498758.94</v>
      </c>
    </row>
    <row r="124">
      <c r="A124" t="inlineStr">
        <is>
          <t>未分类</t>
        </is>
      </c>
      <c r="B124" t="inlineStr">
        <is>
          <t>无客商-2022年12月增值</t>
        </is>
      </c>
      <c r="C124" t="n">
        <v/>
      </c>
      <c r="D124" t="n">
        <v>7600460.8</v>
      </c>
    </row>
    <row r="125">
      <c r="A125" t="inlineStr">
        <is>
          <t>未分类</t>
        </is>
      </c>
      <c r="B125" t="inlineStr">
        <is>
          <t>无客商-2023年01月增值</t>
        </is>
      </c>
      <c r="C125" t="n">
        <v/>
      </c>
      <c r="D125" t="n">
        <v>-4084890.78</v>
      </c>
    </row>
    <row r="126">
      <c r="A126" t="inlineStr">
        <is>
          <t>未分类</t>
        </is>
      </c>
      <c r="B126" t="inlineStr">
        <is>
          <t>无客商-2023年02月增值</t>
        </is>
      </c>
      <c r="C126" t="n">
        <v/>
      </c>
      <c r="D126" t="n">
        <v>-179419.58</v>
      </c>
    </row>
    <row r="127">
      <c r="A127" t="inlineStr">
        <is>
          <t>未分类</t>
        </is>
      </c>
      <c r="B127" t="inlineStr">
        <is>
          <t>无客商-2023年03月增值</t>
        </is>
      </c>
      <c r="C127" t="n">
        <v/>
      </c>
      <c r="D127" t="n">
        <v>-82433.84</v>
      </c>
    </row>
    <row r="128">
      <c r="A128" t="inlineStr">
        <is>
          <t>未分类</t>
        </is>
      </c>
      <c r="B128" t="inlineStr">
        <is>
          <t>无客商-2023年05月增值</t>
        </is>
      </c>
      <c r="C128" t="n">
        <v/>
      </c>
      <c r="D128" t="n">
        <v>-275619.6</v>
      </c>
    </row>
    <row r="129">
      <c r="A129" t="inlineStr">
        <is>
          <t>未分类</t>
        </is>
      </c>
      <c r="B129" t="inlineStr">
        <is>
          <t>无客商-2024年07月增值</t>
        </is>
      </c>
      <c r="C129" t="n">
        <v/>
      </c>
      <c r="D129" t="n">
        <v>-0.02</v>
      </c>
    </row>
    <row r="130">
      <c r="A130" t="inlineStr">
        <is>
          <t>未分类</t>
        </is>
      </c>
      <c r="B130" t="inlineStr">
        <is>
          <t>无客商-2025年01月增值</t>
        </is>
      </c>
      <c r="C130" t="n">
        <v/>
      </c>
      <c r="D130" t="n">
        <v>-874404.92</v>
      </c>
    </row>
    <row r="131">
      <c r="A131" t="inlineStr">
        <is>
          <t>未分类</t>
        </is>
      </c>
      <c r="B131" t="inlineStr">
        <is>
          <t>无客商-2025年岗位证书新</t>
        </is>
      </c>
      <c r="C131" t="n">
        <v/>
      </c>
      <c r="D131" t="n">
        <v>3214.8</v>
      </c>
    </row>
    <row r="132">
      <c r="A132" t="inlineStr">
        <is>
          <t>未分类</t>
        </is>
      </c>
      <c r="B132" t="inlineStr">
        <is>
          <t>无客商-AFB/01/202</t>
        </is>
      </c>
      <c r="C132" t="n">
        <v/>
      </c>
      <c r="D132" t="n">
        <v>8068.7</v>
      </c>
    </row>
    <row r="133">
      <c r="A133" t="inlineStr">
        <is>
          <t>未分类</t>
        </is>
      </c>
      <c r="B133" t="inlineStr">
        <is>
          <t>无客商-「广州市黄埔区汤村项</t>
        </is>
      </c>
      <c r="C133" t="inlineStr">
        <is>
          <t>中建四局0200202103602001</t>
        </is>
      </c>
      <c r="D133" t="n">
        <v>172796305.38</v>
      </c>
    </row>
    <row r="134">
      <c r="A134" t="inlineStr">
        <is>
          <t>未分类</t>
        </is>
      </c>
      <c r="B134" t="inlineStr">
        <is>
          <t>无客商-「广州市黄埔区汤村项</t>
        </is>
      </c>
      <c r="C134" t="n">
        <v/>
      </c>
      <c r="D134" t="n">
        <v>389445582.06</v>
      </c>
    </row>
    <row r="135">
      <c r="A135" t="inlineStr">
        <is>
          <t>未分类</t>
        </is>
      </c>
      <c r="B135" t="inlineStr">
        <is>
          <t>无客商-上缴凭证</t>
        </is>
      </c>
      <c r="C135" t="n">
        <v/>
      </c>
      <c r="D135" t="n">
        <v>6905342.34</v>
      </c>
    </row>
    <row r="136">
      <c r="A136" t="inlineStr">
        <is>
          <t>未分类</t>
        </is>
      </c>
      <c r="B136" t="inlineStr">
        <is>
          <t>无客商-付广州市黄埔区汤村村</t>
        </is>
      </c>
      <c r="C136" t="n">
        <v/>
      </c>
      <c r="D136" t="n">
        <v>2604.55</v>
      </c>
    </row>
    <row r="137">
      <c r="A137" t="inlineStr">
        <is>
          <t>未分类</t>
        </is>
      </c>
      <c r="B137" t="inlineStr">
        <is>
          <t>无客商-付广州市黄埔区汤村项</t>
        </is>
      </c>
      <c r="C137" t="n">
        <v/>
      </c>
      <c r="D137" t="n">
        <v>1896.74</v>
      </c>
    </row>
    <row r="138">
      <c r="A138" t="inlineStr">
        <is>
          <t>未分类</t>
        </is>
      </c>
      <c r="B138" t="inlineStr">
        <is>
          <t>无客商-付款失败重新支付-湖</t>
        </is>
      </c>
      <c r="C138" t="n">
        <v/>
      </c>
      <c r="D138" t="n">
        <v>2000000</v>
      </c>
    </row>
    <row r="139">
      <c r="A139" t="inlineStr">
        <is>
          <t>未分类</t>
        </is>
      </c>
      <c r="B139" t="inlineStr">
        <is>
          <t>无客商-劳务费</t>
        </is>
      </c>
      <c r="C139" t="n">
        <v/>
      </c>
      <c r="D139" t="n">
        <v>5148656.49</v>
      </c>
    </row>
    <row r="140">
      <c r="A140" t="inlineStr">
        <is>
          <t>未分类</t>
        </is>
      </c>
      <c r="B140" t="inlineStr">
        <is>
          <t>无客商-发放汤村复1地块8月</t>
        </is>
      </c>
      <c r="C140" t="n">
        <v/>
      </c>
      <c r="D140" t="n">
        <v>81041.85000000001</v>
      </c>
    </row>
    <row r="141">
      <c r="A141" t="inlineStr">
        <is>
          <t>未分类</t>
        </is>
      </c>
      <c r="B141" t="inlineStr">
        <is>
          <t>无客商-发放汤村旧改复建区1</t>
        </is>
      </c>
      <c r="C141" t="n">
        <v/>
      </c>
      <c r="D141" t="n">
        <v>44520</v>
      </c>
    </row>
    <row r="142">
      <c r="A142" t="inlineStr">
        <is>
          <t>未分类</t>
        </is>
      </c>
      <c r="B142" t="inlineStr">
        <is>
          <t>无客商-增值税期末结转</t>
        </is>
      </c>
      <c r="C142" t="n">
        <v/>
      </c>
      <c r="D142" t="n">
        <v>27654852.02</v>
      </c>
    </row>
    <row r="143">
      <c r="A143" t="inlineStr">
        <is>
          <t>未分类</t>
        </is>
      </c>
      <c r="B143" t="inlineStr">
        <is>
          <t>无客商-复1收广东新添美安防</t>
        </is>
      </c>
      <c r="C143" t="n">
        <v/>
      </c>
      <c r="D143" t="n">
        <v>24770.64</v>
      </c>
    </row>
    <row r="144">
      <c r="A144" t="inlineStr">
        <is>
          <t>未分类</t>
        </is>
      </c>
      <c r="B144" t="inlineStr">
        <is>
          <t>无客商-复建地块一海南碧桂园</t>
        </is>
      </c>
      <c r="C144" t="n">
        <v/>
      </c>
      <c r="D144" t="n">
        <v>183181.97</v>
      </c>
    </row>
    <row r="145">
      <c r="A145" t="inlineStr">
        <is>
          <t>未分类</t>
        </is>
      </c>
      <c r="B145" t="inlineStr">
        <is>
          <t>无客商-广州东龙混凝土有限公</t>
        </is>
      </c>
      <c r="C145" t="n">
        <v/>
      </c>
      <c r="D145" t="n">
        <v>5302833</v>
      </c>
    </row>
    <row r="146">
      <c r="A146" t="inlineStr">
        <is>
          <t>未分类</t>
        </is>
      </c>
      <c r="B146" t="inlineStr">
        <is>
          <t>无客商-应付汤村复一广州市万</t>
        </is>
      </c>
      <c r="C146" t="n">
        <v/>
      </c>
      <c r="D146" t="n">
        <v>4201941.38</v>
      </c>
    </row>
    <row r="147">
      <c r="A147" t="inlineStr">
        <is>
          <t>未分类</t>
        </is>
      </c>
      <c r="B147" t="inlineStr">
        <is>
          <t>无客商-应付汤村复一项目东莞</t>
        </is>
      </c>
      <c r="C147" t="n">
        <v/>
      </c>
      <c r="D147" t="n">
        <v>2678965.24</v>
      </c>
    </row>
    <row r="148">
      <c r="A148" t="inlineStr">
        <is>
          <t>未分类</t>
        </is>
      </c>
      <c r="B148" t="inlineStr">
        <is>
          <t>无客商-应付汤村复一项目中励</t>
        </is>
      </c>
      <c r="C148" t="n">
        <v/>
      </c>
      <c r="D148" t="n">
        <v>23889974.12</v>
      </c>
    </row>
    <row r="149">
      <c r="A149" t="inlineStr">
        <is>
          <t>未分类</t>
        </is>
      </c>
      <c r="B149" t="inlineStr">
        <is>
          <t>无客商-应付汤村复一项目佛山</t>
        </is>
      </c>
      <c r="C149" t="n">
        <v/>
      </c>
      <c r="D149" t="n">
        <v>5420361.37</v>
      </c>
    </row>
    <row r="150">
      <c r="A150" t="inlineStr">
        <is>
          <t>未分类</t>
        </is>
      </c>
      <c r="B150" t="inlineStr">
        <is>
          <t>无客商-应付汤村复一项目广东</t>
        </is>
      </c>
      <c r="C150" t="n">
        <v/>
      </c>
      <c r="D150" t="n">
        <v>11516250.3</v>
      </c>
    </row>
    <row r="151">
      <c r="A151" t="inlineStr">
        <is>
          <t>未分类</t>
        </is>
      </c>
      <c r="B151" t="inlineStr">
        <is>
          <t>无客商-应付汤村复一项目广州</t>
        </is>
      </c>
      <c r="C151" t="n">
        <v/>
      </c>
      <c r="D151" t="n">
        <v>30372276.23</v>
      </c>
    </row>
    <row r="152">
      <c r="A152" t="inlineStr">
        <is>
          <t>未分类</t>
        </is>
      </c>
      <c r="B152" t="inlineStr">
        <is>
          <t>无客商-应付汤村复一项目清远</t>
        </is>
      </c>
      <c r="C152" t="n">
        <v/>
      </c>
      <c r="D152" t="n">
        <v>888546.15</v>
      </c>
    </row>
    <row r="153">
      <c r="A153" t="inlineStr">
        <is>
          <t>未分类</t>
        </is>
      </c>
      <c r="B153" t="inlineStr">
        <is>
          <t>无客商-应付汤村复一项目湖南</t>
        </is>
      </c>
      <c r="C153" t="n">
        <v/>
      </c>
      <c r="D153" t="n">
        <v>22027631.26</v>
      </c>
    </row>
    <row r="154">
      <c r="A154" t="inlineStr">
        <is>
          <t>未分类</t>
        </is>
      </c>
      <c r="B154" t="inlineStr">
        <is>
          <t>无客商-应付汤村复建地块一项</t>
        </is>
      </c>
      <c r="C154" t="n">
        <v/>
      </c>
      <c r="D154" t="n">
        <v>516260.19</v>
      </c>
    </row>
    <row r="155">
      <c r="A155" t="inlineStr">
        <is>
          <t>未分类</t>
        </is>
      </c>
      <c r="B155" t="inlineStr">
        <is>
          <t>无客商-应付汤村旧改项目复建</t>
        </is>
      </c>
      <c r="C155" t="n">
        <v/>
      </c>
      <c r="D155" t="n">
        <v>616699.21</v>
      </c>
    </row>
    <row r="156">
      <c r="A156" t="inlineStr">
        <is>
          <t>未分类</t>
        </is>
      </c>
      <c r="B156" t="inlineStr">
        <is>
          <t>无客商-应付汤村项目复一广东</t>
        </is>
      </c>
      <c r="C156" t="n">
        <v/>
      </c>
      <c r="D156" t="n">
        <v>44197.87</v>
      </c>
    </row>
    <row r="157">
      <c r="A157" t="inlineStr">
        <is>
          <t>未分类</t>
        </is>
      </c>
      <c r="B157" t="inlineStr">
        <is>
          <t>无客商-应付汤村项目复建区1</t>
        </is>
      </c>
      <c r="C157" t="n">
        <v/>
      </c>
      <c r="D157" t="n">
        <v>4513782.22</v>
      </c>
    </row>
    <row r="158">
      <c r="A158" t="inlineStr">
        <is>
          <t>未分类</t>
        </is>
      </c>
      <c r="B158" t="inlineStr">
        <is>
          <t>无客商-应付汤村项目复建地块</t>
        </is>
      </c>
      <c r="C158" t="n">
        <v/>
      </c>
      <c r="D158" t="n">
        <v>335549.09</v>
      </c>
    </row>
    <row r="159">
      <c r="A159" t="inlineStr">
        <is>
          <t>未分类</t>
        </is>
      </c>
      <c r="B159" t="inlineStr">
        <is>
          <t>无客商-应付黄埔区汤村项目复</t>
        </is>
      </c>
      <c r="C159" t="n">
        <v/>
      </c>
      <c r="D159" t="n">
        <v>10016495.5</v>
      </c>
    </row>
    <row r="160">
      <c r="A160" t="inlineStr">
        <is>
          <t>未分类</t>
        </is>
      </c>
      <c r="B160" t="inlineStr">
        <is>
          <t>无客商-废旧物资处置-广州市</t>
        </is>
      </c>
      <c r="C160" t="n">
        <v/>
      </c>
      <c r="D160" t="n">
        <v>1976.01</v>
      </c>
    </row>
    <row r="161">
      <c r="A161" t="inlineStr">
        <is>
          <t>未分类</t>
        </is>
      </c>
      <c r="B161" t="inlineStr">
        <is>
          <t>无客商-报销汤村项目2024</t>
        </is>
      </c>
      <c r="C161" t="n">
        <v/>
      </c>
      <c r="D161" t="n">
        <v>18.03</v>
      </c>
    </row>
    <row r="162">
      <c r="A162" t="inlineStr">
        <is>
          <t>未分类</t>
        </is>
      </c>
      <c r="B162" t="inlineStr">
        <is>
          <t>无客商-报销汤村项目贺栋邮寄</t>
        </is>
      </c>
      <c r="C162" t="n">
        <v/>
      </c>
      <c r="D162" t="n">
        <v>7.23</v>
      </c>
    </row>
    <row r="163">
      <c r="A163" t="inlineStr">
        <is>
          <t>未分类</t>
        </is>
      </c>
      <c r="B163" t="inlineStr">
        <is>
          <t>无客商-支付2023年6月一</t>
        </is>
      </c>
      <c r="C163" t="n">
        <v/>
      </c>
      <c r="D163" t="n">
        <v>31357</v>
      </c>
    </row>
    <row r="164">
      <c r="A164" t="inlineStr">
        <is>
          <t>未分类</t>
        </is>
      </c>
      <c r="B164" t="inlineStr">
        <is>
          <t>无客商-支付2023年6月局</t>
        </is>
      </c>
      <c r="C164" t="n">
        <v/>
      </c>
      <c r="D164" t="n">
        <v>17025.12</v>
      </c>
    </row>
    <row r="165">
      <c r="A165" t="inlineStr">
        <is>
          <t>未分类</t>
        </is>
      </c>
      <c r="B165" t="inlineStr">
        <is>
          <t>无客商-支付2023年度广州</t>
        </is>
      </c>
      <c r="C165" t="n">
        <v/>
      </c>
      <c r="D165" t="n">
        <v>29630.92</v>
      </c>
    </row>
    <row r="166">
      <c r="A166" t="inlineStr">
        <is>
          <t>未分类</t>
        </is>
      </c>
      <c r="B166" t="inlineStr">
        <is>
          <t>无客商-支付中国大地财产保险</t>
        </is>
      </c>
      <c r="C166" t="n">
        <v/>
      </c>
      <c r="D166" t="n">
        <v>25961.8</v>
      </c>
    </row>
    <row r="167">
      <c r="A167" t="inlineStr">
        <is>
          <t>未分类</t>
        </is>
      </c>
      <c r="B167" t="inlineStr">
        <is>
          <t>无客商-支付凤凰路西二地块项</t>
        </is>
      </c>
      <c r="C167" t="n">
        <v/>
      </c>
      <c r="D167" t="n">
        <v>49596.56</v>
      </c>
    </row>
    <row r="168">
      <c r="A168" t="inlineStr">
        <is>
          <t>未分类</t>
        </is>
      </c>
      <c r="B168" t="inlineStr">
        <is>
          <t>无客商-支付复建区1号地块深</t>
        </is>
      </c>
      <c r="C168" t="n">
        <v/>
      </c>
      <c r="D168" t="n">
        <v>90600</v>
      </c>
    </row>
    <row r="169">
      <c r="A169" t="inlineStr">
        <is>
          <t>未分类</t>
        </is>
      </c>
      <c r="B169" t="inlineStr">
        <is>
          <t>无客商-支付天下行（广州）贸</t>
        </is>
      </c>
      <c r="C169" t="n">
        <v/>
      </c>
      <c r="D169" t="n">
        <v>148.5</v>
      </c>
    </row>
    <row r="170">
      <c r="A170" t="inlineStr">
        <is>
          <t>未分类</t>
        </is>
      </c>
      <c r="B170" t="inlineStr">
        <is>
          <t>无客商-支付局代付汤村复建区</t>
        </is>
      </c>
      <c r="C170" t="n">
        <v/>
      </c>
      <c r="D170" t="n">
        <v>13893.66</v>
      </c>
    </row>
    <row r="171">
      <c r="A171" t="inlineStr">
        <is>
          <t>未分类</t>
        </is>
      </c>
      <c r="B171" t="inlineStr">
        <is>
          <t>无客商-支付广州分公司代付汤</t>
        </is>
      </c>
      <c r="C171" t="n">
        <v/>
      </c>
      <c r="D171" t="n">
        <v>36498.99</v>
      </c>
    </row>
    <row r="172">
      <c r="A172" t="inlineStr">
        <is>
          <t>未分类</t>
        </is>
      </c>
      <c r="B172" t="inlineStr">
        <is>
          <t>无客商-支付广州国盛医学检验</t>
        </is>
      </c>
      <c r="C172" t="n">
        <v/>
      </c>
      <c r="D172" t="n">
        <v>87474</v>
      </c>
    </row>
    <row r="173">
      <c r="A173" t="inlineStr">
        <is>
          <t>未分类</t>
        </is>
      </c>
      <c r="B173" t="inlineStr">
        <is>
          <t>无客商-支付广州市盈园绿化清</t>
        </is>
      </c>
      <c r="C173" t="n">
        <v/>
      </c>
      <c r="D173" t="n">
        <v>6131.63</v>
      </c>
    </row>
    <row r="174">
      <c r="A174" t="inlineStr">
        <is>
          <t>未分类</t>
        </is>
      </c>
      <c r="B174" t="inlineStr">
        <is>
          <t>无客商-支付广州市黄埔区文人</t>
        </is>
      </c>
      <c r="C174" t="n">
        <v/>
      </c>
      <c r="D174" t="n">
        <v>298.52</v>
      </c>
    </row>
    <row r="175">
      <c r="A175" t="inlineStr">
        <is>
          <t>未分类</t>
        </is>
      </c>
      <c r="B175" t="inlineStr">
        <is>
          <t>无客商-支付广州市黄埔区水世</t>
        </is>
      </c>
      <c r="C175" t="n">
        <v/>
      </c>
      <c r="D175" t="n">
        <v>79.51000000000001</v>
      </c>
    </row>
    <row r="176">
      <c r="A176" t="inlineStr">
        <is>
          <t>未分类</t>
        </is>
      </c>
      <c r="B176" t="inlineStr">
        <is>
          <t>无客商-支付广州市黄埔区汤村</t>
        </is>
      </c>
      <c r="C176" t="n">
        <v/>
      </c>
      <c r="D176" t="n">
        <v>7449.16</v>
      </c>
    </row>
    <row r="177">
      <c r="A177" t="inlineStr">
        <is>
          <t>未分类</t>
        </is>
      </c>
      <c r="B177" t="inlineStr">
        <is>
          <t>无客商-支付机关代付汤村复建</t>
        </is>
      </c>
      <c r="C177" t="n">
        <v/>
      </c>
      <c r="D177" t="n">
        <v>58974</v>
      </c>
    </row>
    <row r="178">
      <c r="A178" t="inlineStr">
        <is>
          <t>未分类</t>
        </is>
      </c>
      <c r="B178" t="inlineStr">
        <is>
          <t>无客商-支付林桂生报销汤村旧</t>
        </is>
      </c>
      <c r="C178" t="n">
        <v/>
      </c>
      <c r="D178" t="n">
        <v>107.68</v>
      </c>
    </row>
    <row r="179">
      <c r="A179" t="inlineStr">
        <is>
          <t>未分类</t>
        </is>
      </c>
      <c r="B179" t="inlineStr">
        <is>
          <t>无客商-支付正工模块化建筑科</t>
        </is>
      </c>
      <c r="C179" t="n">
        <v/>
      </c>
      <c r="D179" t="n">
        <v>203449.92</v>
      </c>
    </row>
    <row r="180">
      <c r="A180" t="inlineStr">
        <is>
          <t>未分类</t>
        </is>
      </c>
      <c r="B180" t="inlineStr">
        <is>
          <t>无客商-支付汤村复1地块20</t>
        </is>
      </c>
      <c r="C180" t="n">
        <v/>
      </c>
      <c r="D180" t="n">
        <v>1328860.43</v>
      </c>
    </row>
    <row r="181">
      <c r="A181" t="inlineStr">
        <is>
          <t>未分类</t>
        </is>
      </c>
      <c r="B181" t="inlineStr">
        <is>
          <t>无客商-支付汤村复1地块工会</t>
        </is>
      </c>
      <c r="C181" t="n">
        <v/>
      </c>
      <c r="D181" t="n">
        <v>14158.44</v>
      </c>
    </row>
    <row r="182">
      <c r="A182" t="inlineStr">
        <is>
          <t>未分类</t>
        </is>
      </c>
      <c r="B182" t="inlineStr">
        <is>
          <t>无客商-支付汤村复1项目20</t>
        </is>
      </c>
      <c r="C182" t="n">
        <v/>
      </c>
      <c r="D182" t="n">
        <v>55204.17</v>
      </c>
    </row>
    <row r="183">
      <c r="A183" t="inlineStr">
        <is>
          <t>未分类</t>
        </is>
      </c>
      <c r="B183" t="inlineStr">
        <is>
          <t>无客商-支付汤村复一项目清远</t>
        </is>
      </c>
      <c r="C183" t="n">
        <v/>
      </c>
      <c r="D183" t="n">
        <v>10693.46</v>
      </c>
    </row>
    <row r="184">
      <c r="A184" t="inlineStr">
        <is>
          <t>未分类</t>
        </is>
      </c>
      <c r="B184" t="inlineStr">
        <is>
          <t>无客商-支付汤村复一项目简显</t>
        </is>
      </c>
      <c r="C184" t="n">
        <v/>
      </c>
      <c r="D184" t="n">
        <v>584.37</v>
      </c>
    </row>
    <row r="185">
      <c r="A185" t="inlineStr">
        <is>
          <t>未分类</t>
        </is>
      </c>
      <c r="B185" t="inlineStr">
        <is>
          <t>无客商-支付汤村复建区1号地</t>
        </is>
      </c>
      <c r="C185" t="n">
        <v/>
      </c>
      <c r="D185" t="n">
        <v>1252719.34</v>
      </c>
    </row>
    <row r="186">
      <c r="A186" t="inlineStr">
        <is>
          <t>未分类</t>
        </is>
      </c>
      <c r="B186" t="inlineStr">
        <is>
          <t>无客商-支付汤村旧改复建1号</t>
        </is>
      </c>
      <c r="C186" t="n">
        <v/>
      </c>
      <c r="D186" t="n">
        <v>24747.75</v>
      </c>
    </row>
    <row r="187">
      <c r="A187" t="inlineStr">
        <is>
          <t>未分类</t>
        </is>
      </c>
      <c r="B187" t="inlineStr">
        <is>
          <t>无客商-支付汤村旧改复建区1</t>
        </is>
      </c>
      <c r="C187" t="n">
        <v/>
      </c>
      <c r="D187" t="n">
        <v>4400.44</v>
      </c>
    </row>
    <row r="188">
      <c r="A188" t="inlineStr">
        <is>
          <t>未分类</t>
        </is>
      </c>
      <c r="B188" t="inlineStr">
        <is>
          <t>无客商-支付汤村旧改复建地块</t>
        </is>
      </c>
      <c r="C188" t="n">
        <v/>
      </c>
      <c r="D188" t="n">
        <v>36644.16</v>
      </c>
    </row>
    <row r="189">
      <c r="A189" t="inlineStr">
        <is>
          <t>未分类</t>
        </is>
      </c>
      <c r="B189" t="inlineStr">
        <is>
          <t>无客商-支付汤村旧改项目复建</t>
        </is>
      </c>
      <c r="C189" t="n">
        <v/>
      </c>
      <c r="D189" t="n">
        <v>65819.21000000001</v>
      </c>
    </row>
    <row r="190">
      <c r="A190" t="inlineStr">
        <is>
          <t>未分类</t>
        </is>
      </c>
      <c r="B190" t="inlineStr">
        <is>
          <t>无客商-支付汤村旧村改造复建</t>
        </is>
      </c>
      <c r="C190" t="n">
        <v/>
      </c>
      <c r="D190" t="n">
        <v>179.6</v>
      </c>
    </row>
    <row r="191">
      <c r="A191" t="inlineStr">
        <is>
          <t>未分类</t>
        </is>
      </c>
      <c r="B191" t="inlineStr">
        <is>
          <t>无客商-支付汤村项目复建区1</t>
        </is>
      </c>
      <c r="C191" t="n">
        <v/>
      </c>
      <c r="D191" t="n">
        <v>9303.620000000001</v>
      </c>
    </row>
    <row r="192">
      <c r="A192" t="inlineStr">
        <is>
          <t>未分类</t>
        </is>
      </c>
      <c r="B192" t="inlineStr">
        <is>
          <t>无客商-支付汤村项目复建地块</t>
        </is>
      </c>
      <c r="C192" t="n">
        <v/>
      </c>
      <c r="D192" t="n">
        <v>71.13</v>
      </c>
    </row>
    <row r="193">
      <c r="A193" t="inlineStr">
        <is>
          <t>未分类</t>
        </is>
      </c>
      <c r="B193" t="inlineStr">
        <is>
          <t>无客商-支付汤村项目广州富莱</t>
        </is>
      </c>
      <c r="C193" t="n">
        <v/>
      </c>
      <c r="D193" t="n">
        <v>6988.94</v>
      </c>
    </row>
    <row r="194">
      <c r="A194" t="inlineStr">
        <is>
          <t>未分类</t>
        </is>
      </c>
      <c r="B194" t="inlineStr">
        <is>
          <t>无客商-支付汤项目九年一贯制</t>
        </is>
      </c>
      <c r="C194" t="n">
        <v/>
      </c>
      <c r="D194" t="n">
        <v>44.76</v>
      </c>
    </row>
    <row r="195">
      <c r="A195" t="inlineStr">
        <is>
          <t>未分类</t>
        </is>
      </c>
      <c r="B195" t="inlineStr">
        <is>
          <t>无客商-支付财务资金部陈乐报</t>
        </is>
      </c>
      <c r="C195" t="n">
        <v/>
      </c>
      <c r="D195" t="n">
        <v>6307.58</v>
      </c>
    </row>
    <row r="196">
      <c r="A196" t="inlineStr">
        <is>
          <t>未分类</t>
        </is>
      </c>
      <c r="B196" t="inlineStr">
        <is>
          <t>无客商-收到东莞市广拓建材贸</t>
        </is>
      </c>
      <c r="C196" t="n">
        <v/>
      </c>
      <c r="D196" t="n">
        <v>294625.22</v>
      </c>
    </row>
    <row r="197">
      <c r="A197" t="inlineStr">
        <is>
          <t>未分类</t>
        </is>
      </c>
      <c r="B197" t="inlineStr">
        <is>
          <t>无客商-收到中励供应链管理（</t>
        </is>
      </c>
      <c r="C197" t="n">
        <v/>
      </c>
      <c r="D197" t="n">
        <v>3033709.08</v>
      </c>
    </row>
    <row r="198">
      <c r="A198" t="inlineStr">
        <is>
          <t>未分类</t>
        </is>
      </c>
      <c r="B198" t="inlineStr">
        <is>
          <t>无客商-收到佛山唐贵五金电器</t>
        </is>
      </c>
      <c r="C198" t="n">
        <v/>
      </c>
      <c r="D198" t="n">
        <v>205269.85</v>
      </c>
    </row>
    <row r="199">
      <c r="A199" t="inlineStr">
        <is>
          <t>未分类</t>
        </is>
      </c>
      <c r="B199" t="inlineStr">
        <is>
          <t>无客商-收到佛山市众万油品贸</t>
        </is>
      </c>
      <c r="C199" t="n">
        <v/>
      </c>
      <c r="D199" t="n">
        <v>20747.28</v>
      </c>
    </row>
    <row r="200">
      <c r="A200" t="inlineStr">
        <is>
          <t>未分类</t>
        </is>
      </c>
      <c r="B200" t="inlineStr">
        <is>
          <t>无客商-收到佛山市南海鼎赞机</t>
        </is>
      </c>
      <c r="C200" t="n">
        <v/>
      </c>
      <c r="D200" t="n">
        <v>310619.47</v>
      </c>
    </row>
    <row r="201">
      <c r="A201" t="inlineStr">
        <is>
          <t>未分类</t>
        </is>
      </c>
      <c r="B201" t="inlineStr">
        <is>
          <t>无客商-收到佛山市翊德通新型</t>
        </is>
      </c>
      <c r="C201" t="n">
        <v/>
      </c>
      <c r="D201" t="n">
        <v>503182.88</v>
      </c>
    </row>
    <row r="202">
      <c r="A202" t="inlineStr">
        <is>
          <t>未分类</t>
        </is>
      </c>
      <c r="B202" t="inlineStr">
        <is>
          <t>无客商-收到广东君晖建筑工程</t>
        </is>
      </c>
      <c r="C202" t="n">
        <v/>
      </c>
      <c r="D202" t="n">
        <v>51769.89</v>
      </c>
    </row>
    <row r="203">
      <c r="A203" t="inlineStr">
        <is>
          <t>未分类</t>
        </is>
      </c>
      <c r="B203" t="inlineStr">
        <is>
          <t>无客商-收到广东广物物资有限</t>
        </is>
      </c>
      <c r="C203" t="n">
        <v/>
      </c>
      <c r="D203" t="n">
        <v>1574531.6</v>
      </c>
    </row>
    <row r="204">
      <c r="A204" t="inlineStr">
        <is>
          <t>未分类</t>
        </is>
      </c>
      <c r="B204" t="inlineStr">
        <is>
          <t>无客商-收到广州东龙混凝土有</t>
        </is>
      </c>
      <c r="C204" t="n">
        <v/>
      </c>
      <c r="D204" t="n">
        <v>614831.4300000001</v>
      </c>
    </row>
    <row r="205">
      <c r="A205" t="inlineStr">
        <is>
          <t>未分类</t>
        </is>
      </c>
      <c r="B205" t="inlineStr">
        <is>
          <t>无客商-收到广州小老虎建筑机</t>
        </is>
      </c>
      <c r="C205" t="n">
        <v/>
      </c>
      <c r="D205" t="n">
        <v>674759.48</v>
      </c>
    </row>
    <row r="206">
      <c r="A206" t="inlineStr">
        <is>
          <t>未分类</t>
        </is>
      </c>
      <c r="B206" t="inlineStr">
        <is>
          <t>无客商-收到广州市万竣混凝土</t>
        </is>
      </c>
      <c r="C206" t="n">
        <v/>
      </c>
      <c r="D206" t="n">
        <v>543390.83</v>
      </c>
    </row>
    <row r="207">
      <c r="A207" t="inlineStr">
        <is>
          <t>未分类</t>
        </is>
      </c>
      <c r="B207" t="inlineStr">
        <is>
          <t>无客商-收到广州市番禺区石楼</t>
        </is>
      </c>
      <c r="C207" t="n">
        <v/>
      </c>
      <c r="D207" t="n">
        <v>158866.93</v>
      </c>
    </row>
    <row r="208">
      <c r="A208" t="inlineStr">
        <is>
          <t>未分类</t>
        </is>
      </c>
      <c r="B208" t="inlineStr">
        <is>
          <t>无客商-收到广州易达运输有限</t>
        </is>
      </c>
      <c r="C208" t="n">
        <v/>
      </c>
      <c r="D208" t="n">
        <v>1767.68</v>
      </c>
    </row>
    <row r="209">
      <c r="A209" t="inlineStr">
        <is>
          <t>未分类</t>
        </is>
      </c>
      <c r="B209" t="inlineStr">
        <is>
          <t>无客商-收到广州稔华建材有限</t>
        </is>
      </c>
      <c r="C209" t="n">
        <v/>
      </c>
      <c r="D209" t="n">
        <v>97224.37</v>
      </c>
    </row>
    <row r="210">
      <c r="A210" t="inlineStr">
        <is>
          <t>未分类</t>
        </is>
      </c>
      <c r="B210" t="inlineStr">
        <is>
          <t>无客商-收到广州辰辰建材租赁</t>
        </is>
      </c>
      <c r="C210" t="n">
        <v/>
      </c>
      <c r="D210" t="n">
        <v>57987.8</v>
      </c>
    </row>
    <row r="211">
      <c r="A211" t="inlineStr">
        <is>
          <t>未分类</t>
        </is>
      </c>
      <c r="B211" t="inlineStr">
        <is>
          <t>无客商-收到支付湖南轨道退回</t>
        </is>
      </c>
      <c r="C211" t="n">
        <v/>
      </c>
      <c r="D211" t="n">
        <v>2000000</v>
      </c>
    </row>
    <row r="212">
      <c r="A212" t="inlineStr">
        <is>
          <t>未分类</t>
        </is>
      </c>
      <c r="B212" t="inlineStr">
        <is>
          <t>无客商-收到深圳市鑫俊辉机械</t>
        </is>
      </c>
      <c r="C212" t="n">
        <v/>
      </c>
      <c r="D212" t="n">
        <v>23438.7</v>
      </c>
    </row>
    <row r="213">
      <c r="A213" t="inlineStr">
        <is>
          <t>未分类</t>
        </is>
      </c>
      <c r="B213" t="inlineStr">
        <is>
          <t>无客商-收到清远市榕兴新型环</t>
        </is>
      </c>
      <c r="C213" t="n">
        <v/>
      </c>
      <c r="D213" t="n">
        <v>144233.88</v>
      </c>
    </row>
    <row r="214">
      <c r="A214" t="inlineStr">
        <is>
          <t>未分类</t>
        </is>
      </c>
      <c r="B214" t="inlineStr">
        <is>
          <t>无客商-收到湖南轨道物流发展</t>
        </is>
      </c>
      <c r="C214" t="n">
        <v/>
      </c>
      <c r="D214" t="n">
        <v>1393532.93</v>
      </c>
    </row>
    <row r="215">
      <c r="A215" t="inlineStr">
        <is>
          <t>未分类</t>
        </is>
      </c>
      <c r="B215" t="inlineStr">
        <is>
          <t>无客商-收到湖南铁投商贸物流</t>
        </is>
      </c>
      <c r="C215" t="n">
        <v/>
      </c>
      <c r="D215" t="n">
        <v>2366920.65</v>
      </c>
    </row>
    <row r="216">
      <c r="A216" t="inlineStr">
        <is>
          <t>未分类</t>
        </is>
      </c>
      <c r="B216" t="inlineStr">
        <is>
          <t>无客商-收广东新添美安防技术</t>
        </is>
      </c>
      <c r="C216" t="n">
        <v/>
      </c>
      <c r="D216" t="n">
        <v>55832.6</v>
      </c>
    </row>
    <row r="217">
      <c r="A217" t="inlineStr">
        <is>
          <t>未分类</t>
        </is>
      </c>
      <c r="B217" t="inlineStr">
        <is>
          <t>无客商-收广州市万有达建筑工</t>
        </is>
      </c>
      <c r="C217" t="n">
        <v/>
      </c>
      <c r="D217" t="n">
        <v>746991.28</v>
      </c>
    </row>
    <row r="218">
      <c r="A218" t="inlineStr">
        <is>
          <t>未分类</t>
        </is>
      </c>
      <c r="B218" t="inlineStr">
        <is>
          <t>无客商-收江西志特新材料股份</t>
        </is>
      </c>
      <c r="C218" t="n">
        <v/>
      </c>
      <c r="D218" t="n">
        <v>320531.24</v>
      </c>
    </row>
    <row r="219">
      <c r="A219" t="inlineStr">
        <is>
          <t>未分类</t>
        </is>
      </c>
      <c r="B219" t="inlineStr">
        <is>
          <t>无客商-收汤村 项目复建地块</t>
        </is>
      </c>
      <c r="C219" t="n">
        <v/>
      </c>
      <c r="D219" t="n">
        <v>198165.14</v>
      </c>
    </row>
    <row r="220">
      <c r="A220" t="inlineStr">
        <is>
          <t>未分类</t>
        </is>
      </c>
      <c r="B220" t="inlineStr">
        <is>
          <t>无客商-收汤村复1地块湖南阳</t>
        </is>
      </c>
      <c r="C220" t="n">
        <v/>
      </c>
      <c r="D220" t="n">
        <v>4365</v>
      </c>
    </row>
    <row r="221">
      <c r="A221" t="inlineStr">
        <is>
          <t>未分类</t>
        </is>
      </c>
      <c r="B221" t="inlineStr">
        <is>
          <t>无客商-收汤村复建一广州市万</t>
        </is>
      </c>
      <c r="C221" t="n">
        <v/>
      </c>
      <c r="D221" t="n">
        <v>412844.05</v>
      </c>
    </row>
    <row r="222">
      <c r="A222" t="inlineStr">
        <is>
          <t>未分类</t>
        </is>
      </c>
      <c r="B222" t="inlineStr">
        <is>
          <t>无客商-收汤村复建一湖北省隆</t>
        </is>
      </c>
      <c r="C222" t="n">
        <v/>
      </c>
      <c r="D222" t="n">
        <v>104857.97</v>
      </c>
    </row>
    <row r="223">
      <c r="A223" t="inlineStr">
        <is>
          <t>未分类</t>
        </is>
      </c>
      <c r="B223" t="inlineStr">
        <is>
          <t>无客商-收汤村复建区1号地块</t>
        </is>
      </c>
      <c r="C223" t="n">
        <v/>
      </c>
      <c r="D223" t="n">
        <v>2302276.25</v>
      </c>
    </row>
    <row r="224">
      <c r="A224" t="inlineStr">
        <is>
          <t>未分类</t>
        </is>
      </c>
      <c r="B224" t="inlineStr">
        <is>
          <t>无客商-收汤村项目复一广东粤</t>
        </is>
      </c>
      <c r="C224" t="n">
        <v/>
      </c>
      <c r="D224" t="n">
        <v>10670.99</v>
      </c>
    </row>
    <row r="225">
      <c r="A225" t="inlineStr">
        <is>
          <t>未分类</t>
        </is>
      </c>
      <c r="B225" t="inlineStr">
        <is>
          <t>无客商-收汤村项目复一广州市</t>
        </is>
      </c>
      <c r="C225" t="n">
        <v/>
      </c>
      <c r="D225" t="n">
        <v>335142.25</v>
      </c>
    </row>
    <row r="226">
      <c r="A226" t="inlineStr">
        <is>
          <t>未分类</t>
        </is>
      </c>
      <c r="B226" t="inlineStr">
        <is>
          <t>无客商-收汤村项目复建地块一</t>
        </is>
      </c>
      <c r="C226" t="n">
        <v/>
      </c>
      <c r="D226" t="n">
        <v>1379183.25</v>
      </c>
    </row>
    <row r="227">
      <c r="A227" t="inlineStr">
        <is>
          <t>未分类</t>
        </is>
      </c>
      <c r="B227" t="inlineStr">
        <is>
          <t>无客商-收汤村项目复建地快一</t>
        </is>
      </c>
      <c r="C227" t="n">
        <v/>
      </c>
      <c r="D227" t="n">
        <v>82568.81</v>
      </c>
    </row>
    <row r="228">
      <c r="A228" t="inlineStr">
        <is>
          <t>未分类</t>
        </is>
      </c>
      <c r="B228" t="inlineStr">
        <is>
          <t>无客商-收深圳市正工集成房屋</t>
        </is>
      </c>
      <c r="C228" t="n">
        <v/>
      </c>
      <c r="D228" t="n">
        <v>203449.92</v>
      </c>
    </row>
    <row r="229">
      <c r="A229" t="inlineStr">
        <is>
          <t>未分类</t>
        </is>
      </c>
      <c r="B229" t="inlineStr">
        <is>
          <t>无客商-收湖北省隆兴防水材料</t>
        </is>
      </c>
      <c r="C229" t="n">
        <v/>
      </c>
      <c r="D229" t="n">
        <v>800000</v>
      </c>
    </row>
    <row r="230">
      <c r="A230" t="inlineStr">
        <is>
          <t>未分类</t>
        </is>
      </c>
      <c r="B230" t="inlineStr">
        <is>
          <t>无客商-收财务资金部陈乐代付</t>
        </is>
      </c>
      <c r="C230" t="n">
        <v/>
      </c>
      <c r="D230" t="n">
        <v>191007.5</v>
      </c>
    </row>
    <row r="231">
      <c r="A231" t="inlineStr">
        <is>
          <t>未分类</t>
        </is>
      </c>
      <c r="B231" t="inlineStr">
        <is>
          <t>无客商-核销汤村复1地块零星</t>
        </is>
      </c>
      <c r="C231" t="n">
        <v/>
      </c>
      <c r="D231" t="n">
        <v>40000</v>
      </c>
    </row>
    <row r="232">
      <c r="A232" t="inlineStr">
        <is>
          <t>未分类</t>
        </is>
      </c>
      <c r="B232" t="inlineStr">
        <is>
          <t>无客商-汤村复1地块10月个</t>
        </is>
      </c>
      <c r="C232" t="n">
        <v/>
      </c>
      <c r="D232" t="n">
        <v>13310.27</v>
      </c>
    </row>
    <row r="233">
      <c r="A233" t="inlineStr">
        <is>
          <t>未分类</t>
        </is>
      </c>
      <c r="B233" t="inlineStr">
        <is>
          <t>无客商-汤村复1地块10月薪</t>
        </is>
      </c>
      <c r="C233" t="n">
        <v/>
      </c>
      <c r="D233" t="n">
        <v>140704.07</v>
      </c>
    </row>
    <row r="234">
      <c r="A234" t="inlineStr">
        <is>
          <t>未分类</t>
        </is>
      </c>
      <c r="B234" t="inlineStr">
        <is>
          <t>无客商-汤村复1地块11月个</t>
        </is>
      </c>
      <c r="C234" t="n">
        <v/>
      </c>
      <c r="D234" t="n">
        <v>4162.16</v>
      </c>
    </row>
    <row r="235">
      <c r="A235" t="inlineStr">
        <is>
          <t>未分类</t>
        </is>
      </c>
      <c r="B235" t="inlineStr">
        <is>
          <t>无客商-汤村复1地块11月薪</t>
        </is>
      </c>
      <c r="C235" t="n">
        <v/>
      </c>
      <c r="D235" t="n">
        <v>169205.26</v>
      </c>
    </row>
    <row r="236">
      <c r="A236" t="inlineStr">
        <is>
          <t>未分类</t>
        </is>
      </c>
      <c r="B236" t="inlineStr">
        <is>
          <t>无客商-汤村复1地块12月个</t>
        </is>
      </c>
      <c r="C236" t="n">
        <v/>
      </c>
      <c r="D236" t="n">
        <v>3739.46</v>
      </c>
    </row>
    <row r="237">
      <c r="A237" t="inlineStr">
        <is>
          <t>未分类</t>
        </is>
      </c>
      <c r="B237" t="inlineStr">
        <is>
          <t>无客商-汤村复1地块12月薪</t>
        </is>
      </c>
      <c r="C237" t="n">
        <v/>
      </c>
      <c r="D237" t="n">
        <v>141761.92</v>
      </c>
    </row>
    <row r="238">
      <c r="A238" t="inlineStr">
        <is>
          <t>未分类</t>
        </is>
      </c>
      <c r="B238" t="inlineStr">
        <is>
          <t>无客商-汤村复1地块1月个税</t>
        </is>
      </c>
      <c r="C238" t="n">
        <v/>
      </c>
      <c r="D238" t="n">
        <v>32045.2</v>
      </c>
    </row>
    <row r="239">
      <c r="A239" t="inlineStr">
        <is>
          <t>未分类</t>
        </is>
      </c>
      <c r="B239" t="inlineStr">
        <is>
          <t>无客商-汤村复1地块1月薪酬</t>
        </is>
      </c>
      <c r="C239" t="n">
        <v/>
      </c>
      <c r="D239" t="n">
        <v>153032.01</v>
      </c>
    </row>
    <row r="240">
      <c r="A240" t="inlineStr">
        <is>
          <t>未分类</t>
        </is>
      </c>
      <c r="B240" t="inlineStr">
        <is>
          <t>无客商-汤村复1地块2024</t>
        </is>
      </c>
      <c r="C240" t="n">
        <v/>
      </c>
      <c r="D240" t="n">
        <v>60843.39</v>
      </c>
    </row>
    <row r="241">
      <c r="A241" t="inlineStr">
        <is>
          <t>未分类</t>
        </is>
      </c>
      <c r="B241" t="inlineStr">
        <is>
          <t>无客商-汤村复1地块2025</t>
        </is>
      </c>
      <c r="C241" t="n">
        <v/>
      </c>
      <c r="D241" t="n">
        <v>366053.3</v>
      </c>
    </row>
    <row r="242">
      <c r="A242" t="inlineStr">
        <is>
          <t>未分类</t>
        </is>
      </c>
      <c r="B242" t="inlineStr">
        <is>
          <t>无客商-汤村复1地块2月个税</t>
        </is>
      </c>
      <c r="C242" t="n">
        <v/>
      </c>
      <c r="D242" t="n">
        <v>2624.08</v>
      </c>
    </row>
    <row r="243">
      <c r="A243" t="inlineStr">
        <is>
          <t>未分类</t>
        </is>
      </c>
      <c r="B243" t="inlineStr">
        <is>
          <t>无客商-汤村复1地块2月奖金</t>
        </is>
      </c>
      <c r="C243" t="n">
        <v/>
      </c>
      <c r="D243" t="n">
        <v>91268.92999999999</v>
      </c>
    </row>
    <row r="244">
      <c r="A244" t="inlineStr">
        <is>
          <t>未分类</t>
        </is>
      </c>
      <c r="B244" t="inlineStr">
        <is>
          <t>无客商-汤村复1地块2月薪酬</t>
        </is>
      </c>
      <c r="C244" t="n">
        <v/>
      </c>
      <c r="D244" t="n">
        <v>287123.79</v>
      </c>
    </row>
    <row r="245">
      <c r="A245" t="inlineStr">
        <is>
          <t>未分类</t>
        </is>
      </c>
      <c r="B245" t="inlineStr">
        <is>
          <t>无客商-汤村复1地块3月个税</t>
        </is>
      </c>
      <c r="C245" t="n">
        <v/>
      </c>
      <c r="D245" t="n">
        <v>1785.87</v>
      </c>
    </row>
    <row r="246">
      <c r="A246" t="inlineStr">
        <is>
          <t>未分类</t>
        </is>
      </c>
      <c r="B246" t="inlineStr">
        <is>
          <t>无客商-汤村复1地块3月薪酬</t>
        </is>
      </c>
      <c r="C246" t="n">
        <v/>
      </c>
      <c r="D246" t="n">
        <v>100981.34</v>
      </c>
    </row>
    <row r="247">
      <c r="A247" t="inlineStr">
        <is>
          <t>未分类</t>
        </is>
      </c>
      <c r="B247" t="inlineStr">
        <is>
          <t>无客商-汤村复1地块4月个税</t>
        </is>
      </c>
      <c r="C247" t="n">
        <v/>
      </c>
      <c r="D247" t="n">
        <v>1387.07</v>
      </c>
    </row>
    <row r="248">
      <c r="A248" t="inlineStr">
        <is>
          <t>未分类</t>
        </is>
      </c>
      <c r="B248" t="inlineStr">
        <is>
          <t>无客商-汤村复1地块4月薪酬</t>
        </is>
      </c>
      <c r="C248" t="n">
        <v/>
      </c>
      <c r="D248" t="n">
        <v>87137.11</v>
      </c>
    </row>
    <row r="249">
      <c r="A249" t="inlineStr">
        <is>
          <t>未分类</t>
        </is>
      </c>
      <c r="B249" t="inlineStr">
        <is>
          <t>无客商-汤村复1地块5月个税</t>
        </is>
      </c>
      <c r="C249" t="n">
        <v/>
      </c>
      <c r="D249" t="n">
        <v>1139.91</v>
      </c>
    </row>
    <row r="250">
      <c r="A250" t="inlineStr">
        <is>
          <t>未分类</t>
        </is>
      </c>
      <c r="B250" t="inlineStr">
        <is>
          <t>无客商-汤村复1地块5月薪酬</t>
        </is>
      </c>
      <c r="C250" t="n">
        <v/>
      </c>
      <c r="D250" t="n">
        <v>91064.33</v>
      </c>
    </row>
    <row r="251">
      <c r="A251" t="inlineStr">
        <is>
          <t>未分类</t>
        </is>
      </c>
      <c r="B251" t="inlineStr">
        <is>
          <t>无客商-汤村复1地块6月个税</t>
        </is>
      </c>
      <c r="C251" t="n">
        <v/>
      </c>
      <c r="D251" t="n">
        <v>1891.15</v>
      </c>
    </row>
    <row r="252">
      <c r="A252" t="inlineStr">
        <is>
          <t>未分类</t>
        </is>
      </c>
      <c r="B252" t="inlineStr">
        <is>
          <t>无客商-汤村复1地块6月薪酬</t>
        </is>
      </c>
      <c r="C252" t="n">
        <v/>
      </c>
      <c r="D252" t="n">
        <v>141431.55</v>
      </c>
    </row>
    <row r="253">
      <c r="A253" t="inlineStr">
        <is>
          <t>未分类</t>
        </is>
      </c>
      <c r="B253" t="inlineStr">
        <is>
          <t>无客商-汤村复1地块7月个税</t>
        </is>
      </c>
      <c r="C253" t="n">
        <v/>
      </c>
      <c r="D253" t="n">
        <v>2425.33</v>
      </c>
    </row>
    <row r="254">
      <c r="A254" t="inlineStr">
        <is>
          <t>未分类</t>
        </is>
      </c>
      <c r="B254" t="inlineStr">
        <is>
          <t>无客商-汤村复1地块7月薪酬</t>
        </is>
      </c>
      <c r="C254" t="n">
        <v/>
      </c>
      <c r="D254" t="n">
        <v>166586.78</v>
      </c>
    </row>
    <row r="255">
      <c r="A255" t="inlineStr">
        <is>
          <t>未分类</t>
        </is>
      </c>
      <c r="B255" t="inlineStr">
        <is>
          <t>无客商-汤村复1地块8月个税</t>
        </is>
      </c>
      <c r="C255" t="n">
        <v/>
      </c>
      <c r="D255" t="n">
        <v>5117.02</v>
      </c>
    </row>
    <row r="256">
      <c r="A256" t="inlineStr">
        <is>
          <t>未分类</t>
        </is>
      </c>
      <c r="B256" t="inlineStr">
        <is>
          <t>无客商-汤村复1地块8月薪酬</t>
        </is>
      </c>
      <c r="C256" t="n">
        <v/>
      </c>
      <c r="D256" t="n">
        <v>147514.49</v>
      </c>
    </row>
    <row r="257">
      <c r="A257" t="inlineStr">
        <is>
          <t>未分类</t>
        </is>
      </c>
      <c r="B257" t="inlineStr">
        <is>
          <t>无客商-汤村复1地块9月个税</t>
        </is>
      </c>
      <c r="C257" t="n">
        <v/>
      </c>
      <c r="D257" t="n">
        <v>2720.49</v>
      </c>
    </row>
    <row r="258">
      <c r="A258" t="inlineStr">
        <is>
          <t>未分类</t>
        </is>
      </c>
      <c r="B258" t="inlineStr">
        <is>
          <t>无客商-汤村复1地块9月薪酬</t>
        </is>
      </c>
      <c r="C258" t="n">
        <v/>
      </c>
      <c r="D258" t="n">
        <v>191121.96</v>
      </c>
    </row>
    <row r="259">
      <c r="A259" t="inlineStr">
        <is>
          <t>未分类</t>
        </is>
      </c>
      <c r="B259" t="inlineStr">
        <is>
          <t>无客商-汤村复1地块个税缴纳</t>
        </is>
      </c>
      <c r="C259" t="n">
        <v/>
      </c>
      <c r="D259" t="n">
        <v>2070.16</v>
      </c>
    </row>
    <row r="260">
      <c r="A260" t="inlineStr">
        <is>
          <t>未分类</t>
        </is>
      </c>
      <c r="B260" t="inlineStr">
        <is>
          <t>无客商-汤村复1地块付广州市</t>
        </is>
      </c>
      <c r="C260" t="n">
        <v/>
      </c>
      <c r="D260" t="n">
        <v>220.05</v>
      </c>
    </row>
    <row r="261">
      <c r="A261" t="inlineStr">
        <is>
          <t>未分类</t>
        </is>
      </c>
      <c r="B261" t="inlineStr">
        <is>
          <t>无客商-汤村复1地块申请福利</t>
        </is>
      </c>
      <c r="C261" t="n">
        <v/>
      </c>
      <c r="D261" t="n">
        <v>24.44</v>
      </c>
    </row>
    <row r="262">
      <c r="A262" t="inlineStr">
        <is>
          <t>未分类</t>
        </is>
      </c>
      <c r="B262" t="inlineStr">
        <is>
          <t>无客商-汤村复1地块粤忠晟保</t>
        </is>
      </c>
      <c r="C262" t="n">
        <v/>
      </c>
      <c r="D262" t="n">
        <v>4113.18</v>
      </c>
    </row>
    <row r="263">
      <c r="A263" t="inlineStr">
        <is>
          <t>未分类</t>
        </is>
      </c>
      <c r="B263" t="inlineStr">
        <is>
          <t>无客商-汤村复1地块缴纳2月</t>
        </is>
      </c>
      <c r="C263" t="n">
        <v/>
      </c>
      <c r="D263" t="n">
        <v>745.45</v>
      </c>
    </row>
    <row r="264">
      <c r="A264" t="inlineStr">
        <is>
          <t>未分类</t>
        </is>
      </c>
      <c r="B264" t="inlineStr">
        <is>
          <t>无客商-汤村复1地块薪酬发放</t>
        </is>
      </c>
      <c r="C264" t="n">
        <v/>
      </c>
      <c r="D264" t="n">
        <v>53714.44</v>
      </c>
    </row>
    <row r="265">
      <c r="A265" t="inlineStr">
        <is>
          <t>未分类</t>
        </is>
      </c>
      <c r="B265" t="inlineStr">
        <is>
          <t>无客商-汤村复1地块计提10</t>
        </is>
      </c>
      <c r="C265" t="n">
        <v/>
      </c>
      <c r="D265" t="n">
        <v>67213.8</v>
      </c>
    </row>
    <row r="266">
      <c r="A266" t="inlineStr">
        <is>
          <t>未分类</t>
        </is>
      </c>
      <c r="B266" t="inlineStr">
        <is>
          <t>无客商-汤村复1地块计提20</t>
        </is>
      </c>
      <c r="C266" t="n">
        <v/>
      </c>
      <c r="D266" t="n">
        <v>16942.5</v>
      </c>
    </row>
    <row r="267">
      <c r="A267" t="inlineStr">
        <is>
          <t>未分类</t>
        </is>
      </c>
      <c r="B267" t="inlineStr">
        <is>
          <t>无客商-汤村复1地块计提9月</t>
        </is>
      </c>
      <c r="C267" t="n">
        <v/>
      </c>
      <c r="D267" t="n">
        <v>199302.69</v>
      </c>
    </row>
    <row r="268">
      <c r="A268" t="inlineStr">
        <is>
          <t>未分类</t>
        </is>
      </c>
      <c r="B268" t="inlineStr">
        <is>
          <t>无客商-汤村复1地块计提社保</t>
        </is>
      </c>
      <c r="C268" t="n">
        <v/>
      </c>
      <c r="D268" t="n">
        <v>39584.04</v>
      </c>
    </row>
    <row r="269">
      <c r="A269" t="inlineStr">
        <is>
          <t>未分类</t>
        </is>
      </c>
      <c r="B269" t="inlineStr">
        <is>
          <t>无客商-汤村复1地块销项税差</t>
        </is>
      </c>
      <c r="C269" t="n">
        <v/>
      </c>
      <c r="D269" t="n">
        <v>-0.01</v>
      </c>
    </row>
    <row r="270">
      <c r="A270" t="inlineStr">
        <is>
          <t>未分类</t>
        </is>
      </c>
      <c r="B270" t="inlineStr">
        <is>
          <t>无客商-汤村复一项目24年5</t>
        </is>
      </c>
      <c r="C270" t="n">
        <v/>
      </c>
      <c r="D270" t="n">
        <v>1877.22</v>
      </c>
    </row>
    <row r="271">
      <c r="A271" t="inlineStr">
        <is>
          <t>未分类</t>
        </is>
      </c>
      <c r="B271" t="inlineStr">
        <is>
          <t>无客商-汤村复一项目24年6</t>
        </is>
      </c>
      <c r="C271" t="n">
        <v/>
      </c>
      <c r="D271" t="n">
        <v>5492.2</v>
      </c>
    </row>
    <row r="272">
      <c r="A272" t="inlineStr">
        <is>
          <t>未分类</t>
        </is>
      </c>
      <c r="B272" t="inlineStr">
        <is>
          <t>无客商-汤村复一项目24年7</t>
        </is>
      </c>
      <c r="C272" t="n">
        <v/>
      </c>
      <c r="D272" t="n">
        <v>4795.46</v>
      </c>
    </row>
    <row r="273">
      <c r="A273" t="inlineStr">
        <is>
          <t>未分类</t>
        </is>
      </c>
      <c r="B273" t="inlineStr">
        <is>
          <t>无客商-汤村复一项目24年9</t>
        </is>
      </c>
      <c r="C273" t="n">
        <v/>
      </c>
      <c r="D273" t="n">
        <v>2868.91</v>
      </c>
    </row>
    <row r="274">
      <c r="A274" t="inlineStr">
        <is>
          <t>未分类</t>
        </is>
      </c>
      <c r="B274" t="inlineStr">
        <is>
          <t>无客商-汤村复一项目25年1</t>
        </is>
      </c>
      <c r="C274" t="n">
        <v/>
      </c>
      <c r="D274" t="n">
        <v>15704</v>
      </c>
    </row>
    <row r="275">
      <c r="A275" t="inlineStr">
        <is>
          <t>未分类</t>
        </is>
      </c>
      <c r="B275" t="inlineStr">
        <is>
          <t>无客商-汤村复一项目从华工东</t>
        </is>
      </c>
      <c r="C275" t="n">
        <v/>
      </c>
      <c r="D275" t="n">
        <v>220395.45</v>
      </c>
    </row>
    <row r="276">
      <c r="A276" t="inlineStr">
        <is>
          <t>未分类</t>
        </is>
      </c>
      <c r="B276" t="inlineStr">
        <is>
          <t>无客商-汤村复一项目从南沙滨</t>
        </is>
      </c>
      <c r="C276" t="n">
        <v/>
      </c>
      <c r="D276" t="n">
        <v>107530</v>
      </c>
    </row>
    <row r="277">
      <c r="A277" t="inlineStr">
        <is>
          <t>未分类</t>
        </is>
      </c>
      <c r="B277" t="inlineStr">
        <is>
          <t>无客商-汤村复一项目从国防一</t>
        </is>
      </c>
      <c r="C277" t="n">
        <v/>
      </c>
      <c r="D277" t="n">
        <v>34307.66</v>
      </c>
    </row>
    <row r="278">
      <c r="A278" t="inlineStr">
        <is>
          <t>未分类</t>
        </is>
      </c>
      <c r="B278" t="inlineStr">
        <is>
          <t>无客商-汤村复一项目从国防训</t>
        </is>
      </c>
      <c r="C278" t="n">
        <v/>
      </c>
      <c r="D278" t="n">
        <v>38805.57</v>
      </c>
    </row>
    <row r="279">
      <c r="A279" t="inlineStr">
        <is>
          <t>未分类</t>
        </is>
      </c>
      <c r="B279" t="inlineStr">
        <is>
          <t>无客商-汤村复一项目从小新塘</t>
        </is>
      </c>
      <c r="C279" t="n">
        <v/>
      </c>
      <c r="D279" t="n">
        <v>4311.22</v>
      </c>
    </row>
    <row r="280">
      <c r="A280" t="inlineStr">
        <is>
          <t>未分类</t>
        </is>
      </c>
      <c r="B280" t="inlineStr">
        <is>
          <t>无客商-汤村复一项目从平西二</t>
        </is>
      </c>
      <c r="C280" t="n">
        <v/>
      </c>
      <c r="D280" t="n">
        <v>10300</v>
      </c>
    </row>
    <row r="281">
      <c r="A281" t="inlineStr">
        <is>
          <t>未分类</t>
        </is>
      </c>
      <c r="B281" t="inlineStr">
        <is>
          <t>无客商-汤村复一项目从建南首</t>
        </is>
      </c>
      <c r="C281" t="n">
        <v/>
      </c>
      <c r="D281" t="n">
        <v>18679.82</v>
      </c>
    </row>
    <row r="282">
      <c r="A282" t="inlineStr">
        <is>
          <t>未分类</t>
        </is>
      </c>
      <c r="B282" t="inlineStr">
        <is>
          <t>无客商-汤村复一项目从汤村九</t>
        </is>
      </c>
      <c r="C282" t="n">
        <v/>
      </c>
      <c r="D282" t="n">
        <v>2292555.44</v>
      </c>
    </row>
    <row r="283">
      <c r="A283" t="inlineStr">
        <is>
          <t>未分类</t>
        </is>
      </c>
      <c r="B283" t="inlineStr">
        <is>
          <t>无客商-汤村复一项目从汤村复</t>
        </is>
      </c>
      <c r="C283" t="n">
        <v/>
      </c>
      <c r="D283" t="n">
        <v>17934867.73</v>
      </c>
    </row>
    <row r="284">
      <c r="A284" t="inlineStr">
        <is>
          <t>未分类</t>
        </is>
      </c>
      <c r="B284" t="inlineStr">
        <is>
          <t>无客商-汤村复一项目从汤村融</t>
        </is>
      </c>
      <c r="C284" t="n">
        <v/>
      </c>
      <c r="D284" t="n">
        <v>13156921.94</v>
      </c>
    </row>
    <row r="285">
      <c r="A285" t="inlineStr">
        <is>
          <t>未分类</t>
        </is>
      </c>
      <c r="B285" t="inlineStr">
        <is>
          <t>无客商-汤村复一项目从白云金</t>
        </is>
      </c>
      <c r="C285" t="n">
        <v/>
      </c>
      <c r="D285" t="n">
        <v>14724.48</v>
      </c>
    </row>
    <row r="286">
      <c r="A286" t="inlineStr">
        <is>
          <t>未分类</t>
        </is>
      </c>
      <c r="B286" t="inlineStr">
        <is>
          <t>无客商-汤村复一项目从黄云路</t>
        </is>
      </c>
      <c r="C286" t="n">
        <v/>
      </c>
      <c r="D286" t="n">
        <v>3735.8</v>
      </c>
    </row>
    <row r="287">
      <c r="A287" t="inlineStr">
        <is>
          <t>未分类</t>
        </is>
      </c>
      <c r="B287" t="inlineStr">
        <is>
          <t>无客商-汤村复一项目其他材料</t>
        </is>
      </c>
      <c r="C287" t="n">
        <v/>
      </c>
      <c r="D287" t="n">
        <v>394191.82</v>
      </c>
    </row>
    <row r="288">
      <c r="A288" t="inlineStr">
        <is>
          <t>未分类</t>
        </is>
      </c>
      <c r="B288" t="inlineStr">
        <is>
          <t>无客商-汤村复一项目商品砼加</t>
        </is>
      </c>
      <c r="C288" t="n">
        <v/>
      </c>
      <c r="D288" t="n">
        <v>4065599.98</v>
      </c>
    </row>
    <row r="289">
      <c r="A289" t="inlineStr">
        <is>
          <t>未分类</t>
        </is>
      </c>
      <c r="B289" t="inlineStr">
        <is>
          <t>无客商-汤村复一项目混凝土、</t>
        </is>
      </c>
      <c r="C289" t="n">
        <v/>
      </c>
      <c r="D289" t="n">
        <v>4008834.59</v>
      </c>
    </row>
    <row r="290">
      <c r="A290" t="inlineStr">
        <is>
          <t>未分类</t>
        </is>
      </c>
      <c r="B290" t="inlineStr">
        <is>
          <t>无客商-汤村复一项目混凝土加</t>
        </is>
      </c>
      <c r="C290" t="n">
        <v/>
      </c>
      <c r="D290" t="n">
        <v>4730274.59</v>
      </c>
    </row>
    <row r="291">
      <c r="A291" t="inlineStr">
        <is>
          <t>未分类</t>
        </is>
      </c>
      <c r="B291" t="inlineStr">
        <is>
          <t>无客商-汤村复一项目混凝土材</t>
        </is>
      </c>
      <c r="C291" t="n">
        <v/>
      </c>
      <c r="D291" t="n">
        <v>21730228.34</v>
      </c>
    </row>
    <row r="292">
      <c r="A292" t="inlineStr">
        <is>
          <t>未分类</t>
        </is>
      </c>
      <c r="B292" t="inlineStr">
        <is>
          <t>无客商-汤村复一项目混凝土砌</t>
        </is>
      </c>
      <c r="C292" t="n">
        <v/>
      </c>
      <c r="D292" t="n">
        <v>8581211.109999999</v>
      </c>
    </row>
    <row r="293">
      <c r="A293" t="inlineStr">
        <is>
          <t>未分类</t>
        </is>
      </c>
      <c r="B293" t="inlineStr">
        <is>
          <t>无客商-汤村复一项目混凝土零</t>
        </is>
      </c>
      <c r="C293" t="n">
        <v/>
      </c>
      <c r="D293" t="n">
        <v>6896241.12</v>
      </c>
    </row>
    <row r="294">
      <c r="A294" t="inlineStr">
        <is>
          <t>未分类</t>
        </is>
      </c>
      <c r="B294" t="inlineStr">
        <is>
          <t>无客商-汤村复一项目装饰材料</t>
        </is>
      </c>
      <c r="C294" t="n">
        <v/>
      </c>
      <c r="D294" t="n">
        <v>42988.2</v>
      </c>
    </row>
    <row r="295">
      <c r="A295" t="inlineStr">
        <is>
          <t>未分类</t>
        </is>
      </c>
      <c r="B295" t="inlineStr">
        <is>
          <t>无客商-汤村复一项目钢材其他</t>
        </is>
      </c>
      <c r="C295" t="n">
        <v/>
      </c>
      <c r="D295" t="n">
        <v>5378635.25</v>
      </c>
    </row>
    <row r="296">
      <c r="A296" t="inlineStr">
        <is>
          <t>未分类</t>
        </is>
      </c>
      <c r="B296" t="inlineStr">
        <is>
          <t>无客商-汤村复一项目钢材材料</t>
        </is>
      </c>
      <c r="C296" t="n">
        <v/>
      </c>
      <c r="D296" t="n">
        <v>11634984.71</v>
      </c>
    </row>
    <row r="297">
      <c r="A297" t="inlineStr">
        <is>
          <t>未分类</t>
        </is>
      </c>
      <c r="B297" t="inlineStr">
        <is>
          <t>无客商-汤村复一项目钢材混凝</t>
        </is>
      </c>
      <c r="C297" t="n">
        <v/>
      </c>
      <c r="D297" t="n">
        <v>74227325.11</v>
      </c>
    </row>
    <row r="298">
      <c r="A298" t="inlineStr">
        <is>
          <t>未分类</t>
        </is>
      </c>
      <c r="B298" t="inlineStr">
        <is>
          <t>无客商-汤村复一项目钢材砌体</t>
        </is>
      </c>
      <c r="C298" t="n">
        <v/>
      </c>
      <c r="D298" t="n">
        <v>2982492.88</v>
      </c>
    </row>
    <row r="299">
      <c r="A299" t="inlineStr">
        <is>
          <t>未分类</t>
        </is>
      </c>
      <c r="B299" t="inlineStr">
        <is>
          <t>无客商-汤村复一项目钢材装饰</t>
        </is>
      </c>
      <c r="C299" t="n">
        <v/>
      </c>
      <c r="D299" t="n">
        <v>1592674.83</v>
      </c>
    </row>
    <row r="300">
      <c r="A300" t="inlineStr">
        <is>
          <t>未分类</t>
        </is>
      </c>
      <c r="B300" t="inlineStr">
        <is>
          <t>无客商-汤村复建1号地块8月</t>
        </is>
      </c>
      <c r="C300" t="n">
        <v/>
      </c>
      <c r="D300" t="n">
        <v>113.94</v>
      </c>
    </row>
    <row r="301">
      <c r="A301" t="inlineStr">
        <is>
          <t>未分类</t>
        </is>
      </c>
      <c r="B301" t="inlineStr">
        <is>
          <t>无客商-汤村复建1号地块徐尚</t>
        </is>
      </c>
      <c r="C301" t="n">
        <v/>
      </c>
      <c r="D301" t="n">
        <v>1.07</v>
      </c>
    </row>
    <row r="302">
      <c r="A302" t="inlineStr">
        <is>
          <t>未分类</t>
        </is>
      </c>
      <c r="B302" t="inlineStr">
        <is>
          <t>无客商-汤村复建区1号地块1</t>
        </is>
      </c>
      <c r="C302" t="n">
        <v/>
      </c>
      <c r="D302" t="n">
        <v>54746.95</v>
      </c>
    </row>
    <row r="303">
      <c r="A303" t="inlineStr">
        <is>
          <t>未分类</t>
        </is>
      </c>
      <c r="B303" t="inlineStr">
        <is>
          <t>无客商-汤村复建区1号地块7</t>
        </is>
      </c>
      <c r="C303" t="n">
        <v/>
      </c>
      <c r="D303" t="n">
        <v>82036.75</v>
      </c>
    </row>
    <row r="304">
      <c r="A304" t="inlineStr">
        <is>
          <t>未分类</t>
        </is>
      </c>
      <c r="B304" t="inlineStr">
        <is>
          <t>无客商-汤村复建区1号地块9</t>
        </is>
      </c>
      <c r="C304" t="n">
        <v/>
      </c>
      <c r="D304" t="n">
        <v>2137.27</v>
      </c>
    </row>
    <row r="305">
      <c r="A305" t="inlineStr">
        <is>
          <t>未分类</t>
        </is>
      </c>
      <c r="B305" t="inlineStr">
        <is>
          <t>无客商-汤村复建区1号地块项</t>
        </is>
      </c>
      <c r="C305" t="n">
        <v/>
      </c>
      <c r="D305" t="n">
        <v>32629380.48</v>
      </c>
    </row>
    <row r="306">
      <c r="A306" t="inlineStr">
        <is>
          <t>未分类</t>
        </is>
      </c>
      <c r="B306" t="inlineStr">
        <is>
          <t>无客商-汤村复建地块一项目材</t>
        </is>
      </c>
      <c r="C306" t="n">
        <v/>
      </c>
      <c r="D306" t="n">
        <v>220945.31</v>
      </c>
    </row>
    <row r="307">
      <c r="A307" t="inlineStr">
        <is>
          <t>未分类</t>
        </is>
      </c>
      <c r="B307" t="inlineStr">
        <is>
          <t>无客商-汤村旧改项目复建一地</t>
        </is>
      </c>
      <c r="C307" t="n">
        <v/>
      </c>
      <c r="D307" t="n">
        <v>11056.1</v>
      </c>
    </row>
    <row r="308">
      <c r="A308" t="inlineStr">
        <is>
          <t>未分类</t>
        </is>
      </c>
      <c r="B308" t="inlineStr">
        <is>
          <t>无客商-汤村旧改项目复建区1</t>
        </is>
      </c>
      <c r="C308" t="n">
        <v/>
      </c>
      <c r="D308" t="n">
        <v>313487.86</v>
      </c>
    </row>
    <row r="309">
      <c r="A309" t="inlineStr">
        <is>
          <t>未分类</t>
        </is>
      </c>
      <c r="B309" t="inlineStr">
        <is>
          <t>无客商-汤村旧改项目对外成本</t>
        </is>
      </c>
      <c r="C309" t="n">
        <v/>
      </c>
      <c r="D309" t="n">
        <v>21.21</v>
      </c>
    </row>
    <row r="310">
      <c r="A310" t="inlineStr">
        <is>
          <t>未分类</t>
        </is>
      </c>
      <c r="B310" t="inlineStr">
        <is>
          <t>无客商-汤村旧改项目对外支付</t>
        </is>
      </c>
      <c r="C310" t="n">
        <v/>
      </c>
      <c r="D310" t="n">
        <v>4803.57</v>
      </c>
    </row>
    <row r="311">
      <c r="A311" t="inlineStr">
        <is>
          <t>未分类</t>
        </is>
      </c>
      <c r="B311" t="inlineStr">
        <is>
          <t>无客商-汤村旧改项目支付广州</t>
        </is>
      </c>
      <c r="C311" t="n">
        <v/>
      </c>
      <c r="D311" t="n">
        <v>1781.88</v>
      </c>
    </row>
    <row r="312">
      <c r="A312" t="inlineStr">
        <is>
          <t>未分类</t>
        </is>
      </c>
      <c r="B312" t="inlineStr">
        <is>
          <t>无客商-汤村旧村改造复建地块</t>
        </is>
      </c>
      <c r="C312" t="n">
        <v/>
      </c>
      <c r="D312" t="n">
        <v>2073980.47</v>
      </c>
    </row>
    <row r="313">
      <c r="A313" t="inlineStr">
        <is>
          <t>未分类</t>
        </is>
      </c>
      <c r="B313" t="inlineStr">
        <is>
          <t>无客商-汤村旧村改造项目复建</t>
        </is>
      </c>
      <c r="C313" t="n">
        <v/>
      </c>
      <c r="D313" t="n">
        <v>532937.09</v>
      </c>
    </row>
    <row r="314">
      <c r="A314" t="inlineStr">
        <is>
          <t>未分类</t>
        </is>
      </c>
      <c r="B314" t="inlineStr">
        <is>
          <t>无客商-汤村旧村改造项目对外</t>
        </is>
      </c>
      <c r="C314" t="n">
        <v/>
      </c>
      <c r="D314" t="n">
        <v>198.82</v>
      </c>
    </row>
    <row r="315">
      <c r="A315" t="inlineStr">
        <is>
          <t>未分类</t>
        </is>
      </c>
      <c r="B315" t="inlineStr">
        <is>
          <t>无客商-汤村项目付广州市中洁</t>
        </is>
      </c>
      <c r="C315" t="n">
        <v/>
      </c>
      <c r="D315" t="n">
        <v>457.42</v>
      </c>
    </row>
    <row r="316">
      <c r="A316" t="inlineStr">
        <is>
          <t>未分类</t>
        </is>
      </c>
      <c r="B316" t="inlineStr">
        <is>
          <t>无客商-汤村项目付广州陇飞广</t>
        </is>
      </c>
      <c r="C316" t="n">
        <v/>
      </c>
      <c r="D316" t="n">
        <v>30</v>
      </c>
    </row>
    <row r="317">
      <c r="A317" t="inlineStr">
        <is>
          <t>未分类</t>
        </is>
      </c>
      <c r="B317" t="inlineStr">
        <is>
          <t>无客商-汤村项目复建一地块对</t>
        </is>
      </c>
      <c r="C317" t="n">
        <v/>
      </c>
      <c r="D317" t="n">
        <v>33.47</v>
      </c>
    </row>
    <row r="318">
      <c r="A318" t="inlineStr">
        <is>
          <t>未分类</t>
        </is>
      </c>
      <c r="B318" t="inlineStr">
        <is>
          <t>无客商-汤村项目复建区1号6</t>
        </is>
      </c>
      <c r="C318" t="n">
        <v/>
      </c>
      <c r="D318" t="n">
        <v>77658.23</v>
      </c>
    </row>
    <row r="319">
      <c r="A319" t="inlineStr">
        <is>
          <t>未分类</t>
        </is>
      </c>
      <c r="B319" t="inlineStr">
        <is>
          <t>无客商-汤村项目复建区1号地</t>
        </is>
      </c>
      <c r="C319" t="n">
        <v/>
      </c>
      <c r="D319" t="n">
        <v>5856155.29</v>
      </c>
    </row>
    <row r="320">
      <c r="A320" t="inlineStr">
        <is>
          <t>未分类</t>
        </is>
      </c>
      <c r="B320" t="inlineStr">
        <is>
          <t>无客商-汤村黄浦区复建区1号</t>
        </is>
      </c>
      <c r="C320" t="n">
        <v/>
      </c>
      <c r="D320" t="n">
        <v>1941.9</v>
      </c>
    </row>
    <row r="321">
      <c r="A321" t="inlineStr">
        <is>
          <t>未分类</t>
        </is>
      </c>
      <c r="B321" t="inlineStr">
        <is>
          <t>无客商-清算局名义广州市黄埔</t>
        </is>
      </c>
      <c r="C321" t="n">
        <v/>
      </c>
      <c r="D321" t="n">
        <v>-112525.56</v>
      </c>
    </row>
    <row r="322">
      <c r="A322" t="inlineStr">
        <is>
          <t>未分类</t>
        </is>
      </c>
      <c r="B322" t="inlineStr">
        <is>
          <t>无客商-清算局名义汤村复1地</t>
        </is>
      </c>
      <c r="C322" t="n">
        <v/>
      </c>
      <c r="D322" t="n">
        <v>422035.64</v>
      </c>
    </row>
    <row r="323">
      <c r="A323" t="inlineStr">
        <is>
          <t>未分类</t>
        </is>
      </c>
      <c r="B323" t="inlineStr">
        <is>
          <t>无客商-清算局名义汤村复1项</t>
        </is>
      </c>
      <c r="C323" t="n">
        <v/>
      </c>
      <c r="D323" t="n">
        <v>-164865.97</v>
      </c>
    </row>
    <row r="324">
      <c r="A324" t="inlineStr">
        <is>
          <t>未分类</t>
        </is>
      </c>
      <c r="B324" t="inlineStr">
        <is>
          <t>无客商-清算局名义汤村复建1</t>
        </is>
      </c>
      <c r="C324" t="n">
        <v/>
      </c>
      <c r="D324" t="n">
        <v>1388452.87</v>
      </c>
    </row>
    <row r="325">
      <c r="A325" t="inlineStr">
        <is>
          <t>未分类</t>
        </is>
      </c>
      <c r="B325" t="inlineStr">
        <is>
          <t>无客商-清算局名义汤村复建区</t>
        </is>
      </c>
      <c r="C325" t="n">
        <v/>
      </c>
      <c r="D325" t="n">
        <v>16670867.4</v>
      </c>
    </row>
    <row r="326">
      <c r="A326" t="inlineStr">
        <is>
          <t>未分类</t>
        </is>
      </c>
      <c r="B326" t="inlineStr">
        <is>
          <t>无客商-研发支出成本结转</t>
        </is>
      </c>
      <c r="C326" t="n">
        <v/>
      </c>
      <c r="D326" t="n">
        <v>7852545.28</v>
      </c>
    </row>
    <row r="327">
      <c r="A327" t="inlineStr">
        <is>
          <t>未分类</t>
        </is>
      </c>
      <c r="B327" t="inlineStr">
        <is>
          <t>无客商-税期202202的汇</t>
        </is>
      </c>
      <c r="C327" t="n">
        <v/>
      </c>
      <c r="D327" t="n">
        <v>350991.72</v>
      </c>
    </row>
    <row r="328">
      <c r="A328" t="inlineStr">
        <is>
          <t>未分类</t>
        </is>
      </c>
      <c r="B328" t="inlineStr">
        <is>
          <t>无客商-税期202203的汇</t>
        </is>
      </c>
      <c r="C328" t="n">
        <v/>
      </c>
      <c r="D328" t="n">
        <v>203488.18</v>
      </c>
    </row>
    <row r="329">
      <c r="A329" t="inlineStr">
        <is>
          <t>未分类</t>
        </is>
      </c>
      <c r="B329" t="inlineStr">
        <is>
          <t>无客商-税期202204的汇</t>
        </is>
      </c>
      <c r="C329" t="n">
        <v/>
      </c>
      <c r="D329" t="n">
        <v>313295.52</v>
      </c>
    </row>
    <row r="330">
      <c r="A330" t="inlineStr">
        <is>
          <t>未分类</t>
        </is>
      </c>
      <c r="B330" t="inlineStr">
        <is>
          <t>无客商-税期202205的汇</t>
        </is>
      </c>
      <c r="C330" t="n">
        <v/>
      </c>
      <c r="D330" t="n">
        <v>553086.6</v>
      </c>
    </row>
    <row r="331">
      <c r="A331" t="inlineStr">
        <is>
          <t>未分类</t>
        </is>
      </c>
      <c r="B331" t="inlineStr">
        <is>
          <t>无客商-税期202206的汇</t>
        </is>
      </c>
      <c r="C331" t="n">
        <v/>
      </c>
      <c r="D331" t="n">
        <v>1324235.28</v>
      </c>
    </row>
    <row r="332">
      <c r="A332" t="inlineStr">
        <is>
          <t>未分类</t>
        </is>
      </c>
      <c r="B332" t="inlineStr">
        <is>
          <t>无客商-税期202207的汇</t>
        </is>
      </c>
      <c r="C332" t="n">
        <v/>
      </c>
      <c r="D332" t="n">
        <v>3983083.74</v>
      </c>
    </row>
    <row r="333">
      <c r="A333" t="inlineStr">
        <is>
          <t>未分类</t>
        </is>
      </c>
      <c r="B333" t="inlineStr">
        <is>
          <t>无客商-税期202208的汇</t>
        </is>
      </c>
      <c r="C333" t="n">
        <v/>
      </c>
      <c r="D333" t="n">
        <v>3162727.96</v>
      </c>
    </row>
    <row r="334">
      <c r="A334" t="inlineStr">
        <is>
          <t>未分类</t>
        </is>
      </c>
      <c r="B334" t="inlineStr">
        <is>
          <t>无客商-税期202209的汇</t>
        </is>
      </c>
      <c r="C334" t="n">
        <v/>
      </c>
      <c r="D334" t="n">
        <v>3771482.54</v>
      </c>
    </row>
    <row r="335">
      <c r="A335" t="inlineStr">
        <is>
          <t>未分类</t>
        </is>
      </c>
      <c r="B335" t="inlineStr">
        <is>
          <t>无客商-税期202210的汇</t>
        </is>
      </c>
      <c r="C335" t="n">
        <v/>
      </c>
      <c r="D335" t="n">
        <v>1202292.34</v>
      </c>
    </row>
    <row r="336">
      <c r="A336" t="inlineStr">
        <is>
          <t>未分类</t>
        </is>
      </c>
      <c r="B336" t="inlineStr">
        <is>
          <t>无客商-税期202211的汇</t>
        </is>
      </c>
      <c r="C336" t="n">
        <v/>
      </c>
      <c r="D336" t="n">
        <v>6103930.78</v>
      </c>
    </row>
    <row r="337">
      <c r="A337" t="inlineStr">
        <is>
          <t>未分类</t>
        </is>
      </c>
      <c r="B337" t="inlineStr">
        <is>
          <t>无客商-税期202212的汇</t>
        </is>
      </c>
      <c r="C337" t="n">
        <v/>
      </c>
      <c r="D337" t="n">
        <v>3088977.78</v>
      </c>
    </row>
    <row r="338">
      <c r="A338" t="inlineStr">
        <is>
          <t>未分类</t>
        </is>
      </c>
      <c r="B338" t="inlineStr">
        <is>
          <t>无客商-税期202301的汇</t>
        </is>
      </c>
      <c r="C338" t="n">
        <v/>
      </c>
      <c r="D338" t="n">
        <v>4084890.78</v>
      </c>
    </row>
    <row r="339">
      <c r="A339" t="inlineStr">
        <is>
          <t>未分类</t>
        </is>
      </c>
      <c r="B339" t="inlineStr">
        <is>
          <t>无客商-税期202302的汇</t>
        </is>
      </c>
      <c r="C339" t="n">
        <v/>
      </c>
      <c r="D339" t="n">
        <v>179419.58</v>
      </c>
    </row>
    <row r="340">
      <c r="A340" t="inlineStr">
        <is>
          <t>未分类</t>
        </is>
      </c>
      <c r="B340" t="inlineStr">
        <is>
          <t>无客商-税期202303的汇</t>
        </is>
      </c>
      <c r="C340" t="n">
        <v/>
      </c>
      <c r="D340" t="n">
        <v>82433.84</v>
      </c>
    </row>
    <row r="341">
      <c r="A341" t="inlineStr">
        <is>
          <t>未分类</t>
        </is>
      </c>
      <c r="B341" t="inlineStr">
        <is>
          <t>无客商-税期202305的汇</t>
        </is>
      </c>
      <c r="C341" t="n">
        <v/>
      </c>
      <c r="D341" t="n">
        <v>275619.6</v>
      </c>
    </row>
    <row r="342">
      <c r="A342" t="inlineStr">
        <is>
          <t>未分类</t>
        </is>
      </c>
      <c r="B342" t="inlineStr">
        <is>
          <t>无客商-税期202306的汇</t>
        </is>
      </c>
      <c r="C342" t="n">
        <v/>
      </c>
      <c r="D342" t="n">
        <v>225051.12</v>
      </c>
    </row>
    <row r="343">
      <c r="A343" t="inlineStr">
        <is>
          <t>未分类</t>
        </is>
      </c>
      <c r="B343" t="inlineStr">
        <is>
          <t>无客商-税期202308的汇</t>
        </is>
      </c>
      <c r="C343" t="n">
        <v/>
      </c>
      <c r="D343" t="n">
        <v>2223.22</v>
      </c>
    </row>
    <row r="344">
      <c r="A344" t="inlineStr">
        <is>
          <t>未分类</t>
        </is>
      </c>
      <c r="B344" t="inlineStr">
        <is>
          <t>无客商-税期202309的汇</t>
        </is>
      </c>
      <c r="C344" t="n">
        <v/>
      </c>
      <c r="D344" t="n">
        <v>234164.16</v>
      </c>
    </row>
    <row r="345">
      <c r="A345" t="inlineStr">
        <is>
          <t>未分类</t>
        </is>
      </c>
      <c r="B345" t="inlineStr">
        <is>
          <t>无客商-税期202310的汇</t>
        </is>
      </c>
      <c r="C345" t="n">
        <v/>
      </c>
      <c r="D345" t="n">
        <v>220951.96</v>
      </c>
    </row>
    <row r="346">
      <c r="A346" t="inlineStr">
        <is>
          <t>未分类</t>
        </is>
      </c>
      <c r="B346" t="inlineStr">
        <is>
          <t>无客商-税期202311的汇</t>
        </is>
      </c>
      <c r="C346" t="n">
        <v/>
      </c>
      <c r="D346" t="n">
        <v>26594.78</v>
      </c>
    </row>
    <row r="347">
      <c r="A347" t="inlineStr">
        <is>
          <t>未分类</t>
        </is>
      </c>
      <c r="B347" t="inlineStr">
        <is>
          <t>无客商-税期202312的汇</t>
        </is>
      </c>
      <c r="C347" t="n">
        <v/>
      </c>
      <c r="D347" t="n">
        <v>511489.64</v>
      </c>
    </row>
    <row r="348">
      <c r="A348" t="inlineStr">
        <is>
          <t>未分类</t>
        </is>
      </c>
      <c r="B348" t="inlineStr">
        <is>
          <t>无客商-税期202401的汇</t>
        </is>
      </c>
      <c r="C348" t="n">
        <v/>
      </c>
      <c r="D348" t="n">
        <v>1312281.12</v>
      </c>
    </row>
    <row r="349">
      <c r="A349" t="inlineStr">
        <is>
          <t>未分类</t>
        </is>
      </c>
      <c r="B349" t="inlineStr">
        <is>
          <t>无客商-税期202402的汇</t>
        </is>
      </c>
      <c r="C349" t="n">
        <v/>
      </c>
      <c r="D349" t="n">
        <v>20613.46</v>
      </c>
    </row>
    <row r="350">
      <c r="A350" t="inlineStr">
        <is>
          <t>未分类</t>
        </is>
      </c>
      <c r="B350" t="inlineStr">
        <is>
          <t>无客商-税期202404的汇</t>
        </is>
      </c>
      <c r="C350" t="n">
        <v/>
      </c>
      <c r="D350" t="n">
        <v>128619.02</v>
      </c>
    </row>
    <row r="351">
      <c r="A351" t="inlineStr">
        <is>
          <t>未分类</t>
        </is>
      </c>
      <c r="B351" t="inlineStr">
        <is>
          <t>无客商-税期202405的汇</t>
        </is>
      </c>
      <c r="C351" t="n">
        <v/>
      </c>
      <c r="D351" t="n">
        <v>371190.82</v>
      </c>
    </row>
    <row r="352">
      <c r="A352" t="inlineStr">
        <is>
          <t>未分类</t>
        </is>
      </c>
      <c r="B352" t="inlineStr">
        <is>
          <t>无客商-税期202407的汇</t>
        </is>
      </c>
      <c r="C352" t="n">
        <v/>
      </c>
      <c r="D352" t="n">
        <v>987925.48</v>
      </c>
    </row>
    <row r="353">
      <c r="A353" t="inlineStr">
        <is>
          <t>未分类</t>
        </is>
      </c>
      <c r="B353" t="inlineStr">
        <is>
          <t>无客商-税期202408的汇</t>
        </is>
      </c>
      <c r="C353" t="n">
        <v/>
      </c>
      <c r="D353" t="n">
        <v>1035399.24</v>
      </c>
    </row>
    <row r="354">
      <c r="A354" t="inlineStr">
        <is>
          <t>未分类</t>
        </is>
      </c>
      <c r="B354" t="inlineStr">
        <is>
          <t>无客商-税期202409的汇</t>
        </is>
      </c>
      <c r="C354" t="n">
        <v/>
      </c>
      <c r="D354" t="n">
        <v>376674.48</v>
      </c>
    </row>
    <row r="355">
      <c r="A355" t="inlineStr">
        <is>
          <t>未分类</t>
        </is>
      </c>
      <c r="B355" t="inlineStr">
        <is>
          <t>无客商-税期202410的汇</t>
        </is>
      </c>
      <c r="C355" t="n">
        <v/>
      </c>
      <c r="D355" t="n">
        <v>107304.94</v>
      </c>
    </row>
    <row r="356">
      <c r="A356" t="inlineStr">
        <is>
          <t>未分类</t>
        </is>
      </c>
      <c r="B356" t="inlineStr">
        <is>
          <t>无客商-税期202411的汇</t>
        </is>
      </c>
      <c r="C356" t="n">
        <v/>
      </c>
      <c r="D356" t="n">
        <v>330580.04</v>
      </c>
    </row>
    <row r="357">
      <c r="A357" t="inlineStr">
        <is>
          <t>未分类</t>
        </is>
      </c>
      <c r="B357" t="inlineStr">
        <is>
          <t>无客商-税期202412的汇</t>
        </is>
      </c>
      <c r="C357" t="n">
        <v/>
      </c>
      <c r="D357" t="n">
        <v>60807.22</v>
      </c>
    </row>
    <row r="358">
      <c r="A358" t="inlineStr">
        <is>
          <t>未分类</t>
        </is>
      </c>
      <c r="B358" t="inlineStr">
        <is>
          <t>无客商-税期202501的汇</t>
        </is>
      </c>
      <c r="C358" t="n">
        <v/>
      </c>
      <c r="D358" t="n">
        <v>882714.38</v>
      </c>
    </row>
    <row r="359">
      <c r="A359" t="inlineStr">
        <is>
          <t>未分类</t>
        </is>
      </c>
      <c r="B359" t="inlineStr">
        <is>
          <t>无客商-税期202502的汇</t>
        </is>
      </c>
      <c r="C359" t="n">
        <v/>
      </c>
      <c r="D359" t="n">
        <v>2781.52</v>
      </c>
    </row>
    <row r="360">
      <c r="A360" t="inlineStr">
        <is>
          <t>未分类</t>
        </is>
      </c>
      <c r="B360" t="inlineStr">
        <is>
          <t>无客商-税期202504的汇</t>
        </is>
      </c>
      <c r="C360" t="n">
        <v/>
      </c>
      <c r="D360" t="n">
        <v>23075.78</v>
      </c>
    </row>
    <row r="361">
      <c r="A361" t="inlineStr">
        <is>
          <t>未分类</t>
        </is>
      </c>
      <c r="B361" t="inlineStr">
        <is>
          <t>无客商-税期202505的汇</t>
        </is>
      </c>
      <c r="C361" t="n">
        <v/>
      </c>
      <c r="D361" t="n">
        <v>190015.46</v>
      </c>
    </row>
    <row r="362">
      <c r="A362" t="inlineStr">
        <is>
          <t>未分类</t>
        </is>
      </c>
      <c r="B362" t="inlineStr">
        <is>
          <t>无客商-税期202506的汇</t>
        </is>
      </c>
      <c r="C362" t="n">
        <v/>
      </c>
      <c r="D362" t="n">
        <v>99082.56</v>
      </c>
    </row>
    <row r="363">
      <c r="A363" t="inlineStr">
        <is>
          <t>未分类</t>
        </is>
      </c>
      <c r="B363" t="inlineStr">
        <is>
          <t>无客商-税期202507的汇</t>
        </is>
      </c>
      <c r="C363" t="n">
        <v/>
      </c>
      <c r="D363" t="n">
        <v>220203.78</v>
      </c>
    </row>
    <row r="364">
      <c r="A364" t="inlineStr">
        <is>
          <t>未分类</t>
        </is>
      </c>
      <c r="B364" t="inlineStr">
        <is>
          <t>无客商-税期202508的汇</t>
        </is>
      </c>
      <c r="C364" t="n">
        <v/>
      </c>
      <c r="D364" t="n">
        <v>1844090.44</v>
      </c>
    </row>
    <row r="365">
      <c r="A365" t="inlineStr">
        <is>
          <t>未分类</t>
        </is>
      </c>
      <c r="B365" t="inlineStr">
        <is>
          <t>无客商-税期202509的汇</t>
        </is>
      </c>
      <c r="C365" t="n">
        <v/>
      </c>
      <c r="D365" t="n">
        <v>288731.52</v>
      </c>
    </row>
    <row r="366">
      <c r="A366" t="inlineStr">
        <is>
          <t>未分类</t>
        </is>
      </c>
      <c r="B366" t="inlineStr">
        <is>
          <t>无客商-税期202510的汇</t>
        </is>
      </c>
      <c r="C366" t="n">
        <v/>
      </c>
      <c r="D366" t="n">
        <v>127383.78</v>
      </c>
    </row>
    <row r="367">
      <c r="A367" t="inlineStr">
        <is>
          <t>未分类</t>
        </is>
      </c>
      <c r="B367" t="inlineStr">
        <is>
          <t>无客商-税期202512的汇</t>
        </is>
      </c>
      <c r="C367" t="n">
        <v/>
      </c>
      <c r="D367" t="n">
        <v>4113.18</v>
      </c>
    </row>
    <row r="368">
      <c r="A368" t="inlineStr">
        <is>
          <t>未分类</t>
        </is>
      </c>
      <c r="B368" t="inlineStr">
        <is>
          <t>无客商-税期202601的汇</t>
        </is>
      </c>
      <c r="C368" t="n">
        <v/>
      </c>
      <c r="D368" t="n">
        <v>4113.18</v>
      </c>
    </row>
    <row r="369">
      <c r="A369" t="inlineStr">
        <is>
          <t>未分类</t>
        </is>
      </c>
      <c r="B369" t="inlineStr">
        <is>
          <t>无客商-税期202602的汇</t>
        </is>
      </c>
      <c r="C369" t="n">
        <v/>
      </c>
      <c r="D369" t="n">
        <v>241024.14</v>
      </c>
    </row>
    <row r="370">
      <c r="A370" t="inlineStr">
        <is>
          <t>未分类</t>
        </is>
      </c>
      <c r="B370" t="inlineStr">
        <is>
          <t>无客商-税期202603的汇</t>
        </is>
      </c>
      <c r="C370" t="n">
        <v/>
      </c>
      <c r="D370" t="n">
        <v>670284.5</v>
      </c>
    </row>
    <row r="371">
      <c r="A371" t="inlineStr">
        <is>
          <t>未分类</t>
        </is>
      </c>
      <c r="B371" t="inlineStr">
        <is>
          <t>无客商-管理人员费用</t>
        </is>
      </c>
      <c r="C371" t="n">
        <v/>
      </c>
      <c r="D371" t="n">
        <v>4669206.9</v>
      </c>
    </row>
    <row r="372">
      <c r="A372" t="inlineStr">
        <is>
          <t>未分类</t>
        </is>
      </c>
      <c r="B372" t="inlineStr">
        <is>
          <t>无客商-结算分包工程款-广东</t>
        </is>
      </c>
      <c r="C372" t="n">
        <v/>
      </c>
      <c r="D372" t="n">
        <v>17592.63</v>
      </c>
    </row>
    <row r="373">
      <c r="A373" t="inlineStr">
        <is>
          <t>未分类</t>
        </is>
      </c>
      <c r="B373" t="inlineStr">
        <is>
          <t>无客商-结转汤村复建区1号地</t>
        </is>
      </c>
      <c r="C373" t="n">
        <v/>
      </c>
      <c r="D373" t="n">
        <v>174.86</v>
      </c>
    </row>
    <row r="374">
      <c r="A374" t="inlineStr">
        <is>
          <t>未分类</t>
        </is>
      </c>
      <c r="B374" t="inlineStr">
        <is>
          <t>无客商-综合体项目型钢混凝土</t>
        </is>
      </c>
      <c r="C374" t="n">
        <v/>
      </c>
      <c r="D374" t="n">
        <v>12156108.54</v>
      </c>
    </row>
    <row r="375">
      <c r="A375" t="inlineStr">
        <is>
          <t>未分类</t>
        </is>
      </c>
      <c r="B375" t="inlineStr">
        <is>
          <t>无客商-补充计提汤村复1地块</t>
        </is>
      </c>
      <c r="C375" t="n">
        <v/>
      </c>
      <c r="D375" t="n">
        <v>-32877.45</v>
      </c>
    </row>
    <row r="376">
      <c r="A376" t="inlineStr">
        <is>
          <t>未分类</t>
        </is>
      </c>
      <c r="B376" t="inlineStr">
        <is>
          <t>无客商-计提2023年6月社</t>
        </is>
      </c>
      <c r="C376" t="n">
        <v/>
      </c>
      <c r="D376" t="n">
        <v>29363.32</v>
      </c>
    </row>
    <row r="377">
      <c r="A377" t="inlineStr">
        <is>
          <t>未分类</t>
        </is>
      </c>
      <c r="B377" t="inlineStr">
        <is>
          <t>无客商-计提2023年7月社</t>
        </is>
      </c>
      <c r="C377" t="n">
        <v/>
      </c>
      <c r="D377" t="n">
        <v>29748.29</v>
      </c>
    </row>
    <row r="378">
      <c r="A378" t="inlineStr">
        <is>
          <t>未分类</t>
        </is>
      </c>
      <c r="B378" t="inlineStr">
        <is>
          <t>无客商-计提5月广州市黄埔区</t>
        </is>
      </c>
      <c r="C378" t="n">
        <v/>
      </c>
      <c r="D378" t="n">
        <v>120021.14</v>
      </c>
    </row>
    <row r="379">
      <c r="A379" t="inlineStr">
        <is>
          <t>未分类</t>
        </is>
      </c>
      <c r="B379" t="inlineStr">
        <is>
          <t>无客商-计提一公司广州分公司</t>
        </is>
      </c>
      <c r="C379" t="n">
        <v/>
      </c>
      <c r="D379" t="n">
        <v>13686.3</v>
      </c>
    </row>
    <row r="380">
      <c r="A380" t="inlineStr">
        <is>
          <t>未分类</t>
        </is>
      </c>
      <c r="B380" t="inlineStr">
        <is>
          <t>无客商-计提广州市黄埔区汤村</t>
        </is>
      </c>
      <c r="C380" t="n">
        <v/>
      </c>
      <c r="D380" t="n">
        <v>8518630.220000001</v>
      </c>
    </row>
    <row r="381">
      <c r="A381" t="inlineStr">
        <is>
          <t>未分类</t>
        </is>
      </c>
      <c r="B381" t="inlineStr">
        <is>
          <t>无客商-计提汤村复1地块10</t>
        </is>
      </c>
      <c r="C381" t="n">
        <v/>
      </c>
      <c r="D381" t="n">
        <v>66825</v>
      </c>
    </row>
    <row r="382">
      <c r="A382" t="inlineStr">
        <is>
          <t>未分类</t>
        </is>
      </c>
      <c r="B382" t="inlineStr">
        <is>
          <t>无客商-计提汤村复1地块11</t>
        </is>
      </c>
      <c r="C382" t="n">
        <v/>
      </c>
      <c r="D382" t="n">
        <v>202249.06</v>
      </c>
    </row>
    <row r="383">
      <c r="A383" t="inlineStr">
        <is>
          <t>未分类</t>
        </is>
      </c>
      <c r="B383" t="inlineStr">
        <is>
          <t>无客商-计提汤村复1地块12</t>
        </is>
      </c>
      <c r="C383" t="n">
        <v/>
      </c>
      <c r="D383" t="n">
        <v>163918.22</v>
      </c>
    </row>
    <row r="384">
      <c r="A384" t="inlineStr">
        <is>
          <t>未分类</t>
        </is>
      </c>
      <c r="B384" t="inlineStr">
        <is>
          <t>无客商-计提汤村复1地块1月</t>
        </is>
      </c>
      <c r="C384" t="n">
        <v/>
      </c>
      <c r="D384" t="n">
        <v>183479.03</v>
      </c>
    </row>
    <row r="385">
      <c r="A385" t="inlineStr">
        <is>
          <t>未分类</t>
        </is>
      </c>
      <c r="B385" t="inlineStr">
        <is>
          <t>无客商-计提汤村复1地块20</t>
        </is>
      </c>
      <c r="C385" t="n">
        <v/>
      </c>
      <c r="D385" t="n">
        <v>713946.88</v>
      </c>
    </row>
    <row r="386">
      <c r="A386" t="inlineStr">
        <is>
          <t>未分类</t>
        </is>
      </c>
      <c r="B386" t="inlineStr">
        <is>
          <t>无客商-计提汤村复1地块3月</t>
        </is>
      </c>
      <c r="C386" t="n">
        <v/>
      </c>
      <c r="D386" t="n">
        <v>135079.41</v>
      </c>
    </row>
    <row r="387">
      <c r="A387" t="inlineStr">
        <is>
          <t>未分类</t>
        </is>
      </c>
      <c r="B387" t="inlineStr">
        <is>
          <t>无客商-计提汤村复1地块4月</t>
        </is>
      </c>
      <c r="C387" t="n">
        <v/>
      </c>
      <c r="D387" t="n">
        <v>107440</v>
      </c>
    </row>
    <row r="388">
      <c r="A388" t="inlineStr">
        <is>
          <t>未分类</t>
        </is>
      </c>
      <c r="B388" t="inlineStr">
        <is>
          <t>无客商-计提汤村复1地块5月</t>
        </is>
      </c>
      <c r="C388" t="n">
        <v/>
      </c>
      <c r="D388" t="n">
        <v>124965.74</v>
      </c>
    </row>
    <row r="389">
      <c r="A389" t="inlineStr">
        <is>
          <t>未分类</t>
        </is>
      </c>
      <c r="B389" t="inlineStr">
        <is>
          <t>无客商-计提汤村复1地块6月</t>
        </is>
      </c>
      <c r="C389" t="n">
        <v/>
      </c>
      <c r="D389" t="n">
        <v>74180.74000000001</v>
      </c>
    </row>
    <row r="390">
      <c r="A390" t="inlineStr">
        <is>
          <t>未分类</t>
        </is>
      </c>
      <c r="B390" t="inlineStr">
        <is>
          <t>无客商-计提汤村复1地块7月</t>
        </is>
      </c>
      <c r="C390" t="n">
        <v/>
      </c>
      <c r="D390" t="n">
        <v>94969.67</v>
      </c>
    </row>
    <row r="391">
      <c r="A391" t="inlineStr">
        <is>
          <t>未分类</t>
        </is>
      </c>
      <c r="B391" t="inlineStr">
        <is>
          <t>无客商-计提汤村复1地块8月</t>
        </is>
      </c>
      <c r="C391" t="n">
        <v/>
      </c>
      <c r="D391" t="n">
        <v>174963.8</v>
      </c>
    </row>
    <row r="392">
      <c r="A392" t="inlineStr">
        <is>
          <t>未分类</t>
        </is>
      </c>
      <c r="B392" t="inlineStr">
        <is>
          <t>无客商-计提汤村复1地块9月</t>
        </is>
      </c>
      <c r="C392" t="n">
        <v/>
      </c>
      <c r="D392" t="n">
        <v>14553.8</v>
      </c>
    </row>
    <row r="393">
      <c r="A393" t="inlineStr">
        <is>
          <t>未分类</t>
        </is>
      </c>
      <c r="B393" t="inlineStr">
        <is>
          <t>无客商-计提汤村复1地块人员</t>
        </is>
      </c>
      <c r="C393" t="n">
        <v/>
      </c>
      <c r="D393" t="n">
        <v>-3977.88</v>
      </c>
    </row>
    <row r="394">
      <c r="A394" t="inlineStr">
        <is>
          <t>未分类</t>
        </is>
      </c>
      <c r="B394" t="inlineStr">
        <is>
          <t>无客商-计提汤村复1地块安全</t>
        </is>
      </c>
      <c r="C394" t="n">
        <v/>
      </c>
      <c r="D394" t="n">
        <v>5809818.35</v>
      </c>
    </row>
    <row r="395">
      <c r="A395" t="inlineStr">
        <is>
          <t>未分类</t>
        </is>
      </c>
      <c r="B395" t="inlineStr">
        <is>
          <t>无客商-计提汤村复1地块社保</t>
        </is>
      </c>
      <c r="C395" t="n">
        <v/>
      </c>
      <c r="D395" t="n">
        <v>420004.78</v>
      </c>
    </row>
    <row r="396">
      <c r="A396" t="inlineStr">
        <is>
          <t>未分类</t>
        </is>
      </c>
      <c r="B396" t="inlineStr">
        <is>
          <t>无客商-计提汤村复1地块薪酬</t>
        </is>
      </c>
      <c r="C396" t="n">
        <v/>
      </c>
      <c r="D396" t="n">
        <v>181631.1</v>
      </c>
    </row>
    <row r="397">
      <c r="A397" t="inlineStr">
        <is>
          <t>未分类</t>
        </is>
      </c>
      <c r="B397" t="inlineStr">
        <is>
          <t>无客商-计提汤村复1地块项目</t>
        </is>
      </c>
      <c r="C397" t="n">
        <v/>
      </c>
      <c r="D397" t="n">
        <v>98003.85000000001</v>
      </c>
    </row>
    <row r="398">
      <c r="A398" t="inlineStr">
        <is>
          <t>未分类</t>
        </is>
      </c>
      <c r="B398" t="inlineStr">
        <is>
          <t>无客商-计提汤村复1项目20</t>
        </is>
      </c>
      <c r="C398" t="n">
        <v/>
      </c>
      <c r="D398" t="n">
        <v>21202.27</v>
      </c>
    </row>
    <row r="399">
      <c r="A399" t="inlineStr">
        <is>
          <t>未分类</t>
        </is>
      </c>
      <c r="B399" t="inlineStr">
        <is>
          <t>无客商-计提汤村复地块12月</t>
        </is>
      </c>
      <c r="C399" t="n">
        <v/>
      </c>
      <c r="D399" t="n">
        <v>44271.65</v>
      </c>
    </row>
    <row r="400">
      <c r="A400" t="inlineStr">
        <is>
          <t>未分类</t>
        </is>
      </c>
      <c r="B400" t="inlineStr">
        <is>
          <t>无客商-计提汤村复建1号地块</t>
        </is>
      </c>
      <c r="C400" t="n">
        <v/>
      </c>
      <c r="D400" t="n">
        <v>34659.81</v>
      </c>
    </row>
    <row r="401">
      <c r="A401" t="inlineStr">
        <is>
          <t>未分类</t>
        </is>
      </c>
      <c r="B401" t="inlineStr">
        <is>
          <t>无客商-计提汤村复建区1号地</t>
        </is>
      </c>
      <c r="C401" t="n">
        <v/>
      </c>
      <c r="D401" t="n">
        <v>928110.97</v>
      </c>
    </row>
    <row r="402">
      <c r="A402" t="inlineStr">
        <is>
          <t>未分类</t>
        </is>
      </c>
      <c r="B402" t="inlineStr">
        <is>
          <t>无客商-计提汤村项目复建区1</t>
        </is>
      </c>
      <c r="C402" t="n">
        <v/>
      </c>
      <c r="D402" t="n">
        <v>70711.42999999999</v>
      </c>
    </row>
    <row r="403">
      <c r="A403" t="inlineStr">
        <is>
          <t>未分类</t>
        </is>
      </c>
      <c r="B403" t="inlineStr">
        <is>
          <t>无客商-调整汤村复1地块进项</t>
        </is>
      </c>
      <c r="C403" t="n">
        <v/>
      </c>
      <c r="D403" t="n">
        <v>-19.85</v>
      </c>
    </row>
    <row r="404">
      <c r="A404" t="inlineStr">
        <is>
          <t>未分类</t>
        </is>
      </c>
      <c r="B404" t="inlineStr">
        <is>
          <t>无客商-调整汤村复建区1号地</t>
        </is>
      </c>
      <c r="C404" t="n">
        <v/>
      </c>
      <c r="D404" t="n">
        <v>302.08</v>
      </c>
    </row>
    <row r="405">
      <c r="A405" t="inlineStr">
        <is>
          <t>未分类</t>
        </is>
      </c>
      <c r="B405" t="inlineStr">
        <is>
          <t>无客商-重新支付汤村旧改项目</t>
        </is>
      </c>
      <c r="C405" t="n">
        <v/>
      </c>
      <c r="D405" t="n">
        <v>800000</v>
      </c>
    </row>
    <row r="406">
      <c r="A406" t="inlineStr">
        <is>
          <t>未分类</t>
        </is>
      </c>
      <c r="B406" t="inlineStr">
        <is>
          <t>无客商-黄旭栋报销公司培训住</t>
        </is>
      </c>
      <c r="C406" t="n">
        <v/>
      </c>
      <c r="D406" t="n">
        <v>11.91</v>
      </c>
    </row>
    <row r="407">
      <c r="A407" t="inlineStr">
        <is>
          <t>未分类</t>
        </is>
      </c>
      <c r="B407" t="inlineStr">
        <is>
          <t>无客商-黄旭栋报销汤村旧村改</t>
        </is>
      </c>
      <c r="C407" t="n">
        <v/>
      </c>
      <c r="D407" t="n">
        <v>8.32</v>
      </c>
    </row>
    <row r="408">
      <c r="A408" t="inlineStr">
        <is>
          <t>未分类</t>
        </is>
      </c>
      <c r="B408" t="inlineStr">
        <is>
          <t>无客商-黄旭栋报销汤村项目2</t>
        </is>
      </c>
      <c r="C408" t="n">
        <v/>
      </c>
      <c r="D408" t="n">
        <v>245.12</v>
      </c>
    </row>
    <row r="409">
      <c r="A409" t="inlineStr">
        <is>
          <t>未分类</t>
        </is>
      </c>
      <c r="B409" t="inlineStr">
        <is>
          <t>无客商-黄旭栋报销汤村项目公</t>
        </is>
      </c>
      <c r="C409" t="n">
        <v/>
      </c>
      <c r="D409" t="n">
        <v>39.93</v>
      </c>
    </row>
    <row r="410">
      <c r="A410" t="inlineStr">
        <is>
          <t>未分类</t>
        </is>
      </c>
      <c r="B410" t="inlineStr">
        <is>
          <t>无客商-黄旭栋报销电脑维修费</t>
        </is>
      </c>
      <c r="C410" t="n">
        <v/>
      </c>
      <c r="D410" t="n">
        <v>3.17</v>
      </c>
    </row>
    <row r="411">
      <c r="A411" t="inlineStr">
        <is>
          <t>未分类</t>
        </is>
      </c>
      <c r="B411" t="inlineStr">
        <is>
          <t>无客商-（抵房）支付汤村复一</t>
        </is>
      </c>
      <c r="C411" t="n">
        <v/>
      </c>
      <c r="D411" t="n">
        <v>5302833</v>
      </c>
    </row>
    <row r="412">
      <c r="A412" t="inlineStr">
        <is>
          <t>未分类</t>
        </is>
      </c>
      <c r="B412" t="inlineStr">
        <is>
          <t>星汇湾花园AH050203地块项目施工总承包及总承包管理配合服务</t>
        </is>
      </c>
      <c r="C412" t="n">
        <v/>
      </c>
      <c r="D412" t="n">
        <v>1074313.47</v>
      </c>
    </row>
    <row r="413">
      <c r="A413" t="inlineStr">
        <is>
          <t>未分类</t>
        </is>
      </c>
      <c r="B413" t="inlineStr">
        <is>
          <t>朱新伟</t>
        </is>
      </c>
      <c r="C413" t="n">
        <v/>
      </c>
      <c r="D413" t="n">
        <v>181720</v>
      </c>
    </row>
    <row r="414">
      <c r="A414" t="inlineStr">
        <is>
          <t>未分类</t>
        </is>
      </c>
      <c r="B414" t="inlineStr">
        <is>
          <t>正工模块化建筑科技（深圳）有限公司</t>
        </is>
      </c>
      <c r="C414" t="inlineStr">
        <is>
          <t>中建四局0200202103603001</t>
        </is>
      </c>
      <c r="D414" t="n">
        <v>3050928.02</v>
      </c>
    </row>
    <row r="415">
      <c r="A415" t="inlineStr">
        <is>
          <t>未分类</t>
        </is>
      </c>
      <c r="B415" t="inlineStr">
        <is>
          <t>正工模块化建筑科技（深圳）有限公司</t>
        </is>
      </c>
      <c r="C415" t="n">
        <v/>
      </c>
      <c r="D415" t="n">
        <v>441591.72</v>
      </c>
    </row>
    <row r="416">
      <c r="A416" t="inlineStr">
        <is>
          <t>未分类</t>
        </is>
      </c>
      <c r="B416" t="inlineStr">
        <is>
          <t>江西志特新材料股份有限公司</t>
        </is>
      </c>
      <c r="C416" t="inlineStr">
        <is>
          <t>中建四局0200202103603005</t>
        </is>
      </c>
      <c r="D416" t="n">
        <v>14861261.51</v>
      </c>
    </row>
    <row r="417">
      <c r="A417" t="inlineStr">
        <is>
          <t>未分类</t>
        </is>
      </c>
      <c r="B417" t="inlineStr">
        <is>
          <t>江西志特新材料股份有限公司</t>
        </is>
      </c>
      <c r="C417" t="n">
        <v/>
      </c>
      <c r="D417" t="n">
        <v>1730584.76</v>
      </c>
    </row>
    <row r="418">
      <c r="A418" t="inlineStr">
        <is>
          <t>未分类</t>
        </is>
      </c>
      <c r="B418" t="inlineStr">
        <is>
          <t>汤村旧村改造复建区一期</t>
        </is>
      </c>
      <c r="C418" t="n">
        <v/>
      </c>
      <c r="D418" t="n">
        <v>74514441.83</v>
      </c>
    </row>
    <row r="419">
      <c r="A419" t="inlineStr">
        <is>
          <t>未分类</t>
        </is>
      </c>
      <c r="B419" t="inlineStr">
        <is>
          <t>汤燕英-封存</t>
        </is>
      </c>
      <c r="C419" t="n">
        <v/>
      </c>
      <c r="D419" t="n">
        <v>280086.66</v>
      </c>
    </row>
    <row r="420">
      <c r="A420" t="inlineStr">
        <is>
          <t>未分类</t>
        </is>
      </c>
      <c r="B420" t="inlineStr">
        <is>
          <t>浙商银行股份有限公司</t>
        </is>
      </c>
      <c r="C420" t="n">
        <v/>
      </c>
      <c r="D420" t="n">
        <v>10000000</v>
      </c>
    </row>
    <row r="421">
      <c r="A421" t="inlineStr">
        <is>
          <t>未分类</t>
        </is>
      </c>
      <c r="B421" t="inlineStr">
        <is>
          <t>深圳市华西安装工程有限公司</t>
        </is>
      </c>
      <c r="C421" t="inlineStr">
        <is>
          <t>中建四局0200202103603004</t>
        </is>
      </c>
      <c r="D421" t="n">
        <v>29297851.79</v>
      </c>
    </row>
    <row r="422">
      <c r="A422" t="inlineStr">
        <is>
          <t>未分类</t>
        </is>
      </c>
      <c r="B422" t="inlineStr">
        <is>
          <t>深圳市华西安装工程有限公司</t>
        </is>
      </c>
      <c r="C422" t="n">
        <v/>
      </c>
      <c r="D422" t="n">
        <v>2490955.19</v>
      </c>
    </row>
    <row r="423">
      <c r="A423" t="inlineStr">
        <is>
          <t>未分类</t>
        </is>
      </c>
      <c r="B423" t="inlineStr">
        <is>
          <t>深圳市鑫俊辉机械设备有限公司</t>
        </is>
      </c>
      <c r="C423" t="inlineStr">
        <is>
          <t>中建四局02002021036050003</t>
        </is>
      </c>
      <c r="D423" t="n">
        <v>483868.7</v>
      </c>
    </row>
    <row r="424">
      <c r="A424" t="inlineStr">
        <is>
          <t>未分类</t>
        </is>
      </c>
      <c r="B424" t="inlineStr">
        <is>
          <t>深圳市鑫俊辉机械设备有限公司</t>
        </is>
      </c>
      <c r="C424" t="n">
        <v/>
      </c>
      <c r="D424" t="n">
        <v>46877.4</v>
      </c>
    </row>
    <row r="425">
      <c r="A425" t="inlineStr">
        <is>
          <t>未分类</t>
        </is>
      </c>
      <c r="B425" t="inlineStr">
        <is>
          <t>深圳瑞海国际工程技术有限公司</t>
        </is>
      </c>
      <c r="C425" t="n">
        <v/>
      </c>
      <c r="D425" t="n">
        <v>14339.62</v>
      </c>
    </row>
    <row r="426">
      <c r="A426" t="inlineStr">
        <is>
          <t>未分类</t>
        </is>
      </c>
      <c r="B426" t="inlineStr">
        <is>
          <t>清远市榕兴新型环保建材有限责任公司</t>
        </is>
      </c>
      <c r="C426" t="inlineStr">
        <is>
          <t>中建四局0200202103606006</t>
        </is>
      </c>
      <c r="D426" t="n">
        <v>2728097.75</v>
      </c>
    </row>
    <row r="427">
      <c r="A427" t="inlineStr">
        <is>
          <t>未分类</t>
        </is>
      </c>
      <c r="B427" t="inlineStr">
        <is>
          <t>清远市榕兴新型环保建材有限责任公司</t>
        </is>
      </c>
      <c r="C427" t="n">
        <v/>
      </c>
      <c r="D427" t="n">
        <v>288467.89</v>
      </c>
    </row>
    <row r="428">
      <c r="A428" t="inlineStr">
        <is>
          <t>未分类</t>
        </is>
      </c>
      <c r="B428" t="inlineStr">
        <is>
          <t>湖北省隆兴防水材料有限责任公司</t>
        </is>
      </c>
      <c r="C428" t="inlineStr">
        <is>
          <t>中建四局0200202103603006</t>
        </is>
      </c>
      <c r="D428" t="n">
        <v>5406322.35</v>
      </c>
    </row>
    <row r="429">
      <c r="A429" t="inlineStr">
        <is>
          <t>未分类</t>
        </is>
      </c>
      <c r="B429" t="inlineStr">
        <is>
          <t>湖北省隆兴防水材料有限责任公司</t>
        </is>
      </c>
      <c r="C429" t="n">
        <v/>
      </c>
      <c r="D429" t="n">
        <v>467574.97</v>
      </c>
    </row>
    <row r="430">
      <c r="A430" t="inlineStr">
        <is>
          <t>未分类</t>
        </is>
      </c>
      <c r="B430" t="inlineStr">
        <is>
          <t>湖南轨道物流发展有限公司</t>
        </is>
      </c>
      <c r="C430" t="inlineStr">
        <is>
          <t>中建四局0200202103606008</t>
        </is>
      </c>
      <c r="D430" t="n">
        <v>65565192.58</v>
      </c>
    </row>
    <row r="431">
      <c r="A431" t="inlineStr">
        <is>
          <t>未分类</t>
        </is>
      </c>
      <c r="B431" t="inlineStr">
        <is>
          <t>湖南轨道物流发展有限公司</t>
        </is>
      </c>
      <c r="C431" t="n">
        <v/>
      </c>
      <c r="D431" t="n">
        <v>7520907.25</v>
      </c>
    </row>
    <row r="432">
      <c r="A432" t="inlineStr">
        <is>
          <t>未分类</t>
        </is>
      </c>
      <c r="B432" t="inlineStr">
        <is>
          <t>湖南阳旭建筑劳务服务有限公司</t>
        </is>
      </c>
      <c r="C432" t="inlineStr">
        <is>
          <t>中建四局0200202103603002</t>
        </is>
      </c>
      <c r="D432" t="n">
        <v>81321146.25</v>
      </c>
    </row>
    <row r="433">
      <c r="A433" t="inlineStr">
        <is>
          <t>未分类</t>
        </is>
      </c>
      <c r="B433" t="inlineStr">
        <is>
          <t>湖南阳旭建筑劳务服务有限公司</t>
        </is>
      </c>
      <c r="C433" t="inlineStr">
        <is>
          <t>中建四局0200202103604001</t>
        </is>
      </c>
      <c r="D433" t="n">
        <v>158646.57</v>
      </c>
    </row>
    <row r="434">
      <c r="A434" t="inlineStr">
        <is>
          <t>未分类</t>
        </is>
      </c>
      <c r="B434" t="inlineStr">
        <is>
          <t>湖南阳旭建筑劳务服务有限公司</t>
        </is>
      </c>
      <c r="C434" t="n">
        <v/>
      </c>
      <c r="D434" t="n">
        <v>4351568.44</v>
      </c>
    </row>
    <row r="435">
      <c r="A435" t="inlineStr">
        <is>
          <t>未分类</t>
        </is>
      </c>
      <c r="B435" t="inlineStr">
        <is>
          <t>珺悦蓝庭花苑（一期）和信达珺悦公馆项目</t>
        </is>
      </c>
      <c r="C435" t="n">
        <v/>
      </c>
      <c r="D435" t="n">
        <v>600000</v>
      </c>
    </row>
    <row r="436">
      <c r="A436" t="inlineStr">
        <is>
          <t>未分类</t>
        </is>
      </c>
      <c r="B436" t="inlineStr">
        <is>
          <t>白云区金沙洲AB3705032地块项目施工总承包及总承包管理配合服务工程</t>
        </is>
      </c>
      <c r="C436" t="n">
        <v/>
      </c>
      <c r="D436" t="n">
        <v>44173.44</v>
      </c>
    </row>
    <row r="437">
      <c r="A437" t="inlineStr">
        <is>
          <t>未分类</t>
        </is>
      </c>
      <c r="B437" t="inlineStr">
        <is>
          <t>白云机场三期扩建工程周边临空经济产业园区基础设施二期工程（平西二期安置区）施工总承包（标段一）</t>
        </is>
      </c>
      <c r="C437" t="n">
        <v/>
      </c>
      <c r="D437" t="n">
        <v>30900</v>
      </c>
    </row>
    <row r="438">
      <c r="A438" t="inlineStr">
        <is>
          <t>未分类</t>
        </is>
      </c>
      <c r="B438" t="inlineStr">
        <is>
          <t>白云机场三期扩建工程周边临空经济产业园区基础设施建设三期工程（建南（首批）) 设计施工总承包（标段二）</t>
        </is>
      </c>
      <c r="C438" t="n">
        <v/>
      </c>
      <c r="D438" t="n">
        <v>56039.46</v>
      </c>
    </row>
    <row r="439">
      <c r="A439" t="inlineStr">
        <is>
          <t>未分类</t>
        </is>
      </c>
      <c r="B439" t="inlineStr">
        <is>
          <t>简显青</t>
        </is>
      </c>
      <c r="C439" t="inlineStr">
        <is>
          <t>ZZZZ</t>
        </is>
      </c>
      <c r="D439" t="n">
        <v>225740</v>
      </c>
    </row>
    <row r="440">
      <c r="A440" t="inlineStr">
        <is>
          <t>未分类</t>
        </is>
      </c>
      <c r="B440" t="inlineStr">
        <is>
          <t>简显青</t>
        </is>
      </c>
      <c r="C440" t="n">
        <v/>
      </c>
      <c r="D440" t="n">
        <v>225740</v>
      </c>
    </row>
    <row r="441">
      <c r="A441" t="inlineStr">
        <is>
          <t>未分类</t>
        </is>
      </c>
      <c r="B441" t="inlineStr">
        <is>
          <t>胡伟龙</t>
        </is>
      </c>
      <c r="C441" t="n">
        <v/>
      </c>
      <c r="D441" t="n">
        <v>248220.02</v>
      </c>
    </row>
    <row r="442">
      <c r="A442" t="inlineStr">
        <is>
          <t>未分类</t>
        </is>
      </c>
      <c r="B442" t="inlineStr">
        <is>
          <t>花都阳光城</t>
        </is>
      </c>
      <c r="C442" t="n">
        <v/>
      </c>
      <c r="D442" t="n">
        <v>4058944.73</v>
      </c>
    </row>
    <row r="443">
      <c r="A443" t="inlineStr">
        <is>
          <t>未分类</t>
        </is>
      </c>
      <c r="B443" t="inlineStr">
        <is>
          <t>陈乐</t>
        </is>
      </c>
      <c r="C443" t="n">
        <v/>
      </c>
      <c r="D443" t="n">
        <v>520778.74</v>
      </c>
    </row>
    <row r="444">
      <c r="A444" t="inlineStr">
        <is>
          <t>未分类</t>
        </is>
      </c>
      <c r="B444" t="inlineStr">
        <is>
          <t>零星供应商</t>
        </is>
      </c>
      <c r="C444" t="n">
        <v/>
      </c>
      <c r="D444" t="n">
        <v>454092.48</v>
      </c>
    </row>
    <row r="445">
      <c r="A445" t="inlineStr">
        <is>
          <t>未分类</t>
        </is>
      </c>
      <c r="B445" t="inlineStr">
        <is>
          <t>零星客户</t>
        </is>
      </c>
      <c r="C445" t="n">
        <v/>
      </c>
      <c r="D445" t="n">
        <v>1036333.34</v>
      </c>
    </row>
    <row r="446">
      <c r="A446" t="inlineStr">
        <is>
          <t>机械使用费</t>
        </is>
      </c>
      <c r="B446" t="inlineStr">
        <is>
          <t>无客商-复建地块一海南碧桂园</t>
        </is>
      </c>
      <c r="C446" t="n">
        <v/>
      </c>
      <c r="D446" t="n">
        <v>183181.97</v>
      </c>
    </row>
    <row r="447">
      <c r="A447" t="inlineStr">
        <is>
          <t>机械使用费</t>
        </is>
      </c>
      <c r="B447" t="inlineStr">
        <is>
          <t>无客商-广州市黄埔区汤村村旧</t>
        </is>
      </c>
      <c r="C447" t="n">
        <v/>
      </c>
      <c r="D447" t="n">
        <v>-58676.35</v>
      </c>
    </row>
    <row r="448">
      <c r="A448" t="inlineStr">
        <is>
          <t>机械使用费</t>
        </is>
      </c>
      <c r="B448" t="inlineStr">
        <is>
          <t>无客商-废旧物资处置-广州市</t>
        </is>
      </c>
      <c r="C448" t="n">
        <v/>
      </c>
      <c r="D448" t="n">
        <v>-15200.11</v>
      </c>
    </row>
    <row r="449">
      <c r="A449" t="inlineStr">
        <is>
          <t>机械使用费</t>
        </is>
      </c>
      <c r="B449" t="inlineStr">
        <is>
          <t>无客商-收易华兴交来汤村复一</t>
        </is>
      </c>
      <c r="C449" t="n">
        <v/>
      </c>
      <c r="D449" t="n">
        <v>-158860.9</v>
      </c>
    </row>
    <row r="450">
      <c r="A450" t="inlineStr">
        <is>
          <t>机械使用费</t>
        </is>
      </c>
      <c r="B450" t="inlineStr">
        <is>
          <t>无客商-收陈艳军交来汤村复一</t>
        </is>
      </c>
      <c r="C450" t="n">
        <v/>
      </c>
      <c r="D450" t="n">
        <v>-2161.6</v>
      </c>
    </row>
    <row r="451">
      <c r="A451" t="inlineStr">
        <is>
          <t>机械使用费</t>
        </is>
      </c>
      <c r="B451" t="inlineStr">
        <is>
          <t>无客商-收陈艳军交来汤村复建</t>
        </is>
      </c>
      <c r="C451" t="n">
        <v/>
      </c>
      <c r="D451" t="n">
        <v>-15639</v>
      </c>
    </row>
    <row r="452">
      <c r="A452" t="inlineStr">
        <is>
          <t>机械使用费</t>
        </is>
      </c>
      <c r="B452" t="inlineStr">
        <is>
          <t>无客商-星汇湾花园项目从汤村</t>
        </is>
      </c>
      <c r="C452" t="n">
        <v/>
      </c>
      <c r="D452" t="n">
        <v>-358104.49</v>
      </c>
    </row>
    <row r="453">
      <c r="A453" t="inlineStr">
        <is>
          <t>机械使用费</t>
        </is>
      </c>
      <c r="B453" t="inlineStr">
        <is>
          <t>无客商-汤村九年一贯制学校（</t>
        </is>
      </c>
      <c r="C453" t="n">
        <v/>
      </c>
      <c r="D453" t="n">
        <v>-1008335.45</v>
      </c>
    </row>
    <row r="454">
      <c r="A454" t="inlineStr">
        <is>
          <t>机械使用费</t>
        </is>
      </c>
      <c r="B454" t="inlineStr">
        <is>
          <t>无客商-汤村复1地块销项税差</t>
        </is>
      </c>
      <c r="C454" t="n">
        <v/>
      </c>
      <c r="D454" t="n">
        <v>-0.01</v>
      </c>
    </row>
    <row r="455">
      <c r="A455" t="inlineStr">
        <is>
          <t>机械使用费</t>
        </is>
      </c>
      <c r="B455" t="inlineStr">
        <is>
          <t>无客商-汤村复一项目24年5</t>
        </is>
      </c>
      <c r="C455" t="n">
        <v/>
      </c>
      <c r="D455" t="n">
        <v>-14440.14</v>
      </c>
    </row>
    <row r="456">
      <c r="A456" t="inlineStr">
        <is>
          <t>机械使用费</t>
        </is>
      </c>
      <c r="B456" t="inlineStr">
        <is>
          <t>无客商-汤村复一项目24年6</t>
        </is>
      </c>
      <c r="C456" t="n">
        <v/>
      </c>
      <c r="D456" t="n">
        <v>-42247.71</v>
      </c>
    </row>
    <row r="457">
      <c r="A457" t="inlineStr">
        <is>
          <t>机械使用费</t>
        </is>
      </c>
      <c r="B457" t="inlineStr">
        <is>
          <t>无客商-汤村复一项目24年7</t>
        </is>
      </c>
      <c r="C457" t="n">
        <v/>
      </c>
      <c r="D457" t="n">
        <v>-36888.1</v>
      </c>
    </row>
    <row r="458">
      <c r="A458" t="inlineStr">
        <is>
          <t>机械使用费</t>
        </is>
      </c>
      <c r="B458" t="inlineStr">
        <is>
          <t>无客商-汤村复一项目24年9</t>
        </is>
      </c>
      <c r="C458" t="n">
        <v/>
      </c>
      <c r="D458" t="n">
        <v>-22068.57</v>
      </c>
    </row>
    <row r="459">
      <c r="A459" t="inlineStr">
        <is>
          <t>机械使用费</t>
        </is>
      </c>
      <c r="B459" t="inlineStr">
        <is>
          <t>无客商-汤村复一项目25年1</t>
        </is>
      </c>
      <c r="C459" t="n">
        <v/>
      </c>
      <c r="D459" t="n">
        <v>-120799.94</v>
      </c>
    </row>
    <row r="460">
      <c r="A460" t="inlineStr">
        <is>
          <t>机械使用费</t>
        </is>
      </c>
      <c r="B460" t="inlineStr">
        <is>
          <t>无客商-汤村复一项目其他材料</t>
        </is>
      </c>
      <c r="C460" t="n">
        <v/>
      </c>
      <c r="D460" t="n">
        <v>394191.82</v>
      </c>
    </row>
    <row r="461">
      <c r="A461" t="inlineStr">
        <is>
          <t>机械使用费</t>
        </is>
      </c>
      <c r="B461" t="inlineStr">
        <is>
          <t>无客商-汤村复一项目商品砼加</t>
        </is>
      </c>
      <c r="C461" t="n">
        <v/>
      </c>
      <c r="D461" t="n">
        <v>4065599.98</v>
      </c>
    </row>
    <row r="462">
      <c r="A462" t="inlineStr">
        <is>
          <t>机械使用费</t>
        </is>
      </c>
      <c r="B462" t="inlineStr">
        <is>
          <t>无客商-汤村复一项目混凝土、</t>
        </is>
      </c>
      <c r="C462" t="n">
        <v/>
      </c>
      <c r="D462" t="n">
        <v>4008834.59</v>
      </c>
    </row>
    <row r="463">
      <c r="A463" t="inlineStr">
        <is>
          <t>机械使用费</t>
        </is>
      </c>
      <c r="B463" t="inlineStr">
        <is>
          <t>无客商-汤村复一项目混凝土加</t>
        </is>
      </c>
      <c r="C463" t="n">
        <v/>
      </c>
      <c r="D463" t="n">
        <v>4730274.59</v>
      </c>
    </row>
    <row r="464">
      <c r="A464" t="inlineStr">
        <is>
          <t>机械使用费</t>
        </is>
      </c>
      <c r="B464" t="inlineStr">
        <is>
          <t>无客商-汤村复一项目混凝土材</t>
        </is>
      </c>
      <c r="C464" t="n">
        <v/>
      </c>
      <c r="D464" t="n">
        <v>14549680.88</v>
      </c>
    </row>
    <row r="465">
      <c r="A465" t="inlineStr">
        <is>
          <t>机械使用费</t>
        </is>
      </c>
      <c r="B465" t="inlineStr">
        <is>
          <t>无客商-汤村复一项目混凝土砌</t>
        </is>
      </c>
      <c r="C465" t="n">
        <v/>
      </c>
      <c r="D465" t="n">
        <v>8581211.109999999</v>
      </c>
    </row>
    <row r="466">
      <c r="A466" t="inlineStr">
        <is>
          <t>机械使用费</t>
        </is>
      </c>
      <c r="B466" t="inlineStr">
        <is>
          <t>无客商-汤村复一项目混凝土零</t>
        </is>
      </c>
      <c r="C466" t="n">
        <v/>
      </c>
      <c r="D466" t="n">
        <v>6896241.12</v>
      </c>
    </row>
    <row r="467">
      <c r="A467" t="inlineStr">
        <is>
          <t>机械使用费</t>
        </is>
      </c>
      <c r="B467" t="inlineStr">
        <is>
          <t>无客商-汤村复一项目装饰材料</t>
        </is>
      </c>
      <c r="C467" t="n">
        <v/>
      </c>
      <c r="D467" t="n">
        <v>42988.2</v>
      </c>
    </row>
    <row r="468">
      <c r="A468" t="inlineStr">
        <is>
          <t>机械使用费</t>
        </is>
      </c>
      <c r="B468" t="inlineStr">
        <is>
          <t>无客商-汤村复一项目钢材其他</t>
        </is>
      </c>
      <c r="C468" t="n">
        <v/>
      </c>
      <c r="D468" t="n">
        <v>5378635.25</v>
      </c>
    </row>
    <row r="469">
      <c r="A469" t="inlineStr">
        <is>
          <t>机械使用费</t>
        </is>
      </c>
      <c r="B469" t="inlineStr">
        <is>
          <t>无客商-汤村复一项目钢材材料</t>
        </is>
      </c>
      <c r="C469" t="n">
        <v/>
      </c>
      <c r="D469" t="n">
        <v>11634984.71</v>
      </c>
    </row>
    <row r="470">
      <c r="A470" t="inlineStr">
        <is>
          <t>机械使用费</t>
        </is>
      </c>
      <c r="B470" t="inlineStr">
        <is>
          <t>无客商-汤村复一项目钢材混凝</t>
        </is>
      </c>
      <c r="C470" t="n">
        <v/>
      </c>
      <c r="D470" t="n">
        <v>74227325.11</v>
      </c>
    </row>
    <row r="471">
      <c r="A471" t="inlineStr">
        <is>
          <t>机械使用费</t>
        </is>
      </c>
      <c r="B471" t="inlineStr">
        <is>
          <t>无客商-汤村复一项目钢材砌体</t>
        </is>
      </c>
      <c r="C471" t="n">
        <v/>
      </c>
      <c r="D471" t="n">
        <v>2982492.88</v>
      </c>
    </row>
    <row r="472">
      <c r="A472" t="inlineStr">
        <is>
          <t>机械使用费</t>
        </is>
      </c>
      <c r="B472" t="inlineStr">
        <is>
          <t>无客商-汤村复一项目钢材装饰</t>
        </is>
      </c>
      <c r="C472" t="n">
        <v/>
      </c>
      <c r="D472" t="n">
        <v>1592674.83</v>
      </c>
    </row>
    <row r="473">
      <c r="A473" t="inlineStr">
        <is>
          <t>机械使用费</t>
        </is>
      </c>
      <c r="B473" t="inlineStr">
        <is>
          <t>无客商-汤村复四项目从汤村复</t>
        </is>
      </c>
      <c r="C473" t="n">
        <v/>
      </c>
      <c r="D473" t="n">
        <v>-6816612.88</v>
      </c>
    </row>
    <row r="474">
      <c r="A474" t="inlineStr">
        <is>
          <t>机械使用费</t>
        </is>
      </c>
      <c r="B474" t="inlineStr">
        <is>
          <t>无客商-汤村复建地块一项目材</t>
        </is>
      </c>
      <c r="C474" t="n">
        <v/>
      </c>
      <c r="D474" t="n">
        <v>220945.31</v>
      </c>
    </row>
    <row r="475">
      <c r="A475" t="inlineStr">
        <is>
          <t>机械使用费</t>
        </is>
      </c>
      <c r="B475" t="inlineStr">
        <is>
          <t>无客商-汤村旧村改造复建地块</t>
        </is>
      </c>
      <c r="C475" t="n">
        <v/>
      </c>
      <c r="D475" t="n">
        <v>1890798.5</v>
      </c>
    </row>
    <row r="476">
      <c r="A476" t="inlineStr">
        <is>
          <t>机械使用费</t>
        </is>
      </c>
      <c r="B476" t="inlineStr">
        <is>
          <t>无客商-汤村旧村改造项目复建</t>
        </is>
      </c>
      <c r="C476" t="n">
        <v/>
      </c>
      <c r="D476" t="n">
        <v>495663.09</v>
      </c>
    </row>
    <row r="477">
      <c r="A477" t="inlineStr">
        <is>
          <t>机械使用费</t>
        </is>
      </c>
      <c r="B477" t="inlineStr">
        <is>
          <t>无客商-综合体项目型钢混凝土</t>
        </is>
      </c>
      <c r="C477" t="n">
        <v/>
      </c>
      <c r="D477" t="n">
        <v>4303563.26</v>
      </c>
    </row>
    <row r="478">
      <c r="A478" t="inlineStr">
        <is>
          <t>材料费</t>
        </is>
      </c>
      <c r="B478" t="inlineStr">
        <is>
          <t>无客商-劳务费</t>
        </is>
      </c>
      <c r="C478" t="n">
        <v/>
      </c>
      <c r="D478" t="n">
        <v>37683399.8</v>
      </c>
    </row>
    <row r="479">
      <c r="A479" t="inlineStr">
        <is>
          <t>材料费</t>
        </is>
      </c>
      <c r="B479" t="inlineStr">
        <is>
          <t>无客商-发放汤村旧改复建区1</t>
        </is>
      </c>
      <c r="C479" t="n">
        <v/>
      </c>
      <c r="D479" t="n">
        <v>44800</v>
      </c>
    </row>
    <row r="480">
      <c r="A480" t="inlineStr">
        <is>
          <t>材料费</t>
        </is>
      </c>
      <c r="B480" t="inlineStr">
        <is>
          <t>无客商-应付汤村项目复建地块</t>
        </is>
      </c>
      <c r="C480" t="n">
        <v/>
      </c>
      <c r="D480" t="n">
        <v>2908258.78</v>
      </c>
    </row>
    <row r="481">
      <c r="A481" t="inlineStr">
        <is>
          <t>材料费</t>
        </is>
      </c>
      <c r="B481" t="inlineStr">
        <is>
          <t>无客商-管理人员费用</t>
        </is>
      </c>
      <c r="C481" t="n">
        <v/>
      </c>
      <c r="D481" t="n">
        <v>210911.67</v>
      </c>
    </row>
    <row r="482">
      <c r="A482" t="inlineStr">
        <is>
          <t>间接费</t>
        </is>
      </c>
      <c r="B482" t="inlineStr">
        <is>
          <t>无客商-2025年2月峰行社</t>
        </is>
      </c>
      <c r="C482" t="n">
        <v/>
      </c>
      <c r="D482" t="n">
        <v>6626.25</v>
      </c>
    </row>
    <row r="483">
      <c r="A483" t="inlineStr">
        <is>
          <t>间接费</t>
        </is>
      </c>
      <c r="B483" t="inlineStr">
        <is>
          <t>无客商-2025年岗位证书新</t>
        </is>
      </c>
      <c r="C483" t="n">
        <v/>
      </c>
      <c r="D483" t="n">
        <v>1607.4</v>
      </c>
    </row>
    <row r="484">
      <c r="A484" t="inlineStr">
        <is>
          <t>间接费</t>
        </is>
      </c>
      <c r="B484" t="inlineStr">
        <is>
          <t>无客商-AFB/01/202</t>
        </is>
      </c>
      <c r="C484" t="n">
        <v/>
      </c>
      <c r="D484" t="n">
        <v>8068.7</v>
      </c>
    </row>
    <row r="485">
      <c r="A485" t="inlineStr">
        <is>
          <t>间接费</t>
        </is>
      </c>
      <c r="B485" t="inlineStr">
        <is>
          <t>无客商-付中建四局城市运营服</t>
        </is>
      </c>
      <c r="C485" t="n">
        <v/>
      </c>
      <c r="D485" t="n">
        <v>19481.21</v>
      </c>
    </row>
    <row r="486">
      <c r="A486" t="inlineStr">
        <is>
          <t>间接费</t>
        </is>
      </c>
      <c r="B486" t="inlineStr">
        <is>
          <t>无客商-劳务费</t>
        </is>
      </c>
      <c r="C486" t="n">
        <v/>
      </c>
      <c r="D486" t="n">
        <v>1534177.4</v>
      </c>
    </row>
    <row r="487">
      <c r="A487" t="inlineStr">
        <is>
          <t>间接费</t>
        </is>
      </c>
      <c r="B487" t="inlineStr">
        <is>
          <t>无客商-发放汤村旧改复建区1</t>
        </is>
      </c>
      <c r="C487" t="n">
        <v/>
      </c>
      <c r="D487" t="n">
        <v>22260</v>
      </c>
    </row>
    <row r="488">
      <c r="A488" t="inlineStr">
        <is>
          <t>间接费</t>
        </is>
      </c>
      <c r="B488" t="inlineStr">
        <is>
          <t>无客商-对外成本费用支付复一</t>
        </is>
      </c>
      <c r="C488" t="n">
        <v/>
      </c>
      <c r="D488" t="n">
        <v>112870</v>
      </c>
    </row>
    <row r="489">
      <c r="A489" t="inlineStr">
        <is>
          <t>间接费</t>
        </is>
      </c>
      <c r="B489" t="inlineStr">
        <is>
          <t>无客商-报销汤村项目2024</t>
        </is>
      </c>
      <c r="C489" t="n">
        <v/>
      </c>
      <c r="D489" t="n">
        <v>2224.64</v>
      </c>
    </row>
    <row r="490">
      <c r="A490" t="inlineStr">
        <is>
          <t>间接费</t>
        </is>
      </c>
      <c r="B490" t="inlineStr">
        <is>
          <t>无客商-报销汤村项目贺栋邮寄</t>
        </is>
      </c>
      <c r="C490" t="n">
        <v/>
      </c>
      <c r="D490" t="n">
        <v>120.57</v>
      </c>
    </row>
    <row r="491">
      <c r="A491" t="inlineStr">
        <is>
          <t>间接费</t>
        </is>
      </c>
      <c r="B491" t="inlineStr">
        <is>
          <t>无客商-支付2025年8月办</t>
        </is>
      </c>
      <c r="C491" t="n">
        <v/>
      </c>
      <c r="D491" t="n">
        <v>545.99</v>
      </c>
    </row>
    <row r="492">
      <c r="A492" t="inlineStr">
        <is>
          <t>间接费</t>
        </is>
      </c>
      <c r="B492" t="inlineStr">
        <is>
          <t>无客商-支付中建四局城市运营</t>
        </is>
      </c>
      <c r="C492" t="n">
        <v/>
      </c>
      <c r="D492" t="n">
        <v>305484.44</v>
      </c>
    </row>
    <row r="493">
      <c r="A493" t="inlineStr">
        <is>
          <t>间接费</t>
        </is>
      </c>
      <c r="B493" t="inlineStr">
        <is>
          <t>无客商-支付南方2025年1</t>
        </is>
      </c>
      <c r="C493" t="n">
        <v/>
      </c>
      <c r="D493" t="n">
        <v>1986.32</v>
      </c>
    </row>
    <row r="494">
      <c r="A494" t="inlineStr">
        <is>
          <t>间接费</t>
        </is>
      </c>
      <c r="B494" t="inlineStr">
        <is>
          <t>无客商-支付天下行（广州）贸</t>
        </is>
      </c>
      <c r="C494" t="n">
        <v/>
      </c>
      <c r="D494" t="n">
        <v>20851.5</v>
      </c>
    </row>
    <row r="495">
      <c r="A495" t="inlineStr">
        <is>
          <t>间接费</t>
        </is>
      </c>
      <c r="B495" t="inlineStr">
        <is>
          <t>无客商-支付局代付汤村复建区</t>
        </is>
      </c>
      <c r="C495" t="n">
        <v/>
      </c>
      <c r="D495" t="n">
        <v>22437.12</v>
      </c>
    </row>
    <row r="496">
      <c r="A496" t="inlineStr">
        <is>
          <t>间接费</t>
        </is>
      </c>
      <c r="B496" t="inlineStr">
        <is>
          <t>无客商-支付局代付清远市人民</t>
        </is>
      </c>
      <c r="C496" t="n">
        <v/>
      </c>
      <c r="D496" t="n">
        <v>4455.45</v>
      </c>
    </row>
    <row r="497">
      <c r="A497" t="inlineStr">
        <is>
          <t>间接费</t>
        </is>
      </c>
      <c r="B497" t="inlineStr">
        <is>
          <t>无客商-支付峰行2025年1</t>
        </is>
      </c>
      <c r="C497" t="n">
        <v/>
      </c>
      <c r="D497" t="n">
        <v>7632.17</v>
      </c>
    </row>
    <row r="498">
      <c r="A498" t="inlineStr">
        <is>
          <t>间接费</t>
        </is>
      </c>
      <c r="B498" t="inlineStr">
        <is>
          <t>无客商-支付广东南方人力资源</t>
        </is>
      </c>
      <c r="C498" t="n">
        <v/>
      </c>
      <c r="D498" t="n">
        <v>27877.48</v>
      </c>
    </row>
    <row r="499">
      <c r="A499" t="inlineStr">
        <is>
          <t>间接费</t>
        </is>
      </c>
      <c r="B499" t="inlineStr">
        <is>
          <t>无客商-支付广东通利达汽车租</t>
        </is>
      </c>
      <c r="C499" t="n">
        <v/>
      </c>
      <c r="D499" t="n">
        <v>11946.9</v>
      </c>
    </row>
    <row r="500">
      <c r="A500" t="inlineStr">
        <is>
          <t>间接费</t>
        </is>
      </c>
      <c r="B500" t="inlineStr">
        <is>
          <t>无客商-支付广东金辩律师事务</t>
        </is>
      </c>
      <c r="C500" t="n">
        <v/>
      </c>
      <c r="D500" t="n">
        <v>12264.15</v>
      </c>
    </row>
    <row r="501">
      <c r="A501" t="inlineStr">
        <is>
          <t>间接费</t>
        </is>
      </c>
      <c r="B501" t="inlineStr">
        <is>
          <t>无客商-支付广州峰行人力资源</t>
        </is>
      </c>
      <c r="C501" t="n">
        <v/>
      </c>
      <c r="D501" t="n">
        <v>98.17</v>
      </c>
    </row>
    <row r="502">
      <c r="A502" t="inlineStr">
        <is>
          <t>间接费</t>
        </is>
      </c>
      <c r="B502" t="inlineStr">
        <is>
          <t>无客商-支付广州市盈园绿化清</t>
        </is>
      </c>
      <c r="C502" t="n">
        <v/>
      </c>
      <c r="D502" t="n">
        <v>97688.37</v>
      </c>
    </row>
    <row r="503">
      <c r="A503" t="inlineStr">
        <is>
          <t>间接费</t>
        </is>
      </c>
      <c r="B503" t="inlineStr">
        <is>
          <t>无客商-支付广州市骅盛汽车租</t>
        </is>
      </c>
      <c r="C503" t="n">
        <v/>
      </c>
      <c r="D503" t="n">
        <v>558.49</v>
      </c>
    </row>
    <row r="504">
      <c r="A504" t="inlineStr">
        <is>
          <t>间接费</t>
        </is>
      </c>
      <c r="B504" t="inlineStr">
        <is>
          <t>无客商-支付广州市黄埔区文人</t>
        </is>
      </c>
      <c r="C504" t="n">
        <v/>
      </c>
      <c r="D504" t="n">
        <v>29851.98</v>
      </c>
    </row>
    <row r="505">
      <c r="A505" t="inlineStr">
        <is>
          <t>间接费</t>
        </is>
      </c>
      <c r="B505" t="inlineStr">
        <is>
          <t>无客商-支付广州市黄埔区水世</t>
        </is>
      </c>
      <c r="C505" t="n">
        <v/>
      </c>
      <c r="D505" t="n">
        <v>7950.49</v>
      </c>
    </row>
    <row r="506">
      <c r="A506" t="inlineStr">
        <is>
          <t>间接费</t>
        </is>
      </c>
      <c r="B506" t="inlineStr">
        <is>
          <t>无客商-支付广州易达诉讼费用</t>
        </is>
      </c>
      <c r="C506" t="n">
        <v/>
      </c>
      <c r="D506" t="n">
        <v>2805.1</v>
      </c>
    </row>
    <row r="507">
      <c r="A507" t="inlineStr">
        <is>
          <t>间接费</t>
        </is>
      </c>
      <c r="B507" t="inlineStr">
        <is>
          <t>无客商-支付广州腾粤汽车租赁</t>
        </is>
      </c>
      <c r="C507" t="n">
        <v/>
      </c>
      <c r="D507" t="n">
        <v>1193.97</v>
      </c>
    </row>
    <row r="508">
      <c r="A508" t="inlineStr">
        <is>
          <t>间接费</t>
        </is>
      </c>
      <c r="B508" t="inlineStr">
        <is>
          <t>无客商-支付机关代付汤村复建</t>
        </is>
      </c>
      <c r="C508" t="n">
        <v/>
      </c>
      <c r="D508" t="n">
        <v>31332</v>
      </c>
    </row>
    <row r="509">
      <c r="A509" t="inlineStr">
        <is>
          <t>间接费</t>
        </is>
      </c>
      <c r="B509" t="inlineStr">
        <is>
          <t>无客商-支付林桂生报销汤村旧</t>
        </is>
      </c>
      <c r="C509" t="n">
        <v/>
      </c>
      <c r="D509" t="n">
        <v>2834.32</v>
      </c>
    </row>
    <row r="510">
      <c r="A510" t="inlineStr">
        <is>
          <t>间接费</t>
        </is>
      </c>
      <c r="B510" t="inlineStr">
        <is>
          <t>无客商-支付汤村复1地块20</t>
        </is>
      </c>
      <c r="C510" t="n">
        <v/>
      </c>
      <c r="D510" t="n">
        <v>1886.79</v>
      </c>
    </row>
    <row r="511">
      <c r="A511" t="inlineStr">
        <is>
          <t>间接费</t>
        </is>
      </c>
      <c r="B511" t="inlineStr">
        <is>
          <t>无客商-支付汤村复1地块中建</t>
        </is>
      </c>
      <c r="C511" t="n">
        <v/>
      </c>
      <c r="D511" t="n">
        <v>74154.59</v>
      </c>
    </row>
    <row r="512">
      <c r="A512" t="inlineStr">
        <is>
          <t>间接费</t>
        </is>
      </c>
      <c r="B512" t="inlineStr">
        <is>
          <t>无客商-支付汤村复1地块亲力</t>
        </is>
      </c>
      <c r="C512" t="n">
        <v/>
      </c>
      <c r="D512" t="n">
        <v>170.74</v>
      </c>
    </row>
    <row r="513">
      <c r="A513" t="inlineStr">
        <is>
          <t>间接费</t>
        </is>
      </c>
      <c r="B513" t="inlineStr">
        <is>
          <t>无客商-支付汤村复1地块人力</t>
        </is>
      </c>
      <c r="C513" t="n">
        <v/>
      </c>
      <c r="D513" t="n">
        <v>981.7</v>
      </c>
    </row>
    <row r="514">
      <c r="A514" t="inlineStr">
        <is>
          <t>间接费</t>
        </is>
      </c>
      <c r="B514" t="inlineStr">
        <is>
          <t>无客商-支付汤村复1地块广东</t>
        </is>
      </c>
      <c r="C514" t="n">
        <v/>
      </c>
      <c r="D514" t="n">
        <v>45589.79</v>
      </c>
    </row>
    <row r="515">
      <c r="A515" t="inlineStr">
        <is>
          <t>间接费</t>
        </is>
      </c>
      <c r="B515" t="inlineStr">
        <is>
          <t>无客商-支付汤村复1地块广州</t>
        </is>
      </c>
      <c r="C515" t="n">
        <v/>
      </c>
      <c r="D515" t="n">
        <v>10372.4</v>
      </c>
    </row>
    <row r="516">
      <c r="A516" t="inlineStr">
        <is>
          <t>间接费</t>
        </is>
      </c>
      <c r="B516" t="inlineStr">
        <is>
          <t>无客商-支付汤村复1地块维也</t>
        </is>
      </c>
      <c r="C516" t="n">
        <v/>
      </c>
      <c r="D516" t="n">
        <v>2724.75</v>
      </c>
    </row>
    <row r="517">
      <c r="A517" t="inlineStr">
        <is>
          <t>间接费</t>
        </is>
      </c>
      <c r="B517" t="inlineStr">
        <is>
          <t>无客商-支付汤村复1项目广东</t>
        </is>
      </c>
      <c r="C517" t="n">
        <v/>
      </c>
      <c r="D517" t="n">
        <v>1917.32</v>
      </c>
    </row>
    <row r="518">
      <c r="A518" t="inlineStr">
        <is>
          <t>间接费</t>
        </is>
      </c>
      <c r="B518" t="inlineStr">
        <is>
          <t>无客商-支付汤村复一项目清远</t>
        </is>
      </c>
      <c r="C518" t="n">
        <v/>
      </c>
      <c r="D518" t="n">
        <v>99629.98</v>
      </c>
    </row>
    <row r="519">
      <c r="A519" t="inlineStr">
        <is>
          <t>间接费</t>
        </is>
      </c>
      <c r="B519" t="inlineStr">
        <is>
          <t>无客商-支付汤村复一项目湖南</t>
        </is>
      </c>
      <c r="C519" t="n">
        <v/>
      </c>
      <c r="D519" t="n">
        <v>95575.98</v>
      </c>
    </row>
    <row r="520">
      <c r="A520" t="inlineStr">
        <is>
          <t>间接费</t>
        </is>
      </c>
      <c r="B520" t="inlineStr">
        <is>
          <t>无客商-支付汤村复建区1号地</t>
        </is>
      </c>
      <c r="C520" t="n">
        <v/>
      </c>
      <c r="D520" t="n">
        <v>107931.04</v>
      </c>
    </row>
    <row r="521">
      <c r="A521" t="inlineStr">
        <is>
          <t>间接费</t>
        </is>
      </c>
      <c r="B521" t="inlineStr">
        <is>
          <t>无客商-支付汤村复建区1号项</t>
        </is>
      </c>
      <c r="C521" t="n">
        <v/>
      </c>
      <c r="D521" t="n">
        <v>3203.42</v>
      </c>
    </row>
    <row r="522">
      <c r="A522" t="inlineStr">
        <is>
          <t>间接费</t>
        </is>
      </c>
      <c r="B522" t="inlineStr">
        <is>
          <t>无客商-支付汤村旧改复建1号</t>
        </is>
      </c>
      <c r="C522" t="n">
        <v/>
      </c>
      <c r="D522" t="n">
        <v>190367.25</v>
      </c>
    </row>
    <row r="523">
      <c r="A523" t="inlineStr">
        <is>
          <t>间接费</t>
        </is>
      </c>
      <c r="B523" t="inlineStr">
        <is>
          <t>无客商-支付汤村旧改复建区1</t>
        </is>
      </c>
      <c r="C523" t="n">
        <v/>
      </c>
      <c r="D523" t="n">
        <v>33849.56</v>
      </c>
    </row>
    <row r="524">
      <c r="A524" t="inlineStr">
        <is>
          <t>间接费</t>
        </is>
      </c>
      <c r="B524" t="inlineStr">
        <is>
          <t>无客商-支付汤村旧改项目复建</t>
        </is>
      </c>
      <c r="C524" t="n">
        <v/>
      </c>
      <c r="D524" t="n">
        <v>14610</v>
      </c>
    </row>
    <row r="525">
      <c r="A525" t="inlineStr">
        <is>
          <t>间接费</t>
        </is>
      </c>
      <c r="B525" t="inlineStr">
        <is>
          <t>无客商-支付汤村旧村改造复建</t>
        </is>
      </c>
      <c r="C525" t="n">
        <v/>
      </c>
      <c r="D525" t="n">
        <v>9730.379999999999</v>
      </c>
    </row>
    <row r="526">
      <c r="A526" t="inlineStr">
        <is>
          <t>间接费</t>
        </is>
      </c>
      <c r="B526" t="inlineStr">
        <is>
          <t>无客商-支付汤村项目专利代理</t>
        </is>
      </c>
      <c r="C526" t="n">
        <v/>
      </c>
      <c r="D526" t="n">
        <v>1294.34</v>
      </c>
    </row>
    <row r="527">
      <c r="A527" t="inlineStr">
        <is>
          <t>间接费</t>
        </is>
      </c>
      <c r="B527" t="inlineStr">
        <is>
          <t>无客商-支付汤村项目复建区1</t>
        </is>
      </c>
      <c r="C527" t="n">
        <v/>
      </c>
      <c r="D527" t="n">
        <v>185939.27</v>
      </c>
    </row>
    <row r="528">
      <c r="A528" t="inlineStr">
        <is>
          <t>间接费</t>
        </is>
      </c>
      <c r="B528" t="inlineStr">
        <is>
          <t>无客商-支付汤村项目复建地块</t>
        </is>
      </c>
      <c r="C528" t="n">
        <v/>
      </c>
      <c r="D528" t="n">
        <v>6556.16</v>
      </c>
    </row>
    <row r="529">
      <c r="A529" t="inlineStr">
        <is>
          <t>间接费</t>
        </is>
      </c>
      <c r="B529" t="inlineStr">
        <is>
          <t>无客商-支付汤村项目广州富莱</t>
        </is>
      </c>
      <c r="C529" t="n">
        <v/>
      </c>
      <c r="D529" t="n">
        <v>53761.06</v>
      </c>
    </row>
    <row r="530">
      <c r="A530" t="inlineStr">
        <is>
          <t>间接费</t>
        </is>
      </c>
      <c r="B530" t="inlineStr">
        <is>
          <t>无客商-支付汤项目九年一贯制</t>
        </is>
      </c>
      <c r="C530" t="n">
        <v/>
      </c>
      <c r="D530" t="n">
        <v>1487.26</v>
      </c>
    </row>
    <row r="531">
      <c r="A531" t="inlineStr">
        <is>
          <t>间接费</t>
        </is>
      </c>
      <c r="B531" t="inlineStr">
        <is>
          <t>无客商-支付财务资金部陈乐报</t>
        </is>
      </c>
      <c r="C531" t="n">
        <v/>
      </c>
      <c r="D531" t="n">
        <v>3153.79</v>
      </c>
    </row>
    <row r="532">
      <c r="A532" t="inlineStr">
        <is>
          <t>间接费</t>
        </is>
      </c>
      <c r="B532" t="inlineStr">
        <is>
          <t>无客商-支付金辩所被诉案件律</t>
        </is>
      </c>
      <c r="C532" t="n">
        <v/>
      </c>
      <c r="D532" t="n">
        <v>9905.66</v>
      </c>
    </row>
    <row r="533">
      <c r="A533" t="inlineStr">
        <is>
          <t>间接费</t>
        </is>
      </c>
      <c r="B533" t="inlineStr">
        <is>
          <t>无客商-收安嘉（北京）建筑工</t>
        </is>
      </c>
      <c r="C533" t="n">
        <v/>
      </c>
      <c r="D533" t="n">
        <v>-30000</v>
      </c>
    </row>
    <row r="534">
      <c r="A534" t="inlineStr">
        <is>
          <t>间接费</t>
        </is>
      </c>
      <c r="B534" t="inlineStr">
        <is>
          <t>无客商-收汤村复1地块清欠罚</t>
        </is>
      </c>
      <c r="C534" t="n">
        <v/>
      </c>
      <c r="D534" t="n">
        <v>-2921.63</v>
      </c>
    </row>
    <row r="535">
      <c r="A535" t="inlineStr">
        <is>
          <t>间接费</t>
        </is>
      </c>
      <c r="B535" t="inlineStr">
        <is>
          <t>无客商-收汤村复建区1号地块</t>
        </is>
      </c>
      <c r="C535" t="n">
        <v/>
      </c>
      <c r="D535" t="n">
        <v>-10000</v>
      </c>
    </row>
    <row r="536">
      <c r="A536" t="inlineStr">
        <is>
          <t>间接费</t>
        </is>
      </c>
      <c r="B536" t="inlineStr">
        <is>
          <t>无客商-收贺栋交来汤村1号地</t>
        </is>
      </c>
      <c r="C536" t="n">
        <v/>
      </c>
      <c r="D536" t="n">
        <v>-2200</v>
      </c>
    </row>
    <row r="537">
      <c r="A537" t="inlineStr">
        <is>
          <t>间接费</t>
        </is>
      </c>
      <c r="B537" t="inlineStr">
        <is>
          <t>无客商-收退回诉讼费</t>
        </is>
      </c>
      <c r="C537" t="n">
        <v/>
      </c>
      <c r="D537" t="n">
        <v>-151.5</v>
      </c>
    </row>
    <row r="538">
      <c r="A538" t="inlineStr">
        <is>
          <t>间接费</t>
        </is>
      </c>
      <c r="B538" t="inlineStr">
        <is>
          <t>无客商-李建民到局总部参加省</t>
        </is>
      </c>
      <c r="C538" t="n">
        <v/>
      </c>
      <c r="D538" t="n">
        <v>547</v>
      </c>
    </row>
    <row r="539">
      <c r="A539" t="inlineStr">
        <is>
          <t>间接费</t>
        </is>
      </c>
      <c r="B539" t="inlineStr">
        <is>
          <t>无客商-核销广州分公司202</t>
        </is>
      </c>
      <c r="C539" t="n">
        <v/>
      </c>
      <c r="D539" t="n">
        <v>15214.05</v>
      </c>
    </row>
    <row r="540">
      <c r="A540" t="inlineStr">
        <is>
          <t>间接费</t>
        </is>
      </c>
      <c r="B540" t="inlineStr">
        <is>
          <t>无客商-核销汤村复1地块零星</t>
        </is>
      </c>
      <c r="C540" t="n">
        <v/>
      </c>
      <c r="D540" t="n">
        <v>-20000</v>
      </c>
    </row>
    <row r="541">
      <c r="A541" t="inlineStr">
        <is>
          <t>间接费</t>
        </is>
      </c>
      <c r="B541" t="inlineStr">
        <is>
          <t>无客商-汤村复1地块10月薪</t>
        </is>
      </c>
      <c r="C541" t="n">
        <v/>
      </c>
      <c r="D541" t="n">
        <v>52355</v>
      </c>
    </row>
    <row r="542">
      <c r="A542" t="inlineStr">
        <is>
          <t>间接费</t>
        </is>
      </c>
      <c r="B542" t="inlineStr">
        <is>
          <t>无客商-汤村复1地块2024</t>
        </is>
      </c>
      <c r="C542" t="n">
        <v/>
      </c>
      <c r="D542" t="n">
        <v>14553.8</v>
      </c>
    </row>
    <row r="543">
      <c r="A543" t="inlineStr">
        <is>
          <t>间接费</t>
        </is>
      </c>
      <c r="B543" t="inlineStr">
        <is>
          <t>无客商-汤村复1地块2月奖金</t>
        </is>
      </c>
      <c r="C543" t="n">
        <v/>
      </c>
      <c r="D543" t="n">
        <v>44960.06</v>
      </c>
    </row>
    <row r="544">
      <c r="A544" t="inlineStr">
        <is>
          <t>间接费</t>
        </is>
      </c>
      <c r="B544" t="inlineStr">
        <is>
          <t>无客商-汤村复1地块2月薪酬</t>
        </is>
      </c>
      <c r="C544" t="n">
        <v/>
      </c>
      <c r="D544" t="n">
        <v>132415</v>
      </c>
    </row>
    <row r="545">
      <c r="A545" t="inlineStr">
        <is>
          <t>间接费</t>
        </is>
      </c>
      <c r="B545" t="inlineStr">
        <is>
          <t>无客商-汤村复1地块6月薪酬</t>
        </is>
      </c>
      <c r="C545" t="n">
        <v/>
      </c>
      <c r="D545" t="n">
        <v>50585</v>
      </c>
    </row>
    <row r="546">
      <c r="A546" t="inlineStr">
        <is>
          <t>间接费</t>
        </is>
      </c>
      <c r="B546" t="inlineStr">
        <is>
          <t>无客商-汤村复1地块7月薪酬</t>
        </is>
      </c>
      <c r="C546" t="n">
        <v/>
      </c>
      <c r="D546" t="n">
        <v>52396.18</v>
      </c>
    </row>
    <row r="547">
      <c r="A547" t="inlineStr">
        <is>
          <t>间接费</t>
        </is>
      </c>
      <c r="B547" t="inlineStr">
        <is>
          <t>无客商-汤村复1地块8月薪酬</t>
        </is>
      </c>
      <c r="C547" t="n">
        <v/>
      </c>
      <c r="D547" t="n">
        <v>52355</v>
      </c>
    </row>
    <row r="548">
      <c r="A548" t="inlineStr">
        <is>
          <t>间接费</t>
        </is>
      </c>
      <c r="B548" t="inlineStr">
        <is>
          <t>无客商-汤村复1地块付广州市</t>
        </is>
      </c>
      <c r="C548" t="n">
        <v/>
      </c>
      <c r="D548" t="n">
        <v>22004.95</v>
      </c>
    </row>
    <row r="549">
      <c r="A549" t="inlineStr">
        <is>
          <t>间接费</t>
        </is>
      </c>
      <c r="B549" t="inlineStr">
        <is>
          <t>无客商-汤村复1地块申请福利</t>
        </is>
      </c>
      <c r="C549" t="n">
        <v/>
      </c>
      <c r="D549" t="n">
        <v>24.44</v>
      </c>
    </row>
    <row r="550">
      <c r="A550" t="inlineStr">
        <is>
          <t>间接费</t>
        </is>
      </c>
      <c r="B550" t="inlineStr">
        <is>
          <t>无客商-汤村复1地块计提10</t>
        </is>
      </c>
      <c r="C550" t="n">
        <v/>
      </c>
      <c r="D550" t="n">
        <v>67213.8</v>
      </c>
    </row>
    <row r="551">
      <c r="A551" t="inlineStr">
        <is>
          <t>间接费</t>
        </is>
      </c>
      <c r="B551" t="inlineStr">
        <is>
          <t>无客商-汤村复1地块计提20</t>
        </is>
      </c>
      <c r="C551" t="n">
        <v/>
      </c>
      <c r="D551" t="n">
        <v>16942.5</v>
      </c>
    </row>
    <row r="552">
      <c r="A552" t="inlineStr">
        <is>
          <t>间接费</t>
        </is>
      </c>
      <c r="B552" t="inlineStr">
        <is>
          <t>无客商-汤村复1地块计提9月</t>
        </is>
      </c>
      <c r="C552" t="n">
        <v/>
      </c>
      <c r="D552" t="n">
        <v>199302.69</v>
      </c>
    </row>
    <row r="553">
      <c r="A553" t="inlineStr">
        <is>
          <t>间接费</t>
        </is>
      </c>
      <c r="B553" t="inlineStr">
        <is>
          <t>无客商-汤村复1地块计提社保</t>
        </is>
      </c>
      <c r="C553" t="n">
        <v/>
      </c>
      <c r="D553" t="n">
        <v>39584.04</v>
      </c>
    </row>
    <row r="554">
      <c r="A554" t="inlineStr">
        <is>
          <t>间接费</t>
        </is>
      </c>
      <c r="B554" t="inlineStr">
        <is>
          <t>无客商-汤村复建1号地块8月</t>
        </is>
      </c>
      <c r="C554" t="n">
        <v/>
      </c>
      <c r="D554" t="n">
        <v>113.94</v>
      </c>
    </row>
    <row r="555">
      <c r="A555" t="inlineStr">
        <is>
          <t>间接费</t>
        </is>
      </c>
      <c r="B555" t="inlineStr">
        <is>
          <t>无客商-汤村复建1号地块徐尚</t>
        </is>
      </c>
      <c r="C555" t="n">
        <v/>
      </c>
      <c r="D555" t="n">
        <v>106.93</v>
      </c>
    </row>
    <row r="556">
      <c r="A556" t="inlineStr">
        <is>
          <t>间接费</t>
        </is>
      </c>
      <c r="B556" t="inlineStr">
        <is>
          <t>无客商-汤村复建区1号地块广</t>
        </is>
      </c>
      <c r="C556" t="n">
        <v/>
      </c>
      <c r="D556" t="n">
        <v>3300.86</v>
      </c>
    </row>
    <row r="557">
      <c r="A557" t="inlineStr">
        <is>
          <t>间接费</t>
        </is>
      </c>
      <c r="B557" t="inlineStr">
        <is>
          <t>无客商-汤村复建区1号地块项</t>
        </is>
      </c>
      <c r="C557" t="n">
        <v/>
      </c>
      <c r="D557" t="n">
        <v>94650</v>
      </c>
    </row>
    <row r="558">
      <c r="A558" t="inlineStr">
        <is>
          <t>间接费</t>
        </is>
      </c>
      <c r="B558" t="inlineStr">
        <is>
          <t>无客商-汤村旧改项目复建一地</t>
        </is>
      </c>
      <c r="C558" t="n">
        <v/>
      </c>
      <c r="D558" t="n">
        <v>87663.82000000001</v>
      </c>
    </row>
    <row r="559">
      <c r="A559" t="inlineStr">
        <is>
          <t>间接费</t>
        </is>
      </c>
      <c r="B559" t="inlineStr">
        <is>
          <t>无客商-汤村旧改项目对外成本</t>
        </is>
      </c>
      <c r="C559" t="n">
        <v/>
      </c>
      <c r="D559" t="n">
        <v>2120.79</v>
      </c>
    </row>
    <row r="560">
      <c r="A560" t="inlineStr">
        <is>
          <t>间接费</t>
        </is>
      </c>
      <c r="B560" t="inlineStr">
        <is>
          <t>无客商-汤村旧改项目对外支付</t>
        </is>
      </c>
      <c r="C560" t="n">
        <v/>
      </c>
      <c r="D560" t="n">
        <v>36834.65</v>
      </c>
    </row>
    <row r="561">
      <c r="A561" t="inlineStr">
        <is>
          <t>间接费</t>
        </is>
      </c>
      <c r="B561" t="inlineStr">
        <is>
          <t>无客商-汤村旧改项目支付广州</t>
        </is>
      </c>
      <c r="C561" t="n">
        <v/>
      </c>
      <c r="D561" t="n">
        <v>13706.82</v>
      </c>
    </row>
    <row r="562">
      <c r="A562" t="inlineStr">
        <is>
          <t>间接费</t>
        </is>
      </c>
      <c r="B562" t="inlineStr">
        <is>
          <t>无客商-汤村项目复建一地块对</t>
        </is>
      </c>
      <c r="C562" t="n">
        <v/>
      </c>
      <c r="D562" t="n">
        <v>3346.53</v>
      </c>
    </row>
    <row r="563">
      <c r="A563" t="inlineStr">
        <is>
          <t>间接费</t>
        </is>
      </c>
      <c r="B563" t="inlineStr">
        <is>
          <t>无客商-管理人员费用</t>
        </is>
      </c>
      <c r="C563" t="n">
        <v/>
      </c>
      <c r="D563" t="n">
        <v>2339488.31</v>
      </c>
    </row>
    <row r="564">
      <c r="A564" t="inlineStr">
        <is>
          <t>间接费</t>
        </is>
      </c>
      <c r="B564" t="inlineStr">
        <is>
          <t>无客商-结转汤村复建区1号地</t>
        </is>
      </c>
      <c r="C564" t="n">
        <v/>
      </c>
      <c r="D564" t="n">
        <v>174.86</v>
      </c>
    </row>
    <row r="565">
      <c r="A565" t="inlineStr">
        <is>
          <t>间接费</t>
        </is>
      </c>
      <c r="B565" t="inlineStr">
        <is>
          <t>无客商-补充计提汤村复1地块</t>
        </is>
      </c>
      <c r="C565" t="n">
        <v/>
      </c>
      <c r="D565" t="n">
        <v>-32877.45</v>
      </c>
    </row>
    <row r="566">
      <c r="A566" t="inlineStr">
        <is>
          <t>间接费</t>
        </is>
      </c>
      <c r="B566" t="inlineStr">
        <is>
          <t>无客商-计提2023年6月社</t>
        </is>
      </c>
      <c r="C566" t="n">
        <v/>
      </c>
      <c r="D566" t="n">
        <v>29363.32</v>
      </c>
    </row>
    <row r="567">
      <c r="A567" t="inlineStr">
        <is>
          <t>间接费</t>
        </is>
      </c>
      <c r="B567" t="inlineStr">
        <is>
          <t>无客商-计提2023年7月社</t>
        </is>
      </c>
      <c r="C567" t="n">
        <v/>
      </c>
      <c r="D567" t="n">
        <v>29748.29</v>
      </c>
    </row>
    <row r="568">
      <c r="A568" t="inlineStr">
        <is>
          <t>间接费</t>
        </is>
      </c>
      <c r="B568" t="inlineStr">
        <is>
          <t>无客商-计提5月广州市黄埔区</t>
        </is>
      </c>
      <c r="C568" t="n">
        <v/>
      </c>
      <c r="D568" t="n">
        <v>120021.14</v>
      </c>
    </row>
    <row r="569">
      <c r="A569" t="inlineStr">
        <is>
          <t>间接费</t>
        </is>
      </c>
      <c r="B569" t="inlineStr">
        <is>
          <t>无客商-计提一公司广州分公司</t>
        </is>
      </c>
      <c r="C569" t="n">
        <v/>
      </c>
      <c r="D569" t="n">
        <v>13686.3</v>
      </c>
    </row>
    <row r="570">
      <c r="A570" t="inlineStr">
        <is>
          <t>间接费</t>
        </is>
      </c>
      <c r="B570" t="inlineStr">
        <is>
          <t>无客商-计提汤村复1地块10</t>
        </is>
      </c>
      <c r="C570" t="n">
        <v/>
      </c>
      <c r="D570" t="n">
        <v>66825</v>
      </c>
    </row>
    <row r="571">
      <c r="A571" t="inlineStr">
        <is>
          <t>间接费</t>
        </is>
      </c>
      <c r="B571" t="inlineStr">
        <is>
          <t>无客商-计提汤村复1地块11</t>
        </is>
      </c>
      <c r="C571" t="n">
        <v/>
      </c>
      <c r="D571" t="n">
        <v>202249.06</v>
      </c>
    </row>
    <row r="572">
      <c r="A572" t="inlineStr">
        <is>
          <t>间接费</t>
        </is>
      </c>
      <c r="B572" t="inlineStr">
        <is>
          <t>无客商-计提汤村复1地块12</t>
        </is>
      </c>
      <c r="C572" t="n">
        <v/>
      </c>
      <c r="D572" t="n">
        <v>163918.22</v>
      </c>
    </row>
    <row r="573">
      <c r="A573" t="inlineStr">
        <is>
          <t>间接费</t>
        </is>
      </c>
      <c r="B573" t="inlineStr">
        <is>
          <t>无客商-计提汤村复1地块1月</t>
        </is>
      </c>
      <c r="C573" t="n">
        <v/>
      </c>
      <c r="D573" t="n">
        <v>183479.03</v>
      </c>
    </row>
    <row r="574">
      <c r="A574" t="inlineStr">
        <is>
          <t>间接费</t>
        </is>
      </c>
      <c r="B574" t="inlineStr">
        <is>
          <t>无客商-计提汤村复1地块20</t>
        </is>
      </c>
      <c r="C574" t="n">
        <v/>
      </c>
      <c r="D574" t="n">
        <v>713946.88</v>
      </c>
    </row>
    <row r="575">
      <c r="A575" t="inlineStr">
        <is>
          <t>间接费</t>
        </is>
      </c>
      <c r="B575" t="inlineStr">
        <is>
          <t>无客商-计提汤村复1地块3月</t>
        </is>
      </c>
      <c r="C575" t="n">
        <v/>
      </c>
      <c r="D575" t="n">
        <v>135079.41</v>
      </c>
    </row>
    <row r="576">
      <c r="A576" t="inlineStr">
        <is>
          <t>间接费</t>
        </is>
      </c>
      <c r="B576" t="inlineStr">
        <is>
          <t>无客商-计提汤村复1地块4月</t>
        </is>
      </c>
      <c r="C576" t="n">
        <v/>
      </c>
      <c r="D576" t="n">
        <v>107440</v>
      </c>
    </row>
    <row r="577">
      <c r="A577" t="inlineStr">
        <is>
          <t>间接费</t>
        </is>
      </c>
      <c r="B577" t="inlineStr">
        <is>
          <t>无客商-计提汤村复1地块5月</t>
        </is>
      </c>
      <c r="C577" t="n">
        <v/>
      </c>
      <c r="D577" t="n">
        <v>124965.74</v>
      </c>
    </row>
    <row r="578">
      <c r="A578" t="inlineStr">
        <is>
          <t>间接费</t>
        </is>
      </c>
      <c r="B578" t="inlineStr">
        <is>
          <t>无客商-计提汤村复1地块6月</t>
        </is>
      </c>
      <c r="C578" t="n">
        <v/>
      </c>
      <c r="D578" t="n">
        <v>74180.74000000001</v>
      </c>
    </row>
    <row r="579">
      <c r="A579" t="inlineStr">
        <is>
          <t>间接费</t>
        </is>
      </c>
      <c r="B579" t="inlineStr">
        <is>
          <t>无客商-计提汤村复1地块7月</t>
        </is>
      </c>
      <c r="C579" t="n">
        <v/>
      </c>
      <c r="D579" t="n">
        <v>94969.67</v>
      </c>
    </row>
    <row r="580">
      <c r="A580" t="inlineStr">
        <is>
          <t>间接费</t>
        </is>
      </c>
      <c r="B580" t="inlineStr">
        <is>
          <t>无客商-计提汤村复1地块8月</t>
        </is>
      </c>
      <c r="C580" t="n">
        <v/>
      </c>
      <c r="D580" t="n">
        <v>174963.8</v>
      </c>
    </row>
    <row r="581">
      <c r="A581" t="inlineStr">
        <is>
          <t>间接费</t>
        </is>
      </c>
      <c r="B581" t="inlineStr">
        <is>
          <t>无客商-计提汤村复1地块9月</t>
        </is>
      </c>
      <c r="C581" t="n">
        <v/>
      </c>
      <c r="D581" t="n">
        <v>14553.8</v>
      </c>
    </row>
    <row r="582">
      <c r="A582" t="inlineStr">
        <is>
          <t>间接费</t>
        </is>
      </c>
      <c r="B582" t="inlineStr">
        <is>
          <t>无客商-计提汤村复1地块人员</t>
        </is>
      </c>
      <c r="C582" t="n">
        <v/>
      </c>
      <c r="D582" t="n">
        <v>-3977.88</v>
      </c>
    </row>
    <row r="583">
      <c r="A583" t="inlineStr">
        <is>
          <t>间接费</t>
        </is>
      </c>
      <c r="B583" t="inlineStr">
        <is>
          <t>无客商-计提汤村复1地块社保</t>
        </is>
      </c>
      <c r="C583" t="n">
        <v/>
      </c>
      <c r="D583" t="n">
        <v>420004.78</v>
      </c>
    </row>
    <row r="584">
      <c r="A584" t="inlineStr">
        <is>
          <t>间接费</t>
        </is>
      </c>
      <c r="B584" t="inlineStr">
        <is>
          <t>无客商-计提汤村复1地块薪酬</t>
        </is>
      </c>
      <c r="C584" t="n">
        <v/>
      </c>
      <c r="D584" t="n">
        <v>181631.1</v>
      </c>
    </row>
    <row r="585">
      <c r="A585" t="inlineStr">
        <is>
          <t>间接费</t>
        </is>
      </c>
      <c r="B585" t="inlineStr">
        <is>
          <t>无客商-计提汤村复1地块项目</t>
        </is>
      </c>
      <c r="C585" t="n">
        <v/>
      </c>
      <c r="D585" t="n">
        <v>98003.85000000001</v>
      </c>
    </row>
    <row r="586">
      <c r="A586" t="inlineStr">
        <is>
          <t>间接费</t>
        </is>
      </c>
      <c r="B586" t="inlineStr">
        <is>
          <t>无客商-计提汤村复1项目20</t>
        </is>
      </c>
      <c r="C586" t="n">
        <v/>
      </c>
      <c r="D586" t="n">
        <v>21202.27</v>
      </c>
    </row>
    <row r="587">
      <c r="A587" t="inlineStr">
        <is>
          <t>间接费</t>
        </is>
      </c>
      <c r="B587" t="inlineStr">
        <is>
          <t>无客商-计提汤村复地块12月</t>
        </is>
      </c>
      <c r="C587" t="n">
        <v/>
      </c>
      <c r="D587" t="n">
        <v>44271.65</v>
      </c>
    </row>
    <row r="588">
      <c r="A588" t="inlineStr">
        <is>
          <t>间接费</t>
        </is>
      </c>
      <c r="B588" t="inlineStr">
        <is>
          <t>无客商-计提汤村复建1号地块</t>
        </is>
      </c>
      <c r="C588" t="n">
        <v/>
      </c>
      <c r="D588" t="n">
        <v>34659.81</v>
      </c>
    </row>
    <row r="589">
      <c r="A589" t="inlineStr">
        <is>
          <t>间接费</t>
        </is>
      </c>
      <c r="B589" t="inlineStr">
        <is>
          <t>无客商-计提汤村复建区1号地</t>
        </is>
      </c>
      <c r="C589" t="n">
        <v/>
      </c>
      <c r="D589" t="n">
        <v>461942.97</v>
      </c>
    </row>
    <row r="590">
      <c r="A590" t="inlineStr">
        <is>
          <t>间接费</t>
        </is>
      </c>
      <c r="B590" t="inlineStr">
        <is>
          <t>无客商-计提汤村项目复建区1</t>
        </is>
      </c>
      <c r="C590" t="n">
        <v/>
      </c>
      <c r="D590" t="n">
        <v>70711.42999999999</v>
      </c>
    </row>
    <row r="591">
      <c r="A591" t="inlineStr">
        <is>
          <t>间接费</t>
        </is>
      </c>
      <c r="B591" t="inlineStr">
        <is>
          <t>无客商-调整汤村复1地块进项</t>
        </is>
      </c>
      <c r="C591" t="n">
        <v/>
      </c>
      <c r="D591" t="n">
        <v>19.85</v>
      </c>
    </row>
    <row r="592">
      <c r="A592" t="inlineStr">
        <is>
          <t>间接费</t>
        </is>
      </c>
      <c r="B592" t="inlineStr">
        <is>
          <t>无客商-黄旭栋报销公司培训住</t>
        </is>
      </c>
      <c r="C592" t="n">
        <v/>
      </c>
      <c r="D592" t="n">
        <v>1191.29</v>
      </c>
    </row>
    <row r="593">
      <c r="A593" t="inlineStr">
        <is>
          <t>间接费</t>
        </is>
      </c>
      <c r="B593" t="inlineStr">
        <is>
          <t>无客商-黄旭栋报销汤村旧村改</t>
        </is>
      </c>
      <c r="C593" t="n">
        <v/>
      </c>
      <c r="D593" t="n">
        <v>12098.29</v>
      </c>
    </row>
    <row r="594">
      <c r="A594" t="inlineStr">
        <is>
          <t>间接费</t>
        </is>
      </c>
      <c r="B594" t="inlineStr">
        <is>
          <t>无客商-黄旭栋报销汤村项目2</t>
        </is>
      </c>
      <c r="C594" t="n">
        <v/>
      </c>
      <c r="D594" t="n">
        <v>87754.81</v>
      </c>
    </row>
    <row r="595">
      <c r="A595" t="inlineStr">
        <is>
          <t>间接费</t>
        </is>
      </c>
      <c r="B595" t="inlineStr">
        <is>
          <t>无客商-黄旭栋报销汤村项目公</t>
        </is>
      </c>
      <c r="C595" t="n">
        <v/>
      </c>
      <c r="D595" t="n">
        <v>23116.07</v>
      </c>
    </row>
    <row r="596">
      <c r="A596" t="inlineStr">
        <is>
          <t>间接费</t>
        </is>
      </c>
      <c r="B596" t="inlineStr">
        <is>
          <t>无客商-黄旭栋报销电脑维修费</t>
        </is>
      </c>
      <c r="C596" t="n">
        <v/>
      </c>
      <c r="D596" t="n">
        <v>316.83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E82"/>
  <sheetViews>
    <sheetView tabSelected="1" zoomScale="60" zoomScaleNormal="60" workbookViewId="0">
      <selection activeCell="A1" sqref="A1:S2"/>
    </sheetView>
  </sheetViews>
  <sheetFormatPr baseColWidth="8" defaultColWidth="10" defaultRowHeight="15"/>
  <cols>
    <col width="3.02727272727273" customWidth="1" style="8" min="1" max="1"/>
    <col width="21.8181818181818" customWidth="1" style="8" min="2" max="2"/>
    <col width="16.7636363636364" customWidth="1" style="8" min="3" max="3"/>
    <col width="37.7545454545455" customWidth="1" style="8" min="4" max="4"/>
    <col width="35.0545454545455" customWidth="1" style="8" min="5" max="5"/>
    <col width="20" customWidth="1" style="8" min="6" max="6"/>
    <col width="19.1909090909091" customWidth="1" style="8" min="7" max="7"/>
    <col width="20.9090909090909" customWidth="1" style="8" min="8" max="8"/>
    <col width="25.2545454545455" customWidth="1" style="8" min="9" max="9"/>
    <col width="20.9090909090909" customWidth="1" style="8" min="10" max="11"/>
    <col width="24.0363636363636" customWidth="1" style="138" min="12" max="12"/>
    <col width="26.7636363636364" customWidth="1" style="8" min="13" max="13"/>
    <col width="24.3454545454545" customWidth="1" style="8" min="14" max="14"/>
    <col width="23.4363636363636" customWidth="1" style="8" min="15" max="15"/>
    <col width="18.4818181818182" customWidth="1" style="8" min="16" max="16"/>
    <col width="20.7090909090909" customWidth="1" style="8" min="17" max="17"/>
    <col width="20.8090909090909" customWidth="1" style="8" min="18" max="18"/>
    <col width="19.7" customWidth="1" style="8" min="19" max="25"/>
    <col width="20.4" customWidth="1" style="8" min="26" max="26"/>
    <col width="17.8818181818182" customWidth="1" style="8" min="27" max="27"/>
    <col width="20" customWidth="1" style="8" min="28" max="28"/>
    <col width="18.8909090909091" customWidth="1" style="8" min="29" max="34"/>
    <col width="21.0090909090909" customWidth="1" style="8" min="35" max="35"/>
    <col width="12.3272727272727" customWidth="1" style="8" min="36" max="36"/>
    <col width="18.1818181818182" customWidth="1" style="8" min="37" max="37"/>
    <col width="12.3272727272727" customWidth="1" style="8" min="38" max="38"/>
    <col width="10" customWidth="1" style="10" min="39" max="16384"/>
  </cols>
  <sheetData>
    <row r="1" ht="12.75" customFormat="1" customHeight="1" s="1">
      <c r="A1" s="11" t="inlineStr">
        <is>
          <t xml:space="preserve">            项目效益审核表               单位：元</t>
        </is>
      </c>
      <c r="B1" s="139" t="n"/>
      <c r="C1" s="139" t="n"/>
      <c r="D1" s="139" t="n"/>
      <c r="E1" s="139" t="n"/>
      <c r="F1" s="139" t="n"/>
      <c r="G1" s="139" t="n"/>
      <c r="H1" s="139" t="n"/>
      <c r="I1" s="139" t="n"/>
      <c r="J1" s="139" t="n"/>
      <c r="K1" s="139" t="n"/>
      <c r="L1" s="139" t="n"/>
      <c r="M1" s="139" t="n"/>
      <c r="N1" s="139" t="n"/>
      <c r="O1" s="139" t="n"/>
      <c r="P1" s="139" t="n"/>
      <c r="Q1" s="139" t="n"/>
      <c r="R1" s="139" t="n"/>
      <c r="S1" s="139" t="n"/>
      <c r="T1" s="12" t="n"/>
      <c r="U1" s="12" t="n"/>
      <c r="V1" s="12" t="n"/>
      <c r="W1" s="12" t="n"/>
      <c r="X1" s="12" t="n"/>
      <c r="Y1" s="12" t="n"/>
      <c r="Z1" s="12" t="n"/>
      <c r="AA1" s="140" t="n"/>
    </row>
    <row r="2" ht="12.75" customFormat="1" customHeight="1" s="1">
      <c r="A2" s="139" t="n"/>
      <c r="B2" s="139" t="n"/>
      <c r="C2" s="139" t="n"/>
      <c r="D2" s="139" t="n"/>
      <c r="E2" s="139" t="n"/>
      <c r="F2" s="139" t="n"/>
      <c r="G2" s="139" t="n"/>
      <c r="H2" s="139" t="n"/>
      <c r="I2" s="139" t="n"/>
      <c r="J2" s="139" t="n"/>
      <c r="K2" s="139" t="n"/>
      <c r="L2" s="139" t="n"/>
      <c r="M2" s="139" t="n"/>
      <c r="N2" s="139" t="n"/>
      <c r="O2" s="139" t="n"/>
      <c r="P2" s="139" t="n"/>
      <c r="Q2" s="139" t="n"/>
      <c r="R2" s="139" t="n"/>
      <c r="S2" s="139" t="n"/>
      <c r="T2" s="12" t="n"/>
      <c r="U2" s="12" t="n"/>
      <c r="V2" s="12" t="n"/>
      <c r="W2" s="12" t="n"/>
      <c r="X2" s="12" t="n"/>
      <c r="Y2" s="12" t="n"/>
      <c r="Z2" s="12" t="n"/>
      <c r="AA2" s="141" t="n"/>
    </row>
    <row r="3" ht="26" customFormat="1" customHeight="1" s="1">
      <c r="A3" s="15" t="inlineStr">
        <is>
          <t>序号</t>
        </is>
      </c>
      <c r="B3" s="14" t="inlineStr">
        <is>
          <t>业主名称：</t>
        </is>
      </c>
      <c r="C3" s="139" t="n"/>
      <c r="D3" s="139" t="n"/>
      <c r="E3" s="14" t="inlineStr">
        <is>
          <t>业主所属集团：</t>
        </is>
      </c>
      <c r="F3" s="139" t="n"/>
      <c r="G3" s="14" t="inlineStr">
        <is>
          <t>我司签约单位：</t>
        </is>
      </c>
      <c r="H3" s="139" t="n"/>
      <c r="I3" s="139" t="n"/>
      <c r="J3" s="14" t="inlineStr">
        <is>
          <t>本表填报时间：</t>
        </is>
      </c>
      <c r="K3" s="139" t="n"/>
      <c r="L3" s="14" t="inlineStr">
        <is>
          <t>数据截止时间：</t>
        </is>
      </c>
      <c r="M3" s="139" t="n"/>
      <c r="N3" s="12" t="n"/>
      <c r="O3" s="12" t="n"/>
      <c r="P3" s="12" t="n"/>
      <c r="Q3" s="12" t="n"/>
      <c r="R3" s="12" t="n"/>
      <c r="S3" s="79" t="n"/>
      <c r="T3" s="79" t="n"/>
      <c r="U3" s="79" t="n"/>
      <c r="V3" s="79" t="n"/>
      <c r="W3" s="79" t="n"/>
      <c r="X3" s="79" t="n"/>
      <c r="Y3" s="79" t="n"/>
      <c r="Z3" s="12" t="n"/>
      <c r="AA3" s="141" t="n"/>
    </row>
    <row r="4" ht="18" customFormat="1" customHeight="1" s="1">
      <c r="A4" s="142" t="n"/>
      <c r="B4" s="16" t="inlineStr">
        <is>
          <t>利润中心编码</t>
        </is>
      </c>
      <c r="C4" s="16" t="inlineStr">
        <is>
          <t>项目编码</t>
        </is>
      </c>
      <c r="D4" s="17" t="inlineStr">
        <is>
          <t>工程名称（与一体化保持一致）</t>
        </is>
      </c>
      <c r="E4" s="18" t="inlineStr">
        <is>
          <t>项目状态（点选）</t>
        </is>
      </c>
      <c r="F4" s="19" t="inlineStr">
        <is>
          <t>是否办理最终结算</t>
        </is>
      </c>
      <c r="G4" s="20" t="inlineStr">
        <is>
          <t>最终结算时间</t>
        </is>
      </c>
      <c r="H4" s="143" t="inlineStr">
        <is>
          <t>商务/材料确认</t>
        </is>
      </c>
      <c r="I4" s="144" t="n"/>
      <c r="J4" s="144" t="n"/>
      <c r="K4" s="144" t="n"/>
      <c r="L4" s="145" t="n"/>
      <c r="M4" s="146" t="inlineStr">
        <is>
          <t>财务确认</t>
        </is>
      </c>
      <c r="N4" s="144" t="n"/>
      <c r="O4" s="144" t="n"/>
      <c r="P4" s="144" t="n"/>
      <c r="Q4" s="144" t="n"/>
      <c r="R4" s="145" t="n"/>
      <c r="S4" s="147" t="inlineStr">
        <is>
          <t>债权情况</t>
        </is>
      </c>
      <c r="T4" s="144" t="n"/>
      <c r="U4" s="144" t="n"/>
      <c r="V4" s="144" t="n"/>
      <c r="W4" s="144" t="n"/>
      <c r="X4" s="144" t="n"/>
      <c r="Y4" s="145" t="n"/>
      <c r="Z4" s="148" t="inlineStr">
        <is>
          <t>税务情况</t>
        </is>
      </c>
      <c r="AA4" s="144" t="n"/>
      <c r="AB4" s="144" t="n"/>
      <c r="AC4" s="144" t="n"/>
      <c r="AD4" s="144" t="n"/>
      <c r="AE4" s="144" t="n"/>
      <c r="AF4" s="144" t="n"/>
      <c r="AG4" s="144" t="n"/>
      <c r="AH4" s="144" t="n"/>
      <c r="AI4" s="144" t="n"/>
      <c r="AJ4" s="144" t="n"/>
      <c r="AK4" s="145" t="n"/>
      <c r="AL4" s="149" t="inlineStr">
        <is>
          <t>备注</t>
        </is>
      </c>
    </row>
    <row r="5" ht="38.15" customFormat="1" customHeight="1" s="1">
      <c r="A5" s="142" t="n"/>
      <c r="B5" s="150" t="n"/>
      <c r="C5" s="150" t="n"/>
      <c r="D5" s="150" t="n"/>
      <c r="E5" s="150" t="n"/>
      <c r="F5" s="150" t="n"/>
      <c r="G5" s="150" t="n"/>
      <c r="H5" s="143" t="inlineStr">
        <is>
          <t>业主累计确认工程量
(含增值税)</t>
        </is>
      </c>
      <c r="I5" s="143" t="inlineStr">
        <is>
          <t>已完成未确权工程量
(含增值税)</t>
        </is>
      </c>
      <c r="J5" s="143" t="inlineStr">
        <is>
          <t>累计实际完成工作量
(含增值税)</t>
        </is>
      </c>
      <c r="K5" s="151" t="inlineStr">
        <is>
          <t>其中：实际收入应计增值税</t>
        </is>
      </c>
      <c r="L5" s="152" t="inlineStr">
        <is>
          <t>累计实际完成工作量（不含增值税）</t>
        </is>
      </c>
      <c r="M5" s="153" t="inlineStr">
        <is>
          <t>财务累计入账收入
（不含增值税）</t>
        </is>
      </c>
      <c r="N5" s="153" t="inlineStr">
        <is>
          <t>已价税分离的增值税金额(财务账面数据)</t>
        </is>
      </c>
      <c r="O5" s="153" t="inlineStr">
        <is>
          <t>应入未入账收入（商务实际完成不含税产值-财务账面列报收入）</t>
        </is>
      </c>
      <c r="P5" s="153" t="inlineStr">
        <is>
          <t>尚未价税分离的增值税金</t>
        </is>
      </c>
      <c r="Q5" s="153" t="inlineStr">
        <is>
          <t>财务累计应确认收入（不含增值税）</t>
        </is>
      </c>
      <c r="R5" s="153" t="inlineStr">
        <is>
          <t>财务累计应确认收入（含增值税）</t>
        </is>
      </c>
      <c r="S5" s="154" t="inlineStr">
        <is>
          <t>实际收款</t>
        </is>
      </c>
      <c r="T5" s="154" t="inlineStr">
        <is>
          <t>其中：财务账面已列报收款</t>
        </is>
      </c>
      <c r="U5" s="154" t="inlineStr">
        <is>
          <t>其中：已抵债未入账收款</t>
        </is>
      </c>
      <c r="V5" s="154" t="inlineStr">
        <is>
          <t>其中：其他未入账收款</t>
        </is>
      </c>
      <c r="W5" s="154" t="inlineStr">
        <is>
          <t>债权总额</t>
        </is>
      </c>
      <c r="X5" s="154" t="inlineStr">
        <is>
          <t>其中：应收总额</t>
        </is>
      </c>
      <c r="Y5" s="155" t="inlineStr">
        <is>
          <t>是否已取得对账单
（以取得双方用印对账单为准）</t>
        </is>
      </c>
      <c r="Z5" s="156" t="inlineStr">
        <is>
          <t>累计已开发票（含税）</t>
        </is>
      </c>
      <c r="AA5" s="156" t="inlineStr">
        <is>
          <t>其中：分包抵扣发票额
（含税）</t>
        </is>
      </c>
      <c r="AB5" s="156" t="inlineStr">
        <is>
          <t>其中：增值税项下已抵扣税额</t>
        </is>
      </c>
      <c r="AC5" s="156" t="inlineStr">
        <is>
          <t>累计已开具营业税发票</t>
        </is>
      </c>
      <c r="AD5" s="156" t="inlineStr">
        <is>
          <t>其中：分包分供抵扣发票额</t>
        </is>
      </c>
      <c r="AE5" s="156" t="inlineStr">
        <is>
          <t>累计已开具增值税发票
（含税）</t>
        </is>
      </c>
      <c r="AF5" s="156" t="inlineStr">
        <is>
          <t>其中：预缴时分包抵扣发票额</t>
        </is>
      </c>
      <c r="AG5" s="156" t="inlineStr">
        <is>
          <t>其中：增值税项下已抵扣税额</t>
        </is>
      </c>
      <c r="AH5" s="156" t="inlineStr">
        <is>
          <t>按结算未开具发票额</t>
        </is>
      </c>
      <c r="AI5" s="156" t="inlineStr">
        <is>
          <t>按收款未开具发票额</t>
        </is>
      </c>
      <c r="AJ5" s="156" t="inlineStr">
        <is>
          <t>当前适用税率</t>
        </is>
      </c>
      <c r="AK5" s="156" t="inlineStr">
        <is>
          <t>应收账款-待转销税额</t>
        </is>
      </c>
      <c r="AL5" s="142" t="n"/>
    </row>
    <row r="6" ht="28.5" customFormat="1" customHeight="1" s="2">
      <c r="A6" s="142" t="n"/>
      <c r="B6" s="15" t="n"/>
      <c r="C6" s="15" t="n"/>
      <c r="D6" s="15" t="inlineStr">
        <is>
          <t>XX项目</t>
        </is>
      </c>
      <c r="E6" s="22" t="n"/>
      <c r="F6" s="22" t="n"/>
      <c r="G6" s="22" t="n"/>
      <c r="H6" s="157" t="n"/>
      <c r="I6" s="157" t="n"/>
      <c r="J6" s="158">
        <f>H6+I6</f>
        <v/>
      </c>
      <c r="K6" s="158" t="n"/>
      <c r="L6" s="159">
        <f>J6-K6</f>
        <v/>
      </c>
      <c r="M6" s="160" t="n"/>
      <c r="N6" s="160" t="n"/>
      <c r="O6" s="160">
        <f>L6-M6</f>
        <v/>
      </c>
      <c r="P6" s="160">
        <f>K6-N6</f>
        <v/>
      </c>
      <c r="Q6" s="161">
        <f>M6+O6</f>
        <v/>
      </c>
      <c r="R6" s="161">
        <f>M6+N6+O6+P6</f>
        <v/>
      </c>
      <c r="S6" s="162" t="n"/>
      <c r="T6" s="162" t="n"/>
      <c r="U6" s="162" t="n"/>
      <c r="V6" s="162" t="n"/>
      <c r="W6" s="162" t="n"/>
      <c r="X6" s="162" t="n"/>
      <c r="Y6" s="162" t="n"/>
      <c r="Z6" s="163">
        <f>SUM(AA6:AJ6)</f>
        <v/>
      </c>
      <c r="AA6" s="164" t="n"/>
      <c r="AB6" s="164" t="n"/>
      <c r="AC6" s="164" t="n"/>
      <c r="AD6" s="164" t="n"/>
      <c r="AE6" s="164" t="n"/>
      <c r="AF6" s="164" t="n"/>
      <c r="AG6" s="164" t="n"/>
      <c r="AH6" s="164" t="n"/>
      <c r="AI6" s="164" t="n"/>
      <c r="AJ6" s="164" t="n"/>
      <c r="AK6" s="164">
        <f>AB6/1.17*0.17+AC6/1.16*0.16+AD6/1.11*0.11+AE6/1.1*0.1+AF6/1.09*0.09+AI6/1.03*0.03</f>
        <v/>
      </c>
      <c r="AL6" s="142" t="n"/>
    </row>
    <row r="7" ht="17.15" customFormat="1" customHeight="1" s="1">
      <c r="A7" s="142" t="n"/>
      <c r="B7" s="16" t="inlineStr">
        <is>
          <t>客商编码</t>
        </is>
      </c>
      <c r="C7" s="16" t="inlineStr">
        <is>
          <t>合同编码</t>
        </is>
      </c>
      <c r="D7" s="17" t="inlineStr">
        <is>
          <t>客商名称</t>
        </is>
      </c>
      <c r="E7" s="19" t="inlineStr">
        <is>
          <t>主要工作内容</t>
        </is>
      </c>
      <c r="F7" s="19" t="inlineStr">
        <is>
          <t>是否办理最终结算</t>
        </is>
      </c>
      <c r="G7" s="20" t="inlineStr">
        <is>
          <t>最终结算时间</t>
        </is>
      </c>
      <c r="H7" s="165" t="inlineStr">
        <is>
          <t>商务、物资确认</t>
        </is>
      </c>
      <c r="I7" s="144" t="n"/>
      <c r="J7" s="144" t="n"/>
      <c r="K7" s="144" t="n"/>
      <c r="L7" s="145" t="n"/>
      <c r="M7" s="146" t="inlineStr">
        <is>
          <t>财务确认</t>
        </is>
      </c>
      <c r="N7" s="144" t="n"/>
      <c r="O7" s="144" t="n"/>
      <c r="P7" s="144" t="n"/>
      <c r="Q7" s="144" t="n"/>
      <c r="R7" s="145" t="n"/>
      <c r="S7" s="147" t="inlineStr">
        <is>
          <t>债务情况</t>
        </is>
      </c>
      <c r="T7" s="144" t="n"/>
      <c r="U7" s="144" t="n"/>
      <c r="V7" s="144" t="n"/>
      <c r="W7" s="144" t="n"/>
      <c r="X7" s="144" t="n"/>
      <c r="Y7" s="145" t="n"/>
      <c r="Z7" s="148" t="inlineStr">
        <is>
          <t>税务情况</t>
        </is>
      </c>
      <c r="AA7" s="144" t="n"/>
      <c r="AB7" s="144" t="n"/>
      <c r="AC7" s="144" t="n"/>
      <c r="AD7" s="144" t="n"/>
      <c r="AE7" s="144" t="n"/>
      <c r="AF7" s="144" t="n"/>
      <c r="AG7" s="144" t="n"/>
      <c r="AH7" s="144" t="n"/>
      <c r="AI7" s="144" t="n"/>
      <c r="AJ7" s="144" t="n"/>
      <c r="AK7" s="145" t="n"/>
      <c r="AL7" s="142" t="n"/>
    </row>
    <row r="8" ht="19" customFormat="1" customHeight="1" s="1">
      <c r="A8" s="142" t="n"/>
      <c r="B8" s="142" t="n"/>
      <c r="C8" s="142" t="n"/>
      <c r="D8" s="142" t="n"/>
      <c r="E8" s="142" t="n"/>
      <c r="F8" s="142" t="n"/>
      <c r="G8" s="142" t="n"/>
      <c r="H8" s="165" t="inlineStr">
        <is>
          <t>商务已结(含税)</t>
        </is>
      </c>
      <c r="I8" s="165" t="inlineStr">
        <is>
          <t>截止目前应结未结(含税)</t>
        </is>
      </c>
      <c r="J8" s="165" t="inlineStr">
        <is>
          <t>实际诶计成本(含税)</t>
        </is>
      </c>
      <c r="K8" s="166" t="inlineStr">
        <is>
          <t>累计成本可抵扣增值税税金</t>
        </is>
      </c>
      <c r="L8" s="167" t="inlineStr">
        <is>
          <t>实际累计成本
（不含可抵扣税金）</t>
        </is>
      </c>
      <c r="M8" s="153" t="inlineStr">
        <is>
          <t>截止目前财务已入账成本（不含增值税）
**同财务账面合同履约成本/工程施工成本一致**</t>
        </is>
      </c>
      <c r="N8" s="153" t="inlineStr">
        <is>
          <t>已价税分离的增值税金
（财务账面数据）</t>
        </is>
      </c>
      <c r="O8" s="153" t="inlineStr">
        <is>
          <t>应入未入账成本（不含增值税）</t>
        </is>
      </c>
      <c r="P8" s="153" t="inlineStr">
        <is>
          <t>尚未价税分离的增值税金</t>
        </is>
      </c>
      <c r="Q8" s="153" t="inlineStr">
        <is>
          <t>实际成本
（不含增值税）</t>
        </is>
      </c>
      <c r="R8" s="153" t="inlineStr">
        <is>
          <t>实际成本
（含增值税）</t>
        </is>
      </c>
      <c r="S8" s="154" t="inlineStr">
        <is>
          <t>累计付款</t>
        </is>
      </c>
      <c r="T8" s="154" t="inlineStr">
        <is>
          <t>其中：财务账面已列报付款</t>
        </is>
      </c>
      <c r="U8" s="154" t="inlineStr">
        <is>
          <t>其中：已办理供应链或票据背书未入账付款</t>
        </is>
      </c>
      <c r="V8" s="154" t="inlineStr">
        <is>
          <t>其中：其他未入账付款</t>
        </is>
      </c>
      <c r="W8" s="154" t="inlineStr">
        <is>
          <t>债务总额</t>
        </is>
      </c>
      <c r="X8" s="154" t="inlineStr">
        <is>
          <t>其中：应付总额</t>
        </is>
      </c>
      <c r="Y8" s="155" t="inlineStr">
        <is>
          <t>是否已取得对账单
（以取得双方用印对账单为准）</t>
        </is>
      </c>
      <c r="Z8" s="156" t="inlineStr">
        <is>
          <t>累计已收取发票（含税）</t>
        </is>
      </c>
      <c r="AA8" s="156" t="inlineStr">
        <is>
          <t>其中：累计已收取营业税发票额</t>
        </is>
      </c>
      <c r="AB8" s="156" t="inlineStr">
        <is>
          <t>其中：累计已收取增值税发票额</t>
        </is>
      </c>
      <c r="AC8" s="156" t="inlineStr">
        <is>
          <t>其中：营业税及增值税预缴时已抵扣发票额</t>
        </is>
      </c>
      <c r="AD8" s="156" t="inlineStr">
        <is>
          <t>已收取增值税发票对应税额</t>
        </is>
      </c>
      <c r="AE8" s="156" t="inlineStr">
        <is>
          <t>其中：已认证税额</t>
        </is>
      </c>
      <c r="AF8" s="156" t="inlineStr">
        <is>
          <t>已收取待认证税额</t>
        </is>
      </c>
      <c r="AG8" s="156" t="n"/>
      <c r="AH8" s="156" t="inlineStr">
        <is>
          <t>按结算未收取发票额</t>
        </is>
      </c>
      <c r="AI8" s="156" t="inlineStr">
        <is>
          <t>按付款未收取发票额</t>
        </is>
      </c>
      <c r="AJ8" s="156" t="inlineStr">
        <is>
          <t>当前适用税率</t>
        </is>
      </c>
      <c r="AK8" s="156" t="inlineStr">
        <is>
          <t>其他应收-待扣减税额</t>
        </is>
      </c>
      <c r="AL8" s="142" t="n"/>
    </row>
    <row r="9" ht="31" customFormat="1" customHeight="1" s="1">
      <c r="A9" s="150" t="n"/>
      <c r="B9" s="150" t="n"/>
      <c r="C9" s="150" t="n"/>
      <c r="D9" s="150" t="n"/>
      <c r="E9" s="150" t="n"/>
      <c r="F9" s="150" t="n"/>
      <c r="G9" s="150" t="n"/>
      <c r="H9" s="150" t="n"/>
      <c r="I9" s="150" t="n"/>
      <c r="J9" s="150" t="n"/>
      <c r="K9" s="150" t="n"/>
      <c r="L9" s="150" t="n"/>
      <c r="M9" s="150" t="n"/>
      <c r="N9" s="150" t="n"/>
      <c r="O9" s="150" t="n"/>
      <c r="P9" s="150" t="n"/>
      <c r="Q9" s="150" t="n"/>
      <c r="R9" s="150" t="n"/>
      <c r="S9" s="150" t="n"/>
      <c r="T9" s="150" t="n"/>
      <c r="U9" s="150" t="n"/>
      <c r="V9" s="150" t="n"/>
      <c r="W9" s="150" t="n"/>
      <c r="X9" s="150" t="n"/>
      <c r="Y9" s="150" t="n"/>
      <c r="Z9" s="150" t="n"/>
      <c r="AA9" s="150" t="n"/>
      <c r="AB9" s="150" t="n"/>
      <c r="AC9" s="150" t="n"/>
      <c r="AD9" s="150" t="n"/>
      <c r="AE9" s="150" t="n"/>
      <c r="AF9" s="150" t="n"/>
      <c r="AG9" s="150" t="n"/>
      <c r="AH9" s="150" t="n"/>
      <c r="AI9" s="150" t="n"/>
      <c r="AJ9" s="150" t="n"/>
      <c r="AK9" s="150" t="n"/>
      <c r="AL9" s="142" t="n"/>
    </row>
    <row r="10" ht="13" customFormat="1" customHeight="1" s="1">
      <c r="A10" s="25" t="n"/>
      <c r="B10" s="26" t="n">
        <v>1</v>
      </c>
      <c r="C10" s="26" t="n">
        <v>2</v>
      </c>
      <c r="D10" s="26" t="n">
        <v>3</v>
      </c>
      <c r="E10" s="26" t="n">
        <v>4</v>
      </c>
      <c r="F10" s="26" t="n">
        <v>5</v>
      </c>
      <c r="G10" s="26" t="n">
        <v>6</v>
      </c>
      <c r="H10" s="26" t="n">
        <v>7</v>
      </c>
      <c r="I10" s="26" t="n">
        <v>8</v>
      </c>
      <c r="J10" s="26" t="inlineStr">
        <is>
          <t>9=7+8</t>
        </is>
      </c>
      <c r="K10" s="26" t="n">
        <v>10</v>
      </c>
      <c r="L10" s="26" t="inlineStr">
        <is>
          <t>11=9-10</t>
        </is>
      </c>
      <c r="M10" s="26" t="n">
        <v>12</v>
      </c>
      <c r="N10" s="26" t="n">
        <v>13</v>
      </c>
      <c r="O10" s="26" t="inlineStr">
        <is>
          <t>14=11-12</t>
        </is>
      </c>
      <c r="P10" s="68" t="inlineStr">
        <is>
          <t>15=10-13</t>
        </is>
      </c>
      <c r="Q10" s="26" t="inlineStr">
        <is>
          <t>16=12+14</t>
        </is>
      </c>
      <c r="R10" s="68" t="inlineStr">
        <is>
          <t>17=12+13+14+15</t>
        </is>
      </c>
      <c r="S10" s="26" t="n">
        <v>18</v>
      </c>
      <c r="T10" s="26" t="n">
        <v>19</v>
      </c>
      <c r="U10" s="26" t="n">
        <v>20</v>
      </c>
      <c r="V10" s="26" t="n">
        <v>21</v>
      </c>
      <c r="W10" s="26" t="n">
        <v>22</v>
      </c>
      <c r="X10" s="26" t="n">
        <v>23</v>
      </c>
      <c r="Y10" s="26" t="n">
        <v>24</v>
      </c>
      <c r="Z10" s="26" t="n">
        <v>25</v>
      </c>
      <c r="AA10" s="26" t="n">
        <v>26</v>
      </c>
      <c r="AB10" s="26" t="n">
        <v>27</v>
      </c>
      <c r="AC10" s="26" t="n">
        <v>28</v>
      </c>
      <c r="AD10" s="26" t="n">
        <v>29</v>
      </c>
      <c r="AE10" s="26" t="n">
        <v>30</v>
      </c>
      <c r="AF10" s="26" t="n">
        <v>31</v>
      </c>
      <c r="AG10" s="26" t="n">
        <v>32</v>
      </c>
      <c r="AH10" s="26" t="n">
        <v>33</v>
      </c>
      <c r="AI10" s="26" t="n">
        <v>34</v>
      </c>
      <c r="AJ10" s="26" t="n">
        <v>35</v>
      </c>
      <c r="AK10" s="26" t="n">
        <v>36</v>
      </c>
      <c r="AL10" s="150" t="n"/>
    </row>
    <row r="11" ht="16.15" customFormat="1" customHeight="1" s="1">
      <c r="A11" s="27" t="n"/>
      <c r="B11" s="27" t="n"/>
      <c r="C11" s="27" t="n"/>
      <c r="D11" s="28" t="inlineStr">
        <is>
          <t>二、成本</t>
        </is>
      </c>
      <c r="E11" s="27" t="n"/>
      <c r="F11" s="27" t="n"/>
      <c r="G11" s="27" t="n"/>
      <c r="H11" s="163" t="n"/>
      <c r="I11" s="163" t="n"/>
      <c r="J11" s="163" t="n"/>
      <c r="K11" s="168" t="n"/>
      <c r="L11" s="169" t="n"/>
      <c r="M11" s="158" t="n"/>
      <c r="N11" s="158" t="n"/>
      <c r="O11" s="163" t="n"/>
      <c r="P11" s="163" t="n"/>
      <c r="Q11" s="163">
        <f>M11+O11</f>
        <v/>
      </c>
      <c r="R11" s="163" t="n"/>
      <c r="S11" s="170" t="n"/>
      <c r="T11" s="170" t="n"/>
      <c r="U11" s="170" t="n"/>
      <c r="V11" s="170" t="n"/>
      <c r="W11" s="170" t="n"/>
      <c r="X11" s="170" t="n"/>
      <c r="Y11" s="170" t="n"/>
      <c r="Z11" s="170" t="n"/>
      <c r="AA11" s="170" t="n"/>
      <c r="AB11" s="170" t="n"/>
      <c r="AC11" s="170" t="n"/>
      <c r="AD11" s="170" t="n"/>
      <c r="AE11" s="170" t="n"/>
      <c r="AF11" s="170" t="n"/>
      <c r="AG11" s="170" t="n"/>
      <c r="AH11" s="170" t="n"/>
      <c r="AI11" s="170" t="n"/>
      <c r="AJ11" s="170" t="n"/>
      <c r="AK11" s="164">
        <f>AB11/1.17*0.17+AC11/1.16*0.16+AD11/1.11*0.11+AE11/1.1*0.1+AF11/1.09*0.09+AI11/1.03*0.03</f>
        <v/>
      </c>
      <c r="AL11" s="95" t="n"/>
    </row>
    <row r="12" ht="20" customFormat="1" customHeight="1" s="1">
      <c r="A12" s="27" t="n"/>
      <c r="B12" s="27" t="n"/>
      <c r="C12" s="27" t="n"/>
      <c r="D12" s="30" t="inlineStr">
        <is>
          <t>（一）人工费</t>
        </is>
      </c>
      <c r="E12" s="27" t="n"/>
      <c r="F12" s="27" t="n"/>
      <c r="G12" s="27" t="n"/>
      <c r="H12" s="163" t="n"/>
      <c r="I12" s="163" t="n"/>
      <c r="J12" s="163" t="n"/>
      <c r="K12" s="168" t="n"/>
      <c r="L12" s="169" t="n"/>
      <c r="M12" s="158" t="n"/>
      <c r="N12" s="158" t="n"/>
      <c r="O12" s="163" t="n"/>
      <c r="P12" s="163" t="n"/>
      <c r="Q12" s="163">
        <f>M12+O12</f>
        <v/>
      </c>
      <c r="R12" s="158" t="n"/>
      <c r="S12" s="164" t="n"/>
      <c r="T12" s="164" t="n"/>
      <c r="U12" s="164" t="n"/>
      <c r="V12" s="164" t="n"/>
      <c r="W12" s="164" t="n"/>
      <c r="X12" s="164" t="n"/>
      <c r="Y12" s="164" t="n"/>
      <c r="Z12" s="164" t="n"/>
      <c r="AA12" s="170" t="n"/>
      <c r="AB12" s="170" t="n"/>
      <c r="AC12" s="170" t="n"/>
      <c r="AD12" s="170" t="n"/>
      <c r="AE12" s="170" t="n"/>
      <c r="AF12" s="170" t="n"/>
      <c r="AG12" s="170" t="n"/>
      <c r="AH12" s="170" t="n"/>
      <c r="AI12" s="170" t="n"/>
      <c r="AJ12" s="170" t="n"/>
      <c r="AK12" s="164">
        <f>AB12/1.17*0.17+AC12/1.16*0.16+AD12/1.11*0.11+AE12/1.1*0.1+AF12/1.09*0.09+AI12/1.03*0.03</f>
        <v/>
      </c>
      <c r="AL12" s="95" t="n"/>
    </row>
    <row r="13" ht="20" customFormat="1" customHeight="1" s="1">
      <c r="A13" s="27" t="n">
        <v>1</v>
      </c>
      <c r="B13" s="27" t="n"/>
      <c r="C13" s="27" t="n"/>
      <c r="D13" s="171" t="n"/>
      <c r="E13" s="27" t="n"/>
      <c r="F13" s="27" t="n"/>
      <c r="G13" s="27" t="n"/>
      <c r="H13" s="163" t="n"/>
      <c r="I13" s="163" t="n"/>
      <c r="J13" s="163" t="n"/>
      <c r="K13" s="168" t="n"/>
      <c r="L13" s="172" t="n"/>
      <c r="M13" s="163" t="n"/>
      <c r="N13" s="163" t="n"/>
      <c r="O13" s="163" t="n"/>
      <c r="P13" s="163" t="n"/>
      <c r="Q13" s="163" t="n"/>
      <c r="R13" s="163" t="n"/>
      <c r="S13" s="164" t="n"/>
      <c r="T13" s="164" t="n"/>
      <c r="U13" s="164" t="n"/>
      <c r="V13" s="164" t="n"/>
      <c r="W13" s="164" t="n"/>
      <c r="X13" s="164" t="n"/>
      <c r="Y13" s="164" t="n"/>
      <c r="Z13" s="163">
        <f>SUM(AA13:AJ13)</f>
        <v/>
      </c>
      <c r="AA13" s="170" t="n"/>
      <c r="AB13" s="170" t="n"/>
      <c r="AC13" s="170" t="n"/>
      <c r="AD13" s="170" t="n"/>
      <c r="AE13" s="170" t="n"/>
      <c r="AF13" s="170" t="n"/>
      <c r="AG13" s="170" t="n"/>
      <c r="AH13" s="170" t="n"/>
      <c r="AI13" s="170" t="n"/>
      <c r="AJ13" s="170" t="n"/>
      <c r="AK13" s="164">
        <f>AB13/1.17*0.17+AC13/1.16*0.16+AD13/1.11*0.11+AE13/1.1*0.1+AF13/1.09*0.09+AI13/1.03*0.03</f>
        <v/>
      </c>
      <c r="AL13" s="95" t="n"/>
    </row>
    <row r="14" ht="20" customFormat="1" customHeight="1" s="1">
      <c r="A14" s="27" t="n">
        <v>2</v>
      </c>
      <c r="B14" s="27" t="n"/>
      <c r="C14" s="27" t="n"/>
      <c r="D14" s="171" t="n"/>
      <c r="E14" s="27" t="n"/>
      <c r="F14" s="27" t="n"/>
      <c r="G14" s="27" t="n"/>
      <c r="H14" s="163" t="n"/>
      <c r="I14" s="163" t="n"/>
      <c r="J14" s="163" t="n"/>
      <c r="K14" s="168" t="n"/>
      <c r="L14" s="172" t="n"/>
      <c r="M14" s="163" t="n"/>
      <c r="N14" s="163" t="n"/>
      <c r="O14" s="163" t="n"/>
      <c r="P14" s="163" t="n"/>
      <c r="Q14" s="163" t="n"/>
      <c r="R14" s="163" t="n"/>
      <c r="S14" s="164" t="n"/>
      <c r="T14" s="164" t="n"/>
      <c r="U14" s="164" t="n"/>
      <c r="V14" s="164" t="n"/>
      <c r="W14" s="164" t="n"/>
      <c r="X14" s="164" t="n"/>
      <c r="Y14" s="164" t="n"/>
      <c r="Z14" s="163">
        <f>SUM(AA14:AJ14)</f>
        <v/>
      </c>
      <c r="AA14" s="170" t="n"/>
      <c r="AB14" s="170" t="n"/>
      <c r="AC14" s="170" t="n"/>
      <c r="AD14" s="170" t="n"/>
      <c r="AE14" s="170" t="n"/>
      <c r="AF14" s="170" t="n"/>
      <c r="AG14" s="170" t="n"/>
      <c r="AH14" s="170" t="n"/>
      <c r="AI14" s="170" t="n"/>
      <c r="AJ14" s="170" t="n"/>
      <c r="AK14" s="164">
        <f>AB14/1.17*0.17+AC14/1.16*0.16+AD14/1.11*0.11+AE14/1.1*0.1+AF14/1.09*0.09+AI14/1.03*0.03</f>
        <v/>
      </c>
      <c r="AL14" s="95" t="n"/>
    </row>
    <row r="15" ht="20" customFormat="1" customHeight="1" s="1">
      <c r="A15" s="27" t="n">
        <v>3</v>
      </c>
      <c r="B15" s="27" t="n"/>
      <c r="C15" s="27" t="n"/>
      <c r="D15" s="171" t="n"/>
      <c r="E15" s="27" t="n"/>
      <c r="F15" s="27" t="n"/>
      <c r="G15" s="27" t="n"/>
      <c r="H15" s="163" t="n"/>
      <c r="I15" s="163" t="n"/>
      <c r="J15" s="163" t="n"/>
      <c r="K15" s="168" t="n"/>
      <c r="L15" s="172" t="n"/>
      <c r="M15" s="163" t="n"/>
      <c r="N15" s="163" t="n"/>
      <c r="O15" s="163" t="n"/>
      <c r="P15" s="163" t="n"/>
      <c r="Q15" s="163" t="n"/>
      <c r="R15" s="163" t="n"/>
      <c r="S15" s="164" t="n"/>
      <c r="T15" s="164" t="n"/>
      <c r="U15" s="164" t="n"/>
      <c r="V15" s="164" t="n"/>
      <c r="W15" s="164" t="n"/>
      <c r="X15" s="164" t="n"/>
      <c r="Y15" s="164" t="n"/>
      <c r="Z15" s="163">
        <f>SUM(AA15:AJ15)</f>
        <v/>
      </c>
      <c r="AA15" s="170" t="n"/>
      <c r="AB15" s="170" t="n"/>
      <c r="AC15" s="170" t="n"/>
      <c r="AD15" s="170" t="n"/>
      <c r="AE15" s="170" t="n"/>
      <c r="AF15" s="170" t="n"/>
      <c r="AG15" s="170" t="n"/>
      <c r="AH15" s="170" t="n"/>
      <c r="AI15" s="170" t="n"/>
      <c r="AJ15" s="170" t="n"/>
      <c r="AK15" s="164">
        <f>AB15/1.17*0.17+AC15/1.16*0.16+AD15/1.11*0.11+AE15/1.1*0.1+AF15/1.09*0.09+AI15/1.03*0.03</f>
        <v/>
      </c>
      <c r="AL15" s="95" t="n"/>
    </row>
    <row r="16" ht="20" customFormat="1" customHeight="1" s="2">
      <c r="A16" s="27" t="n"/>
      <c r="B16" s="27" t="n"/>
      <c r="C16" s="27" t="n"/>
      <c r="D16" s="32" t="inlineStr">
        <is>
          <t>**财务未列部分需增列***</t>
        </is>
      </c>
      <c r="E16" s="33" t="n"/>
      <c r="F16" s="33" t="n"/>
      <c r="G16" s="33" t="n"/>
      <c r="H16" s="163" t="n"/>
      <c r="I16" s="163" t="n"/>
      <c r="J16" s="163" t="n"/>
      <c r="K16" s="168" t="n"/>
      <c r="L16" s="172" t="n"/>
      <c r="M16" s="163" t="n"/>
      <c r="N16" s="163" t="n"/>
      <c r="O16" s="163" t="n"/>
      <c r="P16" s="163" t="n"/>
      <c r="Q16" s="163" t="n"/>
      <c r="R16" s="158" t="n"/>
      <c r="S16" s="163" t="n"/>
      <c r="T16" s="163" t="n"/>
      <c r="U16" s="163" t="n"/>
      <c r="V16" s="163" t="n"/>
      <c r="W16" s="163" t="n"/>
      <c r="X16" s="163" t="n"/>
      <c r="Y16" s="163" t="n"/>
      <c r="Z16" s="163">
        <f>SUM(AA16:AJ16)</f>
        <v/>
      </c>
      <c r="AA16" s="173" t="n"/>
      <c r="AB16" s="164" t="n"/>
      <c r="AC16" s="164" t="n"/>
      <c r="AD16" s="164" t="n"/>
      <c r="AE16" s="164" t="n"/>
      <c r="AF16" s="164" t="n"/>
      <c r="AG16" s="164" t="n"/>
      <c r="AH16" s="164" t="n"/>
      <c r="AI16" s="164" t="n"/>
      <c r="AJ16" s="164" t="n"/>
      <c r="AK16" s="164">
        <f>AB16/1.17*0.17+AC16/1.16*0.16+AD16/1.11*0.11+AE16/1.1*0.1+AF16/1.09*0.09+AI16/1.03*0.03</f>
        <v/>
      </c>
      <c r="AL16" s="96" t="n"/>
    </row>
    <row r="17" ht="20" customFormat="1" customHeight="1" s="1">
      <c r="A17" s="34" t="n"/>
      <c r="B17" s="34" t="n"/>
      <c r="C17" s="34" t="n"/>
      <c r="D17" s="35" t="inlineStr">
        <is>
          <t>人工费小计：</t>
        </is>
      </c>
      <c r="E17" s="34" t="n"/>
      <c r="F17" s="34" t="n"/>
      <c r="G17" s="34" t="n"/>
      <c r="H17" s="174">
        <f>SUM(H11:H16)</f>
        <v/>
      </c>
      <c r="I17" s="174">
        <f>SUM(I11:I16)</f>
        <v/>
      </c>
      <c r="J17" s="174" t="n"/>
      <c r="K17" s="174" t="n"/>
      <c r="L17" s="174" t="n"/>
      <c r="M17" s="174" t="n"/>
      <c r="N17" s="174" t="n"/>
      <c r="O17" s="174" t="n"/>
      <c r="P17" s="174" t="n"/>
      <c r="Q17" s="174" t="n"/>
      <c r="R17" s="174" t="n"/>
      <c r="S17" s="174">
        <f>SUM(S11:S16)</f>
        <v/>
      </c>
      <c r="T17" s="174" t="n"/>
      <c r="U17" s="174" t="n"/>
      <c r="V17" s="174" t="n"/>
      <c r="W17" s="174" t="n"/>
      <c r="X17" s="174" t="n"/>
      <c r="Y17" s="174" t="n"/>
      <c r="Z17" s="174">
        <f>SUM(Z11:Z16)</f>
        <v/>
      </c>
      <c r="AA17" s="174">
        <f>SUM(AA16:AA16)</f>
        <v/>
      </c>
      <c r="AB17" s="174">
        <f>SUM(AB16:AB16)</f>
        <v/>
      </c>
      <c r="AC17" s="174">
        <f>SUM(AC16:AC16)</f>
        <v/>
      </c>
      <c r="AD17" s="174">
        <f>SUM(AD16:AD16)</f>
        <v/>
      </c>
      <c r="AE17" s="174">
        <f>SUM(AE16:AE16)</f>
        <v/>
      </c>
      <c r="AF17" s="174">
        <f>SUM(AF16:AF16)</f>
        <v/>
      </c>
      <c r="AG17" s="174" t="n"/>
      <c r="AH17" s="174" t="n"/>
      <c r="AI17" s="174">
        <f>SUM(AI16:AI16)</f>
        <v/>
      </c>
      <c r="AJ17" s="174">
        <f>SUM(AJ16:AJ16)</f>
        <v/>
      </c>
      <c r="AK17" s="174">
        <f>SUM(AK16:AK16)</f>
        <v/>
      </c>
      <c r="AL17" s="95" t="n"/>
    </row>
    <row r="18" ht="20" customFormat="1" customHeight="1" s="1">
      <c r="A18" s="27" t="n"/>
      <c r="B18" s="27" t="n"/>
      <c r="C18" s="27" t="n"/>
      <c r="D18" s="37" t="inlineStr">
        <is>
          <t>（二）分包工程</t>
        </is>
      </c>
      <c r="E18" s="27" t="n"/>
      <c r="F18" s="27" t="n"/>
      <c r="G18" s="27" t="n"/>
      <c r="H18" s="163" t="n"/>
      <c r="I18" s="163" t="n"/>
      <c r="J18" s="163" t="n"/>
      <c r="K18" s="168" t="n"/>
      <c r="L18" s="172" t="n"/>
      <c r="M18" s="163" t="n"/>
      <c r="N18" s="163" t="n"/>
      <c r="O18" s="163" t="n"/>
      <c r="P18" s="163" t="n"/>
      <c r="Q18" s="163" t="n"/>
      <c r="R18" s="163" t="n"/>
      <c r="S18" s="170" t="n"/>
      <c r="T18" s="170" t="n"/>
      <c r="U18" s="170" t="n"/>
      <c r="V18" s="170" t="n"/>
      <c r="W18" s="170" t="n"/>
      <c r="X18" s="170" t="n"/>
      <c r="Y18" s="170" t="n"/>
      <c r="Z18" s="170" t="n"/>
      <c r="AA18" s="170" t="n"/>
      <c r="AB18" s="170" t="n"/>
      <c r="AC18" s="170" t="n"/>
      <c r="AD18" s="170" t="n"/>
      <c r="AE18" s="170" t="n"/>
      <c r="AF18" s="170" t="n"/>
      <c r="AG18" s="170" t="n"/>
      <c r="AH18" s="170" t="n"/>
      <c r="AI18" s="170" t="n"/>
      <c r="AJ18" s="170" t="n"/>
      <c r="AK18" s="164">
        <f>AB18/1.17*0.17+AC18/1.16*0.16+AD18/1.11*0.11+AE18/1.1*0.1+AF18/1.09*0.09+AI18/1.03*0.03</f>
        <v/>
      </c>
      <c r="AL18" s="95" t="n"/>
    </row>
    <row r="19" ht="20" customFormat="1" customHeight="1" s="1">
      <c r="A19" s="27" t="n">
        <v>1</v>
      </c>
      <c r="B19" s="27" t="n"/>
      <c r="C19" s="27" t="n"/>
      <c r="D19" s="171" t="n"/>
      <c r="E19" s="38" t="n"/>
      <c r="F19" s="38" t="n"/>
      <c r="G19" s="38" t="n"/>
      <c r="H19" s="163" t="n"/>
      <c r="I19" s="73" t="n"/>
      <c r="J19" s="163" t="n"/>
      <c r="K19" s="168" t="n"/>
      <c r="L19" s="172" t="n"/>
      <c r="M19" s="163" t="n"/>
      <c r="N19" s="163" t="n"/>
      <c r="O19" s="163" t="n"/>
      <c r="P19" s="163" t="n"/>
      <c r="Q19" s="163" t="n"/>
      <c r="R19" s="163" t="n"/>
      <c r="S19" s="170" t="n"/>
      <c r="T19" s="170" t="n"/>
      <c r="U19" s="170" t="n"/>
      <c r="V19" s="170" t="n"/>
      <c r="W19" s="170" t="n"/>
      <c r="X19" s="170" t="n"/>
      <c r="Y19" s="170" t="n"/>
      <c r="Z19" s="163">
        <f>SUM(AA19:AJ19)</f>
        <v/>
      </c>
      <c r="AA19" s="170" t="n"/>
      <c r="AB19" s="170" t="n"/>
      <c r="AC19" s="170" t="n"/>
      <c r="AD19" s="170" t="n"/>
      <c r="AE19" s="170" t="n"/>
      <c r="AF19" s="170" t="n"/>
      <c r="AG19" s="170" t="n"/>
      <c r="AH19" s="170" t="n"/>
      <c r="AI19" s="170" t="n"/>
      <c r="AJ19" s="170" t="n"/>
      <c r="AK19" s="164">
        <f>AB19/1.17*0.17+AC19/1.16*0.16+AD19/1.11*0.11+AE19/1.1*0.1+AF19/1.09*0.09+AI19/1.03*0.03</f>
        <v/>
      </c>
      <c r="AL19" s="95" t="n"/>
    </row>
    <row r="20" ht="20" customFormat="1" customHeight="1" s="1">
      <c r="A20" s="27" t="n">
        <v>2</v>
      </c>
      <c r="B20" s="27" t="n"/>
      <c r="C20" s="27" t="n"/>
      <c r="D20" s="171" t="n"/>
      <c r="E20" s="173" t="n"/>
      <c r="F20" s="173" t="n"/>
      <c r="G20" s="173" t="n"/>
      <c r="H20" s="163" t="n"/>
      <c r="I20" s="163" t="n"/>
      <c r="J20" s="163" t="n"/>
      <c r="K20" s="168" t="n"/>
      <c r="L20" s="172" t="n"/>
      <c r="M20" s="163" t="n"/>
      <c r="N20" s="163" t="n"/>
      <c r="O20" s="163" t="n"/>
      <c r="P20" s="163" t="n"/>
      <c r="Q20" s="163" t="n"/>
      <c r="R20" s="163" t="n"/>
      <c r="S20" s="170" t="n"/>
      <c r="T20" s="170" t="n"/>
      <c r="U20" s="170" t="n"/>
      <c r="V20" s="170" t="n"/>
      <c r="W20" s="170" t="n"/>
      <c r="X20" s="170" t="n"/>
      <c r="Y20" s="170" t="n"/>
      <c r="Z20" s="163">
        <f>SUM(AA20:AJ20)</f>
        <v/>
      </c>
      <c r="AA20" s="170" t="n"/>
      <c r="AB20" s="170" t="n"/>
      <c r="AC20" s="170" t="n"/>
      <c r="AD20" s="170" t="n"/>
      <c r="AE20" s="170" t="n"/>
      <c r="AF20" s="170" t="n"/>
      <c r="AG20" s="170" t="n"/>
      <c r="AH20" s="170" t="n"/>
      <c r="AI20" s="170" t="n"/>
      <c r="AJ20" s="170" t="n"/>
      <c r="AK20" s="164">
        <f>AB20/1.17*0.17+AC20/1.16*0.16+AD20/1.11*0.11+AE20/1.1*0.1+AF20/1.09*0.09+AI20/1.03*0.03</f>
        <v/>
      </c>
      <c r="AL20" s="95" t="n"/>
    </row>
    <row r="21" ht="20" customFormat="1" customHeight="1" s="1">
      <c r="A21" s="27" t="n">
        <v>3</v>
      </c>
      <c r="B21" s="27" t="n"/>
      <c r="C21" s="27" t="n"/>
      <c r="D21" s="171" t="n"/>
      <c r="E21" s="38" t="n"/>
      <c r="F21" s="38" t="n"/>
      <c r="G21" s="38" t="n"/>
      <c r="H21" s="163" t="n"/>
      <c r="I21" s="163" t="n"/>
      <c r="J21" s="163" t="n"/>
      <c r="K21" s="168" t="n"/>
      <c r="L21" s="172" t="n"/>
      <c r="M21" s="163" t="n"/>
      <c r="N21" s="163" t="n"/>
      <c r="O21" s="163" t="n"/>
      <c r="P21" s="163" t="n"/>
      <c r="Q21" s="163" t="n"/>
      <c r="R21" s="163" t="n"/>
      <c r="S21" s="170" t="n"/>
      <c r="T21" s="170" t="n"/>
      <c r="U21" s="170" t="n"/>
      <c r="V21" s="170" t="n"/>
      <c r="W21" s="170" t="n"/>
      <c r="X21" s="170" t="n"/>
      <c r="Y21" s="170" t="n"/>
      <c r="Z21" s="163">
        <f>SUM(AA21:AJ21)</f>
        <v/>
      </c>
      <c r="AA21" s="170" t="n"/>
      <c r="AB21" s="170" t="n"/>
      <c r="AC21" s="170" t="n"/>
      <c r="AD21" s="170" t="n"/>
      <c r="AE21" s="170" t="n"/>
      <c r="AF21" s="170" t="n"/>
      <c r="AG21" s="170" t="n"/>
      <c r="AH21" s="170" t="n"/>
      <c r="AI21" s="170" t="n"/>
      <c r="AJ21" s="170" t="n"/>
      <c r="AK21" s="164">
        <f>AB21/1.17*0.17+AC21/1.16*0.16+AD21/1.11*0.11+AE21/1.1*0.1+AF21/1.09*0.09+AI21/1.03*0.03</f>
        <v/>
      </c>
      <c r="AL21" s="95" t="n"/>
    </row>
    <row r="22" ht="20" customFormat="1" customHeight="1" s="2">
      <c r="A22" s="27" t="n"/>
      <c r="B22" s="27" t="n"/>
      <c r="C22" s="27" t="n"/>
      <c r="D22" s="32" t="inlineStr">
        <is>
          <t>**财务未列部分需增列***</t>
        </is>
      </c>
      <c r="E22" s="175" t="n"/>
      <c r="F22" s="175" t="n"/>
      <c r="G22" s="175" t="n"/>
      <c r="H22" s="163" t="n"/>
      <c r="I22" s="163" t="n"/>
      <c r="J22" s="163" t="n"/>
      <c r="K22" s="168" t="n"/>
      <c r="L22" s="172" t="n"/>
      <c r="M22" s="163" t="n"/>
      <c r="N22" s="163" t="n"/>
      <c r="O22" s="163" t="n"/>
      <c r="P22" s="176" t="n"/>
      <c r="Q22" s="163" t="n"/>
      <c r="R22" s="163" t="n"/>
      <c r="S22" s="163" t="n"/>
      <c r="T22" s="163" t="n"/>
      <c r="U22" s="163" t="n"/>
      <c r="V22" s="163" t="n"/>
      <c r="W22" s="163" t="n"/>
      <c r="X22" s="163" t="n"/>
      <c r="Y22" s="163" t="n"/>
      <c r="Z22" s="170" t="n"/>
      <c r="AA22" s="170" t="n"/>
      <c r="AB22" s="164" t="n"/>
      <c r="AC22" s="164" t="n"/>
      <c r="AD22" s="164" t="n"/>
      <c r="AE22" s="164" t="n"/>
      <c r="AF22" s="164" t="n"/>
      <c r="AG22" s="164" t="n"/>
      <c r="AH22" s="164" t="n"/>
      <c r="AI22" s="164" t="n"/>
      <c r="AJ22" s="164" t="n"/>
      <c r="AK22" s="164">
        <f>AB22/1.17*0.17+AC22/1.16*0.16+AD22/1.11*0.11+AE22/1.1*0.1+AF22/1.09*0.09+AI22/1.03*0.03</f>
        <v/>
      </c>
      <c r="AL22" s="96" t="n"/>
    </row>
    <row r="23" ht="20" customFormat="1" customHeight="1" s="1">
      <c r="A23" s="34" t="n"/>
      <c r="B23" s="34" t="n"/>
      <c r="C23" s="34" t="n"/>
      <c r="D23" s="41" t="inlineStr">
        <is>
          <t>分包工程小计：</t>
        </is>
      </c>
      <c r="E23" s="34" t="n"/>
      <c r="F23" s="34" t="n"/>
      <c r="G23" s="34" t="n"/>
      <c r="H23" s="174">
        <f>SUM(H19:H22)</f>
        <v/>
      </c>
      <c r="I23" s="174">
        <f>SUM(I19:I22)</f>
        <v/>
      </c>
      <c r="J23" s="174" t="n"/>
      <c r="K23" s="174" t="n"/>
      <c r="L23" s="177" t="n"/>
      <c r="M23" s="174" t="n"/>
      <c r="N23" s="174" t="n"/>
      <c r="O23" s="174" t="n"/>
      <c r="P23" s="174" t="n"/>
      <c r="Q23" s="174" t="n"/>
      <c r="R23" s="174" t="n"/>
      <c r="S23" s="174">
        <f>SUM(S19:S21)</f>
        <v/>
      </c>
      <c r="T23" s="174" t="n"/>
      <c r="U23" s="174" t="n"/>
      <c r="V23" s="174" t="n"/>
      <c r="W23" s="174" t="n"/>
      <c r="X23" s="174" t="n"/>
      <c r="Y23" s="174" t="n"/>
      <c r="Z23" s="174">
        <f>SUM(Z19:Z21)</f>
        <v/>
      </c>
      <c r="AA23" s="174">
        <f>SUM(AA19:AA21)</f>
        <v/>
      </c>
      <c r="AB23" s="174">
        <f>SUM(AB19:AB21)</f>
        <v/>
      </c>
      <c r="AC23" s="174">
        <f>SUM(AC19:AC21)</f>
        <v/>
      </c>
      <c r="AD23" s="174">
        <f>SUM(AD19:AD21)</f>
        <v/>
      </c>
      <c r="AE23" s="174">
        <f>SUM(AE19:AE21)</f>
        <v/>
      </c>
      <c r="AF23" s="174">
        <f>SUM(AF19:AF21)</f>
        <v/>
      </c>
      <c r="AG23" s="174" t="n"/>
      <c r="AH23" s="174" t="n"/>
      <c r="AI23" s="174">
        <f>SUM(AI19:AI21)</f>
        <v/>
      </c>
      <c r="AJ23" s="174">
        <f>SUM(AJ19:AJ21)</f>
        <v/>
      </c>
      <c r="AK23" s="174">
        <f>SUM(AK19:AK21)</f>
        <v/>
      </c>
      <c r="AL23" s="95" t="n"/>
    </row>
    <row r="24" ht="20" customFormat="1" customHeight="1" s="3">
      <c r="A24" s="27" t="n"/>
      <c r="B24" s="27" t="n"/>
      <c r="C24" s="27" t="n"/>
      <c r="D24" s="37" t="inlineStr">
        <is>
          <t>(三)材料费</t>
        </is>
      </c>
      <c r="E24" s="27" t="n"/>
      <c r="F24" s="27" t="n"/>
      <c r="G24" s="27" t="n"/>
      <c r="H24" s="163" t="n"/>
      <c r="I24" s="163" t="n"/>
      <c r="J24" s="163" t="n"/>
      <c r="K24" s="168" t="n"/>
      <c r="L24" s="172" t="n"/>
      <c r="M24" s="163" t="n"/>
      <c r="N24" s="163" t="n"/>
      <c r="O24" s="163" t="n"/>
      <c r="P24" s="163" t="n"/>
      <c r="Q24" s="163" t="n"/>
      <c r="R24" s="163" t="n"/>
      <c r="S24" s="170" t="n"/>
      <c r="T24" s="170" t="n"/>
      <c r="U24" s="170" t="n"/>
      <c r="V24" s="170" t="n"/>
      <c r="W24" s="170" t="n"/>
      <c r="X24" s="170" t="n"/>
      <c r="Y24" s="170" t="n"/>
      <c r="Z24" s="170" t="n"/>
      <c r="AA24" s="170" t="n"/>
      <c r="AB24" s="178" t="n"/>
      <c r="AC24" s="178" t="n"/>
      <c r="AD24" s="178" t="n"/>
      <c r="AE24" s="178" t="n"/>
      <c r="AF24" s="178" t="n"/>
      <c r="AG24" s="178" t="n"/>
      <c r="AH24" s="178" t="n"/>
      <c r="AI24" s="178" t="n"/>
      <c r="AJ24" s="178" t="n"/>
      <c r="AK24" s="164">
        <f>AB24/1.17*0.17+AC24/1.16*0.16+AD24/1.11*0.11+AE24/1.1*0.1+AF24/1.09*0.09+AI24/1.03*0.03</f>
        <v/>
      </c>
      <c r="AL24" s="97" t="n"/>
    </row>
    <row r="25" ht="20" customFormat="1" customHeight="1" s="3">
      <c r="A25" s="27" t="n"/>
      <c r="B25" s="27" t="n"/>
      <c r="C25" s="27" t="n"/>
      <c r="D25" s="163" t="inlineStr">
        <is>
          <t>（1）集中采购</t>
        </is>
      </c>
      <c r="E25" s="27" t="n"/>
      <c r="F25" s="27" t="n"/>
      <c r="G25" s="27" t="n"/>
      <c r="H25" s="163" t="n"/>
      <c r="I25" s="163" t="n"/>
      <c r="J25" s="163" t="n"/>
      <c r="K25" s="168" t="n"/>
      <c r="L25" s="172" t="n"/>
      <c r="M25" s="163" t="n"/>
      <c r="N25" s="163" t="n"/>
      <c r="O25" s="163" t="n"/>
      <c r="P25" s="163" t="n"/>
      <c r="Q25" s="163" t="n"/>
      <c r="R25" s="163" t="n"/>
      <c r="S25" s="170" t="n"/>
      <c r="T25" s="170" t="n"/>
      <c r="U25" s="170" t="n"/>
      <c r="V25" s="170" t="n"/>
      <c r="W25" s="170" t="n"/>
      <c r="X25" s="170" t="n"/>
      <c r="Y25" s="170" t="n"/>
      <c r="Z25" s="170" t="n"/>
      <c r="AA25" s="170" t="n"/>
      <c r="AB25" s="178" t="n"/>
      <c r="AC25" s="178" t="n"/>
      <c r="AD25" s="178" t="n"/>
      <c r="AE25" s="178" t="n"/>
      <c r="AF25" s="178" t="n"/>
      <c r="AG25" s="178" t="n"/>
      <c r="AH25" s="178" t="n"/>
      <c r="AI25" s="178" t="n"/>
      <c r="AJ25" s="178" t="n"/>
      <c r="AK25" s="164">
        <f>AB25/1.17*0.17+AC25/1.16*0.16+AD25/1.11*0.11+AE25/1.1*0.1+AF25/1.09*0.09+AI25/1.03*0.03</f>
        <v/>
      </c>
      <c r="AL25" s="97" t="n"/>
    </row>
    <row r="26" ht="20" customFormat="1" customHeight="1" s="3">
      <c r="A26" s="27" t="n">
        <v>1</v>
      </c>
      <c r="B26" s="27" t="n"/>
      <c r="C26" s="27" t="n"/>
      <c r="D26" s="171" t="n"/>
      <c r="E26" s="173" t="n"/>
      <c r="F26" s="173" t="n"/>
      <c r="G26" s="173" t="n"/>
      <c r="H26" s="163" t="n"/>
      <c r="I26" s="163" t="n"/>
      <c r="J26" s="163" t="n"/>
      <c r="K26" s="168" t="n"/>
      <c r="L26" s="172" t="n"/>
      <c r="M26" s="163" t="n"/>
      <c r="N26" s="163" t="n"/>
      <c r="O26" s="163" t="n"/>
      <c r="P26" s="163" t="n"/>
      <c r="Q26" s="163" t="n"/>
      <c r="R26" s="163" t="n"/>
      <c r="S26" s="170" t="n"/>
      <c r="T26" s="170" t="n"/>
      <c r="U26" s="170" t="n"/>
      <c r="V26" s="170" t="n"/>
      <c r="W26" s="170" t="n"/>
      <c r="X26" s="170" t="n"/>
      <c r="Y26" s="170" t="n"/>
      <c r="Z26" s="163">
        <f>SUM(AA26:AJ26)</f>
        <v/>
      </c>
      <c r="AA26" s="170" t="n"/>
      <c r="AB26" s="178" t="n"/>
      <c r="AC26" s="178" t="n"/>
      <c r="AD26" s="178" t="n"/>
      <c r="AE26" s="178" t="n"/>
      <c r="AF26" s="178" t="n"/>
      <c r="AG26" s="178" t="n"/>
      <c r="AH26" s="178" t="n"/>
      <c r="AI26" s="178" t="n"/>
      <c r="AJ26" s="178" t="n"/>
      <c r="AK26" s="164">
        <f>AB26/1.17*0.17+AC26/1.16*0.16+AD26/1.11*0.11+AE26/1.1*0.1+AF26/1.09*0.09+AI26/1.03*0.03</f>
        <v/>
      </c>
      <c r="AL26" s="97" t="n"/>
    </row>
    <row r="27" ht="20" customFormat="1" customHeight="1" s="3">
      <c r="A27" s="27" t="n">
        <v>2</v>
      </c>
      <c r="B27" s="27" t="n"/>
      <c r="C27" s="27" t="n"/>
      <c r="D27" s="171" t="n"/>
      <c r="E27" s="173" t="n"/>
      <c r="F27" s="173" t="n"/>
      <c r="G27" s="173" t="n"/>
      <c r="H27" s="163" t="n"/>
      <c r="I27" s="163" t="n"/>
      <c r="J27" s="163" t="n"/>
      <c r="K27" s="168" t="n"/>
      <c r="L27" s="172" t="n"/>
      <c r="M27" s="163" t="n"/>
      <c r="N27" s="163" t="n"/>
      <c r="O27" s="163" t="n"/>
      <c r="P27" s="163" t="n"/>
      <c r="Q27" s="163" t="n"/>
      <c r="R27" s="163" t="n"/>
      <c r="S27" s="170" t="n"/>
      <c r="T27" s="170" t="n"/>
      <c r="U27" s="170" t="n"/>
      <c r="V27" s="170" t="n"/>
      <c r="W27" s="170" t="n"/>
      <c r="X27" s="170" t="n"/>
      <c r="Y27" s="170" t="n"/>
      <c r="Z27" s="163">
        <f>SUM(AA27:AJ27)</f>
        <v/>
      </c>
      <c r="AA27" s="170" t="n"/>
      <c r="AB27" s="178" t="n"/>
      <c r="AC27" s="178" t="n"/>
      <c r="AD27" s="178" t="n"/>
      <c r="AE27" s="178" t="n"/>
      <c r="AF27" s="178" t="n"/>
      <c r="AG27" s="178" t="n"/>
      <c r="AH27" s="178" t="n"/>
      <c r="AI27" s="178" t="n"/>
      <c r="AJ27" s="178" t="n"/>
      <c r="AK27" s="164">
        <f>AB27/1.17*0.17+AC27/1.16*0.16+AD27/1.11*0.11+AE27/1.1*0.1+AF27/1.09*0.09+AI27/1.03*0.03</f>
        <v/>
      </c>
      <c r="AL27" s="97" t="n"/>
    </row>
    <row r="28" ht="20" customFormat="1" customHeight="1" s="3">
      <c r="A28" s="27" t="n">
        <v>3</v>
      </c>
      <c r="B28" s="27" t="n"/>
      <c r="C28" s="27" t="n"/>
      <c r="D28" s="171" t="n"/>
      <c r="E28" s="173" t="n"/>
      <c r="F28" s="173" t="n"/>
      <c r="G28" s="173" t="n"/>
      <c r="H28" s="163" t="n"/>
      <c r="I28" s="163" t="n"/>
      <c r="J28" s="163" t="n"/>
      <c r="K28" s="168" t="n"/>
      <c r="L28" s="172" t="n"/>
      <c r="M28" s="163" t="n"/>
      <c r="N28" s="163" t="n"/>
      <c r="O28" s="163" t="n"/>
      <c r="P28" s="163" t="n"/>
      <c r="Q28" s="163" t="n"/>
      <c r="R28" s="163" t="n"/>
      <c r="S28" s="170" t="n"/>
      <c r="T28" s="170" t="n"/>
      <c r="U28" s="170" t="n"/>
      <c r="V28" s="170" t="n"/>
      <c r="W28" s="170" t="n"/>
      <c r="X28" s="170" t="n"/>
      <c r="Y28" s="170" t="n"/>
      <c r="Z28" s="163">
        <f>SUM(AA28:AJ28)</f>
        <v/>
      </c>
      <c r="AA28" s="170" t="n"/>
      <c r="AB28" s="178" t="n"/>
      <c r="AC28" s="178" t="n"/>
      <c r="AD28" s="178" t="n"/>
      <c r="AE28" s="178" t="n"/>
      <c r="AF28" s="178" t="n"/>
      <c r="AG28" s="178" t="n"/>
      <c r="AH28" s="178" t="n"/>
      <c r="AI28" s="178" t="n"/>
      <c r="AJ28" s="178" t="n"/>
      <c r="AK28" s="164">
        <f>AB28/1.17*0.17+AC28/1.16*0.16+AD28/1.11*0.11+AE28/1.1*0.1+AF28/1.09*0.09+AI28/1.03*0.03</f>
        <v/>
      </c>
      <c r="AL28" s="97" t="n"/>
    </row>
    <row r="29" ht="20" customFormat="1" customHeight="1" s="3">
      <c r="A29" s="27" t="n"/>
      <c r="B29" s="27" t="n"/>
      <c r="C29" s="27" t="n"/>
      <c r="D29" s="163" t="inlineStr">
        <is>
          <t>（2）自行采购</t>
        </is>
      </c>
      <c r="E29" s="175" t="n"/>
      <c r="F29" s="175" t="n"/>
      <c r="G29" s="175" t="n"/>
      <c r="H29" s="163" t="n">
        <v>0</v>
      </c>
      <c r="I29" s="163" t="n"/>
      <c r="J29" s="163" t="n"/>
      <c r="K29" s="168" t="n"/>
      <c r="L29" s="172" t="n"/>
      <c r="M29" s="163" t="n"/>
      <c r="N29" s="163" t="n"/>
      <c r="O29" s="163" t="n"/>
      <c r="P29" s="163" t="n"/>
      <c r="Q29" s="163" t="n"/>
      <c r="R29" s="163" t="n"/>
      <c r="S29" s="170" t="n"/>
      <c r="T29" s="170" t="n"/>
      <c r="U29" s="170" t="n"/>
      <c r="V29" s="170" t="n"/>
      <c r="W29" s="170" t="n"/>
      <c r="X29" s="170" t="n"/>
      <c r="Y29" s="170" t="n"/>
      <c r="Z29" s="163">
        <f>SUM(AA29:AJ29)</f>
        <v/>
      </c>
      <c r="AA29" s="170" t="n"/>
      <c r="AB29" s="178" t="n"/>
      <c r="AC29" s="178" t="n"/>
      <c r="AD29" s="178" t="n"/>
      <c r="AE29" s="178" t="n"/>
      <c r="AF29" s="178" t="n"/>
      <c r="AG29" s="178" t="n"/>
      <c r="AH29" s="178" t="n"/>
      <c r="AI29" s="178" t="n"/>
      <c r="AJ29" s="178" t="n"/>
      <c r="AK29" s="164">
        <f>AB29/1.17*0.17+AC29/1.16*0.16+AD29/1.11*0.11+AE29/1.1*0.1+AF29/1.09*0.09+AI29/1.03*0.03</f>
        <v/>
      </c>
      <c r="AL29" s="97" t="n"/>
    </row>
    <row r="30" ht="20" customFormat="1" customHeight="1" s="3">
      <c r="A30" s="27" t="n">
        <v>1</v>
      </c>
      <c r="B30" s="27" t="n"/>
      <c r="C30" s="27" t="n"/>
      <c r="D30" s="171" t="n"/>
      <c r="E30" s="175" t="n"/>
      <c r="F30" s="175" t="n"/>
      <c r="G30" s="175" t="n"/>
      <c r="H30" s="163" t="n"/>
      <c r="I30" s="163" t="n"/>
      <c r="J30" s="163" t="n"/>
      <c r="K30" s="168" t="n"/>
      <c r="L30" s="172" t="n"/>
      <c r="M30" s="163" t="n"/>
      <c r="N30" s="163" t="n"/>
      <c r="O30" s="163" t="n"/>
      <c r="P30" s="163" t="n"/>
      <c r="Q30" s="163" t="n"/>
      <c r="R30" s="163" t="n"/>
      <c r="S30" s="170" t="n"/>
      <c r="T30" s="170" t="n"/>
      <c r="U30" s="170" t="n"/>
      <c r="V30" s="170" t="n"/>
      <c r="W30" s="170" t="n"/>
      <c r="X30" s="170" t="n"/>
      <c r="Y30" s="170" t="n"/>
      <c r="Z30" s="163">
        <f>SUM(AA30:AJ30)</f>
        <v/>
      </c>
      <c r="AA30" s="170" t="n"/>
      <c r="AB30" s="178" t="n"/>
      <c r="AC30" s="178" t="n"/>
      <c r="AD30" s="178" t="n"/>
      <c r="AE30" s="178" t="n"/>
      <c r="AF30" s="178" t="n"/>
      <c r="AG30" s="178" t="n"/>
      <c r="AH30" s="178" t="n"/>
      <c r="AI30" s="178" t="n"/>
      <c r="AJ30" s="178" t="n"/>
      <c r="AK30" s="164">
        <f>AB30/1.17*0.17+AC30/1.16*0.16+AD30/1.11*0.11+AE30/1.1*0.1+AF30/1.09*0.09+AI30/1.03*0.03</f>
        <v/>
      </c>
      <c r="AL30" s="97" t="n"/>
    </row>
    <row r="31" ht="20" customFormat="1" customHeight="1" s="3">
      <c r="A31" s="27" t="n">
        <v>2</v>
      </c>
      <c r="B31" s="27" t="n"/>
      <c r="C31" s="27" t="n"/>
      <c r="D31" s="171" t="n"/>
      <c r="E31" s="175" t="n"/>
      <c r="F31" s="175" t="n"/>
      <c r="G31" s="175" t="n"/>
      <c r="H31" s="163" t="n"/>
      <c r="I31" s="163" t="n"/>
      <c r="J31" s="163" t="n"/>
      <c r="K31" s="168" t="n"/>
      <c r="L31" s="172" t="n"/>
      <c r="M31" s="163" t="n"/>
      <c r="N31" s="76" t="n"/>
      <c r="O31" s="163" t="n"/>
      <c r="P31" s="163" t="n"/>
      <c r="Q31" s="163" t="n"/>
      <c r="R31" s="163" t="n"/>
      <c r="S31" s="170" t="n"/>
      <c r="T31" s="170" t="n"/>
      <c r="U31" s="170" t="n"/>
      <c r="V31" s="170" t="n"/>
      <c r="W31" s="170" t="n"/>
      <c r="X31" s="170" t="n"/>
      <c r="Y31" s="170" t="n"/>
      <c r="Z31" s="163">
        <f>SUM(AA31:AJ31)</f>
        <v/>
      </c>
      <c r="AA31" s="170" t="n"/>
      <c r="AB31" s="178" t="n"/>
      <c r="AC31" s="178" t="n"/>
      <c r="AD31" s="178" t="n"/>
      <c r="AE31" s="178" t="n"/>
      <c r="AF31" s="178" t="n"/>
      <c r="AG31" s="178" t="n"/>
      <c r="AH31" s="178" t="n"/>
      <c r="AI31" s="178" t="n"/>
      <c r="AJ31" s="178" t="n"/>
      <c r="AK31" s="164">
        <f>AB31/1.17*0.17+AC31/1.16*0.16+AD31/1.11*0.11+AE31/1.1*0.1+AF31/1.09*0.09+AI31/1.03*0.03</f>
        <v/>
      </c>
      <c r="AL31" s="97" t="n"/>
    </row>
    <row r="32" ht="26" customFormat="1" customHeight="1" s="3">
      <c r="A32" s="27" t="n">
        <v>3</v>
      </c>
      <c r="B32" s="27" t="n"/>
      <c r="C32" s="27" t="n"/>
      <c r="D32" s="43" t="inlineStr">
        <is>
          <t>材料库存（注：项目已结算未使用材料冲减项目成本，负数填报）</t>
        </is>
      </c>
      <c r="E32" s="27" t="n"/>
      <c r="F32" s="27" t="n"/>
      <c r="G32" s="27" t="n"/>
      <c r="H32" s="163" t="n"/>
      <c r="I32" s="163" t="n"/>
      <c r="J32" s="163" t="n"/>
      <c r="K32" s="168" t="n"/>
      <c r="L32" s="172" t="n"/>
      <c r="M32" s="163" t="n"/>
      <c r="N32" s="163" t="n"/>
      <c r="O32" s="163" t="n"/>
      <c r="P32" s="163" t="n"/>
      <c r="Q32" s="163" t="n"/>
      <c r="R32" s="163" t="n"/>
      <c r="S32" s="170" t="n"/>
      <c r="T32" s="170" t="n"/>
      <c r="U32" s="170" t="n"/>
      <c r="V32" s="170" t="n"/>
      <c r="W32" s="170" t="n"/>
      <c r="X32" s="170" t="n"/>
      <c r="Y32" s="170" t="n"/>
      <c r="Z32" s="163">
        <f>SUM(AA32:AJ32)</f>
        <v/>
      </c>
      <c r="AA32" s="170" t="n"/>
      <c r="AB32" s="178" t="n"/>
      <c r="AC32" s="178" t="n"/>
      <c r="AD32" s="178" t="n"/>
      <c r="AE32" s="178" t="n"/>
      <c r="AF32" s="178" t="n"/>
      <c r="AG32" s="178" t="n"/>
      <c r="AH32" s="178" t="n"/>
      <c r="AI32" s="178" t="n"/>
      <c r="AJ32" s="178" t="n"/>
      <c r="AK32" s="164">
        <f>AB32/1.17*0.17+AC32/1.16*0.16+AD32/1.11*0.11+AE32/1.1*0.1+AF32/1.09*0.09+AI32/1.03*0.03</f>
        <v/>
      </c>
      <c r="AL32" s="97" t="n"/>
    </row>
    <row r="33" ht="20" customFormat="1" customHeight="1" s="3">
      <c r="A33" s="27" t="n">
        <v>4</v>
      </c>
      <c r="B33" s="27" t="n"/>
      <c r="C33" s="27" t="n"/>
      <c r="D33" s="37" t="inlineStr">
        <is>
          <t>材料调入</t>
        </is>
      </c>
      <c r="E33" s="27" t="n"/>
      <c r="F33" s="27" t="n"/>
      <c r="G33" s="27" t="n"/>
      <c r="H33" s="163" t="n"/>
      <c r="I33" s="163" t="n"/>
      <c r="J33" s="163" t="n"/>
      <c r="K33" s="168" t="n"/>
      <c r="L33" s="172" t="n"/>
      <c r="M33" s="163" t="n"/>
      <c r="N33" s="163" t="n"/>
      <c r="O33" s="163" t="n"/>
      <c r="P33" s="163" t="n"/>
      <c r="Q33" s="163" t="n"/>
      <c r="R33" s="163" t="n"/>
      <c r="S33" s="170" t="n"/>
      <c r="T33" s="170" t="n"/>
      <c r="U33" s="170" t="n"/>
      <c r="V33" s="170" t="n"/>
      <c r="W33" s="170" t="n"/>
      <c r="X33" s="170" t="n"/>
      <c r="Y33" s="170" t="n"/>
      <c r="Z33" s="163">
        <f>SUM(AA33:AJ33)</f>
        <v/>
      </c>
      <c r="AA33" s="170" t="n"/>
      <c r="AB33" s="178" t="n"/>
      <c r="AC33" s="178" t="n"/>
      <c r="AD33" s="178" t="n"/>
      <c r="AE33" s="178" t="n"/>
      <c r="AF33" s="178" t="n"/>
      <c r="AG33" s="178" t="n"/>
      <c r="AH33" s="178" t="n"/>
      <c r="AI33" s="178" t="n"/>
      <c r="AJ33" s="178" t="n"/>
      <c r="AK33" s="164">
        <f>AB33/1.17*0.17+AC33/1.16*0.16+AD33/1.11*0.11+AE33/1.1*0.1+AF33/1.09*0.09+AI33/1.03*0.03</f>
        <v/>
      </c>
      <c r="AL33" s="97" t="n"/>
    </row>
    <row r="34" ht="13" customFormat="1" customHeight="1" s="4">
      <c r="A34" s="27" t="n">
        <v>5</v>
      </c>
      <c r="B34" s="27" t="n"/>
      <c r="C34" s="27" t="n"/>
      <c r="D34" s="37" t="inlineStr">
        <is>
          <t>材料调出（注：负数填报）</t>
        </is>
      </c>
      <c r="E34" s="44" t="n"/>
      <c r="F34" s="44" t="n"/>
      <c r="G34" s="44" t="n"/>
      <c r="H34" s="179" t="n"/>
      <c r="I34" s="179" t="n"/>
      <c r="J34" s="163" t="n"/>
      <c r="K34" s="168" t="n"/>
      <c r="L34" s="172" t="n"/>
      <c r="M34" s="179" t="n"/>
      <c r="N34" s="179" t="n"/>
      <c r="O34" s="163" t="n"/>
      <c r="P34" s="163" t="n"/>
      <c r="Q34" s="163" t="n"/>
      <c r="R34" s="163" t="n"/>
      <c r="S34" s="179" t="n"/>
      <c r="T34" s="179" t="n"/>
      <c r="U34" s="179" t="n"/>
      <c r="V34" s="179" t="n"/>
      <c r="W34" s="179" t="n"/>
      <c r="X34" s="179" t="n"/>
      <c r="Y34" s="179" t="n"/>
      <c r="Z34" s="163">
        <f>SUM(AA34:AJ34)</f>
        <v/>
      </c>
      <c r="AA34" s="179" t="n"/>
      <c r="AB34" s="180" t="n"/>
      <c r="AC34" s="180" t="n"/>
      <c r="AD34" s="180" t="n"/>
      <c r="AE34" s="180" t="n"/>
      <c r="AF34" s="180" t="n"/>
      <c r="AG34" s="180" t="n"/>
      <c r="AH34" s="180" t="n"/>
      <c r="AI34" s="180" t="n"/>
      <c r="AJ34" s="180" t="n"/>
      <c r="AK34" s="164">
        <f>AB34/1.17*0.17+AC34/1.16*0.16+AD34/1.11*0.11+AE34/1.1*0.1+AF34/1.09*0.09+AI34/1.03*0.03</f>
        <v/>
      </c>
      <c r="AL34" s="98" t="n"/>
    </row>
    <row r="35" ht="20" customFormat="1" customHeight="1" s="3">
      <c r="A35" s="27" t="n"/>
      <c r="B35" s="27" t="n"/>
      <c r="C35" s="27" t="n"/>
      <c r="D35" s="32" t="inlineStr">
        <is>
          <t>**财务未列部分需增列***</t>
        </is>
      </c>
      <c r="E35" s="175" t="n"/>
      <c r="F35" s="175" t="n"/>
      <c r="G35" s="175" t="n"/>
      <c r="H35" s="163" t="n">
        <v>0</v>
      </c>
      <c r="I35" s="163" t="n"/>
      <c r="J35" s="163" t="n"/>
      <c r="K35" s="168" t="n"/>
      <c r="L35" s="172" t="n"/>
      <c r="M35" s="163" t="n"/>
      <c r="N35" s="163" t="n"/>
      <c r="O35" s="163" t="n"/>
      <c r="P35" s="163" t="n"/>
      <c r="Q35" s="163" t="n"/>
      <c r="R35" s="163" t="n"/>
      <c r="S35" s="170" t="n"/>
      <c r="T35" s="170" t="n"/>
      <c r="U35" s="170" t="n"/>
      <c r="V35" s="170" t="n"/>
      <c r="W35" s="170" t="n"/>
      <c r="X35" s="170" t="n"/>
      <c r="Y35" s="170" t="n"/>
      <c r="Z35" s="170" t="n"/>
      <c r="AA35" s="170" t="n"/>
      <c r="AB35" s="178" t="n"/>
      <c r="AC35" s="178" t="n"/>
      <c r="AD35" s="178" t="n"/>
      <c r="AE35" s="178" t="n"/>
      <c r="AF35" s="178" t="n"/>
      <c r="AG35" s="178" t="n"/>
      <c r="AH35" s="178" t="n"/>
      <c r="AI35" s="178" t="n"/>
      <c r="AJ35" s="178" t="n"/>
      <c r="AK35" s="164">
        <f>AB35/1.17*0.17+AC35/1.16*0.16+AD35/1.11*0.11+AE35/1.1*0.1+AF35/1.09*0.09+AI35/1.03*0.03</f>
        <v/>
      </c>
      <c r="AL35" s="97" t="n"/>
    </row>
    <row r="36" ht="20" customFormat="1" customHeight="1" s="1">
      <c r="A36" s="34" t="n"/>
      <c r="B36" s="34" t="n"/>
      <c r="C36" s="34" t="n"/>
      <c r="D36" s="41" t="inlineStr">
        <is>
          <t>材料费小计：</t>
        </is>
      </c>
      <c r="E36" s="46" t="n"/>
      <c r="F36" s="46" t="n"/>
      <c r="G36" s="46" t="n"/>
      <c r="H36" s="174">
        <f>SUM(H26:H34)</f>
        <v/>
      </c>
      <c r="I36" s="174">
        <f>SUM(I26:I34)</f>
        <v/>
      </c>
      <c r="J36" s="174" t="n"/>
      <c r="K36" s="174" t="n"/>
      <c r="L36" s="177" t="n"/>
      <c r="M36" s="174" t="n"/>
      <c r="N36" s="174" t="n"/>
      <c r="O36" s="174" t="n"/>
      <c r="P36" s="174" t="n"/>
      <c r="Q36" s="174" t="n"/>
      <c r="R36" s="174" t="n"/>
      <c r="S36" s="174">
        <f>SUM(S26:S34)</f>
        <v/>
      </c>
      <c r="T36" s="174" t="n"/>
      <c r="U36" s="174" t="n"/>
      <c r="V36" s="174" t="n"/>
      <c r="W36" s="174" t="n"/>
      <c r="X36" s="174" t="n"/>
      <c r="Y36" s="174" t="n"/>
      <c r="Z36" s="174">
        <f>SUM(Z26:Z34)</f>
        <v/>
      </c>
      <c r="AA36" s="174">
        <f>SUM(AA26:AA34)</f>
        <v/>
      </c>
      <c r="AB36" s="174">
        <f>SUM(AB26:AB34)</f>
        <v/>
      </c>
      <c r="AC36" s="174">
        <f>SUM(AC26:AC34)</f>
        <v/>
      </c>
      <c r="AD36" s="174">
        <f>SUM(AD26:AD34)</f>
        <v/>
      </c>
      <c r="AE36" s="174">
        <f>SUM(AE26:AE34)</f>
        <v/>
      </c>
      <c r="AF36" s="174">
        <f>SUM(AF26:AF34)</f>
        <v/>
      </c>
      <c r="AG36" s="174" t="n"/>
      <c r="AH36" s="174" t="n"/>
      <c r="AI36" s="174">
        <f>SUM(AI26:AI34)</f>
        <v/>
      </c>
      <c r="AJ36" s="174">
        <f>SUM(AJ26:AJ34)</f>
        <v/>
      </c>
      <c r="AK36" s="174">
        <f>SUM(AK26:AK34)</f>
        <v/>
      </c>
      <c r="AL36" s="95" t="n"/>
    </row>
    <row r="37" ht="20" customFormat="1" customHeight="1" s="1">
      <c r="A37" s="27" t="n"/>
      <c r="B37" s="27" t="n"/>
      <c r="C37" s="27" t="n"/>
      <c r="D37" s="37" t="inlineStr">
        <is>
          <t>(四）机械租赁费</t>
        </is>
      </c>
      <c r="E37" s="47" t="n"/>
      <c r="F37" s="47" t="n"/>
      <c r="G37" s="47" t="n"/>
      <c r="H37" s="163" t="n"/>
      <c r="I37" s="163" t="n"/>
      <c r="J37" s="163" t="n"/>
      <c r="K37" s="168" t="n">
        <v>0</v>
      </c>
      <c r="L37" s="172">
        <f>J37-K37</f>
        <v/>
      </c>
      <c r="M37" s="158" t="n"/>
      <c r="N37" s="158" t="n"/>
      <c r="O37" s="163" t="n"/>
      <c r="P37" s="163" t="n"/>
      <c r="Q37" s="163" t="n"/>
      <c r="R37" s="163" t="n"/>
      <c r="S37" s="170" t="n"/>
      <c r="T37" s="170" t="n"/>
      <c r="U37" s="170" t="n"/>
      <c r="V37" s="170" t="n"/>
      <c r="W37" s="170" t="n"/>
      <c r="X37" s="170" t="n"/>
      <c r="Y37" s="170" t="n"/>
      <c r="Z37" s="170" t="n"/>
      <c r="AA37" s="170" t="n"/>
      <c r="AB37" s="170" t="n"/>
      <c r="AC37" s="170" t="n"/>
      <c r="AD37" s="170" t="n"/>
      <c r="AE37" s="170" t="n"/>
      <c r="AF37" s="170" t="n"/>
      <c r="AG37" s="170" t="n"/>
      <c r="AH37" s="170" t="n"/>
      <c r="AI37" s="170" t="n"/>
      <c r="AJ37" s="170" t="n"/>
      <c r="AK37" s="164">
        <f>AB37/1.17*0.17+AC37/1.16*0.16+AD37/1.11*0.11+AE37/1.1*0.1+AF37/1.09*0.09+AI37/1.03*0.03</f>
        <v/>
      </c>
      <c r="AL37" s="95" t="n"/>
    </row>
    <row r="38" ht="20" customFormat="1" customHeight="1" s="1">
      <c r="A38" s="27" t="n"/>
      <c r="B38" s="27" t="n"/>
      <c r="C38" s="27" t="n"/>
      <c r="D38" s="48" t="n"/>
      <c r="E38" s="49" t="n"/>
      <c r="F38" s="49" t="n"/>
      <c r="G38" s="49" t="n"/>
      <c r="H38" s="163" t="n"/>
      <c r="I38" s="163" t="n"/>
      <c r="J38" s="163">
        <f>H38+I38</f>
        <v/>
      </c>
      <c r="K38" s="168" t="n">
        <v>0</v>
      </c>
      <c r="L38" s="172">
        <f>J38-K38</f>
        <v/>
      </c>
      <c r="M38" s="163" t="n"/>
      <c r="N38" s="163" t="n"/>
      <c r="O38" s="163">
        <f>L38-M38</f>
        <v/>
      </c>
      <c r="P38" s="163">
        <f>K38-N38</f>
        <v/>
      </c>
      <c r="Q38" s="163">
        <f>M38+O38</f>
        <v/>
      </c>
      <c r="R38" s="163">
        <f>M38+N38+O38+P38</f>
        <v/>
      </c>
      <c r="S38" s="170" t="n"/>
      <c r="T38" s="170" t="n"/>
      <c r="U38" s="170" t="n"/>
      <c r="V38" s="170" t="n"/>
      <c r="W38" s="170" t="n"/>
      <c r="X38" s="170" t="n"/>
      <c r="Y38" s="170" t="n"/>
      <c r="Z38" s="163">
        <f>SUM(AA38:AJ38)</f>
        <v/>
      </c>
      <c r="AA38" s="170" t="n"/>
      <c r="AB38" s="170" t="n"/>
      <c r="AC38" s="170" t="n"/>
      <c r="AD38" s="170" t="n"/>
      <c r="AE38" s="170" t="n"/>
      <c r="AF38" s="170" t="n"/>
      <c r="AG38" s="170" t="n"/>
      <c r="AH38" s="170" t="n"/>
      <c r="AI38" s="170" t="n"/>
      <c r="AJ38" s="170" t="n"/>
      <c r="AK38" s="164">
        <f>AB38/1.17*0.17+AC38/1.16*0.16+AD38/1.11*0.11+AE38/1.1*0.1+AF38/1.09*0.09+AI38/1.03*0.03</f>
        <v/>
      </c>
      <c r="AL38" s="95" t="n"/>
    </row>
    <row r="39" ht="20" customFormat="1" customHeight="1" s="2">
      <c r="A39" s="27" t="n"/>
      <c r="B39" s="27" t="n"/>
      <c r="C39" s="27" t="n"/>
      <c r="D39" s="32" t="inlineStr">
        <is>
          <t>**财务未列部分需增列***</t>
        </is>
      </c>
      <c r="E39" s="50" t="n"/>
      <c r="F39" s="50" t="n"/>
      <c r="G39" s="50" t="n"/>
      <c r="H39" s="163" t="n"/>
      <c r="I39" s="163" t="n"/>
      <c r="J39" s="163" t="n"/>
      <c r="K39" s="168" t="n">
        <v>0</v>
      </c>
      <c r="L39" s="172">
        <f>J39-K39</f>
        <v/>
      </c>
      <c r="M39" s="181" t="n"/>
      <c r="N39" s="181" t="n"/>
      <c r="O39" s="163">
        <f>L39-M39</f>
        <v/>
      </c>
      <c r="P39" s="163">
        <f>K39-N39</f>
        <v/>
      </c>
      <c r="Q39" s="163">
        <f>M39+O39</f>
        <v/>
      </c>
      <c r="R39" s="163">
        <f>M39+N39+O39+P39</f>
        <v/>
      </c>
      <c r="S39" s="181" t="n"/>
      <c r="T39" s="181" t="n"/>
      <c r="U39" s="181" t="n"/>
      <c r="V39" s="181" t="n"/>
      <c r="W39" s="181" t="n"/>
      <c r="X39" s="181" t="n"/>
      <c r="Y39" s="181" t="n"/>
      <c r="Z39" s="181" t="n"/>
      <c r="AA39" s="170" t="n"/>
      <c r="AB39" s="164" t="n"/>
      <c r="AC39" s="164" t="n"/>
      <c r="AD39" s="164" t="n"/>
      <c r="AE39" s="164" t="n"/>
      <c r="AF39" s="164" t="n"/>
      <c r="AG39" s="164" t="n"/>
      <c r="AH39" s="164" t="n"/>
      <c r="AI39" s="164" t="n"/>
      <c r="AJ39" s="164" t="n"/>
      <c r="AK39" s="164">
        <f>AB39/1.17*0.17+AC39/1.16*0.16+AD39/1.11*0.11+AE39/1.1*0.1+AF39/1.09*0.09+AI39/1.03*0.03</f>
        <v/>
      </c>
      <c r="AL39" s="96" t="n"/>
    </row>
    <row r="40" ht="20" customFormat="1" customHeight="1" s="1">
      <c r="A40" s="34" t="n"/>
      <c r="B40" s="34" t="n"/>
      <c r="C40" s="34" t="n"/>
      <c r="D40" s="41" t="inlineStr">
        <is>
          <t>机械费小计：</t>
        </is>
      </c>
      <c r="E40" s="46" t="n"/>
      <c r="F40" s="46" t="n"/>
      <c r="G40" s="46" t="n"/>
      <c r="H40" s="174">
        <f>SUM(H38:H39)</f>
        <v/>
      </c>
      <c r="I40" s="174">
        <f>SUM(I38:I39)</f>
        <v/>
      </c>
      <c r="J40" s="174">
        <f>SUM(J38:J39)</f>
        <v/>
      </c>
      <c r="K40" s="174">
        <f>SUM(K38:K39)</f>
        <v/>
      </c>
      <c r="L40" s="177">
        <f>SUM(L38:L39)</f>
        <v/>
      </c>
      <c r="M40" s="174">
        <f>SUM(M38:M39)</f>
        <v/>
      </c>
      <c r="N40" s="174">
        <f>SUM(N38:N39)</f>
        <v/>
      </c>
      <c r="O40" s="174">
        <f>SUM(O38:O39)</f>
        <v/>
      </c>
      <c r="P40" s="174">
        <f>SUM(P38:P39)</f>
        <v/>
      </c>
      <c r="Q40" s="174">
        <f>SUM(Q38:Q39)</f>
        <v/>
      </c>
      <c r="R40" s="174">
        <f>SUM(R38:R39)</f>
        <v/>
      </c>
      <c r="S40" s="174">
        <f>SUM(S38:S39)</f>
        <v/>
      </c>
      <c r="T40" s="174" t="n"/>
      <c r="U40" s="174" t="n"/>
      <c r="V40" s="174" t="n"/>
      <c r="W40" s="174" t="n"/>
      <c r="X40" s="174" t="n"/>
      <c r="Y40" s="174" t="n"/>
      <c r="Z40" s="174">
        <f>SUM(Z38:Z39)</f>
        <v/>
      </c>
      <c r="AA40" s="174">
        <f>SUM(AA39:AA39)</f>
        <v/>
      </c>
      <c r="AB40" s="174" t="n"/>
      <c r="AC40" s="174" t="n"/>
      <c r="AD40" s="174" t="n"/>
      <c r="AE40" s="174" t="n"/>
      <c r="AF40" s="174" t="n"/>
      <c r="AG40" s="174" t="n"/>
      <c r="AH40" s="174" t="n"/>
      <c r="AI40" s="174" t="n"/>
      <c r="AJ40" s="174" t="n"/>
      <c r="AK40" s="174" t="n"/>
      <c r="AL40" s="95" t="n"/>
    </row>
    <row r="41" ht="20" customFormat="1" customHeight="1" s="1">
      <c r="A41" s="27" t="n"/>
      <c r="B41" s="27" t="n"/>
      <c r="C41" s="27" t="n"/>
      <c r="D41" s="37" t="inlineStr">
        <is>
          <t>（五）其他直接费</t>
        </is>
      </c>
      <c r="E41" s="47" t="n"/>
      <c r="F41" s="47" t="n"/>
      <c r="G41" s="47" t="n"/>
      <c r="H41" s="163" t="n"/>
      <c r="I41" s="163" t="n"/>
      <c r="J41" s="158" t="n">
        <v>0</v>
      </c>
      <c r="K41" s="168" t="n">
        <v>0</v>
      </c>
      <c r="L41" s="172">
        <f>J41-N41-P41</f>
        <v/>
      </c>
      <c r="M41" s="158" t="n"/>
      <c r="N41" s="158" t="n"/>
      <c r="O41" s="163" t="n"/>
      <c r="P41" s="163" t="n"/>
      <c r="Q41" s="163" t="n"/>
      <c r="R41" s="163" t="n"/>
      <c r="S41" s="170" t="n"/>
      <c r="T41" s="170" t="n"/>
      <c r="U41" s="170" t="n"/>
      <c r="V41" s="170" t="n"/>
      <c r="W41" s="170" t="n"/>
      <c r="X41" s="170" t="n"/>
      <c r="Y41" s="170" t="n"/>
      <c r="Z41" s="170" t="n"/>
      <c r="AA41" s="170" t="n"/>
      <c r="AB41" s="170" t="n"/>
      <c r="AC41" s="170" t="n"/>
      <c r="AD41" s="170" t="n"/>
      <c r="AE41" s="170" t="n"/>
      <c r="AF41" s="170" t="n"/>
      <c r="AG41" s="170" t="n"/>
      <c r="AH41" s="170" t="n"/>
      <c r="AI41" s="170" t="n"/>
      <c r="AJ41" s="170" t="n"/>
      <c r="AK41" s="164" t="n"/>
      <c r="AL41" s="95" t="n"/>
    </row>
    <row r="42" ht="20" customFormat="1" customHeight="1" s="1">
      <c r="A42" s="27" t="n">
        <v>1</v>
      </c>
      <c r="B42" s="27" t="n"/>
      <c r="C42" s="27" t="n"/>
      <c r="D42" s="171" t="inlineStr">
        <is>
          <t>检验实验费</t>
        </is>
      </c>
      <c r="E42" s="47" t="n"/>
      <c r="F42" s="47" t="n"/>
      <c r="G42" s="47" t="n"/>
      <c r="H42" s="163" t="n"/>
      <c r="I42" s="163" t="n"/>
      <c r="J42" s="163">
        <f>H42+I42</f>
        <v/>
      </c>
      <c r="K42" s="168" t="n">
        <v>0</v>
      </c>
      <c r="L42" s="172">
        <f>J42-K42</f>
        <v/>
      </c>
      <c r="M42" s="182" t="n"/>
      <c r="N42" s="182" t="n"/>
      <c r="O42" s="163">
        <f>L42-M42</f>
        <v/>
      </c>
      <c r="P42" s="163">
        <f>K42-N42</f>
        <v/>
      </c>
      <c r="Q42" s="163">
        <f>M42+O42</f>
        <v/>
      </c>
      <c r="R42" s="163">
        <f>M42+N42+O42+P42</f>
        <v/>
      </c>
      <c r="S42" s="182" t="n"/>
      <c r="T42" s="182" t="n"/>
      <c r="U42" s="182" t="n"/>
      <c r="V42" s="182" t="n"/>
      <c r="W42" s="182" t="n"/>
      <c r="X42" s="182" t="n"/>
      <c r="Y42" s="182" t="n"/>
      <c r="Z42" s="163">
        <f>SUM(AA42:AJ42)</f>
        <v/>
      </c>
      <c r="AA42" s="170" t="n"/>
      <c r="AB42" s="170" t="n"/>
      <c r="AC42" s="170" t="n"/>
      <c r="AD42" s="170" t="n"/>
      <c r="AE42" s="170" t="n"/>
      <c r="AF42" s="170" t="n"/>
      <c r="AG42" s="170" t="n"/>
      <c r="AH42" s="170" t="n"/>
      <c r="AI42" s="170" t="n"/>
      <c r="AJ42" s="170" t="n"/>
      <c r="AK42" s="164" t="n"/>
      <c r="AL42" s="95" t="n"/>
    </row>
    <row r="43" ht="20" customFormat="1" customHeight="1" s="1">
      <c r="A43" s="27" t="n">
        <v>2</v>
      </c>
      <c r="B43" s="27" t="n"/>
      <c r="C43" s="27" t="n"/>
      <c r="D43" s="171" t="inlineStr">
        <is>
          <t>水费</t>
        </is>
      </c>
      <c r="E43" s="47" t="n"/>
      <c r="F43" s="47" t="n"/>
      <c r="G43" s="47" t="n"/>
      <c r="H43" s="163" t="n"/>
      <c r="I43" s="163" t="n"/>
      <c r="J43" s="163">
        <f>H43+I43</f>
        <v/>
      </c>
      <c r="K43" s="168" t="n">
        <v>0</v>
      </c>
      <c r="L43" s="172">
        <f>J43-K43</f>
        <v/>
      </c>
      <c r="M43" s="182" t="n"/>
      <c r="N43" s="182" t="n"/>
      <c r="O43" s="163">
        <f>L43-M43</f>
        <v/>
      </c>
      <c r="P43" s="163">
        <f>K43-N43</f>
        <v/>
      </c>
      <c r="Q43" s="163">
        <f>M43+O43</f>
        <v/>
      </c>
      <c r="R43" s="163">
        <f>M43+N43+O43+P43</f>
        <v/>
      </c>
      <c r="S43" s="182" t="n"/>
      <c r="T43" s="182" t="n"/>
      <c r="U43" s="182" t="n"/>
      <c r="V43" s="182" t="n"/>
      <c r="W43" s="182" t="n"/>
      <c r="X43" s="182" t="n"/>
      <c r="Y43" s="182" t="n"/>
      <c r="Z43" s="163">
        <f>SUM(AA43:AJ43)</f>
        <v/>
      </c>
      <c r="AA43" s="170" t="n"/>
      <c r="AB43" s="170" t="n"/>
      <c r="AC43" s="170" t="n"/>
      <c r="AD43" s="170" t="n"/>
      <c r="AE43" s="170" t="n"/>
      <c r="AF43" s="170" t="n"/>
      <c r="AG43" s="170" t="n"/>
      <c r="AH43" s="170" t="n"/>
      <c r="AI43" s="170" t="n"/>
      <c r="AJ43" s="170" t="n"/>
      <c r="AK43" s="164" t="n"/>
      <c r="AL43" s="95" t="n"/>
    </row>
    <row r="44" ht="20" customFormat="1" customHeight="1" s="1">
      <c r="A44" s="27" t="n">
        <v>3</v>
      </c>
      <c r="B44" s="27" t="n"/>
      <c r="C44" s="27" t="n"/>
      <c r="D44" s="171" t="inlineStr">
        <is>
          <t>电费</t>
        </is>
      </c>
      <c r="E44" s="47" t="n"/>
      <c r="F44" s="47" t="n"/>
      <c r="G44" s="47" t="n"/>
      <c r="H44" s="163" t="n"/>
      <c r="I44" s="163" t="n"/>
      <c r="J44" s="163">
        <f>H44+I44</f>
        <v/>
      </c>
      <c r="K44" s="168" t="n">
        <v>0</v>
      </c>
      <c r="L44" s="172">
        <f>J44-K44</f>
        <v/>
      </c>
      <c r="M44" s="182" t="n"/>
      <c r="N44" s="182" t="n"/>
      <c r="O44" s="163">
        <f>L44-M44</f>
        <v/>
      </c>
      <c r="P44" s="163">
        <f>K44-N44</f>
        <v/>
      </c>
      <c r="Q44" s="163">
        <f>M44+O44</f>
        <v/>
      </c>
      <c r="R44" s="163">
        <f>M44+N44+O44+P44</f>
        <v/>
      </c>
      <c r="S44" s="182" t="n"/>
      <c r="T44" s="182" t="n"/>
      <c r="U44" s="182" t="n"/>
      <c r="V44" s="182" t="n"/>
      <c r="W44" s="182" t="n"/>
      <c r="X44" s="182" t="n"/>
      <c r="Y44" s="182" t="n"/>
      <c r="Z44" s="163">
        <f>SUM(AA44:AJ44)</f>
        <v/>
      </c>
      <c r="AA44" s="170" t="n"/>
      <c r="AB44" s="170" t="n"/>
      <c r="AC44" s="170" t="n"/>
      <c r="AD44" s="170" t="n"/>
      <c r="AE44" s="170" t="n"/>
      <c r="AF44" s="170" t="n"/>
      <c r="AG44" s="170" t="n"/>
      <c r="AH44" s="170" t="n"/>
      <c r="AI44" s="170" t="n"/>
      <c r="AJ44" s="170" t="n"/>
      <c r="AK44" s="164" t="n"/>
      <c r="AL44" s="95" t="n"/>
    </row>
    <row r="45" ht="20" customFormat="1" customHeight="1" s="1">
      <c r="A45" s="27" t="n">
        <v>4</v>
      </c>
      <c r="B45" s="27" t="n"/>
      <c r="C45" s="27" t="n"/>
      <c r="D45" s="171" t="inlineStr">
        <is>
          <t>临时设施折旧费</t>
        </is>
      </c>
      <c r="E45" s="47" t="n"/>
      <c r="F45" s="47" t="n"/>
      <c r="G45" s="47" t="n"/>
      <c r="H45" s="163" t="n"/>
      <c r="I45" s="163" t="n"/>
      <c r="J45" s="163">
        <f>H45+I45</f>
        <v/>
      </c>
      <c r="K45" s="168" t="n">
        <v>0</v>
      </c>
      <c r="L45" s="172">
        <f>J45-K45</f>
        <v/>
      </c>
      <c r="M45" s="182" t="n"/>
      <c r="N45" s="182" t="n"/>
      <c r="O45" s="163">
        <f>L45-M45</f>
        <v/>
      </c>
      <c r="P45" s="163">
        <f>K45-N45</f>
        <v/>
      </c>
      <c r="Q45" s="163">
        <f>M45+O45</f>
        <v/>
      </c>
      <c r="R45" s="163">
        <f>M45+N45+O45+P45</f>
        <v/>
      </c>
      <c r="S45" s="182" t="n"/>
      <c r="T45" s="182" t="n"/>
      <c r="U45" s="182" t="n"/>
      <c r="V45" s="182" t="n"/>
      <c r="W45" s="182" t="n"/>
      <c r="X45" s="182" t="n"/>
      <c r="Y45" s="182" t="n"/>
      <c r="Z45" s="163">
        <f>SUM(AA45:AJ45)</f>
        <v/>
      </c>
      <c r="AA45" s="170" t="n"/>
      <c r="AB45" s="170" t="n"/>
      <c r="AC45" s="170" t="n"/>
      <c r="AD45" s="170" t="n"/>
      <c r="AE45" s="170" t="n"/>
      <c r="AF45" s="170" t="n"/>
      <c r="AG45" s="170" t="n"/>
      <c r="AH45" s="170" t="n"/>
      <c r="AI45" s="170" t="n"/>
      <c r="AJ45" s="170" t="n"/>
      <c r="AK45" s="164" t="n"/>
      <c r="AL45" s="95" t="n"/>
    </row>
    <row r="46" ht="20" customFormat="1" customHeight="1" s="1">
      <c r="A46" s="27" t="n">
        <v>5</v>
      </c>
      <c r="B46" s="27" t="n"/>
      <c r="C46" s="27" t="n"/>
      <c r="D46" s="171" t="inlineStr">
        <is>
          <t>其他</t>
        </is>
      </c>
      <c r="E46" s="47" t="n"/>
      <c r="F46" s="47" t="n"/>
      <c r="G46" s="47" t="n"/>
      <c r="H46" s="163" t="n"/>
      <c r="I46" s="163" t="n"/>
      <c r="J46" s="163">
        <f>H46+I46</f>
        <v/>
      </c>
      <c r="K46" s="168" t="n">
        <v>0</v>
      </c>
      <c r="L46" s="172">
        <f>J46-K46</f>
        <v/>
      </c>
      <c r="M46" s="182" t="n"/>
      <c r="N46" s="182" t="n">
        <v>0</v>
      </c>
      <c r="O46" s="163">
        <f>L46-M46</f>
        <v/>
      </c>
      <c r="P46" s="163">
        <f>K46-N46</f>
        <v/>
      </c>
      <c r="Q46" s="163">
        <f>M46+O46</f>
        <v/>
      </c>
      <c r="R46" s="163">
        <f>M46+N46+O46+P46</f>
        <v/>
      </c>
      <c r="S46" s="182" t="n"/>
      <c r="T46" s="182" t="n"/>
      <c r="U46" s="182" t="n"/>
      <c r="V46" s="182" t="n"/>
      <c r="W46" s="182" t="n"/>
      <c r="X46" s="182" t="n"/>
      <c r="Y46" s="182" t="n"/>
      <c r="Z46" s="163">
        <f>SUM(AA46:AJ46)</f>
        <v/>
      </c>
      <c r="AA46" s="170" t="n"/>
      <c r="AB46" s="170" t="n"/>
      <c r="AC46" s="170" t="n"/>
      <c r="AD46" s="170" t="n"/>
      <c r="AE46" s="170" t="n"/>
      <c r="AF46" s="170" t="n"/>
      <c r="AG46" s="170" t="n"/>
      <c r="AH46" s="170" t="n"/>
      <c r="AI46" s="170" t="n"/>
      <c r="AJ46" s="170" t="n"/>
      <c r="AK46" s="164" t="n"/>
      <c r="AL46" s="95" t="n"/>
    </row>
    <row r="47" ht="20" customFormat="1" customHeight="1" s="1">
      <c r="A47" s="27" t="n"/>
      <c r="B47" s="27" t="n"/>
      <c r="C47" s="27" t="n"/>
      <c r="D47" s="32" t="inlineStr">
        <is>
          <t>**财务未列部分需增列***</t>
        </is>
      </c>
      <c r="E47" s="47" t="n"/>
      <c r="F47" s="47" t="n"/>
      <c r="G47" s="47" t="n"/>
      <c r="H47" s="163" t="n"/>
      <c r="I47" s="163" t="n"/>
      <c r="J47" s="158" t="n"/>
      <c r="K47" s="168" t="n"/>
      <c r="L47" s="172">
        <f>J47-K47</f>
        <v/>
      </c>
      <c r="M47" s="182" t="n"/>
      <c r="N47" s="182" t="n"/>
      <c r="O47" s="163">
        <f>L47-M47</f>
        <v/>
      </c>
      <c r="P47" s="163">
        <f>K47-N47</f>
        <v/>
      </c>
      <c r="Q47" s="163">
        <f>M47+O47</f>
        <v/>
      </c>
      <c r="R47" s="163">
        <f>M47+N47+O47+P47</f>
        <v/>
      </c>
      <c r="S47" s="182" t="n"/>
      <c r="T47" s="182" t="n"/>
      <c r="U47" s="182" t="n"/>
      <c r="V47" s="182" t="n"/>
      <c r="W47" s="182" t="n"/>
      <c r="X47" s="182" t="n"/>
      <c r="Y47" s="182" t="n"/>
      <c r="Z47" s="163">
        <f>SUM(AA47:AJ47)</f>
        <v/>
      </c>
      <c r="AA47" s="170" t="n"/>
      <c r="AB47" s="170" t="n"/>
      <c r="AC47" s="170" t="n"/>
      <c r="AD47" s="170" t="n"/>
      <c r="AE47" s="170" t="n"/>
      <c r="AF47" s="170" t="n"/>
      <c r="AG47" s="170" t="n"/>
      <c r="AH47" s="170" t="n"/>
      <c r="AI47" s="170" t="n"/>
      <c r="AJ47" s="170" t="n"/>
      <c r="AK47" s="164" t="n"/>
      <c r="AL47" s="95" t="n"/>
    </row>
    <row r="48" ht="20" customFormat="1" customHeight="1" s="1">
      <c r="A48" s="51" t="n"/>
      <c r="B48" s="51" t="n"/>
      <c r="C48" s="51" t="n"/>
      <c r="D48" s="41" t="inlineStr">
        <is>
          <t>其他直接费小计：</t>
        </is>
      </c>
      <c r="E48" s="52" t="n"/>
      <c r="F48" s="52" t="n"/>
      <c r="G48" s="52" t="n"/>
      <c r="H48" s="174">
        <f>SUM(H41:H46)</f>
        <v/>
      </c>
      <c r="I48" s="174">
        <f>SUM(I41:I46)</f>
        <v/>
      </c>
      <c r="J48" s="174">
        <f>SUM(J41:J46)</f>
        <v/>
      </c>
      <c r="K48" s="174">
        <f>SUM(K41:K46)</f>
        <v/>
      </c>
      <c r="L48" s="177">
        <f>SUM(L41:L46)</f>
        <v/>
      </c>
      <c r="M48" s="174">
        <f>SUM(M42:M46)</f>
        <v/>
      </c>
      <c r="N48" s="174">
        <f>SUM(N42:N46)</f>
        <v/>
      </c>
      <c r="O48" s="174">
        <f>L48-M48</f>
        <v/>
      </c>
      <c r="P48" s="174">
        <f>SUM(P42:P46)</f>
        <v/>
      </c>
      <c r="Q48" s="174">
        <f>M48+O48</f>
        <v/>
      </c>
      <c r="R48" s="174">
        <f>SUM(R42:R46)</f>
        <v/>
      </c>
      <c r="S48" s="174">
        <f>SUM(S42:S46)</f>
        <v/>
      </c>
      <c r="T48" s="174" t="n"/>
      <c r="U48" s="174" t="n"/>
      <c r="V48" s="174" t="n"/>
      <c r="W48" s="174" t="n"/>
      <c r="X48" s="174" t="n"/>
      <c r="Y48" s="174" t="n"/>
      <c r="Z48" s="174">
        <f>SUM(Z42:Z46)</f>
        <v/>
      </c>
      <c r="AA48" s="174">
        <f>SUM(AA42:AA46)</f>
        <v/>
      </c>
      <c r="AB48" s="174">
        <f>SUM(AB42:AB46)</f>
        <v/>
      </c>
      <c r="AC48" s="174">
        <f>SUM(AC42:AC46)</f>
        <v/>
      </c>
      <c r="AD48" s="174">
        <f>SUM(AD42:AD46)</f>
        <v/>
      </c>
      <c r="AE48" s="174">
        <f>SUM(AE42:AE46)</f>
        <v/>
      </c>
      <c r="AF48" s="174">
        <f>SUM(AF42:AF46)</f>
        <v/>
      </c>
      <c r="AG48" s="174" t="n"/>
      <c r="AH48" s="174" t="n"/>
      <c r="AI48" s="174">
        <f>SUM(AI42:AI46)</f>
        <v/>
      </c>
      <c r="AJ48" s="174">
        <f>SUM(AJ42:AJ46)</f>
        <v/>
      </c>
      <c r="AK48" s="174">
        <f>SUM(AK42:AK46)</f>
        <v/>
      </c>
      <c r="AL48" s="95" t="n"/>
    </row>
    <row r="49" ht="20" customFormat="1" customHeight="1" s="1">
      <c r="A49" s="27" t="n"/>
      <c r="B49" s="27" t="n"/>
      <c r="C49" s="27" t="n"/>
      <c r="D49" s="37" t="inlineStr">
        <is>
          <t>（六）间接费</t>
        </is>
      </c>
      <c r="E49" s="47" t="n"/>
      <c r="F49" s="47" t="n"/>
      <c r="G49" s="47" t="n"/>
      <c r="H49" s="158" t="n"/>
      <c r="I49" s="163" t="n"/>
      <c r="J49" s="163" t="n">
        <v>0</v>
      </c>
      <c r="K49" s="168" t="n">
        <v>0</v>
      </c>
      <c r="L49" s="172">
        <f>J49-N49-P49</f>
        <v/>
      </c>
      <c r="M49" s="158" t="n"/>
      <c r="N49" s="158" t="n"/>
      <c r="O49" s="163" t="n"/>
      <c r="P49" s="163" t="n"/>
      <c r="Q49" s="163" t="n"/>
      <c r="R49" s="163" t="n"/>
      <c r="S49" s="170" t="n"/>
      <c r="T49" s="170" t="n"/>
      <c r="U49" s="170" t="n"/>
      <c r="V49" s="170" t="n"/>
      <c r="W49" s="170" t="n"/>
      <c r="X49" s="170" t="n"/>
      <c r="Y49" s="170" t="n"/>
      <c r="Z49" s="170" t="n"/>
      <c r="AA49" s="170" t="n"/>
      <c r="AB49" s="170" t="n"/>
      <c r="AC49" s="170" t="n"/>
      <c r="AD49" s="170" t="n"/>
      <c r="AE49" s="170" t="n"/>
      <c r="AF49" s="170" t="n"/>
      <c r="AG49" s="170" t="n"/>
      <c r="AH49" s="170" t="n"/>
      <c r="AI49" s="170" t="n"/>
      <c r="AJ49" s="170" t="n"/>
      <c r="AK49" s="164" t="n"/>
      <c r="AL49" s="95" t="n"/>
    </row>
    <row r="50" ht="20" customFormat="1" customHeight="1" s="1">
      <c r="A50" s="27" t="n">
        <v>1</v>
      </c>
      <c r="B50" s="27" t="n"/>
      <c r="C50" s="27" t="n"/>
      <c r="D50" s="171" t="inlineStr">
        <is>
          <t>工资</t>
        </is>
      </c>
      <c r="E50" s="47" t="n"/>
      <c r="F50" s="47" t="n"/>
      <c r="G50" s="47" t="n"/>
      <c r="H50" s="182" t="n"/>
      <c r="I50" s="163" t="n"/>
      <c r="J50" s="182">
        <f>H50+I50</f>
        <v/>
      </c>
      <c r="K50" s="168" t="n">
        <v>0</v>
      </c>
      <c r="L50" s="172">
        <f>J50-K50</f>
        <v/>
      </c>
      <c r="M50" s="182" t="n"/>
      <c r="N50" s="182" t="n"/>
      <c r="O50" s="163">
        <f>L50-M50</f>
        <v/>
      </c>
      <c r="P50" s="163">
        <f>K50-N50</f>
        <v/>
      </c>
      <c r="Q50" s="163">
        <f>M50+O50</f>
        <v/>
      </c>
      <c r="R50" s="163">
        <f>M50+N50+O50+P50</f>
        <v/>
      </c>
      <c r="S50" s="182" t="n"/>
      <c r="T50" s="182" t="n"/>
      <c r="U50" s="182" t="n"/>
      <c r="V50" s="182" t="n"/>
      <c r="W50" s="182" t="n"/>
      <c r="X50" s="182" t="n"/>
      <c r="Y50" s="182" t="n"/>
      <c r="Z50" s="163">
        <f>SUM(AA50:AJ50)</f>
        <v/>
      </c>
      <c r="AA50" s="170" t="n"/>
      <c r="AB50" s="170" t="n"/>
      <c r="AC50" s="170" t="n"/>
      <c r="AD50" s="170" t="n"/>
      <c r="AE50" s="170" t="n"/>
      <c r="AF50" s="170" t="n"/>
      <c r="AG50" s="170" t="n"/>
      <c r="AH50" s="170" t="n"/>
      <c r="AI50" s="170" t="n"/>
      <c r="AJ50" s="170" t="n"/>
      <c r="AK50" s="164" t="n"/>
      <c r="AL50" s="95" t="n"/>
    </row>
    <row r="51" ht="20" customFormat="1" customHeight="1" s="1">
      <c r="A51" s="27" t="n">
        <v>2</v>
      </c>
      <c r="B51" s="27" t="n"/>
      <c r="C51" s="27" t="n"/>
      <c r="D51" s="171" t="inlineStr">
        <is>
          <t>福利费</t>
        </is>
      </c>
      <c r="E51" s="47" t="n"/>
      <c r="F51" s="47" t="n"/>
      <c r="G51" s="47" t="n"/>
      <c r="H51" s="182" t="n"/>
      <c r="I51" s="163" t="n"/>
      <c r="J51" s="182">
        <f>H51+I51</f>
        <v/>
      </c>
      <c r="K51" s="168" t="n">
        <v>0</v>
      </c>
      <c r="L51" s="172">
        <f>J51-K51</f>
        <v/>
      </c>
      <c r="M51" s="182" t="n"/>
      <c r="N51" s="182" t="n"/>
      <c r="O51" s="163">
        <f>L51-M51</f>
        <v/>
      </c>
      <c r="P51" s="163">
        <f>K51-N51</f>
        <v/>
      </c>
      <c r="Q51" s="163">
        <f>M51+O51</f>
        <v/>
      </c>
      <c r="R51" s="163">
        <f>M51+N51+O51+P51</f>
        <v/>
      </c>
      <c r="S51" s="182" t="n"/>
      <c r="T51" s="182" t="n"/>
      <c r="U51" s="182" t="n"/>
      <c r="V51" s="182" t="n"/>
      <c r="W51" s="182" t="n"/>
      <c r="X51" s="182" t="n"/>
      <c r="Y51" s="182" t="n"/>
      <c r="Z51" s="163">
        <f>SUM(AA51:AJ51)</f>
        <v/>
      </c>
      <c r="AA51" s="170" t="n"/>
      <c r="AB51" s="170" t="n"/>
      <c r="AC51" s="170" t="n"/>
      <c r="AD51" s="170" t="n"/>
      <c r="AE51" s="170" t="n"/>
      <c r="AF51" s="170" t="n"/>
      <c r="AG51" s="170" t="n"/>
      <c r="AH51" s="170" t="n"/>
      <c r="AI51" s="170" t="n"/>
      <c r="AJ51" s="170" t="n"/>
      <c r="AK51" s="164" t="n"/>
      <c r="AL51" s="95" t="n"/>
    </row>
    <row r="52" ht="20" customFormat="1" customHeight="1" s="1">
      <c r="A52" s="27" t="n">
        <v>3</v>
      </c>
      <c r="B52" s="27" t="n"/>
      <c r="C52" s="27" t="n"/>
      <c r="D52" s="171" t="inlineStr">
        <is>
          <t>折旧费</t>
        </is>
      </c>
      <c r="E52" s="47" t="n"/>
      <c r="F52" s="47" t="n"/>
      <c r="G52" s="47" t="n"/>
      <c r="H52" s="182" t="n"/>
      <c r="I52" s="163" t="n"/>
      <c r="J52" s="182">
        <f>H52+I52</f>
        <v/>
      </c>
      <c r="K52" s="168" t="n">
        <v>0</v>
      </c>
      <c r="L52" s="172">
        <f>J52-K52</f>
        <v/>
      </c>
      <c r="M52" s="182" t="n"/>
      <c r="N52" s="163" t="n"/>
      <c r="O52" s="163">
        <f>L52-M52</f>
        <v/>
      </c>
      <c r="P52" s="163">
        <f>K52-N52</f>
        <v/>
      </c>
      <c r="Q52" s="163">
        <f>M52+O52</f>
        <v/>
      </c>
      <c r="R52" s="163">
        <f>M52+N52+O52+P52</f>
        <v/>
      </c>
      <c r="S52" s="182" t="n"/>
      <c r="T52" s="182" t="n"/>
      <c r="U52" s="182" t="n"/>
      <c r="V52" s="182" t="n"/>
      <c r="W52" s="182" t="n"/>
      <c r="X52" s="182" t="n"/>
      <c r="Y52" s="182" t="n"/>
      <c r="Z52" s="163">
        <f>SUM(AA52:AJ52)</f>
        <v/>
      </c>
      <c r="AA52" s="170" t="n"/>
      <c r="AB52" s="170" t="n"/>
      <c r="AC52" s="170" t="n"/>
      <c r="AD52" s="170" t="n"/>
      <c r="AE52" s="170" t="n"/>
      <c r="AF52" s="170" t="n"/>
      <c r="AG52" s="170" t="n"/>
      <c r="AH52" s="170" t="n"/>
      <c r="AI52" s="170" t="n"/>
      <c r="AJ52" s="170" t="n"/>
      <c r="AK52" s="164" t="n"/>
      <c r="AL52" s="95" t="n"/>
    </row>
    <row r="53" ht="20" customFormat="1" customHeight="1" s="1">
      <c r="A53" s="27" t="n">
        <v>4</v>
      </c>
      <c r="B53" s="27" t="n"/>
      <c r="C53" s="27" t="n"/>
      <c r="D53" s="171" t="inlineStr">
        <is>
          <t>修理费</t>
        </is>
      </c>
      <c r="E53" s="47" t="n"/>
      <c r="F53" s="47" t="n"/>
      <c r="G53" s="47" t="n"/>
      <c r="H53" s="182" t="n"/>
      <c r="I53" s="163" t="n"/>
      <c r="J53" s="182">
        <f>H53+I53</f>
        <v/>
      </c>
      <c r="K53" s="168" t="n">
        <v>0</v>
      </c>
      <c r="L53" s="172">
        <f>J53-K53</f>
        <v/>
      </c>
      <c r="M53" s="182" t="n"/>
      <c r="N53" s="182" t="n"/>
      <c r="O53" s="163">
        <f>L53-M53</f>
        <v/>
      </c>
      <c r="P53" s="163">
        <f>K53-N53</f>
        <v/>
      </c>
      <c r="Q53" s="163">
        <f>M53+O53</f>
        <v/>
      </c>
      <c r="R53" s="163">
        <f>M53+N53+O53+P53</f>
        <v/>
      </c>
      <c r="S53" s="182" t="n"/>
      <c r="T53" s="182" t="n"/>
      <c r="U53" s="182" t="n"/>
      <c r="V53" s="182" t="n"/>
      <c r="W53" s="182" t="n"/>
      <c r="X53" s="182" t="n"/>
      <c r="Y53" s="182" t="n"/>
      <c r="Z53" s="163">
        <f>SUM(AA53:AJ53)</f>
        <v/>
      </c>
      <c r="AA53" s="170" t="n"/>
      <c r="AB53" s="170" t="n"/>
      <c r="AC53" s="170" t="n"/>
      <c r="AD53" s="170" t="n"/>
      <c r="AE53" s="170" t="n"/>
      <c r="AF53" s="170" t="n"/>
      <c r="AG53" s="170" t="n"/>
      <c r="AH53" s="170" t="n"/>
      <c r="AI53" s="170" t="n"/>
      <c r="AJ53" s="170" t="n"/>
      <c r="AK53" s="164" t="n"/>
      <c r="AL53" s="95" t="n"/>
    </row>
    <row r="54" ht="20" customFormat="1" customHeight="1" s="1">
      <c r="A54" s="27" t="n">
        <v>5</v>
      </c>
      <c r="B54" s="27" t="n"/>
      <c r="C54" s="27" t="n"/>
      <c r="D54" s="171" t="inlineStr">
        <is>
          <t>物料消耗</t>
        </is>
      </c>
      <c r="E54" s="47" t="n"/>
      <c r="F54" s="47" t="n"/>
      <c r="G54" s="47" t="n"/>
      <c r="H54" s="182" t="n"/>
      <c r="I54" s="163" t="n"/>
      <c r="J54" s="182">
        <f>H54+I54</f>
        <v/>
      </c>
      <c r="K54" s="168" t="n">
        <v>0</v>
      </c>
      <c r="L54" s="172">
        <f>J54-K54</f>
        <v/>
      </c>
      <c r="M54" s="182" t="n"/>
      <c r="N54" s="182" t="n"/>
      <c r="O54" s="163">
        <f>L54-M54</f>
        <v/>
      </c>
      <c r="P54" s="163">
        <f>K54-N54</f>
        <v/>
      </c>
      <c r="Q54" s="163">
        <f>M54+O54</f>
        <v/>
      </c>
      <c r="R54" s="163">
        <f>M54+N54+O54+P54</f>
        <v/>
      </c>
      <c r="S54" s="182" t="n"/>
      <c r="T54" s="182" t="n"/>
      <c r="U54" s="182" t="n"/>
      <c r="V54" s="182" t="n"/>
      <c r="W54" s="182" t="n"/>
      <c r="X54" s="182" t="n"/>
      <c r="Y54" s="182" t="n"/>
      <c r="Z54" s="163">
        <f>SUM(AA54:AJ54)</f>
        <v/>
      </c>
      <c r="AA54" s="170" t="n"/>
      <c r="AB54" s="170" t="n"/>
      <c r="AC54" s="170" t="n"/>
      <c r="AD54" s="170" t="n"/>
      <c r="AE54" s="170" t="n"/>
      <c r="AF54" s="170" t="n"/>
      <c r="AG54" s="170" t="n"/>
      <c r="AH54" s="170" t="n"/>
      <c r="AI54" s="170" t="n"/>
      <c r="AJ54" s="170" t="n"/>
      <c r="AK54" s="164" t="n"/>
      <c r="AL54" s="95" t="n"/>
    </row>
    <row r="55" ht="20" customFormat="1" customHeight="1" s="1">
      <c r="A55" s="27" t="n">
        <v>6</v>
      </c>
      <c r="B55" s="27" t="n"/>
      <c r="C55" s="27" t="n"/>
      <c r="D55" s="171" t="inlineStr">
        <is>
          <t>办公费</t>
        </is>
      </c>
      <c r="E55" s="47" t="n"/>
      <c r="F55" s="47" t="n"/>
      <c r="G55" s="47" t="n"/>
      <c r="H55" s="182" t="n"/>
      <c r="I55" s="163" t="n"/>
      <c r="J55" s="182">
        <f>H55+I55</f>
        <v/>
      </c>
      <c r="K55" s="168" t="n">
        <v>0</v>
      </c>
      <c r="L55" s="172">
        <f>J55-K55</f>
        <v/>
      </c>
      <c r="M55" s="182" t="n"/>
      <c r="N55" s="182" t="n"/>
      <c r="O55" s="163">
        <f>L55-M55</f>
        <v/>
      </c>
      <c r="P55" s="163">
        <f>K55-N55</f>
        <v/>
      </c>
      <c r="Q55" s="163">
        <f>M55+O55</f>
        <v/>
      </c>
      <c r="R55" s="163">
        <f>M55+N55+O55+P55</f>
        <v/>
      </c>
      <c r="S55" s="182" t="n"/>
      <c r="T55" s="182" t="n"/>
      <c r="U55" s="182" t="n"/>
      <c r="V55" s="182" t="n"/>
      <c r="W55" s="182" t="n"/>
      <c r="X55" s="182" t="n"/>
      <c r="Y55" s="182" t="n"/>
      <c r="Z55" s="163">
        <f>SUM(AA55:AJ55)</f>
        <v/>
      </c>
      <c r="AA55" s="170" t="n"/>
      <c r="AB55" s="170" t="n"/>
      <c r="AC55" s="170" t="n"/>
      <c r="AD55" s="170" t="n"/>
      <c r="AE55" s="170" t="n"/>
      <c r="AF55" s="170" t="n"/>
      <c r="AG55" s="170" t="n"/>
      <c r="AH55" s="170" t="n"/>
      <c r="AI55" s="170" t="n"/>
      <c r="AJ55" s="170" t="n"/>
      <c r="AK55" s="164" t="n"/>
      <c r="AL55" s="95" t="n"/>
    </row>
    <row r="56" ht="20" customFormat="1" customHeight="1" s="1">
      <c r="A56" s="27" t="n">
        <v>7</v>
      </c>
      <c r="B56" s="27" t="n"/>
      <c r="C56" s="27" t="n"/>
      <c r="D56" s="171" t="inlineStr">
        <is>
          <t>差旅费</t>
        </is>
      </c>
      <c r="E56" s="47" t="n"/>
      <c r="F56" s="47" t="n"/>
      <c r="G56" s="47" t="n"/>
      <c r="H56" s="182" t="n"/>
      <c r="I56" s="163" t="n"/>
      <c r="J56" s="182">
        <f>H56+I56</f>
        <v/>
      </c>
      <c r="K56" s="168" t="n">
        <v>0</v>
      </c>
      <c r="L56" s="172">
        <f>J56-K56</f>
        <v/>
      </c>
      <c r="M56" s="182" t="n"/>
      <c r="N56" s="182" t="n"/>
      <c r="O56" s="163">
        <f>L56-M56</f>
        <v/>
      </c>
      <c r="P56" s="163">
        <f>K56-N56</f>
        <v/>
      </c>
      <c r="Q56" s="163">
        <f>M56+O56</f>
        <v/>
      </c>
      <c r="R56" s="163">
        <f>M56+N56+O56+P56</f>
        <v/>
      </c>
      <c r="S56" s="182" t="n"/>
      <c r="T56" s="182" t="n"/>
      <c r="U56" s="182" t="n"/>
      <c r="V56" s="182" t="n"/>
      <c r="W56" s="182" t="n"/>
      <c r="X56" s="182" t="n"/>
      <c r="Y56" s="182" t="n"/>
      <c r="Z56" s="163">
        <f>SUM(AA56:AJ56)</f>
        <v/>
      </c>
      <c r="AA56" s="170" t="n"/>
      <c r="AB56" s="170" t="n"/>
      <c r="AC56" s="170" t="n"/>
      <c r="AD56" s="170" t="n"/>
      <c r="AE56" s="170" t="n"/>
      <c r="AF56" s="170" t="n"/>
      <c r="AG56" s="170" t="n"/>
      <c r="AH56" s="170" t="n"/>
      <c r="AI56" s="170" t="n"/>
      <c r="AJ56" s="170" t="n"/>
      <c r="AK56" s="164" t="n"/>
      <c r="AL56" s="95" t="n"/>
    </row>
    <row r="57" ht="20" customFormat="1" customHeight="1" s="1">
      <c r="A57" s="27" t="n">
        <v>8</v>
      </c>
      <c r="B57" s="27" t="n"/>
      <c r="C57" s="27" t="n"/>
      <c r="D57" s="171" t="inlineStr">
        <is>
          <t>劳动保护费</t>
        </is>
      </c>
      <c r="E57" s="47" t="n"/>
      <c r="F57" s="47" t="n"/>
      <c r="G57" s="47" t="n"/>
      <c r="H57" s="182" t="n"/>
      <c r="I57" s="163" t="n"/>
      <c r="J57" s="182">
        <f>H57+I57</f>
        <v/>
      </c>
      <c r="K57" s="168" t="n">
        <v>0</v>
      </c>
      <c r="L57" s="172">
        <f>J57-K57</f>
        <v/>
      </c>
      <c r="M57" s="182" t="n"/>
      <c r="N57" s="163" t="n"/>
      <c r="O57" s="163">
        <f>L57-M57</f>
        <v/>
      </c>
      <c r="P57" s="163">
        <f>K57-N57</f>
        <v/>
      </c>
      <c r="Q57" s="163">
        <f>M57+O57</f>
        <v/>
      </c>
      <c r="R57" s="163">
        <f>M57+N57+O57+P57</f>
        <v/>
      </c>
      <c r="S57" s="182" t="n"/>
      <c r="T57" s="182" t="n"/>
      <c r="U57" s="182" t="n"/>
      <c r="V57" s="182" t="n"/>
      <c r="W57" s="182" t="n"/>
      <c r="X57" s="182" t="n"/>
      <c r="Y57" s="182" t="n"/>
      <c r="Z57" s="163">
        <f>SUM(AA57:AJ57)</f>
        <v/>
      </c>
      <c r="AA57" s="170" t="n"/>
      <c r="AB57" s="170" t="n"/>
      <c r="AC57" s="170" t="n"/>
      <c r="AD57" s="170" t="n"/>
      <c r="AE57" s="170" t="n"/>
      <c r="AF57" s="170" t="n"/>
      <c r="AG57" s="170" t="n"/>
      <c r="AH57" s="170" t="n"/>
      <c r="AI57" s="170" t="n"/>
      <c r="AJ57" s="170" t="n"/>
      <c r="AK57" s="164" t="n"/>
      <c r="AL57" s="95" t="n"/>
    </row>
    <row r="58" ht="20" customFormat="1" customHeight="1" s="1">
      <c r="A58" s="27" t="n">
        <v>9</v>
      </c>
      <c r="B58" s="27" t="n"/>
      <c r="C58" s="27" t="n"/>
      <c r="D58" s="171" t="inlineStr">
        <is>
          <t>工程保险费</t>
        </is>
      </c>
      <c r="E58" s="47" t="n"/>
      <c r="F58" s="47" t="n"/>
      <c r="G58" s="47" t="n"/>
      <c r="H58" s="182" t="n"/>
      <c r="I58" s="163" t="n"/>
      <c r="J58" s="182">
        <f>H58+I58</f>
        <v/>
      </c>
      <c r="K58" s="168" t="n">
        <v>0</v>
      </c>
      <c r="L58" s="172">
        <f>J58-K58</f>
        <v/>
      </c>
      <c r="M58" s="182" t="n"/>
      <c r="N58" s="182" t="n"/>
      <c r="O58" s="163">
        <f>L58-M58</f>
        <v/>
      </c>
      <c r="P58" s="163">
        <f>K58-N58</f>
        <v/>
      </c>
      <c r="Q58" s="163">
        <f>M58+O58</f>
        <v/>
      </c>
      <c r="R58" s="163">
        <f>M58+N58+O58+P58</f>
        <v/>
      </c>
      <c r="S58" s="182" t="n"/>
      <c r="T58" s="182" t="n"/>
      <c r="U58" s="182" t="n"/>
      <c r="V58" s="182" t="n"/>
      <c r="W58" s="182" t="n"/>
      <c r="X58" s="182" t="n"/>
      <c r="Y58" s="182" t="n"/>
      <c r="Z58" s="163">
        <f>SUM(AA58:AJ58)</f>
        <v/>
      </c>
      <c r="AA58" s="170" t="n"/>
      <c r="AB58" s="170" t="n"/>
      <c r="AC58" s="170" t="n"/>
      <c r="AD58" s="170" t="n"/>
      <c r="AE58" s="170" t="n"/>
      <c r="AF58" s="170" t="n"/>
      <c r="AG58" s="170" t="n"/>
      <c r="AH58" s="170" t="n"/>
      <c r="AI58" s="170" t="n"/>
      <c r="AJ58" s="170" t="n"/>
      <c r="AK58" s="164" t="n"/>
      <c r="AL58" s="95" t="n"/>
    </row>
    <row r="59" ht="20" customFormat="1" customHeight="1" s="1">
      <c r="A59" s="27" t="n">
        <v>10</v>
      </c>
      <c r="B59" s="27" t="n"/>
      <c r="C59" s="27" t="n"/>
      <c r="D59" s="171" t="inlineStr">
        <is>
          <t>租赁费</t>
        </is>
      </c>
      <c r="E59" s="47" t="n"/>
      <c r="F59" s="47" t="n"/>
      <c r="G59" s="47" t="n"/>
      <c r="H59" s="182" t="n"/>
      <c r="I59" s="163" t="n"/>
      <c r="J59" s="182">
        <f>H59+I59</f>
        <v/>
      </c>
      <c r="K59" s="168" t="n">
        <v>0</v>
      </c>
      <c r="L59" s="172">
        <f>J59-K59</f>
        <v/>
      </c>
      <c r="M59" s="182" t="n"/>
      <c r="N59" s="163" t="n"/>
      <c r="O59" s="163">
        <f>L59-M59</f>
        <v/>
      </c>
      <c r="P59" s="163">
        <f>K59-N59</f>
        <v/>
      </c>
      <c r="Q59" s="163">
        <f>M59+O59</f>
        <v/>
      </c>
      <c r="R59" s="163">
        <f>M59+N59+O59+P59</f>
        <v/>
      </c>
      <c r="S59" s="182" t="n"/>
      <c r="T59" s="182" t="n"/>
      <c r="U59" s="182" t="n"/>
      <c r="V59" s="182" t="n"/>
      <c r="W59" s="182" t="n"/>
      <c r="X59" s="182" t="n"/>
      <c r="Y59" s="182" t="n"/>
      <c r="Z59" s="163">
        <f>SUM(AA59:AJ59)</f>
        <v/>
      </c>
      <c r="AA59" s="170" t="n"/>
      <c r="AB59" s="170" t="n"/>
      <c r="AC59" s="170" t="n"/>
      <c r="AD59" s="170" t="n"/>
      <c r="AE59" s="170" t="n"/>
      <c r="AF59" s="170" t="n"/>
      <c r="AG59" s="170" t="n"/>
      <c r="AH59" s="170" t="n"/>
      <c r="AI59" s="170" t="n"/>
      <c r="AJ59" s="170" t="n"/>
      <c r="AK59" s="164" t="n"/>
      <c r="AL59" s="95" t="n"/>
    </row>
    <row r="60" ht="20" customFormat="1" customHeight="1" s="1">
      <c r="A60" s="27" t="n">
        <v>11</v>
      </c>
      <c r="B60" s="27" t="n"/>
      <c r="C60" s="27" t="n"/>
      <c r="D60" s="171" t="inlineStr">
        <is>
          <t>水电费</t>
        </is>
      </c>
      <c r="E60" s="47" t="n"/>
      <c r="F60" s="47" t="n"/>
      <c r="G60" s="47" t="n"/>
      <c r="H60" s="182" t="n"/>
      <c r="I60" s="163" t="n"/>
      <c r="J60" s="182">
        <f>H60+I60</f>
        <v/>
      </c>
      <c r="K60" s="168" t="n">
        <v>0</v>
      </c>
      <c r="L60" s="172">
        <f>J60-K60</f>
        <v/>
      </c>
      <c r="M60" s="182" t="n"/>
      <c r="N60" s="163" t="n"/>
      <c r="O60" s="163">
        <f>L60-M60</f>
        <v/>
      </c>
      <c r="P60" s="163">
        <f>K60-N60</f>
        <v/>
      </c>
      <c r="Q60" s="163">
        <f>M60+O60</f>
        <v/>
      </c>
      <c r="R60" s="163">
        <f>M60+N60+O60+P60</f>
        <v/>
      </c>
      <c r="S60" s="182" t="n"/>
      <c r="T60" s="182" t="n"/>
      <c r="U60" s="182" t="n"/>
      <c r="V60" s="182" t="n"/>
      <c r="W60" s="182" t="n"/>
      <c r="X60" s="182" t="n"/>
      <c r="Y60" s="182" t="n"/>
      <c r="Z60" s="163">
        <f>SUM(AA60:AJ60)</f>
        <v/>
      </c>
      <c r="AA60" s="170" t="n"/>
      <c r="AB60" s="170" t="n"/>
      <c r="AC60" s="170" t="n"/>
      <c r="AD60" s="170" t="n"/>
      <c r="AE60" s="170" t="n"/>
      <c r="AF60" s="170" t="n"/>
      <c r="AG60" s="170" t="n"/>
      <c r="AH60" s="170" t="n"/>
      <c r="AI60" s="170" t="n"/>
      <c r="AJ60" s="170" t="n"/>
      <c r="AK60" s="164" t="n"/>
      <c r="AL60" s="95" t="n"/>
    </row>
    <row r="61" ht="20" customFormat="1" customHeight="1" s="2">
      <c r="A61" s="27" t="n">
        <v>12</v>
      </c>
      <c r="B61" s="27" t="n"/>
      <c r="C61" s="27" t="n"/>
      <c r="D61" s="171" t="inlineStr">
        <is>
          <t>其他</t>
        </is>
      </c>
      <c r="E61" s="47" t="n"/>
      <c r="F61" s="47" t="n"/>
      <c r="G61" s="47" t="n"/>
      <c r="H61" s="182" t="n"/>
      <c r="I61" s="163" t="n"/>
      <c r="J61" s="182">
        <f>H61+I61</f>
        <v/>
      </c>
      <c r="K61" s="168" t="n"/>
      <c r="L61" s="172">
        <f>J61-K61</f>
        <v/>
      </c>
      <c r="M61" s="182" t="n"/>
      <c r="N61" s="163" t="n"/>
      <c r="O61" s="163">
        <f>L61-M61</f>
        <v/>
      </c>
      <c r="P61" s="163">
        <f>K61-N61</f>
        <v/>
      </c>
      <c r="Q61" s="163">
        <f>M61+O61</f>
        <v/>
      </c>
      <c r="R61" s="163">
        <f>M61+N61+O61+P61</f>
        <v/>
      </c>
      <c r="S61" s="182" t="n"/>
      <c r="T61" s="182" t="n"/>
      <c r="U61" s="182" t="n"/>
      <c r="V61" s="182" t="n"/>
      <c r="W61" s="182" t="n"/>
      <c r="X61" s="182" t="n"/>
      <c r="Y61" s="182" t="n"/>
      <c r="Z61" s="163">
        <f>SUM(AA61:AJ61)</f>
        <v/>
      </c>
      <c r="AA61" s="170" t="n"/>
      <c r="AB61" s="164" t="n"/>
      <c r="AC61" s="164" t="n"/>
      <c r="AD61" s="164" t="n"/>
      <c r="AE61" s="164" t="n"/>
      <c r="AF61" s="164" t="n"/>
      <c r="AG61" s="164" t="n"/>
      <c r="AH61" s="164" t="n"/>
      <c r="AI61" s="164" t="n"/>
      <c r="AJ61" s="164" t="n"/>
      <c r="AK61" s="164" t="n"/>
      <c r="AL61" s="96" t="n"/>
    </row>
    <row r="62" ht="20" customFormat="1" customHeight="1" s="2">
      <c r="A62" s="27" t="n"/>
      <c r="B62" s="27" t="n"/>
      <c r="C62" s="27" t="n"/>
      <c r="D62" s="32" t="inlineStr">
        <is>
          <t>**财务未列部分需增列***</t>
        </is>
      </c>
      <c r="E62" s="47" t="n"/>
      <c r="F62" s="47" t="n"/>
      <c r="G62" s="47" t="n"/>
      <c r="H62" s="182" t="n"/>
      <c r="I62" s="163" t="n"/>
      <c r="J62" s="182" t="n"/>
      <c r="K62" s="168" t="n"/>
      <c r="L62" s="172" t="n"/>
      <c r="M62" s="182" t="n"/>
      <c r="N62" s="163" t="n"/>
      <c r="O62" s="163">
        <f>L62-M62</f>
        <v/>
      </c>
      <c r="P62" s="163">
        <f>K62-N62</f>
        <v/>
      </c>
      <c r="Q62" s="163">
        <f>M62+O62</f>
        <v/>
      </c>
      <c r="R62" s="163">
        <f>M62+N62+O62+P62</f>
        <v/>
      </c>
      <c r="S62" s="182" t="n"/>
      <c r="T62" s="182" t="n"/>
      <c r="U62" s="182" t="n"/>
      <c r="V62" s="182" t="n"/>
      <c r="W62" s="182" t="n"/>
      <c r="X62" s="182" t="n"/>
      <c r="Y62" s="182" t="n"/>
      <c r="Z62" s="182" t="n"/>
      <c r="AA62" s="170" t="n"/>
      <c r="AB62" s="164" t="n"/>
      <c r="AC62" s="164" t="n"/>
      <c r="AD62" s="164" t="n"/>
      <c r="AE62" s="164" t="n"/>
      <c r="AF62" s="164" t="n"/>
      <c r="AG62" s="164" t="n"/>
      <c r="AH62" s="164" t="n"/>
      <c r="AI62" s="164" t="n"/>
      <c r="AJ62" s="164" t="n"/>
      <c r="AK62" s="164" t="n"/>
      <c r="AL62" s="96" t="n"/>
    </row>
    <row r="63" ht="20" customFormat="1" customHeight="1" s="2">
      <c r="A63" s="51" t="n"/>
      <c r="B63" s="51" t="n"/>
      <c r="C63" s="51" t="n"/>
      <c r="D63" s="41" t="inlineStr">
        <is>
          <t>间接费小计：</t>
        </is>
      </c>
      <c r="E63" s="52" t="n"/>
      <c r="F63" s="52" t="n"/>
      <c r="G63" s="52" t="n"/>
      <c r="H63" s="174">
        <f>SUM(H49:H61)</f>
        <v/>
      </c>
      <c r="I63" s="174">
        <f>SUM(I49:I61)</f>
        <v/>
      </c>
      <c r="J63" s="174">
        <f>SUM(J49:J61)</f>
        <v/>
      </c>
      <c r="K63" s="174">
        <f>SUM(K49:K61)</f>
        <v/>
      </c>
      <c r="L63" s="177">
        <f>SUM(L49:L61)</f>
        <v/>
      </c>
      <c r="M63" s="177">
        <f>SUM(M49:M61)</f>
        <v/>
      </c>
      <c r="N63" s="177">
        <f>SUM(N49:N61)</f>
        <v/>
      </c>
      <c r="O63" s="177">
        <f>SUM(O49:O61)</f>
        <v/>
      </c>
      <c r="P63" s="177">
        <f>SUM(P49:P61)</f>
        <v/>
      </c>
      <c r="Q63" s="177">
        <f>SUM(Q49:Q61)</f>
        <v/>
      </c>
      <c r="R63" s="177">
        <f>SUM(R49:R61)</f>
        <v/>
      </c>
      <c r="S63" s="177">
        <f>SUM(S49:S61)</f>
        <v/>
      </c>
      <c r="T63" s="177" t="n"/>
      <c r="U63" s="177" t="n"/>
      <c r="V63" s="177" t="n"/>
      <c r="W63" s="177" t="n"/>
      <c r="X63" s="177" t="n"/>
      <c r="Y63" s="177" t="n"/>
      <c r="Z63" s="177">
        <f>SUM(Z49:Z61)</f>
        <v/>
      </c>
      <c r="AA63" s="177">
        <f>SUM(AA49:AA61)</f>
        <v/>
      </c>
      <c r="AB63" s="177">
        <f>SUM(AB49:AB61)</f>
        <v/>
      </c>
      <c r="AC63" s="177">
        <f>SUM(AC49:AC61)</f>
        <v/>
      </c>
      <c r="AD63" s="177">
        <f>SUM(AD49:AD61)</f>
        <v/>
      </c>
      <c r="AE63" s="177">
        <f>SUM(AE49:AE61)</f>
        <v/>
      </c>
      <c r="AF63" s="177">
        <f>SUM(AF49:AF61)</f>
        <v/>
      </c>
      <c r="AG63" s="177" t="n"/>
      <c r="AH63" s="177" t="n"/>
      <c r="AI63" s="177">
        <f>SUM(AI49:AI61)</f>
        <v/>
      </c>
      <c r="AJ63" s="177">
        <f>SUM(AJ49:AJ61)</f>
        <v/>
      </c>
      <c r="AK63" s="177">
        <f>SUM(AK49:AK61)</f>
        <v/>
      </c>
      <c r="AL63" s="96" t="n"/>
    </row>
    <row r="64" ht="20" customFormat="1" customHeight="1" s="2">
      <c r="A64" s="27" t="n"/>
      <c r="B64" s="27" t="n"/>
      <c r="C64" s="27" t="n"/>
      <c r="D64" s="37" t="inlineStr">
        <is>
          <t>（七）安全费</t>
        </is>
      </c>
      <c r="E64" s="47" t="n"/>
      <c r="F64" s="47" t="n"/>
      <c r="G64" s="47" t="n"/>
      <c r="H64" s="163" t="n"/>
      <c r="I64" s="163" t="n"/>
      <c r="J64" s="158" t="n">
        <v>0</v>
      </c>
      <c r="K64" s="183" t="n"/>
      <c r="L64" s="172">
        <f>J64-N64-P64</f>
        <v/>
      </c>
      <c r="M64" s="163" t="n"/>
      <c r="N64" s="163" t="n"/>
      <c r="O64" s="163" t="n"/>
      <c r="P64" s="163" t="n"/>
      <c r="Q64" s="163" t="n"/>
      <c r="R64" s="163" t="n"/>
      <c r="S64" s="182" t="n"/>
      <c r="T64" s="182" t="n"/>
      <c r="U64" s="182" t="n"/>
      <c r="V64" s="182" t="n"/>
      <c r="W64" s="182" t="n"/>
      <c r="X64" s="182" t="n"/>
      <c r="Y64" s="182" t="n"/>
      <c r="Z64" s="181" t="n"/>
      <c r="AA64" s="170" t="n"/>
      <c r="AB64" s="164" t="n"/>
      <c r="AC64" s="164" t="n"/>
      <c r="AD64" s="164" t="n"/>
      <c r="AE64" s="164" t="n"/>
      <c r="AF64" s="164" t="n"/>
      <c r="AG64" s="164" t="n"/>
      <c r="AH64" s="164" t="n"/>
      <c r="AI64" s="164" t="n"/>
      <c r="AJ64" s="164" t="n"/>
      <c r="AK64" s="164" t="n"/>
      <c r="AL64" s="96" t="n"/>
    </row>
    <row r="65" ht="20" customFormat="1" customHeight="1" s="5">
      <c r="A65" s="51" t="n"/>
      <c r="B65" s="51" t="n"/>
      <c r="C65" s="51" t="n"/>
      <c r="D65" s="41" t="inlineStr">
        <is>
          <t>安全费小计：</t>
        </is>
      </c>
      <c r="E65" s="41" t="n"/>
      <c r="F65" s="41" t="n"/>
      <c r="G65" s="41" t="n"/>
      <c r="H65" s="174">
        <f>SUM(H64)</f>
        <v/>
      </c>
      <c r="I65" s="174">
        <f>SUM(I64)</f>
        <v/>
      </c>
      <c r="J65" s="174" t="n">
        <v>0</v>
      </c>
      <c r="K65" s="174" t="n">
        <v>0</v>
      </c>
      <c r="L65" s="172">
        <f>J65-K65</f>
        <v/>
      </c>
      <c r="M65" s="184" t="n"/>
      <c r="N65" s="184" t="n"/>
      <c r="O65" s="184" t="n"/>
      <c r="P65" s="184" t="n"/>
      <c r="Q65" s="184" t="n"/>
      <c r="R65" s="184" t="n"/>
      <c r="S65" s="184" t="n"/>
      <c r="T65" s="184" t="n"/>
      <c r="U65" s="184" t="n"/>
      <c r="V65" s="184" t="n"/>
      <c r="W65" s="184" t="n"/>
      <c r="X65" s="184" t="n"/>
      <c r="Y65" s="184" t="n"/>
      <c r="Z65" s="184" t="n"/>
      <c r="AA65" s="184">
        <f>SUM(AA64)</f>
        <v/>
      </c>
      <c r="AB65" s="184">
        <f>SUM(AB64)</f>
        <v/>
      </c>
      <c r="AC65" s="184">
        <f>SUM(AC64)</f>
        <v/>
      </c>
      <c r="AD65" s="184">
        <f>SUM(AD64)</f>
        <v/>
      </c>
      <c r="AE65" s="184">
        <f>SUM(AE64)</f>
        <v/>
      </c>
      <c r="AF65" s="184">
        <f>SUM(AF64)</f>
        <v/>
      </c>
      <c r="AG65" s="184" t="n"/>
      <c r="AH65" s="184" t="n"/>
      <c r="AI65" s="184">
        <f>SUM(AI64)</f>
        <v/>
      </c>
      <c r="AJ65" s="184">
        <f>SUM(AJ64)</f>
        <v/>
      </c>
      <c r="AK65" s="184">
        <f>SUM(AK64)</f>
        <v/>
      </c>
      <c r="AL65" s="135" t="n"/>
    </row>
    <row r="66" ht="20" customFormat="1" customHeight="1" s="5">
      <c r="A66" s="51" t="n"/>
      <c r="B66" s="51" t="n"/>
      <c r="C66" s="51" t="n"/>
      <c r="D66" s="41" t="inlineStr">
        <is>
          <t>三、成本合计：</t>
        </is>
      </c>
      <c r="E66" s="52" t="n"/>
      <c r="F66" s="52" t="n"/>
      <c r="G66" s="52" t="n"/>
      <c r="H66" s="174">
        <f>H17+H23+H36+H40+H48+H63+H65</f>
        <v/>
      </c>
      <c r="I66" s="174">
        <f>I17+I23+I36+I40+I48+I63+I65</f>
        <v/>
      </c>
      <c r="J66" s="174">
        <f>J17+J23+J36+J40+J48+J63+J65</f>
        <v/>
      </c>
      <c r="K66" s="174">
        <f>K17+K23+K36+K40+K48+K63+K65</f>
        <v/>
      </c>
      <c r="L66" s="177">
        <f>L17+L23+L36+L40+L48+L63+L65</f>
        <v/>
      </c>
      <c r="M66" s="184">
        <f>M17+M23+M36+M40+M48+M63+M65</f>
        <v/>
      </c>
      <c r="N66" s="184">
        <f>N17+N23+N36+N40+N48+N63+N65</f>
        <v/>
      </c>
      <c r="O66" s="184">
        <f>O17+O23+O36+O40+O48+O63+O65</f>
        <v/>
      </c>
      <c r="P66" s="184">
        <f>P17+P23+P36+P40+P48+P63+P65</f>
        <v/>
      </c>
      <c r="Q66" s="184">
        <f>Q17+Q23+Q36+Q40+Q48+Q63+Q65</f>
        <v/>
      </c>
      <c r="R66" s="184">
        <f>R17+R23+R36+R40+R48+R63+R65</f>
        <v/>
      </c>
      <c r="S66" s="184">
        <f>S17+S23+S36+S40+S48+S63+S65</f>
        <v/>
      </c>
      <c r="T66" s="184" t="n"/>
      <c r="U66" s="184" t="n"/>
      <c r="V66" s="184" t="n"/>
      <c r="W66" s="184" t="n"/>
      <c r="X66" s="184" t="n"/>
      <c r="Y66" s="184" t="n"/>
      <c r="Z66" s="184">
        <f>Z17+Z23+Z36+Z40+Z48+Z63+Z65</f>
        <v/>
      </c>
      <c r="AA66" s="184">
        <f>AA17+AA23+AA36+AA40+AA48+AA63+AA65</f>
        <v/>
      </c>
      <c r="AB66" s="184">
        <f>AB17+AB23+AB36+AB40+AB48+AB63+AB65</f>
        <v/>
      </c>
      <c r="AC66" s="184">
        <f>AC17+AC23+AC36+AC40+AC48+AC63+AC65</f>
        <v/>
      </c>
      <c r="AD66" s="184">
        <f>AD17+AD23+AD36+AD40+AD48+AD63+AD65</f>
        <v/>
      </c>
      <c r="AE66" s="184">
        <f>AE17+AE23+AE36+AE40+AE48+AE63+AE65</f>
        <v/>
      </c>
      <c r="AF66" s="184">
        <f>AF17+AF23+AF36+AF40+AF48+AF63+AF65</f>
        <v/>
      </c>
      <c r="AG66" s="184" t="n"/>
      <c r="AH66" s="184" t="n"/>
      <c r="AI66" s="184">
        <f>AI17+AI23+AI36+AI40+AI48+AI63+AI65</f>
        <v/>
      </c>
      <c r="AJ66" s="184">
        <f>AJ17+AJ23+AJ36+AJ40+AJ48+AJ63+AJ65</f>
        <v/>
      </c>
      <c r="AK66" s="184">
        <f>AK17+AK23+AK36+AK40+AK48+AK63+AK65</f>
        <v/>
      </c>
      <c r="AL66" s="135" t="n"/>
    </row>
    <row r="67" ht="39" customFormat="1" customHeight="1" s="5">
      <c r="A67" s="27" t="n"/>
      <c r="B67" s="27" t="n"/>
      <c r="C67" s="27" t="n"/>
      <c r="D67" s="37" t="inlineStr">
        <is>
          <t>四、计提保修金</t>
        </is>
      </c>
      <c r="E67" s="99" t="inlineStr">
        <is>
          <t>（在建：房建0.6%，其它0.4%；在保修期间的按0.3~0.5%自行确定;保修期结束为0）</t>
        </is>
      </c>
      <c r="F67" s="99" t="n"/>
      <c r="G67" s="99" t="n"/>
      <c r="H67" s="158" t="n"/>
      <c r="I67" s="158" t="n"/>
      <c r="J67" s="158">
        <f>H67+I67</f>
        <v/>
      </c>
      <c r="K67" s="158" t="n"/>
      <c r="L67" s="172">
        <f>J67-K67</f>
        <v/>
      </c>
      <c r="M67" s="163" t="n"/>
      <c r="N67" s="163" t="n"/>
      <c r="O67" s="163">
        <f>L67-M67</f>
        <v/>
      </c>
      <c r="P67" s="163">
        <f>K67-N67</f>
        <v/>
      </c>
      <c r="Q67" s="163">
        <f>M67+O67</f>
        <v/>
      </c>
      <c r="R67" s="163">
        <f>M67+N67+O67+P67</f>
        <v/>
      </c>
      <c r="S67" s="170" t="n"/>
      <c r="T67" s="170" t="n"/>
      <c r="U67" s="170" t="n"/>
      <c r="V67" s="170" t="n"/>
      <c r="W67" s="170" t="n"/>
      <c r="X67" s="170" t="n"/>
      <c r="Y67" s="170" t="n"/>
      <c r="Z67" s="170" t="n"/>
      <c r="AA67" s="170">
        <f>Q67-S67</f>
        <v/>
      </c>
      <c r="AB67" s="185" t="n"/>
      <c r="AC67" s="185" t="n"/>
      <c r="AD67" s="185" t="n"/>
      <c r="AE67" s="185" t="n"/>
      <c r="AF67" s="185" t="n"/>
      <c r="AG67" s="185" t="n"/>
      <c r="AH67" s="185" t="n"/>
      <c r="AI67" s="185" t="n"/>
      <c r="AJ67" s="185" t="n"/>
      <c r="AK67" s="164" t="n"/>
      <c r="AL67" s="135" t="n"/>
    </row>
    <row r="68" ht="20" customFormat="1" customHeight="1" s="2">
      <c r="A68" s="27" t="n"/>
      <c r="B68" s="27" t="n"/>
      <c r="C68" s="27" t="n"/>
      <c r="D68" s="37" t="inlineStr">
        <is>
          <t>五、过程节点奖金</t>
        </is>
      </c>
      <c r="E68" s="47" t="n"/>
      <c r="F68" s="47" t="n"/>
      <c r="G68" s="47" t="n"/>
      <c r="H68" s="158" t="n"/>
      <c r="I68" s="158" t="n"/>
      <c r="J68" s="158">
        <f>H68+I68</f>
        <v/>
      </c>
      <c r="K68" s="158" t="n"/>
      <c r="L68" s="172">
        <f>J68-K68</f>
        <v/>
      </c>
      <c r="M68" s="163" t="n"/>
      <c r="N68" s="163" t="n"/>
      <c r="O68" s="163">
        <f>L68-M68</f>
        <v/>
      </c>
      <c r="P68" s="163">
        <f>K68-N68</f>
        <v/>
      </c>
      <c r="Q68" s="163">
        <f>M68+O68</f>
        <v/>
      </c>
      <c r="R68" s="163">
        <f>M68+N68+O68+P68</f>
        <v/>
      </c>
      <c r="S68" s="170" t="n"/>
      <c r="T68" s="170" t="n"/>
      <c r="U68" s="170" t="n"/>
      <c r="V68" s="170" t="n"/>
      <c r="W68" s="170" t="n"/>
      <c r="X68" s="170" t="n"/>
      <c r="Y68" s="170" t="n"/>
      <c r="Z68" s="170" t="n"/>
      <c r="AA68" s="170" t="n"/>
      <c r="AB68" s="164" t="n"/>
      <c r="AC68" s="164" t="n"/>
      <c r="AD68" s="164" t="n"/>
      <c r="AE68" s="164" t="n"/>
      <c r="AF68" s="164" t="n"/>
      <c r="AG68" s="164" t="n"/>
      <c r="AH68" s="164" t="n"/>
      <c r="AI68" s="164" t="n"/>
      <c r="AJ68" s="164" t="n"/>
      <c r="AK68" s="164" t="n"/>
      <c r="AL68" s="96" t="n"/>
    </row>
    <row r="69" ht="20" customFormat="1" customHeight="1" s="2">
      <c r="A69" s="27" t="n"/>
      <c r="B69" s="27" t="n"/>
      <c r="C69" s="27" t="n"/>
      <c r="D69" s="37" t="inlineStr">
        <is>
          <t>六、资金占用费用</t>
        </is>
      </c>
      <c r="E69" s="47" t="n"/>
      <c r="F69" s="47" t="n"/>
      <c r="G69" s="47" t="n"/>
      <c r="H69" s="163" t="n"/>
      <c r="I69" s="163" t="n"/>
      <c r="J69" s="158">
        <f>H69+I69</f>
        <v/>
      </c>
      <c r="K69" s="163" t="n"/>
      <c r="L69" s="172">
        <f>J69-K69</f>
        <v/>
      </c>
      <c r="M69" s="163" t="n"/>
      <c r="N69" s="163" t="n"/>
      <c r="O69" s="163">
        <f>L69-M69</f>
        <v/>
      </c>
      <c r="P69" s="163">
        <f>K69-N69</f>
        <v/>
      </c>
      <c r="Q69" s="163">
        <f>M69+O69</f>
        <v/>
      </c>
      <c r="R69" s="163">
        <f>M69+N69+O69+P69</f>
        <v/>
      </c>
      <c r="S69" s="170" t="n"/>
      <c r="T69" s="170" t="n"/>
      <c r="U69" s="170" t="n"/>
      <c r="V69" s="170" t="n"/>
      <c r="W69" s="170" t="n"/>
      <c r="X69" s="170" t="n"/>
      <c r="Y69" s="170" t="n"/>
      <c r="Z69" s="170" t="n"/>
      <c r="AA69" s="170" t="n"/>
      <c r="AB69" s="164" t="n"/>
      <c r="AC69" s="164" t="n"/>
      <c r="AD69" s="164" t="n"/>
      <c r="AE69" s="164" t="n"/>
      <c r="AF69" s="164" t="n"/>
      <c r="AG69" s="164" t="n"/>
      <c r="AH69" s="164" t="n"/>
      <c r="AI69" s="164" t="n"/>
      <c r="AJ69" s="164" t="n"/>
      <c r="AK69" s="164" t="n"/>
      <c r="AL69" s="96" t="n"/>
    </row>
    <row r="70" ht="20" customFormat="1" customHeight="1" s="2">
      <c r="A70" s="27" t="n"/>
      <c r="B70" s="27" t="n"/>
      <c r="C70" s="27" t="n"/>
      <c r="D70" s="37" t="inlineStr">
        <is>
          <t>七、局投资收益（局投资项目选填）</t>
        </is>
      </c>
      <c r="E70" s="47" t="n"/>
      <c r="F70" s="47" t="n"/>
      <c r="G70" s="47" t="n"/>
      <c r="H70" s="163" t="n"/>
      <c r="I70" s="163" t="n"/>
      <c r="J70" s="158">
        <f>H70+I70</f>
        <v/>
      </c>
      <c r="K70" s="163" t="n"/>
      <c r="L70" s="172">
        <f>J70-K70</f>
        <v/>
      </c>
      <c r="M70" s="163" t="n"/>
      <c r="N70" s="163" t="n"/>
      <c r="O70" s="163">
        <f>L70-M70</f>
        <v/>
      </c>
      <c r="P70" s="163">
        <f>K70-N70</f>
        <v/>
      </c>
      <c r="Q70" s="163">
        <f>M70+O70</f>
        <v/>
      </c>
      <c r="R70" s="163">
        <f>M70+N70+O70+P70</f>
        <v/>
      </c>
      <c r="S70" s="170" t="n"/>
      <c r="T70" s="170" t="n"/>
      <c r="U70" s="170" t="n"/>
      <c r="V70" s="170" t="n"/>
      <c r="W70" s="170" t="n"/>
      <c r="X70" s="170" t="n"/>
      <c r="Y70" s="170" t="n"/>
      <c r="Z70" s="170" t="n"/>
      <c r="AA70" s="170" t="n"/>
      <c r="AB70" s="164" t="n"/>
      <c r="AC70" s="164" t="n"/>
      <c r="AD70" s="164" t="n"/>
      <c r="AE70" s="164" t="n"/>
      <c r="AF70" s="164" t="n"/>
      <c r="AG70" s="164" t="n"/>
      <c r="AH70" s="164" t="n"/>
      <c r="AI70" s="164" t="n"/>
      <c r="AJ70" s="164" t="n"/>
      <c r="AK70" s="164" t="n"/>
      <c r="AL70" s="96" t="n"/>
    </row>
    <row r="71" ht="13" customFormat="1" customHeight="1" s="6">
      <c r="A71" s="34" t="n"/>
      <c r="B71" s="34" t="n"/>
      <c r="C71" s="34" t="n"/>
      <c r="D71" s="41" t="inlineStr">
        <is>
          <t>八、成本及费用合计（三+四+五+六+七）</t>
        </is>
      </c>
      <c r="E71" s="46" t="n"/>
      <c r="F71" s="46" t="n"/>
      <c r="G71" s="46" t="n"/>
      <c r="H71" s="174">
        <f>H66+H67+H68+H69+H70</f>
        <v/>
      </c>
      <c r="I71" s="174">
        <f>I66+I67+I68+I69+I70</f>
        <v/>
      </c>
      <c r="J71" s="174">
        <f>J66+J67+J68+J69+J70</f>
        <v/>
      </c>
      <c r="K71" s="174">
        <f>K66+K67+K68+K69+K70</f>
        <v/>
      </c>
      <c r="L71" s="177">
        <f>L66+L67+L68+L69+L70</f>
        <v/>
      </c>
      <c r="M71" s="184">
        <f>M66+M67+M68+M69</f>
        <v/>
      </c>
      <c r="N71" s="184">
        <f>N66+N67+N68+N69</f>
        <v/>
      </c>
      <c r="O71" s="184">
        <f>O66+O67+O68+O69</f>
        <v/>
      </c>
      <c r="P71" s="184">
        <f>P66+P67+P68+P69</f>
        <v/>
      </c>
      <c r="Q71" s="184">
        <f>Q66+Q67+Q68+Q69</f>
        <v/>
      </c>
      <c r="R71" s="184">
        <f>R66+R67+R68+R69</f>
        <v/>
      </c>
      <c r="S71" s="184">
        <f>S66+S67+S68+S69</f>
        <v/>
      </c>
      <c r="T71" s="184" t="n"/>
      <c r="U71" s="184" t="n"/>
      <c r="V71" s="184" t="n"/>
      <c r="W71" s="184" t="n"/>
      <c r="X71" s="184" t="n"/>
      <c r="Y71" s="184" t="n"/>
      <c r="Z71" s="184">
        <f>Z66+Z67+Z68+Z69</f>
        <v/>
      </c>
      <c r="AA71" s="184">
        <f>AA66+AA67+AA68+AA69</f>
        <v/>
      </c>
      <c r="AB71" s="186" t="n"/>
      <c r="AC71" s="186" t="n"/>
      <c r="AD71" s="186" t="n"/>
      <c r="AE71" s="186" t="n"/>
      <c r="AF71" s="186" t="n"/>
      <c r="AG71" s="186" t="n"/>
      <c r="AH71" s="186" t="n"/>
      <c r="AI71" s="186" t="n"/>
      <c r="AJ71" s="186" t="n"/>
      <c r="AK71" s="187" t="n"/>
      <c r="AL71" s="137" t="n"/>
    </row>
    <row r="72" ht="49" customFormat="1" customHeight="1" s="6">
      <c r="A72" s="34" t="n"/>
      <c r="B72" s="34" t="n"/>
      <c r="C72" s="34" t="n"/>
      <c r="D72" s="41" t="inlineStr">
        <is>
          <t>九、增值税实际税负（按财务数据）</t>
        </is>
      </c>
      <c r="E72" s="46" t="inlineStr">
        <is>
          <t>根据财务账面实际已缴纳增值税额+尚需缴纳的增值税额</t>
        </is>
      </c>
      <c r="F72" s="46" t="n"/>
      <c r="G72" s="46" t="n"/>
      <c r="H72" s="174" t="n"/>
      <c r="I72" s="174" t="n"/>
      <c r="J72" s="174">
        <f>H72+I72</f>
        <v/>
      </c>
      <c r="K72" s="188" t="inlineStr">
        <is>
          <t>/</t>
        </is>
      </c>
      <c r="L72" s="172" t="inlineStr">
        <is>
          <t>/</t>
        </is>
      </c>
      <c r="M72" s="189" t="n"/>
      <c r="N72" s="174">
        <f>N6-N71</f>
        <v/>
      </c>
      <c r="O72" s="174" t="n"/>
      <c r="P72" s="174" t="n"/>
      <c r="Q72" s="174" t="inlineStr">
        <is>
          <t>/</t>
        </is>
      </c>
      <c r="R72" s="174">
        <f>N72+P72</f>
        <v/>
      </c>
      <c r="S72" s="174" t="n"/>
      <c r="T72" s="174" t="n"/>
      <c r="U72" s="174" t="n"/>
      <c r="V72" s="174" t="n"/>
      <c r="W72" s="174" t="n"/>
      <c r="X72" s="174" t="n"/>
      <c r="Y72" s="174" t="n"/>
      <c r="Z72" s="174" t="n"/>
      <c r="AA72" s="174" t="n"/>
      <c r="AB72" s="186" t="n"/>
      <c r="AC72" s="186" t="n"/>
      <c r="AD72" s="186" t="n"/>
      <c r="AE72" s="186" t="n"/>
      <c r="AF72" s="186" t="n"/>
      <c r="AG72" s="186" t="n"/>
      <c r="AH72" s="186" t="n"/>
      <c r="AI72" s="186" t="n"/>
      <c r="AJ72" s="186" t="n"/>
      <c r="AK72" s="187" t="n"/>
      <c r="AL72" s="137" t="n"/>
    </row>
    <row r="73" ht="54" customFormat="1" customHeight="1" s="6">
      <c r="A73" s="34" t="n"/>
      <c r="B73" s="34" t="n"/>
      <c r="C73" s="34" t="n"/>
      <c r="D73" s="41" t="inlineStr">
        <is>
          <t>十、税金及附加
（按财务数据）</t>
        </is>
      </c>
      <c r="E73" s="46" t="inlineStr">
        <is>
          <t>根据财务账面实际已缴纳税金及附加+尚需缴纳的税金及附加</t>
        </is>
      </c>
      <c r="F73" s="46" t="n"/>
      <c r="G73" s="46" t="n"/>
      <c r="H73" s="174" t="n"/>
      <c r="I73" s="174" t="n"/>
      <c r="J73" s="174">
        <f>H73+I73</f>
        <v/>
      </c>
      <c r="K73" s="174" t="n"/>
      <c r="L73" s="172">
        <f>J73</f>
        <v/>
      </c>
      <c r="M73" s="189" t="n"/>
      <c r="N73" s="174" t="n"/>
      <c r="O73" s="174">
        <f>L73-M73</f>
        <v/>
      </c>
      <c r="P73" s="174" t="n"/>
      <c r="Q73" s="174">
        <f>M73+O73</f>
        <v/>
      </c>
      <c r="R73" s="174">
        <f>Q73</f>
        <v/>
      </c>
      <c r="S73" s="174" t="n"/>
      <c r="T73" s="174" t="n"/>
      <c r="U73" s="174" t="n"/>
      <c r="V73" s="174" t="n"/>
      <c r="W73" s="174" t="n"/>
      <c r="X73" s="174" t="n"/>
      <c r="Y73" s="174" t="n"/>
      <c r="Z73" s="174" t="n"/>
      <c r="AA73" s="174" t="n"/>
      <c r="AB73" s="186" t="n"/>
      <c r="AC73" s="186" t="n"/>
      <c r="AD73" s="186" t="n"/>
      <c r="AE73" s="186" t="n"/>
      <c r="AF73" s="186" t="n"/>
      <c r="AG73" s="186" t="n"/>
      <c r="AH73" s="186" t="n"/>
      <c r="AI73" s="186" t="n"/>
      <c r="AJ73" s="186" t="n"/>
      <c r="AK73" s="187" t="n"/>
      <c r="AL73" s="137" t="n"/>
    </row>
    <row r="74" ht="20" customFormat="1" customHeight="1" s="6">
      <c r="A74" s="34" t="n"/>
      <c r="B74" s="34" t="n"/>
      <c r="C74" s="34" t="n"/>
      <c r="D74" s="41" t="inlineStr">
        <is>
          <t>十一、利润</t>
        </is>
      </c>
      <c r="E74" s="46" t="n"/>
      <c r="F74" s="46" t="n"/>
      <c r="G74" s="46" t="n"/>
      <c r="H74" s="174" t="n"/>
      <c r="I74" s="174" t="n"/>
      <c r="J74" s="174">
        <f>J6-J71-J72-J73</f>
        <v/>
      </c>
      <c r="K74" s="174" t="n"/>
      <c r="L74" s="177" t="n"/>
      <c r="M74" s="184" t="n"/>
      <c r="N74" s="184" t="n"/>
      <c r="O74" s="184" t="n"/>
      <c r="P74" s="184" t="n"/>
      <c r="Q74" s="184" t="n"/>
      <c r="R74" s="184" t="n"/>
      <c r="S74" s="184" t="n"/>
      <c r="T74" s="184" t="n"/>
      <c r="U74" s="184" t="n"/>
      <c r="V74" s="184" t="n"/>
      <c r="W74" s="184" t="n"/>
      <c r="X74" s="184" t="n"/>
      <c r="Y74" s="184" t="n"/>
      <c r="Z74" s="184" t="n"/>
      <c r="AA74" s="184" t="n"/>
      <c r="AB74" s="186" t="n"/>
      <c r="AC74" s="186" t="n"/>
      <c r="AD74" s="186" t="n"/>
      <c r="AE74" s="186" t="n"/>
      <c r="AF74" s="186" t="n"/>
      <c r="AG74" s="186" t="n"/>
      <c r="AH74" s="186" t="n"/>
      <c r="AI74" s="186" t="n"/>
      <c r="AJ74" s="186" t="n"/>
      <c r="AK74" s="187" t="n"/>
      <c r="AL74" s="137" t="n"/>
    </row>
    <row r="75" ht="20" customFormat="1" customHeight="1" s="6">
      <c r="A75" s="34" t="n"/>
      <c r="B75" s="34" t="n"/>
      <c r="C75" s="34" t="n"/>
      <c r="D75" s="41" t="inlineStr">
        <is>
          <t>十二、利润率</t>
        </is>
      </c>
      <c r="E75" s="46" t="n"/>
      <c r="F75" s="46" t="n"/>
      <c r="G75" s="46" t="n"/>
      <c r="H75" s="174" t="n"/>
      <c r="I75" s="174" t="n"/>
      <c r="J75" s="115">
        <f>J74/J6</f>
        <v/>
      </c>
      <c r="K75" s="174" t="n"/>
      <c r="L75" s="116">
        <f>L74/L6</f>
        <v/>
      </c>
      <c r="M75" s="116">
        <f>M74/M6</f>
        <v/>
      </c>
      <c r="N75" s="116" t="n"/>
      <c r="O75" s="116" t="n"/>
      <c r="P75" s="116" t="n"/>
      <c r="Q75" s="116">
        <f>Q74/Q6</f>
        <v/>
      </c>
      <c r="R75" s="116">
        <f>R74/R6</f>
        <v/>
      </c>
      <c r="S75" s="184" t="n"/>
      <c r="T75" s="184" t="n"/>
      <c r="U75" s="184" t="n"/>
      <c r="V75" s="184" t="n"/>
      <c r="W75" s="184" t="n"/>
      <c r="X75" s="184" t="n"/>
      <c r="Y75" s="184" t="n"/>
      <c r="Z75" s="184" t="n"/>
      <c r="AA75" s="184" t="n"/>
      <c r="AB75" s="186" t="n"/>
      <c r="AC75" s="186" t="n"/>
      <c r="AD75" s="186" t="n"/>
      <c r="AE75" s="186" t="n"/>
      <c r="AF75" s="186" t="n"/>
      <c r="AG75" s="186" t="n"/>
      <c r="AH75" s="186" t="n"/>
      <c r="AI75" s="186" t="n"/>
      <c r="AJ75" s="186" t="n"/>
      <c r="AK75" s="187" t="n"/>
      <c r="AL75" s="137" t="n"/>
    </row>
    <row r="76" ht="24" customFormat="1" customHeight="1" s="6">
      <c r="A76" s="100" t="n"/>
      <c r="B76" s="100" t="n"/>
      <c r="C76" s="100" t="n"/>
      <c r="D76" s="101" t="n"/>
      <c r="E76" s="102" t="n"/>
      <c r="F76" s="102" t="n"/>
      <c r="G76" s="102" t="n"/>
      <c r="H76" s="190" t="n"/>
      <c r="I76" s="190" t="n"/>
      <c r="J76" s="191" t="inlineStr">
        <is>
          <t>含税利润率</t>
        </is>
      </c>
      <c r="K76" s="192" t="n"/>
      <c r="L76" s="193" t="inlineStr">
        <is>
          <t>不含税利润率</t>
        </is>
      </c>
      <c r="M76" s="194" t="n"/>
      <c r="N76" s="194" t="n"/>
      <c r="O76" s="194" t="n"/>
      <c r="P76" s="194" t="n"/>
      <c r="Q76" s="194" t="n"/>
      <c r="R76" s="194" t="n"/>
      <c r="S76" s="194" t="n"/>
      <c r="T76" s="194" t="n"/>
      <c r="U76" s="194" t="n"/>
      <c r="V76" s="194" t="n"/>
      <c r="W76" s="194" t="n"/>
      <c r="X76" s="194" t="n"/>
      <c r="Y76" s="194" t="n"/>
      <c r="Z76" s="195" t="n"/>
      <c r="AA76" s="140" t="n"/>
    </row>
    <row r="77" ht="13" customFormat="1" customHeight="1" s="6">
      <c r="A77" s="100" t="n"/>
      <c r="B77" s="100" t="n"/>
      <c r="C77" s="100" t="n"/>
      <c r="D77" s="101" t="n"/>
      <c r="E77" s="102" t="n"/>
      <c r="F77" s="102" t="n"/>
      <c r="G77" s="102" t="n"/>
      <c r="H77" s="190" t="n"/>
      <c r="I77" s="190" t="n"/>
      <c r="J77" s="196" t="n"/>
      <c r="K77" s="190" t="n"/>
      <c r="L77" s="197" t="n"/>
      <c r="M77" s="194" t="n"/>
      <c r="N77" s="194" t="n"/>
      <c r="O77" s="194" t="n"/>
      <c r="P77" s="194" t="n"/>
      <c r="Q77" s="194" t="n"/>
      <c r="R77" s="194" t="n"/>
      <c r="S77" s="194" t="n"/>
      <c r="T77" s="194" t="n"/>
      <c r="U77" s="194" t="n"/>
      <c r="V77" s="194" t="n"/>
      <c r="W77" s="194" t="n"/>
      <c r="X77" s="194" t="n"/>
      <c r="Y77" s="194" t="n"/>
      <c r="Z77" s="195" t="n"/>
      <c r="AA77" s="140" t="n"/>
    </row>
    <row r="78" ht="24" customFormat="1" customHeight="1" s="7">
      <c r="A78" s="105" t="n"/>
      <c r="B78" s="105" t="n"/>
      <c r="C78" s="105" t="n"/>
      <c r="E78" s="107" t="n"/>
      <c r="F78" s="107" t="n"/>
      <c r="G78" s="107" t="n"/>
      <c r="H78" s="108" t="n"/>
      <c r="I78" s="108" t="n"/>
      <c r="J78" s="124" t="n"/>
      <c r="K78" s="198" t="n"/>
      <c r="L78" s="198" t="n"/>
      <c r="M78" s="199" t="n"/>
      <c r="N78" s="198" t="n"/>
      <c r="O78" s="198" t="n"/>
      <c r="P78" s="200" t="n"/>
      <c r="Q78" s="200" t="n"/>
      <c r="R78" s="198" t="n"/>
      <c r="Z78" s="107" t="n"/>
      <c r="AA78" s="201" t="n"/>
      <c r="AB78" s="8" t="n"/>
      <c r="AC78" s="8" t="n"/>
      <c r="AD78" s="109" t="n"/>
      <c r="AE78" s="109" t="n"/>
      <c r="AF78" s="109" t="n"/>
      <c r="AG78" s="109" t="n"/>
      <c r="AH78" s="109" t="n"/>
      <c r="AI78" s="109" t="n"/>
      <c r="AJ78" s="109" t="n"/>
      <c r="AK78" s="109" t="n"/>
      <c r="AL78" s="109" t="n"/>
      <c r="AM78" s="109" t="n"/>
      <c r="AN78" s="109" t="n"/>
      <c r="AO78" s="109" t="n"/>
      <c r="AP78" s="109" t="n"/>
      <c r="AQ78" s="109" t="n"/>
      <c r="AR78" s="109" t="n"/>
      <c r="AS78" s="109" t="n"/>
      <c r="AT78" s="109" t="n"/>
      <c r="AU78" s="109" t="n"/>
      <c r="AV78" s="109" t="n"/>
      <c r="AW78" s="109" t="n"/>
      <c r="AX78" s="109" t="n"/>
      <c r="AY78" s="109" t="n"/>
      <c r="AZ78" s="109" t="n"/>
      <c r="BA78" s="109" t="n"/>
      <c r="BB78" s="109" t="n"/>
      <c r="BC78" s="109" t="n"/>
      <c r="BD78" s="109" t="n"/>
      <c r="BE78" s="109" t="n"/>
      <c r="BF78" s="109" t="n"/>
      <c r="BG78" s="109" t="n"/>
      <c r="BH78" s="109" t="n"/>
      <c r="BI78" s="109" t="n"/>
      <c r="BJ78" s="109" t="n"/>
      <c r="BK78" s="109" t="n"/>
      <c r="BL78" s="109" t="n"/>
      <c r="BM78" s="109" t="n"/>
      <c r="BN78" s="109" t="n"/>
      <c r="BO78" s="109" t="n"/>
      <c r="BP78" s="109" t="n"/>
      <c r="BQ78" s="109" t="n"/>
      <c r="BR78" s="109" t="n"/>
      <c r="BS78" s="109" t="n"/>
      <c r="BT78" s="109" t="n"/>
      <c r="BU78" s="109" t="n"/>
      <c r="BV78" s="109" t="n"/>
      <c r="BW78" s="109" t="n"/>
      <c r="BX78" s="109" t="n"/>
      <c r="BY78" s="109" t="n"/>
      <c r="BZ78" s="109" t="n"/>
      <c r="CA78" s="109" t="n"/>
      <c r="CB78" s="109" t="n"/>
      <c r="CC78" s="109" t="n"/>
      <c r="CD78" s="109" t="n"/>
      <c r="CE78" s="109" t="n"/>
      <c r="CF78" s="109" t="n"/>
      <c r="CG78" s="109" t="n"/>
      <c r="CH78" s="109" t="n"/>
      <c r="CI78" s="109" t="n"/>
      <c r="CJ78" s="109" t="n"/>
      <c r="CK78" s="109" t="n"/>
      <c r="CL78" s="109" t="n"/>
      <c r="CM78" s="109" t="n"/>
      <c r="CN78" s="109" t="n"/>
      <c r="CO78" s="109" t="n"/>
      <c r="CP78" s="109" t="n"/>
      <c r="CQ78" s="109" t="n"/>
      <c r="CR78" s="109" t="n"/>
      <c r="CS78" s="109" t="n"/>
      <c r="CT78" s="109" t="n"/>
      <c r="CU78" s="109" t="n"/>
      <c r="CV78" s="109" t="n"/>
      <c r="CW78" s="109" t="n"/>
      <c r="CX78" s="109" t="n"/>
      <c r="CY78" s="109" t="n"/>
      <c r="CZ78" s="109" t="n"/>
      <c r="DA78" s="109" t="n"/>
      <c r="DB78" s="109" t="n"/>
      <c r="DC78" s="109" t="n"/>
      <c r="DD78" s="109" t="n"/>
      <c r="DE78" s="109" t="n"/>
      <c r="DF78" s="109" t="n"/>
      <c r="DG78" s="109" t="n"/>
      <c r="DH78" s="109" t="n"/>
      <c r="DI78" s="109" t="n"/>
      <c r="DJ78" s="109" t="n"/>
      <c r="DK78" s="109" t="n"/>
      <c r="DL78" s="109" t="n"/>
      <c r="DM78" s="109" t="n"/>
      <c r="DN78" s="109" t="n"/>
      <c r="DO78" s="109" t="n"/>
      <c r="DP78" s="109" t="n"/>
      <c r="DQ78" s="109" t="n"/>
      <c r="DR78" s="109" t="n"/>
      <c r="DS78" s="109" t="n"/>
      <c r="DT78" s="109" t="n"/>
      <c r="DU78" s="109" t="n"/>
      <c r="DV78" s="109" t="n"/>
      <c r="DW78" s="109" t="n"/>
      <c r="DX78" s="109" t="n"/>
      <c r="DY78" s="109" t="n"/>
      <c r="DZ78" s="109" t="n"/>
      <c r="EA78" s="109" t="n"/>
      <c r="EB78" s="109" t="n"/>
      <c r="EC78" s="109" t="n"/>
      <c r="ED78" s="109" t="n"/>
      <c r="EE78" s="109" t="n"/>
      <c r="EF78" s="109" t="n"/>
      <c r="EG78" s="109" t="n"/>
      <c r="EH78" s="109" t="n"/>
      <c r="EI78" s="109" t="n"/>
      <c r="EJ78" s="109" t="n"/>
      <c r="EK78" s="109" t="n"/>
      <c r="EL78" s="109" t="n"/>
      <c r="EM78" s="109" t="n"/>
      <c r="EN78" s="109" t="n"/>
      <c r="EO78" s="109" t="n"/>
      <c r="EP78" s="109" t="n"/>
      <c r="EQ78" s="109" t="n"/>
      <c r="ER78" s="109" t="n"/>
      <c r="ES78" s="109" t="n"/>
      <c r="ET78" s="109" t="n"/>
      <c r="EU78" s="109" t="n"/>
      <c r="EV78" s="109" t="n"/>
      <c r="EW78" s="109" t="n"/>
      <c r="EX78" s="109" t="n"/>
      <c r="EY78" s="109" t="n"/>
      <c r="EZ78" s="109" t="n"/>
      <c r="FA78" s="109" t="n"/>
      <c r="FB78" s="109" t="n"/>
      <c r="FC78" s="109" t="n"/>
      <c r="FD78" s="109" t="n"/>
      <c r="FE78" s="109" t="n"/>
      <c r="FF78" s="109" t="n"/>
      <c r="FG78" s="109" t="n"/>
      <c r="FH78" s="109" t="n"/>
      <c r="FI78" s="109" t="n"/>
      <c r="FJ78" s="109" t="n"/>
      <c r="FK78" s="109" t="n"/>
      <c r="FL78" s="109" t="n"/>
      <c r="FM78" s="109" t="n"/>
      <c r="FN78" s="109" t="n"/>
      <c r="FO78" s="109" t="n"/>
      <c r="FP78" s="109" t="n"/>
      <c r="FQ78" s="109" t="n"/>
      <c r="FR78" s="109" t="n"/>
      <c r="FS78" s="109" t="n"/>
      <c r="FT78" s="109" t="n"/>
      <c r="FU78" s="109" t="n"/>
      <c r="FV78" s="109" t="n"/>
      <c r="FW78" s="109" t="n"/>
      <c r="FX78" s="109" t="n"/>
      <c r="FY78" s="109" t="n"/>
      <c r="FZ78" s="109" t="n"/>
      <c r="GA78" s="109" t="n"/>
      <c r="GB78" s="109" t="n"/>
      <c r="GC78" s="109" t="n"/>
      <c r="GD78" s="109" t="n"/>
      <c r="GE78" s="109" t="n"/>
      <c r="GF78" s="109" t="n"/>
      <c r="GG78" s="109" t="n"/>
      <c r="GH78" s="109" t="n"/>
      <c r="GI78" s="109" t="n"/>
      <c r="GJ78" s="109" t="n"/>
      <c r="GK78" s="109" t="n"/>
      <c r="GL78" s="109" t="n"/>
      <c r="GM78" s="109" t="n"/>
      <c r="GN78" s="109" t="n"/>
      <c r="GO78" s="109" t="n"/>
      <c r="GP78" s="109" t="n"/>
      <c r="GQ78" s="109" t="n"/>
      <c r="GR78" s="109" t="n"/>
      <c r="GS78" s="109" t="n"/>
      <c r="GT78" s="109" t="n"/>
      <c r="GU78" s="109" t="n"/>
      <c r="GV78" s="109" t="n"/>
      <c r="GW78" s="109" t="n"/>
      <c r="GX78" s="109" t="n"/>
      <c r="GY78" s="109" t="n"/>
      <c r="GZ78" s="109" t="n"/>
      <c r="HA78" s="109" t="n"/>
      <c r="HB78" s="109" t="n"/>
      <c r="HC78" s="109" t="n"/>
      <c r="HD78" s="109" t="n"/>
      <c r="HE78" s="109" t="n"/>
      <c r="HF78" s="109" t="n"/>
      <c r="HG78" s="109" t="n"/>
      <c r="HH78" s="109" t="n"/>
      <c r="HI78" s="109" t="n"/>
      <c r="HJ78" s="109" t="n"/>
      <c r="HK78" s="109" t="n"/>
      <c r="HL78" s="109" t="n"/>
      <c r="HM78" s="109" t="n"/>
      <c r="HN78" s="109" t="n"/>
      <c r="HO78" s="109" t="n"/>
      <c r="HP78" s="109" t="n"/>
      <c r="HQ78" s="109" t="n"/>
      <c r="HR78" s="109" t="n"/>
      <c r="HS78" s="109" t="n"/>
      <c r="HT78" s="109" t="n"/>
      <c r="HU78" s="109" t="n"/>
      <c r="HV78" s="109" t="n"/>
      <c r="HW78" s="109" t="n"/>
      <c r="HX78" s="109" t="n"/>
      <c r="HY78" s="109" t="n"/>
      <c r="HZ78" s="109" t="n"/>
      <c r="IA78" s="109" t="n"/>
      <c r="IB78" s="109" t="n"/>
      <c r="IC78" s="109" t="n"/>
      <c r="ID78" s="109" t="n"/>
      <c r="IE78" s="109" t="n"/>
      <c r="IF78" s="109" t="n"/>
      <c r="IG78" s="109" t="n"/>
      <c r="IH78" s="109" t="n"/>
      <c r="II78" s="109" t="n"/>
      <c r="IJ78" s="109" t="n"/>
      <c r="IK78" s="109" t="n"/>
      <c r="IL78" s="109" t="n"/>
      <c r="IM78" s="109" t="n"/>
      <c r="IN78" s="109" t="n"/>
      <c r="IO78" s="109" t="n"/>
      <c r="IP78" s="109" t="n"/>
      <c r="IQ78" s="109" t="n"/>
      <c r="IR78" s="109" t="n"/>
      <c r="IS78" s="109" t="n"/>
      <c r="IT78" s="109" t="n"/>
      <c r="IU78" s="109" t="n"/>
      <c r="IV78" s="109" t="n"/>
      <c r="IW78" s="109" t="n"/>
      <c r="IX78" s="109" t="n"/>
      <c r="IY78" s="109" t="n"/>
      <c r="IZ78" s="109" t="n"/>
      <c r="JA78" s="109" t="n"/>
      <c r="JB78" s="109" t="n"/>
      <c r="JC78" s="109" t="n"/>
      <c r="JD78" s="109" t="n"/>
      <c r="JE78" s="109" t="n"/>
    </row>
    <row r="79" customFormat="1" s="7">
      <c r="A79" s="109" t="n"/>
      <c r="B79" s="109" t="n"/>
      <c r="C79" s="109" t="n"/>
      <c r="D79" s="109" t="n"/>
      <c r="E79" s="110" t="n"/>
      <c r="F79" s="110" t="n"/>
      <c r="G79" s="110" t="n"/>
      <c r="H79" s="110" t="n"/>
      <c r="I79" s="110" t="n"/>
      <c r="J79" s="110" t="n"/>
      <c r="K79" s="202" t="n"/>
      <c r="L79" s="110" t="n"/>
      <c r="M79" s="110" t="n"/>
      <c r="N79" s="110" t="n"/>
      <c r="O79" s="110" t="n"/>
      <c r="P79" s="110" t="n"/>
      <c r="Q79" s="110" t="n"/>
      <c r="R79" s="110" t="n"/>
      <c r="Z79" s="110" t="n"/>
      <c r="AA79" s="109" t="n"/>
      <c r="AB79" s="109" t="n"/>
      <c r="AC79" s="109" t="n"/>
      <c r="AD79" s="109" t="n"/>
      <c r="AE79" s="109" t="n"/>
      <c r="AF79" s="109" t="n"/>
      <c r="AG79" s="109" t="n"/>
      <c r="AH79" s="109" t="n"/>
      <c r="AI79" s="109" t="n"/>
      <c r="AJ79" s="109" t="n"/>
      <c r="AK79" s="109" t="n"/>
      <c r="AL79" s="109" t="n"/>
      <c r="AM79" s="109" t="n"/>
      <c r="AN79" s="109" t="n"/>
      <c r="AO79" s="109" t="n"/>
      <c r="AP79" s="109" t="n"/>
      <c r="AQ79" s="109" t="n"/>
      <c r="AR79" s="109" t="n"/>
      <c r="AS79" s="109" t="n"/>
      <c r="AT79" s="109" t="n"/>
      <c r="AU79" s="109" t="n"/>
      <c r="AV79" s="109" t="n"/>
      <c r="AW79" s="109" t="n"/>
      <c r="AX79" s="109" t="n"/>
      <c r="AY79" s="109" t="n"/>
      <c r="AZ79" s="109" t="n"/>
      <c r="BA79" s="109" t="n"/>
      <c r="BB79" s="109" t="n"/>
      <c r="BC79" s="109" t="n"/>
      <c r="BD79" s="109" t="n"/>
      <c r="BE79" s="109" t="n"/>
      <c r="BF79" s="109" t="n"/>
      <c r="BG79" s="109" t="n"/>
      <c r="BH79" s="109" t="n"/>
      <c r="BI79" s="109" t="n"/>
      <c r="BJ79" s="109" t="n"/>
      <c r="BK79" s="109" t="n"/>
      <c r="BL79" s="109" t="n"/>
      <c r="BM79" s="109" t="n"/>
      <c r="BN79" s="109" t="n"/>
      <c r="BO79" s="109" t="n"/>
      <c r="BP79" s="109" t="n"/>
      <c r="BQ79" s="109" t="n"/>
      <c r="BR79" s="109" t="n"/>
      <c r="BS79" s="109" t="n"/>
      <c r="BT79" s="109" t="n"/>
      <c r="BU79" s="109" t="n"/>
      <c r="BV79" s="109" t="n"/>
      <c r="BW79" s="109" t="n"/>
      <c r="BX79" s="109" t="n"/>
      <c r="BY79" s="109" t="n"/>
      <c r="BZ79" s="109" t="n"/>
      <c r="CA79" s="109" t="n"/>
      <c r="CB79" s="109" t="n"/>
      <c r="CC79" s="109" t="n"/>
      <c r="CD79" s="109" t="n"/>
      <c r="CE79" s="109" t="n"/>
      <c r="CF79" s="109" t="n"/>
      <c r="CG79" s="109" t="n"/>
      <c r="CH79" s="109" t="n"/>
      <c r="CI79" s="109" t="n"/>
      <c r="CJ79" s="109" t="n"/>
      <c r="CK79" s="109" t="n"/>
      <c r="CL79" s="109" t="n"/>
      <c r="CM79" s="109" t="n"/>
      <c r="CN79" s="109" t="n"/>
      <c r="CO79" s="109" t="n"/>
      <c r="CP79" s="109" t="n"/>
      <c r="CQ79" s="109" t="n"/>
      <c r="CR79" s="109" t="n"/>
      <c r="CS79" s="109" t="n"/>
      <c r="CT79" s="109" t="n"/>
      <c r="CU79" s="109" t="n"/>
      <c r="CV79" s="109" t="n"/>
      <c r="CW79" s="109" t="n"/>
      <c r="CX79" s="109" t="n"/>
      <c r="CY79" s="109" t="n"/>
      <c r="CZ79" s="109" t="n"/>
      <c r="DA79" s="109" t="n"/>
      <c r="DB79" s="109" t="n"/>
      <c r="DC79" s="109" t="n"/>
      <c r="DD79" s="109" t="n"/>
      <c r="DE79" s="109" t="n"/>
      <c r="DF79" s="109" t="n"/>
      <c r="DG79" s="109" t="n"/>
      <c r="DH79" s="109" t="n"/>
      <c r="DI79" s="109" t="n"/>
      <c r="DJ79" s="109" t="n"/>
      <c r="DK79" s="109" t="n"/>
      <c r="DL79" s="109" t="n"/>
      <c r="DM79" s="109" t="n"/>
      <c r="DN79" s="109" t="n"/>
      <c r="DO79" s="109" t="n"/>
      <c r="DP79" s="109" t="n"/>
      <c r="DQ79" s="109" t="n"/>
      <c r="DR79" s="109" t="n"/>
      <c r="DS79" s="109" t="n"/>
      <c r="DT79" s="109" t="n"/>
      <c r="DU79" s="109" t="n"/>
      <c r="DV79" s="109" t="n"/>
      <c r="DW79" s="109" t="n"/>
      <c r="DX79" s="109" t="n"/>
      <c r="DY79" s="109" t="n"/>
      <c r="DZ79" s="109" t="n"/>
      <c r="EA79" s="109" t="n"/>
      <c r="EB79" s="109" t="n"/>
      <c r="EC79" s="109" t="n"/>
      <c r="ED79" s="109" t="n"/>
      <c r="EE79" s="109" t="n"/>
      <c r="EF79" s="109" t="n"/>
      <c r="EG79" s="109" t="n"/>
      <c r="EH79" s="109" t="n"/>
      <c r="EI79" s="109" t="n"/>
      <c r="EJ79" s="109" t="n"/>
      <c r="EK79" s="109" t="n"/>
      <c r="EL79" s="109" t="n"/>
      <c r="EM79" s="109" t="n"/>
      <c r="EN79" s="109" t="n"/>
      <c r="EO79" s="109" t="n"/>
      <c r="EP79" s="109" t="n"/>
      <c r="EQ79" s="109" t="n"/>
      <c r="ER79" s="109" t="n"/>
      <c r="ES79" s="109" t="n"/>
      <c r="ET79" s="109" t="n"/>
      <c r="EU79" s="109" t="n"/>
      <c r="EV79" s="109" t="n"/>
      <c r="EW79" s="109" t="n"/>
      <c r="EX79" s="109" t="n"/>
      <c r="EY79" s="109" t="n"/>
      <c r="EZ79" s="109" t="n"/>
      <c r="FA79" s="109" t="n"/>
      <c r="FB79" s="109" t="n"/>
      <c r="FC79" s="109" t="n"/>
      <c r="FD79" s="109" t="n"/>
      <c r="FE79" s="109" t="n"/>
      <c r="FF79" s="109" t="n"/>
      <c r="FG79" s="109" t="n"/>
      <c r="FH79" s="109" t="n"/>
      <c r="FI79" s="109" t="n"/>
      <c r="FJ79" s="109" t="n"/>
      <c r="FK79" s="109" t="n"/>
      <c r="FL79" s="109" t="n"/>
      <c r="FM79" s="109" t="n"/>
      <c r="FN79" s="109" t="n"/>
      <c r="FO79" s="109" t="n"/>
      <c r="FP79" s="109" t="n"/>
      <c r="FQ79" s="109" t="n"/>
      <c r="FR79" s="109" t="n"/>
      <c r="FS79" s="109" t="n"/>
      <c r="FT79" s="109" t="n"/>
      <c r="FU79" s="109" t="n"/>
      <c r="FV79" s="109" t="n"/>
      <c r="FW79" s="109" t="n"/>
      <c r="FX79" s="109" t="n"/>
      <c r="FY79" s="109" t="n"/>
      <c r="FZ79" s="109" t="n"/>
      <c r="GA79" s="109" t="n"/>
      <c r="GB79" s="109" t="n"/>
      <c r="GC79" s="109" t="n"/>
      <c r="GD79" s="109" t="n"/>
      <c r="GE79" s="109" t="n"/>
      <c r="GF79" s="109" t="n"/>
      <c r="GG79" s="109" t="n"/>
      <c r="GH79" s="109" t="n"/>
      <c r="GI79" s="109" t="n"/>
      <c r="GJ79" s="109" t="n"/>
      <c r="GK79" s="109" t="n"/>
      <c r="GL79" s="109" t="n"/>
      <c r="GM79" s="109" t="n"/>
      <c r="GN79" s="109" t="n"/>
      <c r="GO79" s="109" t="n"/>
      <c r="GP79" s="109" t="n"/>
      <c r="GQ79" s="109" t="n"/>
      <c r="GR79" s="109" t="n"/>
      <c r="GS79" s="109" t="n"/>
      <c r="GT79" s="109" t="n"/>
      <c r="GU79" s="109" t="n"/>
      <c r="GV79" s="109" t="n"/>
      <c r="GW79" s="109" t="n"/>
      <c r="GX79" s="109" t="n"/>
      <c r="GY79" s="109" t="n"/>
      <c r="GZ79" s="109" t="n"/>
      <c r="HA79" s="109" t="n"/>
      <c r="HB79" s="109" t="n"/>
      <c r="HC79" s="109" t="n"/>
      <c r="HD79" s="109" t="n"/>
      <c r="HE79" s="109" t="n"/>
      <c r="HF79" s="109" t="n"/>
      <c r="HG79" s="109" t="n"/>
      <c r="HH79" s="109" t="n"/>
      <c r="HI79" s="109" t="n"/>
      <c r="HJ79" s="109" t="n"/>
      <c r="HK79" s="109" t="n"/>
      <c r="HL79" s="109" t="n"/>
      <c r="HM79" s="109" t="n"/>
      <c r="HN79" s="109" t="n"/>
      <c r="HO79" s="109" t="n"/>
      <c r="HP79" s="109" t="n"/>
      <c r="HQ79" s="109" t="n"/>
      <c r="HR79" s="109" t="n"/>
      <c r="HS79" s="109" t="n"/>
      <c r="HT79" s="109" t="n"/>
      <c r="HU79" s="109" t="n"/>
      <c r="HV79" s="109" t="n"/>
      <c r="HW79" s="109" t="n"/>
      <c r="HX79" s="109" t="n"/>
      <c r="HY79" s="109" t="n"/>
      <c r="HZ79" s="109" t="n"/>
      <c r="IA79" s="109" t="n"/>
      <c r="IB79" s="109" t="n"/>
      <c r="IC79" s="109" t="n"/>
      <c r="ID79" s="109" t="n"/>
      <c r="IE79" s="109" t="n"/>
      <c r="IF79" s="109" t="n"/>
      <c r="IG79" s="109" t="n"/>
      <c r="IH79" s="109" t="n"/>
      <c r="II79" s="109" t="n"/>
      <c r="IJ79" s="109" t="n"/>
      <c r="IK79" s="109" t="n"/>
      <c r="IL79" s="109" t="n"/>
      <c r="IM79" s="109" t="n"/>
      <c r="IN79" s="109" t="n"/>
      <c r="IO79" s="109" t="n"/>
      <c r="IP79" s="109" t="n"/>
      <c r="IQ79" s="109" t="n"/>
      <c r="IR79" s="109" t="n"/>
      <c r="IS79" s="109" t="n"/>
      <c r="IT79" s="109" t="n"/>
      <c r="IU79" s="109" t="n"/>
      <c r="IV79" s="109" t="n"/>
      <c r="IW79" s="109" t="n"/>
      <c r="IX79" s="109" t="n"/>
      <c r="IY79" s="109" t="n"/>
      <c r="IZ79" s="109" t="n"/>
      <c r="JA79" s="109" t="n"/>
      <c r="JB79" s="109" t="n"/>
      <c r="JC79" s="109" t="n"/>
      <c r="JD79" s="109" t="n"/>
      <c r="JE79" s="109" t="n"/>
    </row>
    <row r="80" customFormat="1" s="7">
      <c r="A80" s="109" t="n"/>
      <c r="B80" s="109" t="n"/>
      <c r="C80" s="109" t="n"/>
      <c r="D80" s="109" t="n"/>
      <c r="E80" s="110" t="n"/>
      <c r="F80" s="110" t="n"/>
      <c r="G80" s="110" t="n"/>
      <c r="H80" s="110" t="n"/>
      <c r="I80" s="110" t="n"/>
      <c r="J80" s="110" t="n"/>
      <c r="K80" s="202" t="n"/>
      <c r="L80" s="110" t="n"/>
      <c r="M80" s="110" t="n"/>
      <c r="N80" s="110" t="n"/>
      <c r="O80" s="110" t="n"/>
      <c r="P80" s="110" t="n"/>
      <c r="Q80" s="110" t="n"/>
      <c r="R80" s="110" t="n"/>
      <c r="Z80" s="110" t="n"/>
      <c r="AA80" s="109" t="n"/>
      <c r="AB80" s="109" t="n"/>
      <c r="AC80" s="109" t="n"/>
      <c r="AD80" s="109" t="n"/>
      <c r="AE80" s="109" t="n"/>
      <c r="AF80" s="109" t="n"/>
      <c r="AG80" s="109" t="n"/>
      <c r="AH80" s="109" t="n"/>
      <c r="AI80" s="109" t="n"/>
      <c r="AJ80" s="109" t="n"/>
      <c r="AK80" s="109" t="n"/>
      <c r="AL80" s="109" t="n"/>
      <c r="AM80" s="109" t="n"/>
      <c r="AN80" s="109" t="n"/>
      <c r="AO80" s="109" t="n"/>
      <c r="AP80" s="109" t="n"/>
      <c r="AQ80" s="109" t="n"/>
      <c r="AR80" s="109" t="n"/>
      <c r="AS80" s="109" t="n"/>
      <c r="AT80" s="109" t="n"/>
      <c r="AU80" s="109" t="n"/>
      <c r="AV80" s="109" t="n"/>
      <c r="AW80" s="109" t="n"/>
      <c r="AX80" s="109" t="n"/>
      <c r="AY80" s="109" t="n"/>
      <c r="AZ80" s="109" t="n"/>
      <c r="BA80" s="109" t="n"/>
      <c r="BB80" s="109" t="n"/>
      <c r="BC80" s="109" t="n"/>
      <c r="BD80" s="109" t="n"/>
      <c r="BE80" s="109" t="n"/>
      <c r="BF80" s="109" t="n"/>
      <c r="BG80" s="109" t="n"/>
      <c r="BH80" s="109" t="n"/>
      <c r="BI80" s="109" t="n"/>
      <c r="BJ80" s="109" t="n"/>
      <c r="BK80" s="109" t="n"/>
      <c r="BL80" s="109" t="n"/>
      <c r="BM80" s="109" t="n"/>
      <c r="BN80" s="109" t="n"/>
      <c r="BO80" s="109" t="n"/>
      <c r="BP80" s="109" t="n"/>
      <c r="BQ80" s="109" t="n"/>
      <c r="BR80" s="109" t="n"/>
      <c r="BS80" s="109" t="n"/>
      <c r="BT80" s="109" t="n"/>
      <c r="BU80" s="109" t="n"/>
      <c r="BV80" s="109" t="n"/>
      <c r="BW80" s="109" t="n"/>
      <c r="BX80" s="109" t="n"/>
      <c r="BY80" s="109" t="n"/>
      <c r="BZ80" s="109" t="n"/>
      <c r="CA80" s="109" t="n"/>
      <c r="CB80" s="109" t="n"/>
      <c r="CC80" s="109" t="n"/>
      <c r="CD80" s="109" t="n"/>
      <c r="CE80" s="109" t="n"/>
      <c r="CF80" s="109" t="n"/>
      <c r="CG80" s="109" t="n"/>
      <c r="CH80" s="109" t="n"/>
      <c r="CI80" s="109" t="n"/>
      <c r="CJ80" s="109" t="n"/>
      <c r="CK80" s="109" t="n"/>
      <c r="CL80" s="109" t="n"/>
      <c r="CM80" s="109" t="n"/>
      <c r="CN80" s="109" t="n"/>
      <c r="CO80" s="109" t="n"/>
      <c r="CP80" s="109" t="n"/>
      <c r="CQ80" s="109" t="n"/>
      <c r="CR80" s="109" t="n"/>
      <c r="CS80" s="109" t="n"/>
      <c r="CT80" s="109" t="n"/>
      <c r="CU80" s="109" t="n"/>
      <c r="CV80" s="109" t="n"/>
      <c r="CW80" s="109" t="n"/>
      <c r="CX80" s="109" t="n"/>
      <c r="CY80" s="109" t="n"/>
      <c r="CZ80" s="109" t="n"/>
      <c r="DA80" s="109" t="n"/>
      <c r="DB80" s="109" t="n"/>
      <c r="DC80" s="109" t="n"/>
      <c r="DD80" s="109" t="n"/>
      <c r="DE80" s="109" t="n"/>
      <c r="DF80" s="109" t="n"/>
      <c r="DG80" s="109" t="n"/>
      <c r="DH80" s="109" t="n"/>
      <c r="DI80" s="109" t="n"/>
      <c r="DJ80" s="109" t="n"/>
      <c r="DK80" s="109" t="n"/>
      <c r="DL80" s="109" t="n"/>
      <c r="DM80" s="109" t="n"/>
      <c r="DN80" s="109" t="n"/>
      <c r="DO80" s="109" t="n"/>
      <c r="DP80" s="109" t="n"/>
      <c r="DQ80" s="109" t="n"/>
      <c r="DR80" s="109" t="n"/>
      <c r="DS80" s="109" t="n"/>
      <c r="DT80" s="109" t="n"/>
      <c r="DU80" s="109" t="n"/>
      <c r="DV80" s="109" t="n"/>
      <c r="DW80" s="109" t="n"/>
      <c r="DX80" s="109" t="n"/>
      <c r="DY80" s="109" t="n"/>
      <c r="DZ80" s="109" t="n"/>
      <c r="EA80" s="109" t="n"/>
      <c r="EB80" s="109" t="n"/>
      <c r="EC80" s="109" t="n"/>
      <c r="ED80" s="109" t="n"/>
      <c r="EE80" s="109" t="n"/>
      <c r="EF80" s="109" t="n"/>
      <c r="EG80" s="109" t="n"/>
      <c r="EH80" s="109" t="n"/>
      <c r="EI80" s="109" t="n"/>
      <c r="EJ80" s="109" t="n"/>
      <c r="EK80" s="109" t="n"/>
      <c r="EL80" s="109" t="n"/>
      <c r="EM80" s="109" t="n"/>
      <c r="EN80" s="109" t="n"/>
      <c r="EO80" s="109" t="n"/>
      <c r="EP80" s="109" t="n"/>
      <c r="EQ80" s="109" t="n"/>
      <c r="ER80" s="109" t="n"/>
      <c r="ES80" s="109" t="n"/>
      <c r="ET80" s="109" t="n"/>
      <c r="EU80" s="109" t="n"/>
      <c r="EV80" s="109" t="n"/>
      <c r="EW80" s="109" t="n"/>
      <c r="EX80" s="109" t="n"/>
      <c r="EY80" s="109" t="n"/>
      <c r="EZ80" s="109" t="n"/>
      <c r="FA80" s="109" t="n"/>
      <c r="FB80" s="109" t="n"/>
      <c r="FC80" s="109" t="n"/>
      <c r="FD80" s="109" t="n"/>
      <c r="FE80" s="109" t="n"/>
      <c r="FF80" s="109" t="n"/>
      <c r="FG80" s="109" t="n"/>
      <c r="FH80" s="109" t="n"/>
      <c r="FI80" s="109" t="n"/>
      <c r="FJ80" s="109" t="n"/>
      <c r="FK80" s="109" t="n"/>
      <c r="FL80" s="109" t="n"/>
      <c r="FM80" s="109" t="n"/>
      <c r="FN80" s="109" t="n"/>
      <c r="FO80" s="109" t="n"/>
      <c r="FP80" s="109" t="n"/>
      <c r="FQ80" s="109" t="n"/>
      <c r="FR80" s="109" t="n"/>
      <c r="FS80" s="109" t="n"/>
      <c r="FT80" s="109" t="n"/>
      <c r="FU80" s="109" t="n"/>
      <c r="FV80" s="109" t="n"/>
      <c r="FW80" s="109" t="n"/>
      <c r="FX80" s="109" t="n"/>
      <c r="FY80" s="109" t="n"/>
      <c r="FZ80" s="109" t="n"/>
      <c r="GA80" s="109" t="n"/>
      <c r="GB80" s="109" t="n"/>
      <c r="GC80" s="109" t="n"/>
      <c r="GD80" s="109" t="n"/>
      <c r="GE80" s="109" t="n"/>
      <c r="GF80" s="109" t="n"/>
      <c r="GG80" s="109" t="n"/>
      <c r="GH80" s="109" t="n"/>
      <c r="GI80" s="109" t="n"/>
      <c r="GJ80" s="109" t="n"/>
      <c r="GK80" s="109" t="n"/>
      <c r="GL80" s="109" t="n"/>
      <c r="GM80" s="109" t="n"/>
      <c r="GN80" s="109" t="n"/>
      <c r="GO80" s="109" t="n"/>
      <c r="GP80" s="109" t="n"/>
      <c r="GQ80" s="109" t="n"/>
      <c r="GR80" s="109" t="n"/>
      <c r="GS80" s="109" t="n"/>
      <c r="GT80" s="109" t="n"/>
      <c r="GU80" s="109" t="n"/>
      <c r="GV80" s="109" t="n"/>
      <c r="GW80" s="109" t="n"/>
      <c r="GX80" s="109" t="n"/>
      <c r="GY80" s="109" t="n"/>
      <c r="GZ80" s="109" t="n"/>
      <c r="HA80" s="109" t="n"/>
      <c r="HB80" s="109" t="n"/>
      <c r="HC80" s="109" t="n"/>
      <c r="HD80" s="109" t="n"/>
      <c r="HE80" s="109" t="n"/>
      <c r="HF80" s="109" t="n"/>
      <c r="HG80" s="109" t="n"/>
      <c r="HH80" s="109" t="n"/>
      <c r="HI80" s="109" t="n"/>
      <c r="HJ80" s="109" t="n"/>
      <c r="HK80" s="109" t="n"/>
      <c r="HL80" s="109" t="n"/>
      <c r="HM80" s="109" t="n"/>
      <c r="HN80" s="109" t="n"/>
      <c r="HO80" s="109" t="n"/>
      <c r="HP80" s="109" t="n"/>
      <c r="HQ80" s="109" t="n"/>
      <c r="HR80" s="109" t="n"/>
      <c r="HS80" s="109" t="n"/>
      <c r="HT80" s="109" t="n"/>
      <c r="HU80" s="109" t="n"/>
      <c r="HV80" s="109" t="n"/>
      <c r="HW80" s="109" t="n"/>
      <c r="HX80" s="109" t="n"/>
      <c r="HY80" s="109" t="n"/>
      <c r="HZ80" s="109" t="n"/>
      <c r="IA80" s="109" t="n"/>
      <c r="IB80" s="109" t="n"/>
      <c r="IC80" s="109" t="n"/>
      <c r="ID80" s="109" t="n"/>
      <c r="IE80" s="109" t="n"/>
      <c r="IF80" s="109" t="n"/>
      <c r="IG80" s="109" t="n"/>
      <c r="IH80" s="109" t="n"/>
      <c r="II80" s="109" t="n"/>
      <c r="IJ80" s="109" t="n"/>
      <c r="IK80" s="109" t="n"/>
      <c r="IL80" s="109" t="n"/>
      <c r="IM80" s="109" t="n"/>
      <c r="IN80" s="109" t="n"/>
      <c r="IO80" s="109" t="n"/>
      <c r="IP80" s="109" t="n"/>
      <c r="IQ80" s="109" t="n"/>
      <c r="IR80" s="109" t="n"/>
      <c r="IS80" s="109" t="n"/>
      <c r="IT80" s="109" t="n"/>
      <c r="IU80" s="109" t="n"/>
      <c r="IV80" s="109" t="n"/>
      <c r="IW80" s="109" t="n"/>
      <c r="IX80" s="109" t="n"/>
      <c r="IY80" s="109" t="n"/>
      <c r="IZ80" s="109" t="n"/>
      <c r="JA80" s="109" t="n"/>
      <c r="JB80" s="109" t="n"/>
      <c r="JC80" s="109" t="n"/>
      <c r="JD80" s="109" t="n"/>
      <c r="JE80" s="109" t="n"/>
    </row>
    <row r="81" customFormat="1" s="7">
      <c r="A81" s="109" t="n"/>
      <c r="B81" s="109" t="n"/>
      <c r="C81" s="109" t="n"/>
      <c r="D81" s="109" t="n"/>
      <c r="E81" s="111" t="n"/>
      <c r="F81" s="111" t="n"/>
      <c r="G81" s="111" t="n"/>
      <c r="H81" s="110" t="n"/>
      <c r="I81" s="110" t="n"/>
      <c r="J81" s="110" t="n"/>
      <c r="K81" s="111" t="n"/>
      <c r="L81" s="110" t="n"/>
      <c r="M81" s="110" t="n"/>
      <c r="N81" s="107" t="n"/>
      <c r="O81" s="110" t="n"/>
      <c r="P81" s="110" t="n"/>
      <c r="Q81" s="110" t="n"/>
      <c r="R81" s="198" t="n"/>
      <c r="Z81" s="110" t="n"/>
      <c r="AA81" s="109" t="n"/>
      <c r="AB81" s="109" t="n"/>
      <c r="AC81" s="109" t="n"/>
      <c r="AD81" s="109" t="n"/>
      <c r="AE81" s="109" t="n"/>
      <c r="AF81" s="109" t="n"/>
      <c r="AG81" s="109" t="n"/>
      <c r="AH81" s="109" t="n"/>
      <c r="AI81" s="109" t="n"/>
      <c r="AJ81" s="109" t="n"/>
      <c r="AK81" s="109" t="n"/>
      <c r="AL81" s="109" t="n"/>
      <c r="AM81" s="109" t="n"/>
      <c r="AN81" s="109" t="n"/>
      <c r="AO81" s="109" t="n"/>
      <c r="AP81" s="109" t="n"/>
      <c r="AQ81" s="109" t="n"/>
      <c r="AR81" s="109" t="n"/>
      <c r="AS81" s="109" t="n"/>
      <c r="AT81" s="109" t="n"/>
      <c r="AU81" s="109" t="n"/>
      <c r="AV81" s="109" t="n"/>
      <c r="AW81" s="109" t="n"/>
      <c r="AX81" s="109" t="n"/>
      <c r="AY81" s="109" t="n"/>
      <c r="AZ81" s="109" t="n"/>
      <c r="BA81" s="109" t="n"/>
      <c r="BB81" s="109" t="n"/>
      <c r="BC81" s="109" t="n"/>
      <c r="BD81" s="109" t="n"/>
      <c r="BE81" s="109" t="n"/>
      <c r="BF81" s="109" t="n"/>
      <c r="BG81" s="109" t="n"/>
      <c r="BH81" s="109" t="n"/>
      <c r="BI81" s="109" t="n"/>
      <c r="BJ81" s="109" t="n"/>
      <c r="BK81" s="109" t="n"/>
      <c r="BL81" s="109" t="n"/>
      <c r="BM81" s="109" t="n"/>
      <c r="BN81" s="109" t="n"/>
      <c r="BO81" s="109" t="n"/>
      <c r="BP81" s="109" t="n"/>
      <c r="BQ81" s="109" t="n"/>
      <c r="BR81" s="109" t="n"/>
      <c r="BS81" s="109" t="n"/>
      <c r="BT81" s="109" t="n"/>
      <c r="BU81" s="109" t="n"/>
      <c r="BV81" s="109" t="n"/>
      <c r="BW81" s="109" t="n"/>
      <c r="BX81" s="109" t="n"/>
      <c r="BY81" s="109" t="n"/>
      <c r="BZ81" s="109" t="n"/>
      <c r="CA81" s="109" t="n"/>
      <c r="CB81" s="109" t="n"/>
      <c r="CC81" s="109" t="n"/>
      <c r="CD81" s="109" t="n"/>
      <c r="CE81" s="109" t="n"/>
      <c r="CF81" s="109" t="n"/>
      <c r="CG81" s="109" t="n"/>
      <c r="CH81" s="109" t="n"/>
      <c r="CI81" s="109" t="n"/>
      <c r="CJ81" s="109" t="n"/>
      <c r="CK81" s="109" t="n"/>
      <c r="CL81" s="109" t="n"/>
      <c r="CM81" s="109" t="n"/>
      <c r="CN81" s="109" t="n"/>
      <c r="CO81" s="109" t="n"/>
      <c r="CP81" s="109" t="n"/>
      <c r="CQ81" s="109" t="n"/>
      <c r="CR81" s="109" t="n"/>
      <c r="CS81" s="109" t="n"/>
      <c r="CT81" s="109" t="n"/>
      <c r="CU81" s="109" t="n"/>
      <c r="CV81" s="109" t="n"/>
      <c r="CW81" s="109" t="n"/>
      <c r="CX81" s="109" t="n"/>
      <c r="CY81" s="109" t="n"/>
      <c r="CZ81" s="109" t="n"/>
      <c r="DA81" s="109" t="n"/>
      <c r="DB81" s="109" t="n"/>
      <c r="DC81" s="109" t="n"/>
      <c r="DD81" s="109" t="n"/>
      <c r="DE81" s="109" t="n"/>
      <c r="DF81" s="109" t="n"/>
      <c r="DG81" s="109" t="n"/>
      <c r="DH81" s="109" t="n"/>
      <c r="DI81" s="109" t="n"/>
      <c r="DJ81" s="109" t="n"/>
      <c r="DK81" s="109" t="n"/>
      <c r="DL81" s="109" t="n"/>
      <c r="DM81" s="109" t="n"/>
      <c r="DN81" s="109" t="n"/>
      <c r="DO81" s="109" t="n"/>
      <c r="DP81" s="109" t="n"/>
      <c r="DQ81" s="109" t="n"/>
      <c r="DR81" s="109" t="n"/>
      <c r="DS81" s="109" t="n"/>
      <c r="DT81" s="109" t="n"/>
      <c r="DU81" s="109" t="n"/>
      <c r="DV81" s="109" t="n"/>
      <c r="DW81" s="109" t="n"/>
      <c r="DX81" s="109" t="n"/>
      <c r="DY81" s="109" t="n"/>
      <c r="DZ81" s="109" t="n"/>
      <c r="EA81" s="109" t="n"/>
      <c r="EB81" s="109" t="n"/>
      <c r="EC81" s="109" t="n"/>
      <c r="ED81" s="109" t="n"/>
      <c r="EE81" s="109" t="n"/>
      <c r="EF81" s="109" t="n"/>
      <c r="EG81" s="109" t="n"/>
      <c r="EH81" s="109" t="n"/>
      <c r="EI81" s="109" t="n"/>
      <c r="EJ81" s="109" t="n"/>
      <c r="EK81" s="109" t="n"/>
      <c r="EL81" s="109" t="n"/>
      <c r="EM81" s="109" t="n"/>
      <c r="EN81" s="109" t="n"/>
      <c r="EO81" s="109" t="n"/>
      <c r="EP81" s="109" t="n"/>
      <c r="EQ81" s="109" t="n"/>
      <c r="ER81" s="109" t="n"/>
      <c r="ES81" s="109" t="n"/>
      <c r="ET81" s="109" t="n"/>
      <c r="EU81" s="109" t="n"/>
      <c r="EV81" s="109" t="n"/>
      <c r="EW81" s="109" t="n"/>
      <c r="EX81" s="109" t="n"/>
      <c r="EY81" s="109" t="n"/>
      <c r="EZ81" s="109" t="n"/>
      <c r="FA81" s="109" t="n"/>
      <c r="FB81" s="109" t="n"/>
      <c r="FC81" s="109" t="n"/>
      <c r="FD81" s="109" t="n"/>
      <c r="FE81" s="109" t="n"/>
      <c r="FF81" s="109" t="n"/>
      <c r="FG81" s="109" t="n"/>
      <c r="FH81" s="109" t="n"/>
      <c r="FI81" s="109" t="n"/>
      <c r="FJ81" s="109" t="n"/>
      <c r="FK81" s="109" t="n"/>
      <c r="FL81" s="109" t="n"/>
      <c r="FM81" s="109" t="n"/>
      <c r="FN81" s="109" t="n"/>
      <c r="FO81" s="109" t="n"/>
      <c r="FP81" s="109" t="n"/>
      <c r="FQ81" s="109" t="n"/>
      <c r="FR81" s="109" t="n"/>
      <c r="FS81" s="109" t="n"/>
      <c r="FT81" s="109" t="n"/>
      <c r="FU81" s="109" t="n"/>
      <c r="FV81" s="109" t="n"/>
      <c r="FW81" s="109" t="n"/>
      <c r="FX81" s="109" t="n"/>
      <c r="FY81" s="109" t="n"/>
      <c r="FZ81" s="109" t="n"/>
      <c r="GA81" s="109" t="n"/>
      <c r="GB81" s="109" t="n"/>
      <c r="GC81" s="109" t="n"/>
      <c r="GD81" s="109" t="n"/>
      <c r="GE81" s="109" t="n"/>
      <c r="GF81" s="109" t="n"/>
      <c r="GG81" s="109" t="n"/>
      <c r="GH81" s="109" t="n"/>
      <c r="GI81" s="109" t="n"/>
      <c r="GJ81" s="109" t="n"/>
      <c r="GK81" s="109" t="n"/>
      <c r="GL81" s="109" t="n"/>
      <c r="GM81" s="109" t="n"/>
      <c r="GN81" s="109" t="n"/>
      <c r="GO81" s="109" t="n"/>
      <c r="GP81" s="109" t="n"/>
      <c r="GQ81" s="109" t="n"/>
      <c r="GR81" s="109" t="n"/>
      <c r="GS81" s="109" t="n"/>
      <c r="GT81" s="109" t="n"/>
      <c r="GU81" s="109" t="n"/>
      <c r="GV81" s="109" t="n"/>
      <c r="GW81" s="109" t="n"/>
      <c r="GX81" s="109" t="n"/>
      <c r="GY81" s="109" t="n"/>
      <c r="GZ81" s="109" t="n"/>
      <c r="HA81" s="109" t="n"/>
      <c r="HB81" s="109" t="n"/>
      <c r="HC81" s="109" t="n"/>
      <c r="HD81" s="109" t="n"/>
      <c r="HE81" s="109" t="n"/>
      <c r="HF81" s="109" t="n"/>
      <c r="HG81" s="109" t="n"/>
      <c r="HH81" s="109" t="n"/>
      <c r="HI81" s="109" t="n"/>
      <c r="HJ81" s="109" t="n"/>
      <c r="HK81" s="109" t="n"/>
      <c r="HL81" s="109" t="n"/>
      <c r="HM81" s="109" t="n"/>
      <c r="HN81" s="109" t="n"/>
      <c r="HO81" s="109" t="n"/>
      <c r="HP81" s="109" t="n"/>
      <c r="HQ81" s="109" t="n"/>
      <c r="HR81" s="109" t="n"/>
      <c r="HS81" s="109" t="n"/>
      <c r="HT81" s="109" t="n"/>
      <c r="HU81" s="109" t="n"/>
      <c r="HV81" s="109" t="n"/>
      <c r="HW81" s="109" t="n"/>
      <c r="HX81" s="109" t="n"/>
      <c r="HY81" s="109" t="n"/>
      <c r="HZ81" s="109" t="n"/>
      <c r="IA81" s="109" t="n"/>
      <c r="IB81" s="109" t="n"/>
      <c r="IC81" s="109" t="n"/>
      <c r="ID81" s="109" t="n"/>
      <c r="IE81" s="109" t="n"/>
      <c r="IF81" s="109" t="n"/>
      <c r="IG81" s="109" t="n"/>
      <c r="IH81" s="109" t="n"/>
      <c r="II81" s="109" t="n"/>
      <c r="IJ81" s="109" t="n"/>
      <c r="IK81" s="109" t="n"/>
      <c r="IL81" s="109" t="n"/>
      <c r="IM81" s="109" t="n"/>
      <c r="IN81" s="109" t="n"/>
      <c r="IO81" s="109" t="n"/>
      <c r="IP81" s="109" t="n"/>
      <c r="IQ81" s="109" t="n"/>
      <c r="IR81" s="109" t="n"/>
      <c r="IS81" s="109" t="n"/>
      <c r="IT81" s="109" t="n"/>
      <c r="IU81" s="109" t="n"/>
      <c r="IV81" s="109" t="n"/>
      <c r="IW81" s="109" t="n"/>
      <c r="IX81" s="109" t="n"/>
      <c r="IY81" s="109" t="n"/>
      <c r="IZ81" s="109" t="n"/>
      <c r="JA81" s="109" t="n"/>
      <c r="JB81" s="109" t="n"/>
      <c r="JC81" s="109" t="n"/>
      <c r="JD81" s="109" t="n"/>
      <c r="JE81" s="109" t="n"/>
    </row>
    <row r="82" customFormat="1" s="8">
      <c r="L82" s="138" t="n"/>
    </row>
  </sheetData>
  <mergeCells count="58">
    <mergeCell ref="Z7:AK7"/>
    <mergeCell ref="AH8:AH9"/>
    <mergeCell ref="C4:C5"/>
    <mergeCell ref="A1:S2"/>
    <mergeCell ref="A3:A9"/>
    <mergeCell ref="E4:E5"/>
    <mergeCell ref="AJ8:AJ9"/>
    <mergeCell ref="Q8:Q9"/>
    <mergeCell ref="AC8:AC9"/>
    <mergeCell ref="S8:S9"/>
    <mergeCell ref="G3:I3"/>
    <mergeCell ref="M7:R7"/>
    <mergeCell ref="H4:L4"/>
    <mergeCell ref="L3:M3"/>
    <mergeCell ref="C7:C9"/>
    <mergeCell ref="AE8:AE9"/>
    <mergeCell ref="E7:E9"/>
    <mergeCell ref="L8:L9"/>
    <mergeCell ref="S4:Y4"/>
    <mergeCell ref="D4:D5"/>
    <mergeCell ref="N8:N9"/>
    <mergeCell ref="Z8:Z9"/>
    <mergeCell ref="P8:P9"/>
    <mergeCell ref="AB8:AB9"/>
    <mergeCell ref="B7:B9"/>
    <mergeCell ref="T8:T9"/>
    <mergeCell ref="AL4:AL10"/>
    <mergeCell ref="Z4:AK4"/>
    <mergeCell ref="H7:L7"/>
    <mergeCell ref="I8:I9"/>
    <mergeCell ref="F7:F9"/>
    <mergeCell ref="G4:G5"/>
    <mergeCell ref="K8:K9"/>
    <mergeCell ref="M8:M9"/>
    <mergeCell ref="U8:U9"/>
    <mergeCell ref="W8:W9"/>
    <mergeCell ref="O8:O9"/>
    <mergeCell ref="M4:R4"/>
    <mergeCell ref="AF8:AF9"/>
    <mergeCell ref="AG8:AG9"/>
    <mergeCell ref="AI8:AI9"/>
    <mergeCell ref="S7:Y7"/>
    <mergeCell ref="J3:K3"/>
    <mergeCell ref="B3:D3"/>
    <mergeCell ref="B4:B5"/>
    <mergeCell ref="G7:G9"/>
    <mergeCell ref="H8:H9"/>
    <mergeCell ref="Y8:Y9"/>
    <mergeCell ref="F4:F5"/>
    <mergeCell ref="J8:J9"/>
    <mergeCell ref="V8:V9"/>
    <mergeCell ref="AA8:AA9"/>
    <mergeCell ref="R8:R9"/>
    <mergeCell ref="X8:X9"/>
    <mergeCell ref="AD8:AD9"/>
    <mergeCell ref="D7:D9"/>
    <mergeCell ref="AK8:AK9"/>
    <mergeCell ref="E3:F3"/>
  </mergeCells>
  <dataValidations count="1">
    <dataValidation sqref="E6:G6" showDropDown="0" showInputMessage="1" showErrorMessage="1" allowBlank="1" type="list">
      <formula1>"进场准备,在施,完工未验收,竣工已结,竣工未结,其它（停工）"</formula1>
    </dataValidation>
  </dataValidations>
  <pageMargins left="0.75" right="0.75" top="1" bottom="1" header="0.5" footer="0.5"/>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sasa</dc:creator>
  <dcterms:created xsi:type="dcterms:W3CDTF">2026-04-16T00:24:47Z</dcterms:created>
  <dcterms:modified xsi:type="dcterms:W3CDTF">2026-04-16T14:00:08Z</dcterms:modified>
  <cp:lastModifiedBy>梁朝人</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E9752769681440F89F1470EAD11BCDD5_11</vt:lpwstr>
  </property>
  <property name="KSOProductBuildVer" fmtid="{D5CDD505-2E9C-101B-9397-08002B2CF9AE}" pid="3">
    <vt:lpwstr>2052-12.1.0.21541</vt:lpwstr>
  </property>
</Properties>
</file>