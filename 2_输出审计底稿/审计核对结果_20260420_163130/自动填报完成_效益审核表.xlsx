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55" authorId="1" shapeId="0">
      <text>
        <t xml:space="preserve">**同财务账面合同履约成本/工程施工成本/机械租赁费数据一致**
</t>
      </text>
    </comment>
    <comment ref="M63" authorId="0" shapeId="0">
      <text>
        <t>于:
**同财务账面合同履约成本/工程施工成本其他直接费数据一致**</t>
      </text>
    </comment>
    <comment ref="M68" authorId="1" shapeId="0">
      <text>
        <t>**同财务账面合同履约成本/工程施工成本/间接费数据一致**</t>
      </text>
    </comment>
    <comment ref="D74" authorId="2" shapeId="0">
      <text>
        <t>（在建：房建0.6%，其它0.4%；在保修期间的按0.3~0.5%自行确定;保修期结束为0）</t>
      </text>
    </comment>
    <comment ref="E83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84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2"/>
  <sheetViews>
    <sheetView tabSelected="1" topLeftCell="A2" zoomScale="70" zoomScaleNormal="70" workbookViewId="0">
      <selection activeCell="C41" sqref="C41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L403600750</t>
        </is>
      </c>
      <c r="C6" s="11" t="n">
        <v>1220159233</v>
      </c>
      <c r="D6" s="181" t="inlineStr">
        <is>
          <t>花都区东风体育馆应急转运点项目安装工程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12482611.56</v>
      </c>
      <c r="N6" s="186" t="n">
        <v>1123435.04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n"/>
      <c r="C13" s="207" t="inlineStr">
        <is>
          <t>中建四局150020220103040001</t>
        </is>
      </c>
      <c r="D13" s="207" t="inlineStr">
        <is>
          <t>无客商-应付花都区东风体育馆应急转运点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1367100</v>
      </c>
      <c r="N13" s="206" t="n"/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06" t="n"/>
      <c r="U13" s="206" t="n"/>
      <c r="V13" s="206" t="n"/>
    </row>
    <row r="14" ht="14" customFormat="1" customHeight="1" s="180">
      <c r="A14" s="206" t="n">
        <v>2</v>
      </c>
      <c r="B14" s="206" t="n"/>
      <c r="C14" s="207" t="inlineStr">
        <is>
          <t>中建四局150020220103040002</t>
        </is>
      </c>
      <c r="D14" s="207" t="inlineStr">
        <is>
          <t>无客商-应付花都区东风体育馆应急转运点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141291.26</v>
      </c>
      <c r="N14" s="206" t="n"/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06" t="n"/>
      <c r="U14" s="206" t="n"/>
      <c r="V14" s="206" t="n"/>
    </row>
    <row r="15" ht="14" customFormat="1" customHeight="1" s="180">
      <c r="A15" s="206" t="n">
        <v>3</v>
      </c>
      <c r="B15" s="206" t="n"/>
      <c r="C15" s="207" t="inlineStr">
        <is>
          <t>中建四局150020220103040004</t>
        </is>
      </c>
      <c r="D15" s="207" t="inlineStr">
        <is>
          <t>无客商-结算劳务款-东莞市东城晨旭金属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390736.42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</row>
    <row r="16" ht="14" customFormat="1" customHeight="1" s="180">
      <c r="A16" s="206" t="n">
        <v>4</v>
      </c>
      <c r="B16" s="206" t="n"/>
      <c r="C16" s="207" t="inlineStr">
        <is>
          <t>中建四局150020220103040001</t>
        </is>
      </c>
      <c r="D16" s="207" t="inlineStr">
        <is>
          <t>无客商-结算劳务款-广州勤昌建筑劳务有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58500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</row>
    <row r="17" ht="14" customFormat="1" customHeight="1" s="180">
      <c r="A17" s="206" t="n">
        <v>5</v>
      </c>
      <c r="B17" s="206" t="n"/>
      <c r="C17" s="207" t="inlineStr">
        <is>
          <t>中建四局150020220103040005</t>
        </is>
      </c>
      <c r="D17" s="207" t="inlineStr">
        <is>
          <t>无客商-结算劳务款-广州市番禺区永元建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552239.5699999999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</row>
    <row r="18" ht="14" customFormat="1" customHeight="1" s="180">
      <c r="A18" s="206" t="n">
        <v>6</v>
      </c>
      <c r="B18" s="206" t="n"/>
      <c r="C18" s="207" t="inlineStr">
        <is>
          <t>中建四局150020220103040001</t>
        </is>
      </c>
      <c r="D18" s="207" t="inlineStr">
        <is>
          <t>无客商-结转花都区东风体育馆应急转运点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926100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</row>
    <row r="19" ht="14" customFormat="1" customHeight="1" s="180">
      <c r="A19" s="206" t="n">
        <v>7</v>
      </c>
      <c r="B19" s="206" t="n"/>
      <c r="C19" s="207" t="inlineStr">
        <is>
          <t>中建四局150020220103040001</t>
        </is>
      </c>
      <c r="D19" s="207" t="inlineStr">
        <is>
          <t>无客商-花都东风体育馆应急转运点改建项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242550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</row>
    <row r="20" ht="14" customFormat="1" customHeight="1" s="180">
      <c r="A20" s="33" t="n"/>
      <c r="B20" s="199" t="n"/>
      <c r="C20" s="199" t="n"/>
      <c r="D20" s="211" t="inlineStr">
        <is>
          <t>**财务未列部分需增列***</t>
        </is>
      </c>
      <c r="E20" s="212" t="n"/>
      <c r="F20" s="212" t="n"/>
      <c r="G20" s="212" t="n"/>
      <c r="H20" s="189" t="n"/>
      <c r="I20" s="189" t="n"/>
      <c r="J20" s="189" t="n"/>
      <c r="K20" s="201" t="n"/>
      <c r="L20" s="202" t="n"/>
      <c r="M20" s="189" t="n"/>
      <c r="N20" s="189" t="n"/>
      <c r="O20" s="189">
        <f>L20-M20</f>
        <v/>
      </c>
      <c r="P20" s="189">
        <f>K20-N20</f>
        <v/>
      </c>
      <c r="Q20" s="189">
        <f>M20+O20</f>
        <v/>
      </c>
      <c r="R20" s="189">
        <f>M20+N20+O20+P20</f>
        <v/>
      </c>
      <c r="S20" s="203">
        <f>SUM(T20:V20)</f>
        <v/>
      </c>
      <c r="T20" s="189" t="n"/>
      <c r="U20" s="189" t="n"/>
      <c r="V20" s="189" t="n"/>
      <c r="W20" s="189" t="n"/>
      <c r="X20" s="189" t="n"/>
      <c r="Y20" s="189" t="n"/>
      <c r="Z20" s="189">
        <f>SUM(AA16:AJ16)</f>
        <v/>
      </c>
      <c r="AA20" s="213" t="n"/>
      <c r="AB20" s="188" t="n"/>
      <c r="AC20" s="188" t="n"/>
      <c r="AD20" s="188" t="n"/>
      <c r="AE20" s="188" t="n"/>
      <c r="AF20" s="188" t="n"/>
      <c r="AG20" s="188" t="n"/>
      <c r="AH20" s="188" t="n"/>
      <c r="AI20" s="188" t="n"/>
      <c r="AJ20" s="188" t="n"/>
      <c r="AK20" s="188">
        <f>AB16/1.17*0.17+AC16/1.16*0.16+AD16/1.11*0.11+AE16/1.1*0.1+AF16/1.09*0.09+AI16/1.03*0.03</f>
        <v/>
      </c>
      <c r="AL20" s="214" t="n"/>
    </row>
    <row r="21" ht="14" customFormat="1" customHeight="1" s="180">
      <c r="A21" s="41" t="n"/>
      <c r="B21" s="215" t="n"/>
      <c r="C21" s="215" t="n"/>
      <c r="D21" s="216" t="inlineStr">
        <is>
          <t>人工费小计：</t>
        </is>
      </c>
      <c r="E21" s="217">
        <f>SUM(E12:E20)</f>
        <v/>
      </c>
      <c r="F21" s="217">
        <f>SUM(F12:F20)</f>
        <v/>
      </c>
      <c r="G21" s="217">
        <f>SUM(G12:G20)</f>
        <v/>
      </c>
      <c r="H21" s="217">
        <f>SUM(H12:H20)</f>
        <v/>
      </c>
      <c r="I21" s="217">
        <f>SUM(I12:I20)</f>
        <v/>
      </c>
      <c r="J21" s="217">
        <f>SUM(J12:J20)</f>
        <v/>
      </c>
      <c r="K21" s="217">
        <f>SUM(K12:K20)</f>
        <v/>
      </c>
      <c r="L21" s="217">
        <f>SUM(L12:L20)</f>
        <v/>
      </c>
      <c r="M21" s="217">
        <f>SUM(M12:M20)</f>
        <v/>
      </c>
      <c r="N21" s="217">
        <f>SUM(N12:N20)</f>
        <v/>
      </c>
      <c r="O21" s="217">
        <f>SUM(O12:O20)</f>
        <v/>
      </c>
      <c r="P21" s="217">
        <f>SUM(P12:P20)</f>
        <v/>
      </c>
      <c r="Q21" s="217">
        <f>SUM(Q12:Q20)</f>
        <v/>
      </c>
      <c r="R21" s="217">
        <f>SUM(R12:R20)</f>
        <v/>
      </c>
      <c r="S21" s="217">
        <f>SUM(S12:S20)</f>
        <v/>
      </c>
      <c r="T21" s="217">
        <f>SUM(T12:T20)</f>
        <v/>
      </c>
      <c r="U21" s="217">
        <f>SUM(U12:U20)</f>
        <v/>
      </c>
      <c r="V21" s="217">
        <f>SUM(V12:V20)</f>
        <v/>
      </c>
      <c r="W21" s="217">
        <f>SUM(W12:W20)</f>
        <v/>
      </c>
      <c r="X21" s="217">
        <f>SUM(X12:X20)</f>
        <v/>
      </c>
      <c r="Y21" s="217">
        <f>SUM(Y12:Y20)</f>
        <v/>
      </c>
      <c r="Z21" s="217">
        <f>SUM(Z12:Z20)</f>
        <v/>
      </c>
      <c r="AA21" s="217">
        <f>SUM(AA12:AA20)</f>
        <v/>
      </c>
      <c r="AB21" s="217">
        <f>SUM(AB12:AB20)</f>
        <v/>
      </c>
      <c r="AC21" s="217">
        <f>SUM(AC12:AC20)</f>
        <v/>
      </c>
      <c r="AD21" s="217">
        <f>SUM(AD12:AD20)</f>
        <v/>
      </c>
      <c r="AE21" s="217">
        <f>SUM(AE12:AE20)</f>
        <v/>
      </c>
      <c r="AF21" s="217">
        <f>SUM(AF12:AF20)</f>
        <v/>
      </c>
      <c r="AG21" s="217">
        <f>SUM(AG12:AG20)</f>
        <v/>
      </c>
      <c r="AH21" s="217">
        <f>SUM(AH12:AH20)</f>
        <v/>
      </c>
      <c r="AI21" s="217">
        <f>SUM(AI12:AI20)</f>
        <v/>
      </c>
      <c r="AJ21" s="217">
        <f>SUM(AJ12:AJ20)</f>
        <v/>
      </c>
      <c r="AK21" s="217">
        <f>SUM(AK12:AK20)</f>
        <v/>
      </c>
      <c r="AL21" s="204" t="n"/>
    </row>
    <row r="22" ht="14" customFormat="1" customHeight="1" s="180">
      <c r="A22" s="33" t="n"/>
      <c r="B22" s="199" t="n"/>
      <c r="C22" s="199" t="n"/>
      <c r="D22" s="218" t="inlineStr">
        <is>
          <t>（二）分包工程</t>
        </is>
      </c>
      <c r="E22" s="199" t="n"/>
      <c r="F22" s="199" t="n"/>
      <c r="G22" s="199" t="n"/>
      <c r="H22" s="189" t="n"/>
      <c r="I22" s="189" t="n"/>
      <c r="J22" s="189" t="n"/>
      <c r="K22" s="201" t="n"/>
      <c r="L22" s="202" t="n"/>
      <c r="M22" s="189" t="n"/>
      <c r="N22" s="189" t="n"/>
      <c r="O22" s="189">
        <f>L22-M22</f>
        <v/>
      </c>
      <c r="P22" s="189">
        <f>K22-N22</f>
        <v/>
      </c>
      <c r="Q22" s="189">
        <f>M22+O22</f>
        <v/>
      </c>
      <c r="R22" s="189">
        <f>M22+N22+O22+P22</f>
        <v/>
      </c>
      <c r="S22" s="203">
        <f>SUM(T22:V22)</f>
        <v/>
      </c>
      <c r="T22" s="203" t="n"/>
      <c r="U22" s="203" t="n"/>
      <c r="V22" s="203" t="n"/>
      <c r="W22" s="203" t="n"/>
      <c r="X22" s="203" t="n"/>
      <c r="Y22" s="203" t="n"/>
      <c r="Z22" s="203" t="n"/>
      <c r="AA22" s="203" t="n"/>
      <c r="AB22" s="203" t="n"/>
      <c r="AC22" s="203" t="n"/>
      <c r="AD22" s="203" t="n"/>
      <c r="AE22" s="203" t="n"/>
      <c r="AF22" s="203" t="n"/>
      <c r="AG22" s="203" t="n"/>
      <c r="AH22" s="203" t="n"/>
      <c r="AI22" s="203" t="n"/>
      <c r="AJ22" s="203" t="n"/>
      <c r="AK22" s="188">
        <f>AB18/1.17*0.17+AC18/1.16*0.16+AD18/1.11*0.11+AE18/1.1*0.1+AF18/1.09*0.09+AI18/1.03*0.03</f>
        <v/>
      </c>
      <c r="AL22" s="204" t="n"/>
    </row>
    <row r="23" ht="14" customFormat="1" customHeight="1" s="180">
      <c r="A23" s="206" t="n">
        <v>1</v>
      </c>
      <c r="B23" s="206" t="n"/>
      <c r="C23" s="207" t="inlineStr">
        <is>
          <t>中建四局150020220103030001</t>
        </is>
      </c>
      <c r="D23" s="207" t="inlineStr">
        <is>
          <t>无客商-结算分包工程款-众源科技(广东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550458.72</v>
      </c>
      <c r="N23" s="206" t="n"/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06" t="n"/>
      <c r="U23" s="206" t="n"/>
      <c r="V23" s="206" t="n"/>
    </row>
    <row r="24" ht="14" customFormat="1" customHeight="1" s="180">
      <c r="A24" s="206" t="n">
        <v>2</v>
      </c>
      <c r="B24" s="206" t="n"/>
      <c r="C24" s="207" t="inlineStr">
        <is>
          <t>中建四局150020220103030001</t>
        </is>
      </c>
      <c r="D24" s="207" t="inlineStr">
        <is>
          <t>无客商-结算分包工程款-众源科技（广东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454531.76</v>
      </c>
      <c r="N24" s="206" t="n"/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06" t="n"/>
      <c r="U24" s="206" t="n"/>
      <c r="V24" s="206" t="n"/>
    </row>
    <row r="25" ht="14" customFormat="1" customHeight="1" s="180">
      <c r="A25" s="33" t="n"/>
      <c r="B25" s="199" t="n"/>
      <c r="C25" s="199" t="n"/>
      <c r="D25" s="211" t="inlineStr">
        <is>
          <t>**财务未列部分需增列***</t>
        </is>
      </c>
      <c r="E25" s="219" t="n"/>
      <c r="F25" s="219" t="n"/>
      <c r="G25" s="219" t="n"/>
      <c r="H25" s="189" t="n"/>
      <c r="I25" s="189" t="n"/>
      <c r="J25" s="189" t="n"/>
      <c r="K25" s="201" t="n"/>
      <c r="L25" s="202" t="n"/>
      <c r="M25" s="189" t="n"/>
      <c r="N25" s="189" t="n"/>
      <c r="O25" s="189">
        <f>L25-M25</f>
        <v/>
      </c>
      <c r="P25" s="189">
        <f>K25-N25</f>
        <v/>
      </c>
      <c r="Q25" s="189">
        <f>M25+O25</f>
        <v/>
      </c>
      <c r="R25" s="189">
        <f>M25+N25+O25+P25</f>
        <v/>
      </c>
      <c r="S25" s="203">
        <f>SUM(T25:V25)</f>
        <v/>
      </c>
      <c r="T25" s="189" t="n"/>
      <c r="U25" s="189" t="n"/>
      <c r="V25" s="189" t="n"/>
      <c r="W25" s="189" t="n"/>
      <c r="X25" s="189" t="n"/>
      <c r="Y25" s="189" t="n"/>
      <c r="Z25" s="203" t="n"/>
      <c r="AA25" s="203" t="n"/>
      <c r="AB25" s="188" t="n"/>
      <c r="AC25" s="188" t="n"/>
      <c r="AD25" s="188" t="n"/>
      <c r="AE25" s="188" t="n"/>
      <c r="AF25" s="188" t="n"/>
      <c r="AG25" s="188" t="n"/>
      <c r="AH25" s="188" t="n"/>
      <c r="AI25" s="188" t="n"/>
      <c r="AJ25" s="188" t="n"/>
      <c r="AK25" s="188">
        <f>AB22/1.17*0.17+AC22/1.16*0.16+AD22/1.11*0.11+AE22/1.1*0.1+AF22/1.09*0.09+AI22/1.03*0.03</f>
        <v/>
      </c>
      <c r="AL25" s="214" t="n"/>
    </row>
    <row r="26" ht="14" customFormat="1" customHeight="1" s="180">
      <c r="A26" s="41" t="n"/>
      <c r="B26" s="215" t="n"/>
      <c r="C26" s="215" t="n"/>
      <c r="D26" s="216" t="inlineStr">
        <is>
          <t>分包工程小计：</t>
        </is>
      </c>
      <c r="E26" s="217">
        <f>SUM(E22:E25)</f>
        <v/>
      </c>
      <c r="F26" s="217">
        <f>SUM(F22:F25)</f>
        <v/>
      </c>
      <c r="G26" s="217">
        <f>SUM(G22:G25)</f>
        <v/>
      </c>
      <c r="H26" s="217">
        <f>SUM(H22:H25)</f>
        <v/>
      </c>
      <c r="I26" s="217">
        <f>SUM(I22:I25)</f>
        <v/>
      </c>
      <c r="J26" s="217">
        <f>SUM(J22:J25)</f>
        <v/>
      </c>
      <c r="K26" s="217">
        <f>SUM(K22:K25)</f>
        <v/>
      </c>
      <c r="L26" s="217">
        <f>SUM(L22:L25)</f>
        <v/>
      </c>
      <c r="M26" s="217">
        <f>SUM(M22:M25)</f>
        <v/>
      </c>
      <c r="N26" s="217">
        <f>SUM(N22:N25)</f>
        <v/>
      </c>
      <c r="O26" s="217">
        <f>SUM(O22:O25)</f>
        <v/>
      </c>
      <c r="P26" s="217">
        <f>SUM(P22:P25)</f>
        <v/>
      </c>
      <c r="Q26" s="217">
        <f>SUM(Q22:Q25)</f>
        <v/>
      </c>
      <c r="R26" s="217">
        <f>SUM(R22:R25)</f>
        <v/>
      </c>
      <c r="S26" s="217">
        <f>SUM(S22:S25)</f>
        <v/>
      </c>
      <c r="T26" s="217">
        <f>SUM(T22:T25)</f>
        <v/>
      </c>
      <c r="U26" s="217">
        <f>SUM(U22:U25)</f>
        <v/>
      </c>
      <c r="V26" s="217">
        <f>SUM(V22:V25)</f>
        <v/>
      </c>
      <c r="W26" s="217">
        <f>SUM(W22:W25)</f>
        <v/>
      </c>
      <c r="X26" s="217">
        <f>SUM(X22:X25)</f>
        <v/>
      </c>
      <c r="Y26" s="217">
        <f>SUM(Y22:Y25)</f>
        <v/>
      </c>
      <c r="Z26" s="217">
        <f>SUM(Z22:Z25)</f>
        <v/>
      </c>
      <c r="AA26" s="217">
        <f>SUM(AA22:AA25)</f>
        <v/>
      </c>
      <c r="AB26" s="217">
        <f>SUM(AB22:AB25)</f>
        <v/>
      </c>
      <c r="AC26" s="217">
        <f>SUM(AC22:AC25)</f>
        <v/>
      </c>
      <c r="AD26" s="217">
        <f>SUM(AD22:AD25)</f>
        <v/>
      </c>
      <c r="AE26" s="217">
        <f>SUM(AE22:AE25)</f>
        <v/>
      </c>
      <c r="AF26" s="217">
        <f>SUM(AF22:AF25)</f>
        <v/>
      </c>
      <c r="AG26" s="217">
        <f>SUM(AG22:AG25)</f>
        <v/>
      </c>
      <c r="AH26" s="217">
        <f>SUM(AH22:AH25)</f>
        <v/>
      </c>
      <c r="AI26" s="217">
        <f>SUM(AI22:AI25)</f>
        <v/>
      </c>
      <c r="AJ26" s="217">
        <f>SUM(AJ22:AJ25)</f>
        <v/>
      </c>
      <c r="AK26" s="217">
        <f>SUM(AK22:AK25)</f>
        <v/>
      </c>
      <c r="AL26" s="204" t="n"/>
    </row>
    <row r="27" ht="14" customFormat="1" customHeight="1" s="180">
      <c r="A27" s="33" t="n"/>
      <c r="B27" s="199" t="n"/>
      <c r="C27" s="199" t="n"/>
      <c r="D27" s="218" t="inlineStr">
        <is>
          <t>(三)材料费</t>
        </is>
      </c>
      <c r="E27" s="199" t="n"/>
      <c r="F27" s="199" t="n"/>
      <c r="G27" s="199" t="n"/>
      <c r="H27" s="189" t="n"/>
      <c r="I27" s="189" t="n"/>
      <c r="J27" s="189" t="n"/>
      <c r="K27" s="201" t="n"/>
      <c r="L27" s="202" t="n"/>
      <c r="M27" s="189" t="n"/>
      <c r="N27" s="189" t="n"/>
      <c r="O27" s="189">
        <f>L27-M27</f>
        <v/>
      </c>
      <c r="P27" s="189">
        <f>K27-N27</f>
        <v/>
      </c>
      <c r="Q27" s="189">
        <f>M27+O27</f>
        <v/>
      </c>
      <c r="R27" s="189">
        <f>M27+N27+O27+P27</f>
        <v/>
      </c>
      <c r="S27" s="203">
        <f>SUM(T27:V27)</f>
        <v/>
      </c>
      <c r="T27" s="203" t="n"/>
      <c r="U27" s="203" t="n"/>
      <c r="V27" s="203" t="n"/>
      <c r="W27" s="203" t="n"/>
      <c r="X27" s="203" t="n"/>
      <c r="Y27" s="203" t="n"/>
      <c r="Z27" s="203" t="n"/>
      <c r="AA27" s="203" t="n"/>
      <c r="AB27" s="220" t="n"/>
      <c r="AC27" s="220" t="n"/>
      <c r="AD27" s="220" t="n"/>
      <c r="AE27" s="220" t="n"/>
      <c r="AF27" s="220" t="n"/>
      <c r="AG27" s="220" t="n"/>
      <c r="AH27" s="220" t="n"/>
      <c r="AI27" s="220" t="n"/>
      <c r="AJ27" s="220" t="n"/>
      <c r="AK27" s="188">
        <f>AB24/1.17*0.17+AC24/1.16*0.16+AD24/1.11*0.11+AE24/1.1*0.1+AF24/1.09*0.09+AI24/1.03*0.03</f>
        <v/>
      </c>
      <c r="AL27" s="221" t="n"/>
    </row>
    <row r="28" ht="14" customFormat="1" customHeight="1" s="180">
      <c r="A28" s="33" t="n"/>
      <c r="B28" s="199" t="n"/>
      <c r="C28" s="199" t="n"/>
      <c r="D28" s="189" t="inlineStr">
        <is>
          <t>（1）集中采购</t>
        </is>
      </c>
      <c r="E28" s="199" t="n"/>
      <c r="F28" s="199" t="n"/>
      <c r="G28" s="199" t="n"/>
      <c r="H28" s="189" t="n"/>
      <c r="I28" s="189" t="n"/>
      <c r="J28" s="189" t="n"/>
      <c r="K28" s="201" t="n"/>
      <c r="L28" s="202" t="n"/>
      <c r="M28" s="189" t="n"/>
      <c r="N28" s="189" t="n"/>
      <c r="O28" s="189">
        <f>L28-M28</f>
        <v/>
      </c>
      <c r="P28" s="189">
        <f>K28-N28</f>
        <v/>
      </c>
      <c r="Q28" s="189">
        <f>M28+O28</f>
        <v/>
      </c>
      <c r="R28" s="189">
        <f>M28+N28+O28+P28</f>
        <v/>
      </c>
      <c r="S28" s="203">
        <f>SUM(T28:V28)</f>
        <v/>
      </c>
      <c r="T28" s="203" t="n"/>
      <c r="U28" s="203" t="n"/>
      <c r="V28" s="203" t="n"/>
      <c r="W28" s="203" t="n"/>
      <c r="X28" s="203" t="n"/>
      <c r="Y28" s="203" t="n"/>
      <c r="Z28" s="203" t="n"/>
      <c r="AA28" s="203" t="n"/>
      <c r="AB28" s="220" t="n"/>
      <c r="AC28" s="220" t="n"/>
      <c r="AD28" s="220" t="n"/>
      <c r="AE28" s="220" t="n"/>
      <c r="AF28" s="220" t="n"/>
      <c r="AG28" s="220" t="n"/>
      <c r="AH28" s="220" t="n"/>
      <c r="AI28" s="220" t="n"/>
      <c r="AJ28" s="220" t="n"/>
      <c r="AK28" s="188">
        <f>AB25/1.17*0.17+AC25/1.16*0.16+AD25/1.11*0.11+AE25/1.1*0.1+AF25/1.09*0.09+AI25/1.03*0.03</f>
        <v/>
      </c>
      <c r="AL28" s="221" t="n"/>
    </row>
    <row r="29" ht="14" customFormat="1" customHeight="1" s="180">
      <c r="A29" s="33" t="n"/>
      <c r="B29" s="199" t="n"/>
      <c r="C29" s="199" t="n"/>
      <c r="D29" s="222" t="n"/>
      <c r="E29" s="213" t="n"/>
      <c r="F29" s="213" t="n"/>
      <c r="G29" s="213" t="n"/>
      <c r="H29" s="189" t="n"/>
      <c r="I29" s="189" t="n"/>
      <c r="J29" s="189" t="n"/>
      <c r="K29" s="201" t="n"/>
      <c r="L29" s="202" t="n"/>
      <c r="M29" s="189" t="n"/>
      <c r="N29" s="189" t="n"/>
      <c r="O29" s="189">
        <f>L29-M29</f>
        <v/>
      </c>
      <c r="P29" s="189">
        <f>K29-N29</f>
        <v/>
      </c>
      <c r="Q29" s="189">
        <f>M29+O29</f>
        <v/>
      </c>
      <c r="R29" s="189">
        <f>M29+N29+O29+P29</f>
        <v/>
      </c>
      <c r="S29" s="203">
        <f>SUM(T29:V29)</f>
        <v/>
      </c>
      <c r="T29" s="203" t="n"/>
      <c r="U29" s="203" t="n"/>
      <c r="V29" s="203" t="n"/>
      <c r="W29" s="203" t="n"/>
      <c r="X29" s="203" t="n"/>
      <c r="Y29" s="203" t="n"/>
      <c r="Z29" s="189">
        <f>SUM(AA26:AJ26)</f>
        <v/>
      </c>
      <c r="AA29" s="203" t="n"/>
      <c r="AB29" s="220" t="n"/>
      <c r="AC29" s="220" t="n"/>
      <c r="AD29" s="220" t="n"/>
      <c r="AE29" s="220" t="n"/>
      <c r="AF29" s="220" t="n"/>
      <c r="AG29" s="220" t="n"/>
      <c r="AH29" s="220" t="n"/>
      <c r="AI29" s="220" t="n"/>
      <c r="AJ29" s="220" t="n"/>
      <c r="AK29" s="188">
        <f>AB26/1.17*0.17+AC26/1.16*0.16+AD26/1.11*0.11+AE26/1.1*0.1+AF26/1.09*0.09+AI26/1.03*0.03</f>
        <v/>
      </c>
      <c r="AL29" s="221" t="n"/>
    </row>
    <row r="30" ht="14" customFormat="1" customHeight="1" s="180">
      <c r="A30" s="33" t="n"/>
      <c r="B30" s="199" t="n"/>
      <c r="C30" s="199" t="n"/>
      <c r="D30" s="222" t="n"/>
      <c r="E30" s="213" t="n"/>
      <c r="F30" s="213" t="n"/>
      <c r="G30" s="213" t="n"/>
      <c r="H30" s="189" t="n"/>
      <c r="I30" s="189" t="n"/>
      <c r="J30" s="189" t="n"/>
      <c r="K30" s="201" t="n"/>
      <c r="L30" s="202" t="n"/>
      <c r="M30" s="189" t="n"/>
      <c r="N30" s="189" t="n"/>
      <c r="O30" s="189">
        <f>L30-M30</f>
        <v/>
      </c>
      <c r="P30" s="189">
        <f>K30-N30</f>
        <v/>
      </c>
      <c r="Q30" s="189">
        <f>M30+O30</f>
        <v/>
      </c>
      <c r="R30" s="189">
        <f>M30+N30+O30+P30</f>
        <v/>
      </c>
      <c r="S30" s="203">
        <f>SUM(T30:V30)</f>
        <v/>
      </c>
      <c r="T30" s="203" t="n"/>
      <c r="U30" s="203" t="n"/>
      <c r="V30" s="203" t="n"/>
      <c r="W30" s="203" t="n"/>
      <c r="X30" s="203" t="n"/>
      <c r="Y30" s="203" t="n"/>
      <c r="Z30" s="189">
        <f>SUM(AA27:AJ27)</f>
        <v/>
      </c>
      <c r="AA30" s="203" t="n"/>
      <c r="AB30" s="220" t="n"/>
      <c r="AC30" s="220" t="n"/>
      <c r="AD30" s="220" t="n"/>
      <c r="AE30" s="220" t="n"/>
      <c r="AF30" s="220" t="n"/>
      <c r="AG30" s="220" t="n"/>
      <c r="AH30" s="220" t="n"/>
      <c r="AI30" s="220" t="n"/>
      <c r="AJ30" s="220" t="n"/>
      <c r="AK30" s="188">
        <f>AB27/1.17*0.17+AC27/1.16*0.16+AD27/1.11*0.11+AE27/1.1*0.1+AF27/1.09*0.09+AI27/1.03*0.03</f>
        <v/>
      </c>
      <c r="AL30" s="221" t="n"/>
    </row>
    <row r="31" ht="14" customFormat="1" customHeight="1" s="180">
      <c r="A31" s="33" t="n"/>
      <c r="B31" s="199" t="n"/>
      <c r="C31" s="199" t="n"/>
      <c r="D31" s="222" t="n"/>
      <c r="E31" s="213" t="n"/>
      <c r="F31" s="213" t="n"/>
      <c r="G31" s="213" t="n"/>
      <c r="H31" s="189" t="n"/>
      <c r="I31" s="189" t="n"/>
      <c r="J31" s="189" t="n"/>
      <c r="K31" s="201" t="n"/>
      <c r="L31" s="202" t="n"/>
      <c r="M31" s="189" t="n"/>
      <c r="N31" s="189" t="n"/>
      <c r="O31" s="189">
        <f>L31-M31</f>
        <v/>
      </c>
      <c r="P31" s="189">
        <f>K31-N31</f>
        <v/>
      </c>
      <c r="Q31" s="189">
        <f>M31+O31</f>
        <v/>
      </c>
      <c r="R31" s="189">
        <f>M31+N31+O31+P31</f>
        <v/>
      </c>
      <c r="S31" s="203">
        <f>SUM(T31:V31)</f>
        <v/>
      </c>
      <c r="T31" s="203" t="n"/>
      <c r="U31" s="203" t="n"/>
      <c r="V31" s="203" t="n"/>
      <c r="W31" s="203" t="n"/>
      <c r="X31" s="203" t="n"/>
      <c r="Y31" s="203" t="n"/>
      <c r="Z31" s="189">
        <f>SUM(AA28:AJ28)</f>
        <v/>
      </c>
      <c r="AA31" s="203" t="n"/>
      <c r="AB31" s="220" t="n"/>
      <c r="AC31" s="220" t="n"/>
      <c r="AD31" s="220" t="n"/>
      <c r="AE31" s="220" t="n"/>
      <c r="AF31" s="220" t="n"/>
      <c r="AG31" s="220" t="n"/>
      <c r="AH31" s="220" t="n"/>
      <c r="AI31" s="220" t="n"/>
      <c r="AJ31" s="220" t="n"/>
      <c r="AK31" s="188">
        <f>AB28/1.17*0.17+AC28/1.16*0.16+AD28/1.11*0.11+AE28/1.1*0.1+AF28/1.09*0.09+AI28/1.03*0.03</f>
        <v/>
      </c>
      <c r="AL31" s="221" t="n"/>
    </row>
    <row r="32" ht="26" customFormat="1" customHeight="1" s="180">
      <c r="A32" s="33" t="n"/>
      <c r="B32" s="199" t="n"/>
      <c r="C32" s="199" t="n"/>
      <c r="D32" s="189" t="inlineStr">
        <is>
          <t>（2）自行采购</t>
        </is>
      </c>
      <c r="E32" s="219" t="n"/>
      <c r="F32" s="219" t="n"/>
      <c r="G32" s="219" t="n"/>
      <c r="H32" s="189" t="n"/>
      <c r="I32" s="189" t="n"/>
      <c r="J32" s="189" t="n"/>
      <c r="K32" s="201" t="n"/>
      <c r="L32" s="202" t="n"/>
      <c r="M32" s="189" t="n"/>
      <c r="N32" s="189" t="n"/>
      <c r="O32" s="189">
        <f>L32-M32</f>
        <v/>
      </c>
      <c r="P32" s="189">
        <f>K32-N32</f>
        <v/>
      </c>
      <c r="Q32" s="189">
        <f>M32+O32</f>
        <v/>
      </c>
      <c r="R32" s="189">
        <f>M32+N32+O32+P32</f>
        <v/>
      </c>
      <c r="S32" s="203">
        <f>SUM(T32:V32)</f>
        <v/>
      </c>
      <c r="T32" s="203" t="n"/>
      <c r="U32" s="203" t="n"/>
      <c r="V32" s="203" t="n"/>
      <c r="W32" s="203" t="n"/>
      <c r="X32" s="203" t="n"/>
      <c r="Y32" s="203" t="n"/>
      <c r="Z32" s="189">
        <f>SUM(AA29:AJ29)</f>
        <v/>
      </c>
      <c r="AA32" s="203" t="n"/>
      <c r="AB32" s="220" t="n"/>
      <c r="AC32" s="220" t="n"/>
      <c r="AD32" s="220" t="n"/>
      <c r="AE32" s="220" t="n"/>
      <c r="AF32" s="220" t="n"/>
      <c r="AG32" s="220" t="n"/>
      <c r="AH32" s="220" t="n"/>
      <c r="AI32" s="220" t="n"/>
      <c r="AJ32" s="220" t="n"/>
      <c r="AK32" s="188">
        <f>AB29/1.17*0.17+AC29/1.16*0.16+AD29/1.11*0.11+AE29/1.1*0.1+AF29/1.09*0.09+AI29/1.03*0.03</f>
        <v/>
      </c>
      <c r="AL32" s="221" t="n"/>
    </row>
    <row r="33" ht="14" customFormat="1" customHeight="1" s="180">
      <c r="A33" s="206" t="n">
        <v>1</v>
      </c>
      <c r="B33" s="206" t="n"/>
      <c r="C33" s="207" t="inlineStr">
        <is>
          <t>中建四局150020220103060006</t>
        </is>
      </c>
      <c r="D33" s="207" t="inlineStr">
        <is>
          <t>无客商-结算购货款-广东广合工贸有限公</t>
        </is>
      </c>
      <c r="E33" s="206" t="n"/>
      <c r="F33" s="206" t="n"/>
      <c r="G33" s="206" t="n"/>
      <c r="H33" s="206" t="n"/>
      <c r="I33" s="206" t="n"/>
      <c r="J33" s="206" t="n"/>
      <c r="K33" s="208" t="n"/>
      <c r="L33" s="209" t="n"/>
      <c r="M33" s="210" t="n">
        <v>328452.59</v>
      </c>
      <c r="N33" s="206" t="n"/>
      <c r="O33" s="206">
        <f>L33-M33</f>
        <v/>
      </c>
      <c r="P33" s="206">
        <f>K33-N33</f>
        <v/>
      </c>
      <c r="Q33" s="206">
        <f>M33+O33</f>
        <v/>
      </c>
      <c r="R33" s="206">
        <f>M33+N33+O33+P33</f>
        <v/>
      </c>
      <c r="S33" s="206" t="n"/>
      <c r="T33" s="206" t="n"/>
      <c r="U33" s="206" t="n"/>
      <c r="V33" s="206" t="n"/>
    </row>
    <row r="34" ht="14" customFormat="1" customHeight="1" s="180">
      <c r="A34" s="206" t="n">
        <v>2</v>
      </c>
      <c r="B34" s="206" t="n"/>
      <c r="C34" s="207" t="inlineStr">
        <is>
          <t>中建四局150020220103060002</t>
        </is>
      </c>
      <c r="D34" s="207" t="inlineStr">
        <is>
          <t>无客商-结算购货款-广东明之运实业发展</t>
        </is>
      </c>
      <c r="E34" s="206" t="n"/>
      <c r="F34" s="206" t="n"/>
      <c r="G34" s="206" t="n"/>
      <c r="H34" s="206" t="n"/>
      <c r="I34" s="206" t="n"/>
      <c r="J34" s="206" t="n"/>
      <c r="K34" s="208" t="n"/>
      <c r="L34" s="209" t="n"/>
      <c r="M34" s="210" t="n">
        <v>1403891.91</v>
      </c>
      <c r="N34" s="206" t="n"/>
      <c r="O34" s="206">
        <f>L34-M34</f>
        <v/>
      </c>
      <c r="P34" s="206">
        <f>K34-N34</f>
        <v/>
      </c>
      <c r="Q34" s="206">
        <f>M34+O34</f>
        <v/>
      </c>
      <c r="R34" s="206">
        <f>M34+N34+O34+P34</f>
        <v/>
      </c>
      <c r="S34" s="206" t="n"/>
      <c r="T34" s="206" t="n"/>
      <c r="U34" s="206" t="n"/>
      <c r="V34" s="206" t="n"/>
    </row>
    <row r="35" ht="14" customFormat="1" customHeight="1" s="180">
      <c r="A35" s="206" t="n">
        <v>3</v>
      </c>
      <c r="B35" s="206" t="n"/>
      <c r="C35" s="207" t="inlineStr">
        <is>
          <t>中建四局150020220103060007</t>
        </is>
      </c>
      <c r="D35" s="207" t="inlineStr">
        <is>
          <t>无客商-结算购货款-广东林源科技技术有</t>
        </is>
      </c>
      <c r="E35" s="206" t="n"/>
      <c r="F35" s="206" t="n"/>
      <c r="G35" s="206" t="n"/>
      <c r="H35" s="206" t="n"/>
      <c r="I35" s="206" t="n"/>
      <c r="J35" s="206" t="n"/>
      <c r="K35" s="208" t="n"/>
      <c r="L35" s="209" t="n"/>
      <c r="M35" s="210" t="n">
        <v>-93479.27</v>
      </c>
      <c r="N35" s="206" t="n"/>
      <c r="O35" s="206">
        <f>L35-M35</f>
        <v/>
      </c>
      <c r="P35" s="206">
        <f>K35-N35</f>
        <v/>
      </c>
      <c r="Q35" s="206">
        <f>M35+O35</f>
        <v/>
      </c>
      <c r="R35" s="206">
        <f>M35+N35+O35+P35</f>
        <v/>
      </c>
      <c r="S35" s="206" t="n"/>
      <c r="T35" s="206" t="n"/>
      <c r="U35" s="206" t="n"/>
      <c r="V35" s="206" t="n"/>
    </row>
    <row r="36" ht="14" customFormat="1" customHeight="1" s="180">
      <c r="A36" s="206" t="n">
        <v>4</v>
      </c>
      <c r="B36" s="206" t="n"/>
      <c r="C36" s="207" t="inlineStr">
        <is>
          <t>中建四局150020220103060003</t>
        </is>
      </c>
      <c r="D36" s="207" t="inlineStr">
        <is>
          <t>无客商-结算购货款-广州千科呈环保科技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9" t="n"/>
      <c r="M36" s="210" t="n">
        <v>81982.3</v>
      </c>
      <c r="N36" s="206" t="n"/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06" t="n"/>
      <c r="U36" s="206" t="n"/>
      <c r="V36" s="206" t="n"/>
    </row>
    <row r="37" ht="14" customFormat="1" customHeight="1" s="180">
      <c r="A37" s="206" t="n">
        <v>5</v>
      </c>
      <c r="B37" s="206" t="n"/>
      <c r="C37" s="207" t="inlineStr">
        <is>
          <t>中建四局150020220103060008</t>
        </is>
      </c>
      <c r="D37" s="207" t="inlineStr">
        <is>
          <t>无客商-结算购货款-广州南泉机电设备有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475889.04</v>
      </c>
      <c r="N37" s="206" t="n"/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06" t="n"/>
      <c r="U37" s="206" t="n"/>
      <c r="V37" s="206" t="n"/>
    </row>
    <row r="38" ht="14" customFormat="1" customHeight="1" s="180">
      <c r="A38" s="206" t="n">
        <v>6</v>
      </c>
      <c r="B38" s="206" t="n"/>
      <c r="C38" s="207" t="inlineStr">
        <is>
          <t>中建四局150020220103060012</t>
        </is>
      </c>
      <c r="D38" s="207" t="inlineStr">
        <is>
          <t>无客商-结算购货款-广州市建新五金有限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62042.34</v>
      </c>
      <c r="N38" s="206" t="n"/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06" t="n"/>
      <c r="U38" s="206" t="n"/>
      <c r="V38" s="206" t="n"/>
    </row>
    <row r="39" ht="14" customFormat="1" customHeight="1" s="180">
      <c r="A39" s="206" t="n">
        <v>7</v>
      </c>
      <c r="B39" s="206" t="n"/>
      <c r="C39" s="207" t="inlineStr">
        <is>
          <t>中建四局150020220103060004</t>
        </is>
      </c>
      <c r="D39" s="207" t="inlineStr">
        <is>
          <t>无客商-结算购货款-广州市白云泵业集团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377315.04</v>
      </c>
      <c r="N39" s="206" t="n"/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06" t="n"/>
      <c r="U39" s="206" t="n"/>
      <c r="V39" s="206" t="n"/>
    </row>
    <row r="40" ht="14" customFormat="1" customHeight="1" s="180">
      <c r="A40" s="206" t="n">
        <v>8</v>
      </c>
      <c r="B40" s="206" t="n"/>
      <c r="C40" s="207" t="inlineStr">
        <is>
          <t>中建四局150020220103060010</t>
        </is>
      </c>
      <c r="D40" s="207" t="inlineStr">
        <is>
          <t>无客商-结算购货款-广州市花都区秀全优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489395.88</v>
      </c>
      <c r="N40" s="206" t="n"/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06" t="n"/>
      <c r="U40" s="206" t="n"/>
      <c r="V40" s="206" t="n"/>
    </row>
    <row r="41" ht="14" customFormat="1" customHeight="1" s="180">
      <c r="A41" s="206" t="n">
        <v>9</v>
      </c>
      <c r="B41" s="206" t="n"/>
      <c r="C41" s="207" t="inlineStr">
        <is>
          <t>中建四局150020220103060007</t>
        </is>
      </c>
      <c r="D41" s="207" t="inlineStr">
        <is>
          <t>无客商-结算购货款-广州林源建筑安装工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204681.08</v>
      </c>
      <c r="N41" s="206" t="n"/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06" t="n"/>
      <c r="U41" s="206" t="n"/>
      <c r="V41" s="206" t="n"/>
    </row>
    <row r="42" ht="14" customFormat="1" customHeight="1" s="180">
      <c r="A42" s="206" t="n">
        <v>10</v>
      </c>
      <c r="B42" s="206" t="n"/>
      <c r="C42" s="207" t="inlineStr">
        <is>
          <t>中建四局150020220103060001</t>
        </is>
      </c>
      <c r="D42" s="207" t="inlineStr">
        <is>
          <t>无客商-结算购货款-广州肇泰环保工程有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98150.44</v>
      </c>
      <c r="N42" s="206" t="n"/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06" t="n"/>
      <c r="U42" s="206" t="n"/>
      <c r="V42" s="206" t="n"/>
    </row>
    <row r="43" ht="14" customFormat="1" customHeight="1" s="180">
      <c r="A43" s="206" t="n">
        <v>11</v>
      </c>
      <c r="B43" s="206" t="n"/>
      <c r="C43" s="207" t="inlineStr">
        <is>
          <t>中建四局150020220103060011</t>
        </is>
      </c>
      <c r="D43" s="207" t="inlineStr">
        <is>
          <t>无客商-结算购货款-无锡市国联金属材料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583466.14</v>
      </c>
      <c r="N43" s="206" t="n"/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</row>
    <row r="44" ht="14" customFormat="1" customHeight="1" s="180">
      <c r="A44" s="206" t="n">
        <v>12</v>
      </c>
      <c r="B44" s="206" t="n"/>
      <c r="C44" s="207" t="inlineStr">
        <is>
          <t>中建四局150020220103060005</t>
        </is>
      </c>
      <c r="D44" s="207" t="inlineStr">
        <is>
          <t>无客商-结算购货款-珠海市东方山谷自动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152597.34</v>
      </c>
      <c r="N44" s="206" t="n"/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06" t="n"/>
      <c r="U44" s="206" t="n"/>
      <c r="V44" s="206" t="n"/>
    </row>
    <row r="45" ht="14" customFormat="1" customHeight="1" s="180">
      <c r="A45" s="206" t="n">
        <v>13</v>
      </c>
      <c r="B45" s="206" t="n"/>
      <c r="C45" s="207" t="inlineStr">
        <is>
          <t>中建四局150020220103060009</t>
        </is>
      </c>
      <c r="D45" s="207" t="inlineStr">
        <is>
          <t>无客商-结算购货款-穗淼（广州）环保科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418017.7</v>
      </c>
      <c r="N45" s="206" t="n"/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06" t="n"/>
      <c r="U45" s="206" t="n"/>
      <c r="V45" s="206" t="n"/>
    </row>
    <row r="46" ht="14" customFormat="1" customHeight="1" s="180">
      <c r="A46" s="206" t="n">
        <v>14</v>
      </c>
      <c r="B46" s="206" t="n"/>
      <c r="C46" s="207" t="n"/>
      <c r="D46" s="207" t="inlineStr">
        <is>
          <t>其他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2698.23</v>
      </c>
      <c r="N46" s="206" t="n"/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06" t="n"/>
      <c r="U46" s="206" t="n"/>
      <c r="V46" s="206" t="n"/>
    </row>
    <row r="47" ht="14" customFormat="1" customHeight="1" s="180">
      <c r="A47" s="33" t="n"/>
      <c r="B47" s="199" t="n"/>
      <c r="C47" s="199" t="n"/>
      <c r="D47" s="218" t="inlineStr">
        <is>
          <t>材料调入</t>
        </is>
      </c>
      <c r="E47" s="199" t="n"/>
      <c r="F47" s="199" t="n"/>
      <c r="G47" s="199" t="n"/>
      <c r="H47" s="189" t="n"/>
      <c r="I47" s="189" t="n"/>
      <c r="J47" s="189" t="n"/>
      <c r="K47" s="201" t="n"/>
      <c r="L47" s="202" t="n"/>
      <c r="M47" s="189" t="n"/>
      <c r="N47" s="189" t="n"/>
      <c r="O47" s="189">
        <f>L47-M47</f>
        <v/>
      </c>
      <c r="P47" s="189">
        <f>K47-N47</f>
        <v/>
      </c>
      <c r="Q47" s="189">
        <f>M47+O47</f>
        <v/>
      </c>
      <c r="R47" s="189">
        <f>M47+N47+O47+P47</f>
        <v/>
      </c>
      <c r="S47" s="203">
        <f>SUM(T47:V47)</f>
        <v/>
      </c>
      <c r="T47" s="203" t="n"/>
      <c r="U47" s="203" t="n"/>
      <c r="V47" s="203" t="n"/>
      <c r="W47" s="203" t="n"/>
      <c r="X47" s="203" t="n"/>
      <c r="Y47" s="203" t="n"/>
      <c r="Z47" s="189">
        <f>SUM(AA30:AJ30)</f>
        <v/>
      </c>
      <c r="AA47" s="203" t="n"/>
      <c r="AB47" s="220" t="n"/>
      <c r="AC47" s="220" t="n"/>
      <c r="AD47" s="220" t="n"/>
      <c r="AE47" s="220" t="n"/>
      <c r="AF47" s="220" t="n"/>
      <c r="AG47" s="220" t="n"/>
      <c r="AH47" s="220" t="n"/>
      <c r="AI47" s="220" t="n"/>
      <c r="AJ47" s="220" t="n"/>
      <c r="AK47" s="188">
        <f>AB30/1.17*0.17+AC30/1.16*0.16+AD30/1.11*0.11+AE30/1.1*0.1+AF30/1.09*0.09+AI30/1.03*0.03</f>
        <v/>
      </c>
      <c r="AL47" s="221" t="n"/>
    </row>
    <row r="48" ht="14" customFormat="1" customHeight="1" s="180">
      <c r="A48" s="33" t="n"/>
      <c r="B48" s="199" t="n"/>
      <c r="C48" s="199" t="n"/>
      <c r="D48" s="218" t="inlineStr">
        <is>
          <t>材料调出（注：负数填报）</t>
        </is>
      </c>
      <c r="E48" s="223" t="n"/>
      <c r="F48" s="223" t="n"/>
      <c r="G48" s="223" t="n"/>
      <c r="H48" s="224" t="n"/>
      <c r="I48" s="224" t="n"/>
      <c r="J48" s="189" t="n"/>
      <c r="K48" s="201" t="n"/>
      <c r="L48" s="202" t="n"/>
      <c r="M48" s="224" t="n"/>
      <c r="N48" s="224" t="n"/>
      <c r="O48" s="189">
        <f>L48-M48</f>
        <v/>
      </c>
      <c r="P48" s="189">
        <f>K48-N48</f>
        <v/>
      </c>
      <c r="Q48" s="189">
        <f>M48+O48</f>
        <v/>
      </c>
      <c r="R48" s="189">
        <f>M48+N48+O48+P48</f>
        <v/>
      </c>
      <c r="S48" s="203">
        <f>SUM(T48:V48)</f>
        <v/>
      </c>
      <c r="T48" s="224" t="n"/>
      <c r="U48" s="224" t="n"/>
      <c r="V48" s="224" t="n"/>
      <c r="W48" s="224" t="n"/>
      <c r="X48" s="224" t="n"/>
      <c r="Y48" s="224" t="n"/>
      <c r="Z48" s="189">
        <f>SUM(AA31:AJ31)</f>
        <v/>
      </c>
      <c r="AA48" s="224" t="n"/>
      <c r="AB48" s="225" t="n"/>
      <c r="AC48" s="225" t="n"/>
      <c r="AD48" s="225" t="n"/>
      <c r="AE48" s="225" t="n"/>
      <c r="AF48" s="225" t="n"/>
      <c r="AG48" s="225" t="n"/>
      <c r="AH48" s="225" t="n"/>
      <c r="AI48" s="225" t="n"/>
      <c r="AJ48" s="225" t="n"/>
      <c r="AK48" s="188">
        <f>AB31/1.17*0.17+AC31/1.16*0.16+AD31/1.11*0.11+AE31/1.1*0.1+AF31/1.09*0.09+AI31/1.03*0.03</f>
        <v/>
      </c>
      <c r="AL48" s="226" t="n"/>
    </row>
    <row r="49" ht="14" customFormat="1" customHeight="1" s="180">
      <c r="A49" s="33" t="n"/>
      <c r="B49" s="199" t="n"/>
      <c r="C49" s="199" t="n"/>
      <c r="D49" s="218" t="inlineStr">
        <is>
          <t>材料库存（注：项目已结算未使用材料冲减项目成本，负数填报）</t>
        </is>
      </c>
      <c r="E49" s="223" t="n"/>
      <c r="F49" s="223" t="n"/>
      <c r="G49" s="223" t="n"/>
      <c r="H49" s="224" t="n"/>
      <c r="I49" s="224" t="n"/>
      <c r="J49" s="189" t="n"/>
      <c r="K49" s="201" t="n"/>
      <c r="L49" s="202" t="n"/>
      <c r="M49" s="224" t="n"/>
      <c r="N49" s="224" t="n"/>
      <c r="O49" s="189" t="n"/>
      <c r="P49" s="189" t="n"/>
      <c r="Q49" s="189" t="n"/>
      <c r="R49" s="189" t="n"/>
      <c r="S49" s="203" t="n"/>
      <c r="T49" s="224" t="n"/>
      <c r="U49" s="224" t="n"/>
      <c r="V49" s="224" t="n"/>
      <c r="W49" s="224" t="n"/>
      <c r="X49" s="224" t="n"/>
      <c r="Y49" s="224" t="n"/>
      <c r="Z49" s="189" t="n"/>
      <c r="AA49" s="224" t="n"/>
      <c r="AB49" s="225" t="n"/>
      <c r="AC49" s="225" t="n"/>
      <c r="AD49" s="225" t="n"/>
      <c r="AE49" s="225" t="n"/>
      <c r="AF49" s="225" t="n"/>
      <c r="AG49" s="225" t="n"/>
      <c r="AH49" s="225" t="n"/>
      <c r="AI49" s="225" t="n"/>
      <c r="AJ49" s="225" t="n"/>
      <c r="AK49" s="188" t="n"/>
      <c r="AL49" s="226" t="n"/>
    </row>
    <row r="50" ht="14" customFormat="1" customHeight="1" s="180">
      <c r="A50" s="33" t="n"/>
      <c r="B50" s="199" t="n"/>
      <c r="C50" s="199" t="n"/>
      <c r="D50" s="211" t="inlineStr">
        <is>
          <t>**财务未列部分需增列***</t>
        </is>
      </c>
      <c r="E50" s="219" t="n"/>
      <c r="F50" s="219" t="n"/>
      <c r="G50" s="219" t="n"/>
      <c r="H50" s="189" t="n"/>
      <c r="I50" s="189" t="n"/>
      <c r="J50" s="189" t="n"/>
      <c r="K50" s="201" t="n"/>
      <c r="L50" s="202" t="n"/>
      <c r="M50" s="189" t="n"/>
      <c r="N50" s="189" t="n"/>
      <c r="O50" s="189">
        <f>L50-M50</f>
        <v/>
      </c>
      <c r="P50" s="189">
        <f>K50-N50</f>
        <v/>
      </c>
      <c r="Q50" s="189">
        <f>M50+O50</f>
        <v/>
      </c>
      <c r="R50" s="189">
        <f>M50+N50+O50+P50</f>
        <v/>
      </c>
      <c r="S50" s="203">
        <f>SUM(T50:V50)</f>
        <v/>
      </c>
      <c r="T50" s="203" t="n"/>
      <c r="U50" s="203" t="n"/>
      <c r="V50" s="203" t="n"/>
      <c r="W50" s="203" t="n"/>
      <c r="X50" s="203" t="n"/>
      <c r="Y50" s="203" t="n"/>
      <c r="Z50" s="203" t="n"/>
      <c r="AA50" s="203" t="n"/>
      <c r="AB50" s="220" t="n"/>
      <c r="AC50" s="220" t="n"/>
      <c r="AD50" s="220" t="n"/>
      <c r="AE50" s="220" t="n"/>
      <c r="AF50" s="220" t="n"/>
      <c r="AG50" s="220" t="n"/>
      <c r="AH50" s="220" t="n"/>
      <c r="AI50" s="220" t="n"/>
      <c r="AJ50" s="220" t="n"/>
      <c r="AK50" s="188">
        <f>AB33/1.17*0.17+AC33/1.16*0.16+AD33/1.11*0.11+AE33/1.1*0.1+AF33/1.09*0.09+AI33/1.03*0.03</f>
        <v/>
      </c>
      <c r="AL50" s="221" t="n"/>
    </row>
    <row r="51" ht="14" customFormat="1" customHeight="1" s="180">
      <c r="A51" s="41" t="n"/>
      <c r="B51" s="215" t="n"/>
      <c r="C51" s="215" t="n"/>
      <c r="D51" s="216" t="inlineStr">
        <is>
          <t>材料费小计：</t>
        </is>
      </c>
      <c r="E51" s="217">
        <f>SUM(E27:E50)</f>
        <v/>
      </c>
      <c r="F51" s="217">
        <f>SUM(F27:F50)</f>
        <v/>
      </c>
      <c r="G51" s="217">
        <f>SUM(G27:G50)</f>
        <v/>
      </c>
      <c r="H51" s="217">
        <f>SUM(H27:H50)</f>
        <v/>
      </c>
      <c r="I51" s="217">
        <f>SUM(I27:I50)</f>
        <v/>
      </c>
      <c r="J51" s="217">
        <f>SUM(J27:J50)</f>
        <v/>
      </c>
      <c r="K51" s="217">
        <f>SUM(K27:K50)</f>
        <v/>
      </c>
      <c r="L51" s="217">
        <f>SUM(L27:L50)</f>
        <v/>
      </c>
      <c r="M51" s="217">
        <f>SUM(M27:M50)</f>
        <v/>
      </c>
      <c r="N51" s="217">
        <f>SUM(N27:N50)</f>
        <v/>
      </c>
      <c r="O51" s="217">
        <f>SUM(O27:O50)</f>
        <v/>
      </c>
      <c r="P51" s="217">
        <f>SUM(P27:P50)</f>
        <v/>
      </c>
      <c r="Q51" s="217">
        <f>SUM(Q27:Q50)</f>
        <v/>
      </c>
      <c r="R51" s="217">
        <f>SUM(R27:R50)</f>
        <v/>
      </c>
      <c r="S51" s="217">
        <f>SUM(S27:S50)</f>
        <v/>
      </c>
      <c r="T51" s="217">
        <f>SUM(T27:T50)</f>
        <v/>
      </c>
      <c r="U51" s="217">
        <f>SUM(U27:U50)</f>
        <v/>
      </c>
      <c r="V51" s="217">
        <f>SUM(V27:V50)</f>
        <v/>
      </c>
      <c r="W51" s="217">
        <f>SUM(W27:W50)</f>
        <v/>
      </c>
      <c r="X51" s="217">
        <f>SUM(X27:X50)</f>
        <v/>
      </c>
      <c r="Y51" s="217">
        <f>SUM(Y27:Y50)</f>
        <v/>
      </c>
      <c r="Z51" s="217">
        <f>SUM(Z27:Z50)</f>
        <v/>
      </c>
      <c r="AA51" s="217">
        <f>SUM(AA27:AA50)</f>
        <v/>
      </c>
      <c r="AB51" s="217">
        <f>SUM(AB27:AB50)</f>
        <v/>
      </c>
      <c r="AC51" s="217">
        <f>SUM(AC27:AC50)</f>
        <v/>
      </c>
      <c r="AD51" s="217">
        <f>SUM(AD27:AD50)</f>
        <v/>
      </c>
      <c r="AE51" s="217">
        <f>SUM(AE27:AE50)</f>
        <v/>
      </c>
      <c r="AF51" s="217">
        <f>SUM(AF27:AF50)</f>
        <v/>
      </c>
      <c r="AG51" s="217">
        <f>SUM(AG27:AG50)</f>
        <v/>
      </c>
      <c r="AH51" s="217">
        <f>SUM(AH27:AH50)</f>
        <v/>
      </c>
      <c r="AI51" s="217">
        <f>SUM(AI27:AI50)</f>
        <v/>
      </c>
      <c r="AJ51" s="217">
        <f>SUM(AJ27:AJ50)</f>
        <v/>
      </c>
      <c r="AK51" s="217">
        <f>SUM(AK27:AK50)</f>
        <v/>
      </c>
      <c r="AL51" s="204" t="n"/>
    </row>
    <row r="52" ht="14" customFormat="1" customHeight="1" s="180">
      <c r="A52" s="33" t="n"/>
      <c r="B52" s="199" t="n"/>
      <c r="C52" s="199" t="n"/>
      <c r="D52" s="218" t="inlineStr">
        <is>
          <t>(四）机械租赁费</t>
        </is>
      </c>
      <c r="E52" s="212" t="n"/>
      <c r="F52" s="212" t="n"/>
      <c r="G52" s="212" t="n"/>
      <c r="H52" s="189" t="n"/>
      <c r="I52" s="189" t="n"/>
      <c r="J52" s="189" t="n"/>
      <c r="K52" s="201" t="n">
        <v>0</v>
      </c>
      <c r="L52" s="202">
        <f>J52-K52</f>
        <v/>
      </c>
      <c r="M52" s="184" t="n"/>
      <c r="N52" s="184" t="n"/>
      <c r="O52" s="189">
        <f>L52-M52</f>
        <v/>
      </c>
      <c r="P52" s="189">
        <f>K52-N52</f>
        <v/>
      </c>
      <c r="Q52" s="189">
        <f>M52+O52</f>
        <v/>
      </c>
      <c r="R52" s="189">
        <f>M52+N52+O52+P52</f>
        <v/>
      </c>
      <c r="S52" s="203">
        <f>SUM(T52:V52)</f>
        <v/>
      </c>
      <c r="T52" s="203" t="n"/>
      <c r="U52" s="203" t="n"/>
      <c r="V52" s="203" t="n"/>
      <c r="W52" s="203" t="n"/>
      <c r="X52" s="203" t="n"/>
      <c r="Y52" s="203" t="n"/>
      <c r="Z52" s="203" t="n"/>
      <c r="AA52" s="203" t="n"/>
      <c r="AB52" s="203" t="n"/>
      <c r="AC52" s="203" t="n"/>
      <c r="AD52" s="203" t="n"/>
      <c r="AE52" s="203" t="n"/>
      <c r="AF52" s="203" t="n"/>
      <c r="AG52" s="203" t="n"/>
      <c r="AH52" s="203" t="n"/>
      <c r="AI52" s="203" t="n"/>
      <c r="AJ52" s="203" t="n"/>
      <c r="AK52" s="188">
        <f>AB35/1.17*0.17+AC35/1.16*0.16+AD35/1.11*0.11+AE35/1.1*0.1+AF35/1.09*0.09+AI35/1.03*0.03</f>
        <v/>
      </c>
      <c r="AL52" s="204" t="n"/>
    </row>
    <row r="53" ht="14" customFormat="1" customHeight="1" s="180">
      <c r="A53" s="33" t="n"/>
      <c r="B53" s="199" t="n"/>
      <c r="C53" s="199" t="n"/>
      <c r="D53" s="227" t="n"/>
      <c r="E53" s="212" t="n"/>
      <c r="F53" s="212" t="n"/>
      <c r="G53" s="212" t="n"/>
      <c r="H53" s="189" t="n"/>
      <c r="I53" s="189" t="n"/>
      <c r="J53" s="189">
        <f>H53+I53</f>
        <v/>
      </c>
      <c r="K53" s="201" t="n">
        <v>0</v>
      </c>
      <c r="L53" s="202">
        <f>J53-K53</f>
        <v/>
      </c>
      <c r="M53" s="189" t="n"/>
      <c r="N53" s="189" t="n"/>
      <c r="O53" s="189">
        <f>L53-M53</f>
        <v/>
      </c>
      <c r="P53" s="189">
        <f>K53-N53</f>
        <v/>
      </c>
      <c r="Q53" s="189">
        <f>M53+O53</f>
        <v/>
      </c>
      <c r="R53" s="189">
        <f>M53+N53+O53+P53</f>
        <v/>
      </c>
      <c r="S53" s="203">
        <f>SUM(T53:V53)</f>
        <v/>
      </c>
      <c r="T53" s="203" t="n"/>
      <c r="U53" s="203" t="n"/>
      <c r="V53" s="203" t="n"/>
      <c r="W53" s="203" t="n"/>
      <c r="X53" s="203" t="n"/>
      <c r="Y53" s="203" t="n"/>
      <c r="Z53" s="189">
        <f>SUM(AA36:AJ36)</f>
        <v/>
      </c>
      <c r="AA53" s="203" t="n"/>
      <c r="AB53" s="203" t="n"/>
      <c r="AC53" s="203" t="n"/>
      <c r="AD53" s="203" t="n"/>
      <c r="AE53" s="203" t="n"/>
      <c r="AF53" s="203" t="n"/>
      <c r="AG53" s="203" t="n"/>
      <c r="AH53" s="203" t="n"/>
      <c r="AI53" s="203" t="n"/>
      <c r="AJ53" s="203" t="n"/>
      <c r="AK53" s="188">
        <f>AB36/1.17*0.17+AC36/1.16*0.16+AD36/1.11*0.11+AE36/1.1*0.1+AF36/1.09*0.09+AI36/1.03*0.03</f>
        <v/>
      </c>
      <c r="AL53" s="204" t="n"/>
    </row>
    <row r="54" ht="14" customFormat="1" customHeight="1" s="180">
      <c r="A54" s="33" t="n"/>
      <c r="B54" s="199" t="n"/>
      <c r="C54" s="199" t="n"/>
      <c r="D54" s="211" t="inlineStr">
        <is>
          <t>**财务未列部分需增列***</t>
        </is>
      </c>
      <c r="E54" s="228" t="n"/>
      <c r="F54" s="228" t="n"/>
      <c r="G54" s="228" t="n"/>
      <c r="H54" s="189" t="n"/>
      <c r="I54" s="189" t="n"/>
      <c r="J54" s="189" t="n"/>
      <c r="K54" s="201" t="n">
        <v>0</v>
      </c>
      <c r="L54" s="202">
        <f>J54-K54</f>
        <v/>
      </c>
      <c r="M54" s="229" t="n"/>
      <c r="N54" s="229" t="n"/>
      <c r="O54" s="189">
        <f>L54-M54</f>
        <v/>
      </c>
      <c r="P54" s="189">
        <f>K54-N54</f>
        <v/>
      </c>
      <c r="Q54" s="189">
        <f>M54+O54</f>
        <v/>
      </c>
      <c r="R54" s="189">
        <f>M54+N54+O54+P54</f>
        <v/>
      </c>
      <c r="S54" s="203">
        <f>SUM(T54:V54)</f>
        <v/>
      </c>
      <c r="T54" s="229" t="n"/>
      <c r="U54" s="229" t="n"/>
      <c r="V54" s="229" t="n"/>
      <c r="W54" s="229" t="n"/>
      <c r="X54" s="229" t="n"/>
      <c r="Y54" s="229" t="n"/>
      <c r="Z54" s="229" t="n"/>
      <c r="AA54" s="203" t="n"/>
      <c r="AB54" s="188" t="n"/>
      <c r="AC54" s="188" t="n"/>
      <c r="AD54" s="188" t="n"/>
      <c r="AE54" s="188" t="n"/>
      <c r="AF54" s="188" t="n"/>
      <c r="AG54" s="188" t="n"/>
      <c r="AH54" s="188" t="n"/>
      <c r="AI54" s="188" t="n"/>
      <c r="AJ54" s="188" t="n"/>
      <c r="AK54" s="188">
        <f>AB37/1.17*0.17+AC37/1.16*0.16+AD37/1.11*0.11+AE37/1.1*0.1+AF37/1.09*0.09+AI37/1.03*0.03</f>
        <v/>
      </c>
      <c r="AL54" s="214" t="n"/>
    </row>
    <row r="55" ht="14" customFormat="1" customHeight="1" s="180">
      <c r="A55" s="41" t="n"/>
      <c r="B55" s="215" t="n"/>
      <c r="C55" s="215" t="n"/>
      <c r="D55" s="230" t="inlineStr">
        <is>
          <t>机械费小计：</t>
        </is>
      </c>
      <c r="E55" s="231" t="n"/>
      <c r="F55" s="231" t="n"/>
      <c r="G55" s="231" t="n"/>
      <c r="H55" s="217">
        <f>SUM(H52:H54)</f>
        <v/>
      </c>
      <c r="I55" s="217">
        <f>SUM(I52:I54)</f>
        <v/>
      </c>
      <c r="J55" s="217">
        <f>SUM(J52:J54)</f>
        <v/>
      </c>
      <c r="K55" s="217">
        <f>SUM(K52:K54)</f>
        <v/>
      </c>
      <c r="L55" s="232">
        <f>SUM(L52:L54)</f>
        <v/>
      </c>
      <c r="M55" s="217">
        <f>SUM(M52:M54)</f>
        <v/>
      </c>
      <c r="N55" s="217">
        <f>SUM(N52:N54)</f>
        <v/>
      </c>
      <c r="O55" s="217">
        <f>SUM(O52:O54)</f>
        <v/>
      </c>
      <c r="P55" s="217">
        <f>SUM(P52:P54)</f>
        <v/>
      </c>
      <c r="Q55" s="217">
        <f>SUM(Q52:Q54)</f>
        <v/>
      </c>
      <c r="R55" s="217">
        <f>SUM(R52:R54)</f>
        <v/>
      </c>
      <c r="S55" s="217">
        <f>SUM(S52:S54)</f>
        <v/>
      </c>
      <c r="T55" s="217" t="n"/>
      <c r="U55" s="217" t="n"/>
      <c r="V55" s="217" t="n"/>
      <c r="W55" s="217" t="n"/>
      <c r="X55" s="217" t="n"/>
      <c r="Y55" s="217" t="n"/>
      <c r="Z55" s="217">
        <f>SUM(Z52:Z54)</f>
        <v/>
      </c>
      <c r="AA55" s="217">
        <f>SUM(AA52:AA54)</f>
        <v/>
      </c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  <c r="AK55" s="217" t="n"/>
      <c r="AL55" s="204" t="n"/>
    </row>
    <row r="56" ht="14" customFormat="1" customHeight="1" s="180">
      <c r="A56" s="33" t="n"/>
      <c r="B56" s="199" t="n"/>
      <c r="C56" s="199" t="n"/>
      <c r="D56" s="218" t="inlineStr">
        <is>
          <t>（五）其他直接费</t>
        </is>
      </c>
      <c r="E56" s="212" t="n"/>
      <c r="F56" s="212" t="n"/>
      <c r="G56" s="212" t="n"/>
      <c r="H56" s="189" t="n"/>
      <c r="I56" s="189" t="n"/>
      <c r="J56" s="184" t="n">
        <v>0</v>
      </c>
      <c r="K56" s="201" t="n">
        <v>0</v>
      </c>
      <c r="L56" s="202">
        <f>J56-N56-P56</f>
        <v/>
      </c>
      <c r="M56" s="184" t="n"/>
      <c r="N56" s="184" t="n"/>
      <c r="O56" s="189">
        <f>L56-M56</f>
        <v/>
      </c>
      <c r="P56" s="189">
        <f>K56-N56</f>
        <v/>
      </c>
      <c r="Q56" s="189">
        <f>M56+O56</f>
        <v/>
      </c>
      <c r="R56" s="189">
        <f>M56+N56+O56+P56</f>
        <v/>
      </c>
      <c r="S56" s="203">
        <f>SUM(T56:V56)</f>
        <v/>
      </c>
      <c r="T56" s="203" t="n"/>
      <c r="U56" s="203" t="n"/>
      <c r="V56" s="203" t="n"/>
      <c r="W56" s="203" t="n"/>
      <c r="X56" s="203" t="n"/>
      <c r="Y56" s="203" t="n"/>
      <c r="Z56" s="203" t="n"/>
      <c r="AA56" s="203" t="n"/>
      <c r="AB56" s="203" t="n"/>
      <c r="AC56" s="203" t="n"/>
      <c r="AD56" s="203" t="n"/>
      <c r="AE56" s="203" t="n"/>
      <c r="AF56" s="203" t="n"/>
      <c r="AG56" s="203" t="n"/>
      <c r="AH56" s="203" t="n"/>
      <c r="AI56" s="203" t="n"/>
      <c r="AJ56" s="203" t="n"/>
      <c r="AK56" s="188" t="n"/>
      <c r="AL56" s="204" t="n"/>
    </row>
    <row r="57" ht="14" customFormat="1" customHeight="1" s="180">
      <c r="A57" s="33" t="n">
        <v>1</v>
      </c>
      <c r="B57" s="199" t="n"/>
      <c r="C57" s="199" t="n"/>
      <c r="D57" s="222" t="n"/>
      <c r="E57" s="212" t="n"/>
      <c r="F57" s="212" t="n"/>
      <c r="G57" s="212" t="n"/>
      <c r="H57" s="189" t="n"/>
      <c r="I57" s="189" t="n"/>
      <c r="J57" s="189">
        <f>H57+I57</f>
        <v/>
      </c>
      <c r="K57" s="201" t="n">
        <v>0</v>
      </c>
      <c r="L57" s="202">
        <f>J57-K57</f>
        <v/>
      </c>
      <c r="M57" s="233" t="n"/>
      <c r="N57" s="233" t="n"/>
      <c r="O57" s="189">
        <f>L57-M57</f>
        <v/>
      </c>
      <c r="P57" s="189">
        <f>K57-N57</f>
        <v/>
      </c>
      <c r="Q57" s="189">
        <f>M57+O57</f>
        <v/>
      </c>
      <c r="R57" s="189">
        <f>M57+N57+O57+P57</f>
        <v/>
      </c>
      <c r="S57" s="203">
        <f>SUM(T57:V57)</f>
        <v/>
      </c>
      <c r="T57" s="233" t="n"/>
      <c r="U57" s="233" t="n"/>
      <c r="V57" s="233" t="n"/>
      <c r="W57" s="233" t="n"/>
      <c r="X57" s="233" t="n"/>
      <c r="Y57" s="233" t="n"/>
      <c r="Z57" s="189">
        <f>SUM(AA40:AJ40)</f>
        <v/>
      </c>
      <c r="AA57" s="203" t="n"/>
      <c r="AB57" s="203" t="n"/>
      <c r="AC57" s="203" t="n"/>
      <c r="AD57" s="203" t="n"/>
      <c r="AE57" s="203" t="n"/>
      <c r="AF57" s="203" t="n"/>
      <c r="AG57" s="203" t="n"/>
      <c r="AH57" s="203" t="n"/>
      <c r="AI57" s="203" t="n"/>
      <c r="AJ57" s="203" t="n"/>
      <c r="AK57" s="188" t="n"/>
      <c r="AL57" s="204" t="n"/>
    </row>
    <row r="58" ht="14" customFormat="1" customHeight="1" s="180">
      <c r="A58" s="33" t="n">
        <v>2</v>
      </c>
      <c r="B58" s="199" t="n"/>
      <c r="C58" s="199" t="n"/>
      <c r="D58" s="222" t="n"/>
      <c r="E58" s="212" t="n"/>
      <c r="F58" s="212" t="n"/>
      <c r="G58" s="212" t="n"/>
      <c r="H58" s="189" t="n"/>
      <c r="I58" s="189" t="n"/>
      <c r="J58" s="189">
        <f>H58+I58</f>
        <v/>
      </c>
      <c r="K58" s="201" t="n">
        <v>0</v>
      </c>
      <c r="L58" s="202">
        <f>J58-K58</f>
        <v/>
      </c>
      <c r="M58" s="233" t="n"/>
      <c r="N58" s="233" t="n"/>
      <c r="O58" s="189">
        <f>L58-M58</f>
        <v/>
      </c>
      <c r="P58" s="189">
        <f>K58-N58</f>
        <v/>
      </c>
      <c r="Q58" s="189">
        <f>M58+O58</f>
        <v/>
      </c>
      <c r="R58" s="189">
        <f>M58+N58+O58+P58</f>
        <v/>
      </c>
      <c r="S58" s="203">
        <f>SUM(T58:V58)</f>
        <v/>
      </c>
      <c r="T58" s="233" t="n"/>
      <c r="U58" s="233" t="n"/>
      <c r="V58" s="233" t="n"/>
      <c r="W58" s="233" t="n"/>
      <c r="X58" s="233" t="n"/>
      <c r="Y58" s="233" t="n"/>
      <c r="Z58" s="189">
        <f>SUM(AA41:AJ41)</f>
        <v/>
      </c>
      <c r="AA58" s="203" t="n"/>
      <c r="AB58" s="203" t="n"/>
      <c r="AC58" s="203" t="n"/>
      <c r="AD58" s="203" t="n"/>
      <c r="AE58" s="203" t="n"/>
      <c r="AF58" s="203" t="n"/>
      <c r="AG58" s="203" t="n"/>
      <c r="AH58" s="203" t="n"/>
      <c r="AI58" s="203" t="n"/>
      <c r="AJ58" s="203" t="n"/>
      <c r="AK58" s="188" t="n"/>
      <c r="AL58" s="204" t="n"/>
    </row>
    <row r="59" ht="14" customFormat="1" customHeight="1" s="180">
      <c r="A59" s="33" t="n">
        <v>3</v>
      </c>
      <c r="B59" s="199" t="n"/>
      <c r="C59" s="199" t="n"/>
      <c r="D59" s="222" t="n"/>
      <c r="E59" s="212" t="n"/>
      <c r="F59" s="212" t="n"/>
      <c r="G59" s="212" t="n"/>
      <c r="H59" s="189" t="n"/>
      <c r="I59" s="189" t="n"/>
      <c r="J59" s="189">
        <f>H59+I59</f>
        <v/>
      </c>
      <c r="K59" s="201" t="n">
        <v>0</v>
      </c>
      <c r="L59" s="202">
        <f>J59-K59</f>
        <v/>
      </c>
      <c r="M59" s="233" t="n"/>
      <c r="N59" s="233" t="n"/>
      <c r="O59" s="189">
        <f>L59-M59</f>
        <v/>
      </c>
      <c r="P59" s="189">
        <f>K59-N59</f>
        <v/>
      </c>
      <c r="Q59" s="189">
        <f>M59+O59</f>
        <v/>
      </c>
      <c r="R59" s="189">
        <f>M59+N59+O59+P59</f>
        <v/>
      </c>
      <c r="S59" s="203">
        <f>SUM(T59:V59)</f>
        <v/>
      </c>
      <c r="T59" s="233" t="n"/>
      <c r="U59" s="233" t="n"/>
      <c r="V59" s="233" t="n"/>
      <c r="W59" s="233" t="n"/>
      <c r="X59" s="233" t="n"/>
      <c r="Y59" s="233" t="n"/>
      <c r="Z59" s="189">
        <f>SUM(AA42:AJ42)</f>
        <v/>
      </c>
      <c r="AA59" s="203" t="n"/>
      <c r="AB59" s="203" t="n"/>
      <c r="AC59" s="203" t="n"/>
      <c r="AD59" s="203" t="n"/>
      <c r="AE59" s="203" t="n"/>
      <c r="AF59" s="203" t="n"/>
      <c r="AG59" s="203" t="n"/>
      <c r="AH59" s="203" t="n"/>
      <c r="AI59" s="203" t="n"/>
      <c r="AJ59" s="203" t="n"/>
      <c r="AK59" s="188" t="n"/>
      <c r="AL59" s="204" t="n"/>
    </row>
    <row r="60" ht="14" customFormat="1" customHeight="1" s="180">
      <c r="A60" s="33" t="n">
        <v>4</v>
      </c>
      <c r="B60" s="199" t="n"/>
      <c r="C60" s="199" t="n"/>
      <c r="D60" s="222" t="n"/>
      <c r="E60" s="212" t="n"/>
      <c r="F60" s="212" t="n"/>
      <c r="G60" s="212" t="n"/>
      <c r="H60" s="189" t="n"/>
      <c r="I60" s="189" t="n"/>
      <c r="J60" s="189">
        <f>H60+I60</f>
        <v/>
      </c>
      <c r="K60" s="201" t="n">
        <v>0</v>
      </c>
      <c r="L60" s="202">
        <f>J60-K60</f>
        <v/>
      </c>
      <c r="M60" s="233" t="n"/>
      <c r="N60" s="233" t="n"/>
      <c r="O60" s="189">
        <f>L60-M60</f>
        <v/>
      </c>
      <c r="P60" s="189">
        <f>K60-N60</f>
        <v/>
      </c>
      <c r="Q60" s="189">
        <f>M60+O60</f>
        <v/>
      </c>
      <c r="R60" s="189">
        <f>M60+N60+O60+P60</f>
        <v/>
      </c>
      <c r="S60" s="203">
        <f>SUM(T60:V60)</f>
        <v/>
      </c>
      <c r="T60" s="233" t="n"/>
      <c r="U60" s="233" t="n"/>
      <c r="V60" s="233" t="n"/>
      <c r="W60" s="233" t="n"/>
      <c r="X60" s="233" t="n"/>
      <c r="Y60" s="233" t="n"/>
      <c r="Z60" s="189">
        <f>SUM(AA43:AJ43)</f>
        <v/>
      </c>
      <c r="AA60" s="203" t="n"/>
      <c r="AB60" s="203" t="n"/>
      <c r="AC60" s="203" t="n"/>
      <c r="AD60" s="203" t="n"/>
      <c r="AE60" s="203" t="n"/>
      <c r="AF60" s="203" t="n"/>
      <c r="AG60" s="203" t="n"/>
      <c r="AH60" s="203" t="n"/>
      <c r="AI60" s="203" t="n"/>
      <c r="AJ60" s="203" t="n"/>
      <c r="AK60" s="188" t="n"/>
      <c r="AL60" s="204" t="n"/>
    </row>
    <row r="61" ht="14" customFormat="1" customHeight="1" s="180">
      <c r="A61" s="33" t="n">
        <v>5</v>
      </c>
      <c r="B61" s="199" t="n"/>
      <c r="C61" s="199" t="n"/>
      <c r="D61" s="222" t="n"/>
      <c r="E61" s="212" t="n"/>
      <c r="F61" s="212" t="n"/>
      <c r="G61" s="212" t="n"/>
      <c r="H61" s="189" t="n"/>
      <c r="I61" s="189" t="n"/>
      <c r="J61" s="189">
        <f>H61+I61</f>
        <v/>
      </c>
      <c r="K61" s="201" t="n">
        <v>0</v>
      </c>
      <c r="L61" s="202">
        <f>J61-K61</f>
        <v/>
      </c>
      <c r="M61" s="233" t="n"/>
      <c r="N61" s="233" t="n">
        <v>0</v>
      </c>
      <c r="O61" s="189">
        <f>L61-M61</f>
        <v/>
      </c>
      <c r="P61" s="189">
        <f>K61-N61</f>
        <v/>
      </c>
      <c r="Q61" s="189">
        <f>M61+O61</f>
        <v/>
      </c>
      <c r="R61" s="189">
        <f>M61+N61+O61+P61</f>
        <v/>
      </c>
      <c r="S61" s="203">
        <f>SUM(T61:V61)</f>
        <v/>
      </c>
      <c r="T61" s="233" t="n"/>
      <c r="U61" s="233" t="n"/>
      <c r="V61" s="233" t="n"/>
      <c r="W61" s="233" t="n"/>
      <c r="X61" s="233" t="n"/>
      <c r="Y61" s="233" t="n"/>
      <c r="Z61" s="189">
        <f>SUM(AA44:AJ44)</f>
        <v/>
      </c>
      <c r="AA61" s="203" t="n"/>
      <c r="AB61" s="203" t="n"/>
      <c r="AC61" s="203" t="n"/>
      <c r="AD61" s="203" t="n"/>
      <c r="AE61" s="203" t="n"/>
      <c r="AF61" s="203" t="n"/>
      <c r="AG61" s="203" t="n"/>
      <c r="AH61" s="203" t="n"/>
      <c r="AI61" s="203" t="n"/>
      <c r="AJ61" s="203" t="n"/>
      <c r="AK61" s="188" t="n"/>
      <c r="AL61" s="204" t="n"/>
    </row>
    <row r="62" ht="14" customFormat="1" customHeight="1" s="180">
      <c r="A62" s="33" t="n"/>
      <c r="B62" s="199" t="n"/>
      <c r="C62" s="199" t="n"/>
      <c r="D62" s="211" t="inlineStr">
        <is>
          <t>**财务未列部分需增列***</t>
        </is>
      </c>
      <c r="E62" s="212" t="n"/>
      <c r="F62" s="212" t="n"/>
      <c r="G62" s="212" t="n"/>
      <c r="H62" s="189" t="n"/>
      <c r="I62" s="189" t="n"/>
      <c r="J62" s="184" t="n"/>
      <c r="K62" s="201" t="n"/>
      <c r="L62" s="202">
        <f>J62-K62</f>
        <v/>
      </c>
      <c r="M62" s="233" t="n"/>
      <c r="N62" s="233" t="n"/>
      <c r="O62" s="189">
        <f>L62-M62</f>
        <v/>
      </c>
      <c r="P62" s="189">
        <f>K62-N62</f>
        <v/>
      </c>
      <c r="Q62" s="189">
        <f>M62+O62</f>
        <v/>
      </c>
      <c r="R62" s="189">
        <f>M62+N62+O62+P62</f>
        <v/>
      </c>
      <c r="S62" s="203">
        <f>SUM(T62:V62)</f>
        <v/>
      </c>
      <c r="T62" s="233" t="n"/>
      <c r="U62" s="233" t="n"/>
      <c r="V62" s="233" t="n"/>
      <c r="W62" s="233" t="n"/>
      <c r="X62" s="233" t="n"/>
      <c r="Y62" s="233" t="n"/>
      <c r="Z62" s="189">
        <f>SUM(AA45:AJ45)</f>
        <v/>
      </c>
      <c r="AA62" s="203" t="n"/>
      <c r="AB62" s="203" t="n"/>
      <c r="AC62" s="203" t="n"/>
      <c r="AD62" s="203" t="n"/>
      <c r="AE62" s="203" t="n"/>
      <c r="AF62" s="203" t="n"/>
      <c r="AG62" s="203" t="n"/>
      <c r="AH62" s="203" t="n"/>
      <c r="AI62" s="203" t="n"/>
      <c r="AJ62" s="203" t="n"/>
      <c r="AK62" s="188" t="n"/>
      <c r="AL62" s="204" t="n"/>
    </row>
    <row r="63" ht="14" customFormat="1" customHeight="1" s="180">
      <c r="A63" s="55" t="n"/>
      <c r="B63" s="234" t="n"/>
      <c r="C63" s="234" t="n"/>
      <c r="D63" s="230" t="inlineStr">
        <is>
          <t>其他直接费小计：</t>
        </is>
      </c>
      <c r="E63" s="235" t="n"/>
      <c r="F63" s="235" t="n"/>
      <c r="G63" s="235" t="n"/>
      <c r="H63" s="217">
        <f>SUM(H56:H62)</f>
        <v/>
      </c>
      <c r="I63" s="217">
        <f>SUM(I56:I62)</f>
        <v/>
      </c>
      <c r="J63" s="217">
        <f>SUM(J56:J62)</f>
        <v/>
      </c>
      <c r="K63" s="217">
        <f>SUM(K56:K62)</f>
        <v/>
      </c>
      <c r="L63" s="232">
        <f>SUM(L56:L62)</f>
        <v/>
      </c>
      <c r="M63" s="217">
        <f>SUM(M56:M62)</f>
        <v/>
      </c>
      <c r="N63" s="217">
        <f>SUM(N56:N62)</f>
        <v/>
      </c>
      <c r="O63" s="217">
        <f>L63-M63</f>
        <v/>
      </c>
      <c r="P63" s="217">
        <f>SUM(P56:P62)</f>
        <v/>
      </c>
      <c r="Q63" s="217">
        <f>M63+O63</f>
        <v/>
      </c>
      <c r="R63" s="217">
        <f>SUM(R56:R62)</f>
        <v/>
      </c>
      <c r="S63" s="217">
        <f>SUM(S56:S62)</f>
        <v/>
      </c>
      <c r="T63" s="217" t="n"/>
      <c r="U63" s="217" t="n"/>
      <c r="V63" s="217" t="n"/>
      <c r="W63" s="217" t="n"/>
      <c r="X63" s="217" t="n"/>
      <c r="Y63" s="217" t="n"/>
      <c r="Z63" s="217">
        <f>SUM(Z56:Z62)</f>
        <v/>
      </c>
      <c r="AA63" s="217">
        <f>SUM(AA56:AA62)</f>
        <v/>
      </c>
      <c r="AB63" s="217">
        <f>SUM(AB56:AB62)</f>
        <v/>
      </c>
      <c r="AC63" s="217">
        <f>SUM(AC56:AC62)</f>
        <v/>
      </c>
      <c r="AD63" s="217">
        <f>SUM(AD56:AD62)</f>
        <v/>
      </c>
      <c r="AE63" s="217">
        <f>SUM(AE56:AE62)</f>
        <v/>
      </c>
      <c r="AF63" s="217">
        <f>SUM(AF56:AF62)</f>
        <v/>
      </c>
      <c r="AG63" s="217" t="n"/>
      <c r="AH63" s="217" t="n"/>
      <c r="AI63" s="217">
        <f>SUM(AI56:AI62)</f>
        <v/>
      </c>
      <c r="AJ63" s="217">
        <f>SUM(AJ56:AJ62)</f>
        <v/>
      </c>
      <c r="AK63" s="217">
        <f>SUM(AK56:AK62)</f>
        <v/>
      </c>
      <c r="AL63" s="204" t="n"/>
    </row>
    <row r="64" ht="14" customFormat="1" customHeight="1" s="180">
      <c r="A64" s="33" t="n"/>
      <c r="B64" s="199" t="n"/>
      <c r="C64" s="199" t="n"/>
      <c r="D64" s="218" t="inlineStr">
        <is>
          <t>（六）间接费</t>
        </is>
      </c>
      <c r="E64" s="212" t="n"/>
      <c r="F64" s="212" t="n"/>
      <c r="G64" s="212" t="n"/>
      <c r="H64" s="184" t="n"/>
      <c r="I64" s="189" t="n"/>
      <c r="J64" s="189" t="n">
        <v>0</v>
      </c>
      <c r="K64" s="201" t="n">
        <v>0</v>
      </c>
      <c r="L64" s="202">
        <f>J64-N64-P64</f>
        <v/>
      </c>
      <c r="M64" s="184" t="n"/>
      <c r="N64" s="184" t="n"/>
      <c r="O64" s="189">
        <f>L64-M64</f>
        <v/>
      </c>
      <c r="P64" s="189">
        <f>K64-N64</f>
        <v/>
      </c>
      <c r="Q64" s="189">
        <f>M64+O64</f>
        <v/>
      </c>
      <c r="R64" s="189">
        <f>M64+N64+O64+P64</f>
        <v/>
      </c>
      <c r="S64" s="203">
        <f>SUM(T64:V64)</f>
        <v/>
      </c>
      <c r="T64" s="203" t="n"/>
      <c r="U64" s="203" t="n"/>
      <c r="V64" s="203" t="n"/>
      <c r="W64" s="203" t="n"/>
      <c r="X64" s="203" t="n"/>
      <c r="Y64" s="203" t="n"/>
      <c r="Z64" s="203" t="n"/>
      <c r="AA64" s="203" t="n"/>
      <c r="AB64" s="203" t="n"/>
      <c r="AC64" s="203" t="n"/>
      <c r="AD64" s="203" t="n"/>
      <c r="AE64" s="203" t="n"/>
      <c r="AF64" s="203" t="n"/>
      <c r="AG64" s="203" t="n"/>
      <c r="AH64" s="203" t="n"/>
      <c r="AI64" s="203" t="n"/>
      <c r="AJ64" s="203" t="n"/>
      <c r="AK64" s="188" t="n"/>
      <c r="AL64" s="204" t="n"/>
    </row>
    <row r="65" ht="14" customFormat="1" customHeight="1" s="180">
      <c r="A65" s="206" t="n"/>
      <c r="B65" s="206" t="n"/>
      <c r="C65" s="207" t="n"/>
      <c r="D65" s="207" t="inlineStr">
        <is>
          <t>冲晒印刷费</t>
        </is>
      </c>
      <c r="E65" s="206" t="n"/>
      <c r="F65" s="206" t="n"/>
      <c r="G65" s="206" t="n"/>
      <c r="H65" s="206" t="n"/>
      <c r="I65" s="206" t="n"/>
      <c r="J65" s="206">
        <f>H65+I65</f>
        <v/>
      </c>
      <c r="K65" s="208" t="n"/>
      <c r="L65" s="209">
        <f>J65-K65</f>
        <v/>
      </c>
      <c r="M65" s="210" t="n">
        <v>2000</v>
      </c>
      <c r="N65" s="206" t="n"/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06" t="n"/>
      <c r="U65" s="206" t="n"/>
      <c r="V65" s="206" t="n"/>
    </row>
    <row r="66" ht="14" customFormat="1" customHeight="1" s="180">
      <c r="A66" s="206" t="n"/>
      <c r="B66" s="206" t="n"/>
      <c r="C66" s="207" t="n"/>
      <c r="D66" s="207" t="inlineStr">
        <is>
          <t>工资</t>
        </is>
      </c>
      <c r="E66" s="206" t="n"/>
      <c r="F66" s="206" t="n"/>
      <c r="G66" s="206" t="n"/>
      <c r="H66" s="206" t="n"/>
      <c r="I66" s="206" t="n"/>
      <c r="J66" s="206">
        <f>H66+I66</f>
        <v/>
      </c>
      <c r="K66" s="208" t="n"/>
      <c r="L66" s="209">
        <f>J66-K66</f>
        <v/>
      </c>
      <c r="M66" s="210" t="n">
        <v>189100</v>
      </c>
      <c r="N66" s="206" t="n"/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06" t="n"/>
      <c r="U66" s="206" t="n"/>
      <c r="V66" s="206" t="n"/>
    </row>
    <row r="67" ht="14" customFormat="1" customHeight="1" s="180">
      <c r="A67" s="33" t="n"/>
      <c r="B67" s="199" t="n"/>
      <c r="C67" s="199" t="n"/>
      <c r="D67" s="211" t="inlineStr">
        <is>
          <t>**财务未列部分需增列***</t>
        </is>
      </c>
      <c r="E67" s="212" t="n"/>
      <c r="F67" s="212" t="n"/>
      <c r="G67" s="212" t="n"/>
      <c r="H67" s="233" t="n"/>
      <c r="I67" s="189" t="n"/>
      <c r="J67" s="233" t="n"/>
      <c r="K67" s="201" t="n"/>
      <c r="L67" s="202" t="n"/>
      <c r="M67" s="233" t="n"/>
      <c r="N67" s="189" t="n"/>
      <c r="O67" s="189">
        <f>L67-M67</f>
        <v/>
      </c>
      <c r="P67" s="189">
        <f>K67-N67</f>
        <v/>
      </c>
      <c r="Q67" s="189">
        <f>M67+O67</f>
        <v/>
      </c>
      <c r="R67" s="189">
        <f>M67+N67+O67+P67</f>
        <v/>
      </c>
      <c r="S67" s="203">
        <f>SUM(T67:V67)</f>
        <v/>
      </c>
      <c r="T67" s="233" t="n"/>
      <c r="U67" s="233" t="n"/>
      <c r="V67" s="233" t="n"/>
      <c r="W67" s="233" t="n"/>
      <c r="X67" s="233" t="n"/>
      <c r="Y67" s="233" t="n"/>
      <c r="Z67" s="233" t="n"/>
      <c r="AA67" s="203" t="n"/>
      <c r="AB67" s="188" t="n"/>
      <c r="AC67" s="188" t="n"/>
      <c r="AD67" s="188" t="n"/>
      <c r="AE67" s="188" t="n"/>
      <c r="AF67" s="188" t="n"/>
      <c r="AG67" s="188" t="n"/>
      <c r="AH67" s="188" t="n"/>
      <c r="AI67" s="188" t="n"/>
      <c r="AJ67" s="188" t="n"/>
      <c r="AK67" s="188" t="n"/>
      <c r="AL67" s="214" t="n"/>
    </row>
    <row r="68" ht="14" customFormat="1" customHeight="1" s="180">
      <c r="A68" s="55" t="n"/>
      <c r="B68" s="234" t="n"/>
      <c r="C68" s="234" t="n"/>
      <c r="D68" s="230" t="inlineStr">
        <is>
          <t>间接费小计：</t>
        </is>
      </c>
      <c r="E68" s="235" t="n"/>
      <c r="F68" s="235" t="n"/>
      <c r="G68" s="235" t="n"/>
      <c r="H68" s="217">
        <f>SUM(H64:H67)</f>
        <v/>
      </c>
      <c r="I68" s="217">
        <f>SUM(I64:I67)</f>
        <v/>
      </c>
      <c r="J68" s="217">
        <f>SUM(J64:J67)</f>
        <v/>
      </c>
      <c r="K68" s="217">
        <f>SUM(K64:K67)</f>
        <v/>
      </c>
      <c r="L68" s="232">
        <f>SUM(L64:L67)</f>
        <v/>
      </c>
      <c r="M68" s="232">
        <f>SUM(M64:M67)</f>
        <v/>
      </c>
      <c r="N68" s="232">
        <f>SUM(N64:N67)</f>
        <v/>
      </c>
      <c r="O68" s="232">
        <f>SUM(O64:O67)</f>
        <v/>
      </c>
      <c r="P68" s="232">
        <f>SUM(P64:P67)</f>
        <v/>
      </c>
      <c r="Q68" s="232">
        <f>SUM(Q64:Q67)</f>
        <v/>
      </c>
      <c r="R68" s="232">
        <f>SUM(R64:R67)</f>
        <v/>
      </c>
      <c r="S68" s="232">
        <f>SUM(S64:S67)</f>
        <v/>
      </c>
      <c r="T68" s="232" t="n"/>
      <c r="U68" s="232" t="n"/>
      <c r="V68" s="232" t="n"/>
      <c r="W68" s="232" t="n"/>
      <c r="X68" s="232" t="n"/>
      <c r="Y68" s="232" t="n"/>
      <c r="Z68" s="232">
        <f>SUM(Z64:Z67)</f>
        <v/>
      </c>
      <c r="AA68" s="232">
        <f>SUM(AA64:AA67)</f>
        <v/>
      </c>
      <c r="AB68" s="232">
        <f>SUM(AB64:AB67)</f>
        <v/>
      </c>
      <c r="AC68" s="232">
        <f>SUM(AC64:AC67)</f>
        <v/>
      </c>
      <c r="AD68" s="232">
        <f>SUM(AD64:AD67)</f>
        <v/>
      </c>
      <c r="AE68" s="232">
        <f>SUM(AE64:AE67)</f>
        <v/>
      </c>
      <c r="AF68" s="232">
        <f>SUM(AF64:AF67)</f>
        <v/>
      </c>
      <c r="AG68" s="232" t="n"/>
      <c r="AH68" s="232" t="n"/>
      <c r="AI68" s="232">
        <f>SUM(AI64:AI67)</f>
        <v/>
      </c>
      <c r="AJ68" s="232">
        <f>SUM(AJ64:AJ67)</f>
        <v/>
      </c>
      <c r="AK68" s="232">
        <f>SUM(AK64:AK67)</f>
        <v/>
      </c>
      <c r="AL68" s="214" t="n"/>
    </row>
    <row r="69" ht="39" customFormat="1" customHeight="1" s="180">
      <c r="A69" s="33" t="n"/>
      <c r="B69" s="199" t="n"/>
      <c r="C69" s="199" t="n"/>
      <c r="D69" s="218" t="inlineStr">
        <is>
          <t>（七）安全费</t>
        </is>
      </c>
      <c r="E69" s="212" t="n"/>
      <c r="F69" s="212" t="n"/>
      <c r="G69" s="212" t="n"/>
      <c r="H69" s="189" t="n"/>
      <c r="I69" s="189" t="n"/>
      <c r="J69" s="184" t="n">
        <v>0</v>
      </c>
      <c r="K69" s="236" t="n"/>
      <c r="L69" s="202">
        <f>J69-N69-P69</f>
        <v/>
      </c>
      <c r="M69" s="189" t="n"/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33" t="n"/>
      <c r="U69" s="233" t="n"/>
      <c r="V69" s="233" t="n"/>
      <c r="W69" s="233" t="n"/>
      <c r="X69" s="233" t="n"/>
      <c r="Y69" s="233" t="n"/>
      <c r="Z69" s="229" t="n"/>
      <c r="AA69" s="203" t="n"/>
      <c r="AB69" s="188" t="n"/>
      <c r="AC69" s="188" t="n"/>
      <c r="AD69" s="188" t="n"/>
      <c r="AE69" s="188" t="n"/>
      <c r="AF69" s="188" t="n"/>
      <c r="AG69" s="188" t="n"/>
      <c r="AH69" s="188" t="n"/>
      <c r="AI69" s="188" t="n"/>
      <c r="AJ69" s="188" t="n"/>
      <c r="AK69" s="188" t="n"/>
      <c r="AL69" s="214" t="n"/>
    </row>
    <row r="70" ht="14" customFormat="1" customHeight="1" s="180">
      <c r="A70" s="206" t="n"/>
      <c r="B70" s="206" t="n"/>
      <c r="C70" s="207" t="n"/>
      <c r="D70" s="207" t="inlineStr">
        <is>
          <t>其他</t>
        </is>
      </c>
      <c r="E70" s="206" t="n"/>
      <c r="F70" s="206" t="n"/>
      <c r="G70" s="206" t="n"/>
      <c r="H70" s="206" t="n"/>
      <c r="I70" s="206" t="n"/>
      <c r="J70" s="206">
        <f>H70+I70</f>
        <v/>
      </c>
      <c r="K70" s="208" t="n"/>
      <c r="L70" s="209">
        <f>J70-K70</f>
        <v/>
      </c>
      <c r="M70" s="210" t="n">
        <v>27591.39</v>
      </c>
      <c r="N70" s="206" t="n"/>
      <c r="O70" s="206">
        <f>L70-M70</f>
        <v/>
      </c>
      <c r="P70" s="206">
        <f>K70-N70</f>
        <v/>
      </c>
      <c r="Q70" s="206">
        <f>M70+O70</f>
        <v/>
      </c>
      <c r="R70" s="206">
        <f>M70+N70+O70+P70</f>
        <v/>
      </c>
      <c r="S70" s="206" t="n"/>
      <c r="T70" s="206" t="n"/>
      <c r="U70" s="206" t="n"/>
      <c r="V70" s="206" t="n"/>
    </row>
    <row r="71" ht="14" customFormat="1" customHeight="1" s="180">
      <c r="A71" s="206" t="n"/>
      <c r="B71" s="206" t="n"/>
      <c r="C71" s="207" t="n"/>
      <c r="D71" s="207" t="inlineStr">
        <is>
          <t>直接人工费</t>
        </is>
      </c>
      <c r="E71" s="206" t="n"/>
      <c r="F71" s="206" t="n"/>
      <c r="G71" s="206" t="n"/>
      <c r="H71" s="206" t="n"/>
      <c r="I71" s="206" t="n"/>
      <c r="J71" s="206">
        <f>H71+I71</f>
        <v/>
      </c>
      <c r="K71" s="208" t="n"/>
      <c r="L71" s="209">
        <f>J71-K71</f>
        <v/>
      </c>
      <c r="M71" s="210" t="n">
        <v>54633.5</v>
      </c>
      <c r="N71" s="206" t="n"/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06" t="n"/>
      <c r="U71" s="206" t="n"/>
      <c r="V71" s="206" t="n"/>
    </row>
    <row r="72" ht="14" customFormat="1" customHeight="1" s="180">
      <c r="A72" s="55" t="n"/>
      <c r="B72" s="234" t="n"/>
      <c r="C72" s="234" t="n"/>
      <c r="D72" s="230" t="inlineStr">
        <is>
          <t>安全费小计：</t>
        </is>
      </c>
      <c r="E72" s="230" t="n"/>
      <c r="F72" s="230" t="n"/>
      <c r="G72" s="230" t="n"/>
      <c r="H72" s="217">
        <f>SUM(H69:H71)</f>
        <v/>
      </c>
      <c r="I72" s="217">
        <f>SUM(I69:I71)</f>
        <v/>
      </c>
      <c r="J72" s="217" t="n">
        <v>0</v>
      </c>
      <c r="K72" s="217" t="n">
        <v>0</v>
      </c>
      <c r="L72" s="202">
        <f>J72-K72</f>
        <v/>
      </c>
      <c r="M72" s="237" t="n"/>
      <c r="N72" s="237" t="n"/>
      <c r="O72" s="232">
        <f>SUM(O69:O71)</f>
        <v/>
      </c>
      <c r="P72" s="232">
        <f>SUM(P69:P71)</f>
        <v/>
      </c>
      <c r="Q72" s="232">
        <f>SUM(Q69:Q71)</f>
        <v/>
      </c>
      <c r="R72" s="232">
        <f>SUM(R69:R71)</f>
        <v/>
      </c>
      <c r="S72" s="232">
        <f>SUM(S69:S71)</f>
        <v/>
      </c>
      <c r="T72" s="237" t="n"/>
      <c r="U72" s="237" t="n"/>
      <c r="V72" s="237" t="n"/>
      <c r="W72" s="237" t="n"/>
      <c r="X72" s="237" t="n"/>
      <c r="Y72" s="237" t="n"/>
      <c r="Z72" s="237" t="n"/>
      <c r="AA72" s="237">
        <f>SUM(AA69:AA71)</f>
        <v/>
      </c>
      <c r="AB72" s="237">
        <f>SUM(AB69:AB71)</f>
        <v/>
      </c>
      <c r="AC72" s="237">
        <f>SUM(AC69:AC71)</f>
        <v/>
      </c>
      <c r="AD72" s="237">
        <f>SUM(AD69:AD71)</f>
        <v/>
      </c>
      <c r="AE72" s="237">
        <f>SUM(AE69:AE71)</f>
        <v/>
      </c>
      <c r="AF72" s="237">
        <f>SUM(AF69:AF71)</f>
        <v/>
      </c>
      <c r="AG72" s="237" t="n"/>
      <c r="AH72" s="237" t="n"/>
      <c r="AI72" s="237">
        <f>SUM(AI69:AI71)</f>
        <v/>
      </c>
      <c r="AJ72" s="237">
        <f>SUM(AJ69:AJ71)</f>
        <v/>
      </c>
      <c r="AK72" s="237">
        <f>SUM(AK69:AK71)</f>
        <v/>
      </c>
      <c r="AL72" s="238" t="n"/>
    </row>
    <row r="73" ht="14" customFormat="1" customHeight="1" s="180">
      <c r="A73" s="55" t="n"/>
      <c r="B73" s="234" t="n"/>
      <c r="C73" s="234" t="n"/>
      <c r="D73" s="230" t="inlineStr">
        <is>
          <t>三、成本合计：</t>
        </is>
      </c>
      <c r="E73" s="235" t="n"/>
      <c r="F73" s="235" t="n"/>
      <c r="G73" s="235" t="n"/>
      <c r="H73" s="217">
        <f>H21+H26+H51+H55+H63+H68+H72</f>
        <v/>
      </c>
      <c r="I73" s="217">
        <f>I21+I26+I51+I55+I63+I68+I72</f>
        <v/>
      </c>
      <c r="J73" s="217">
        <f>J21+J26+J51+J55+J63+J68+J72</f>
        <v/>
      </c>
      <c r="K73" s="217">
        <f>K21+K26+K51+K55+K63+K68+K72</f>
        <v/>
      </c>
      <c r="L73" s="232">
        <f>L21+L26+L51+L55+L63+L68+L72</f>
        <v/>
      </c>
      <c r="M73" s="237">
        <f>M21+M26+M51+M55+M63+M68+M72</f>
        <v/>
      </c>
      <c r="N73" s="237">
        <f>N21+N26+N51+N55+N63+N68+N72</f>
        <v/>
      </c>
      <c r="O73" s="237">
        <f>O21+O26+O51+O55+O63+O68+O72</f>
        <v/>
      </c>
      <c r="P73" s="237">
        <f>P21+P26+P51+P55+P63+P68+P72</f>
        <v/>
      </c>
      <c r="Q73" s="237">
        <f>Q21+Q26+Q51+Q55+Q63+Q68+Q72</f>
        <v/>
      </c>
      <c r="R73" s="237">
        <f>R21+R26+R51+R55+R63+R68+R72</f>
        <v/>
      </c>
      <c r="S73" s="237">
        <f>S21+S26+S51+S55+S63+S68+S72</f>
        <v/>
      </c>
      <c r="T73" s="237" t="n"/>
      <c r="U73" s="237" t="n"/>
      <c r="V73" s="237" t="n"/>
      <c r="W73" s="237" t="n"/>
      <c r="X73" s="237" t="n"/>
      <c r="Y73" s="237" t="n"/>
      <c r="Z73" s="237">
        <f>Z21+Z26+Z51+Z55+Z63+Z68+Z72</f>
        <v/>
      </c>
      <c r="AA73" s="237">
        <f>AA21+AA26+AA51+AA55+AA63+AA68+AA72</f>
        <v/>
      </c>
      <c r="AB73" s="237">
        <f>AB21+AB26+AB51+AB55+AB63+AB68+AB72</f>
        <v/>
      </c>
      <c r="AC73" s="237">
        <f>AC21+AC26+AC51+AC55+AC63+AC68+AC72</f>
        <v/>
      </c>
      <c r="AD73" s="237">
        <f>AD21+AD26+AD51+AD55+AD63+AD68+AD72</f>
        <v/>
      </c>
      <c r="AE73" s="237">
        <f>AE21+AE26+AE51+AE55+AE63+AE68+AE72</f>
        <v/>
      </c>
      <c r="AF73" s="237">
        <f>AF21+AF26+AF51+AF55+AF63+AF68+AF72</f>
        <v/>
      </c>
      <c r="AG73" s="237" t="n"/>
      <c r="AH73" s="237" t="n"/>
      <c r="AI73" s="237">
        <f>AI21+AI26+AI51+AI55+AI63+AI68+AI72</f>
        <v/>
      </c>
      <c r="AJ73" s="237">
        <f>AJ21+AJ26+AJ51+AJ55+AJ63+AJ68+AJ72</f>
        <v/>
      </c>
      <c r="AK73" s="237">
        <f>AK21+AK26+AK51+AK55+AK63+AK68+AK72</f>
        <v/>
      </c>
      <c r="AL73" s="238" t="n"/>
    </row>
    <row r="74" ht="14" customFormat="1" customHeight="1" s="180">
      <c r="A74" s="33" t="n"/>
      <c r="B74" s="199" t="n"/>
      <c r="C74" s="199" t="n"/>
      <c r="D74" s="218" t="inlineStr">
        <is>
          <t>四、计提保修金</t>
        </is>
      </c>
      <c r="E74" s="239" t="inlineStr">
        <is>
          <t>（在建：房建0.6%，其它0.4%；在保修期间的按0.3~0.5%自行确定;保修期结束为0）</t>
        </is>
      </c>
      <c r="F74" s="239" t="n"/>
      <c r="G74" s="239" t="n"/>
      <c r="H74" s="184" t="n"/>
      <c r="I74" s="184" t="n"/>
      <c r="J74" s="184">
        <f>H74+I74</f>
        <v/>
      </c>
      <c r="K74" s="184" t="n"/>
      <c r="L74" s="202">
        <f>J74-K74</f>
        <v/>
      </c>
      <c r="M74" s="189" t="n"/>
      <c r="N74" s="189" t="n"/>
      <c r="O74" s="189">
        <f>L74-M74</f>
        <v/>
      </c>
      <c r="P74" s="189">
        <f>K74-N74</f>
        <v/>
      </c>
      <c r="Q74" s="189">
        <f>M74+O74</f>
        <v/>
      </c>
      <c r="R74" s="189">
        <f>M74+N74+O74+P74</f>
        <v/>
      </c>
      <c r="S74" s="203">
        <f>SUM(T74:V74)</f>
        <v/>
      </c>
      <c r="T74" s="203" t="n"/>
      <c r="U74" s="203" t="n"/>
      <c r="V74" s="203" t="n"/>
      <c r="W74" s="203" t="n"/>
      <c r="X74" s="203" t="n"/>
      <c r="Y74" s="203" t="n"/>
      <c r="Z74" s="203" t="n"/>
      <c r="AA74" s="203">
        <f>Q69-S69</f>
        <v/>
      </c>
      <c r="AB74" s="240" t="n"/>
      <c r="AC74" s="240" t="n"/>
      <c r="AD74" s="240" t="n"/>
      <c r="AE74" s="240" t="n"/>
      <c r="AF74" s="240" t="n"/>
      <c r="AG74" s="240" t="n"/>
      <c r="AH74" s="240" t="n"/>
      <c r="AI74" s="240" t="n"/>
      <c r="AJ74" s="240" t="n"/>
      <c r="AK74" s="188" t="n"/>
      <c r="AL74" s="238" t="n"/>
    </row>
    <row r="75" ht="14" customFormat="1" customHeight="1" s="180">
      <c r="A75" s="33" t="n"/>
      <c r="B75" s="199" t="n"/>
      <c r="C75" s="199" t="n"/>
      <c r="D75" s="218" t="inlineStr">
        <is>
          <t>五、过程节点奖金</t>
        </is>
      </c>
      <c r="E75" s="212" t="n"/>
      <c r="F75" s="212" t="n"/>
      <c r="G75" s="212" t="n"/>
      <c r="H75" s="184" t="n"/>
      <c r="I75" s="184" t="n"/>
      <c r="J75" s="184">
        <f>H75+I75</f>
        <v/>
      </c>
      <c r="K75" s="184" t="n"/>
      <c r="L75" s="202">
        <f>J75-K75</f>
        <v/>
      </c>
      <c r="M75" s="189" t="n"/>
      <c r="N75" s="189" t="n"/>
      <c r="O75" s="189">
        <f>L75-M75</f>
        <v/>
      </c>
      <c r="P75" s="189">
        <f>K75-N75</f>
        <v/>
      </c>
      <c r="Q75" s="189">
        <f>M75+O75</f>
        <v/>
      </c>
      <c r="R75" s="189">
        <f>M75+N75+O75+P75</f>
        <v/>
      </c>
      <c r="S75" s="203">
        <f>SUM(T75:V75)</f>
        <v/>
      </c>
      <c r="T75" s="203" t="n"/>
      <c r="U75" s="203" t="n"/>
      <c r="V75" s="203" t="n"/>
      <c r="W75" s="203" t="n"/>
      <c r="X75" s="203" t="n"/>
      <c r="Y75" s="203" t="n"/>
      <c r="Z75" s="203" t="n"/>
      <c r="AA75" s="203" t="n"/>
      <c r="AB75" s="188" t="n"/>
      <c r="AC75" s="188" t="n"/>
      <c r="AD75" s="188" t="n"/>
      <c r="AE75" s="188" t="n"/>
      <c r="AF75" s="188" t="n"/>
      <c r="AG75" s="188" t="n"/>
      <c r="AH75" s="188" t="n"/>
      <c r="AI75" s="188" t="n"/>
      <c r="AJ75" s="188" t="n"/>
      <c r="AK75" s="188" t="n"/>
      <c r="AL75" s="214" t="n"/>
    </row>
    <row r="76" ht="14" customFormat="1" customHeight="1" s="180">
      <c r="A76" s="33" t="n"/>
      <c r="B76" s="199" t="n"/>
      <c r="C76" s="199" t="n"/>
      <c r="D76" s="218" t="inlineStr">
        <is>
          <t>六、资金占用费用</t>
        </is>
      </c>
      <c r="E76" s="212" t="n"/>
      <c r="F76" s="212" t="n"/>
      <c r="G76" s="212" t="n"/>
      <c r="H76" s="189" t="n"/>
      <c r="I76" s="189" t="n"/>
      <c r="J76" s="184">
        <f>H76+I76</f>
        <v/>
      </c>
      <c r="K76" s="189" t="n"/>
      <c r="L76" s="202">
        <f>J76-K76</f>
        <v/>
      </c>
      <c r="M76" s="241" t="n">
        <v>901666.67</v>
      </c>
      <c r="N76" s="189" t="n"/>
      <c r="O76" s="189">
        <f>L76-M76</f>
        <v/>
      </c>
      <c r="P76" s="189">
        <f>K76-N76</f>
        <v/>
      </c>
      <c r="Q76" s="189">
        <f>M76+O76</f>
        <v/>
      </c>
      <c r="R76" s="189">
        <f>M76+N76+O76+P76</f>
        <v/>
      </c>
      <c r="S76" s="203">
        <f>SUM(T76:V76)</f>
        <v/>
      </c>
      <c r="T76" s="203" t="n"/>
      <c r="U76" s="203" t="n"/>
      <c r="V76" s="203" t="n"/>
      <c r="W76" s="203" t="n"/>
      <c r="X76" s="203" t="n"/>
      <c r="Y76" s="203" t="n"/>
      <c r="Z76" s="203" t="n"/>
      <c r="AA76" s="203" t="n"/>
      <c r="AB76" s="188" t="n"/>
      <c r="AC76" s="188" t="n"/>
      <c r="AD76" s="188" t="n"/>
      <c r="AE76" s="188" t="n"/>
      <c r="AF76" s="188" t="n"/>
      <c r="AG76" s="188" t="n"/>
      <c r="AH76" s="188" t="n"/>
      <c r="AI76" s="188" t="n"/>
      <c r="AJ76" s="188" t="n"/>
      <c r="AK76" s="188" t="n"/>
      <c r="AL76" s="214" t="n"/>
    </row>
    <row r="77" ht="14" customFormat="1" customHeight="1" s="180">
      <c r="A77" s="33" t="n"/>
      <c r="B77" s="199" t="n"/>
      <c r="C77" s="199" t="n"/>
      <c r="D77" s="218" t="inlineStr">
        <is>
          <t>七、局投资收益（局投资项目选填）</t>
        </is>
      </c>
      <c r="E77" s="212" t="n"/>
      <c r="F77" s="212" t="n"/>
      <c r="G77" s="212" t="n"/>
      <c r="H77" s="189" t="n"/>
      <c r="I77" s="189" t="n"/>
      <c r="J77" s="184">
        <f>H77+I77</f>
        <v/>
      </c>
      <c r="K77" s="189" t="n"/>
      <c r="L77" s="202">
        <f>J77-K77</f>
        <v/>
      </c>
      <c r="M77" s="189" t="n"/>
      <c r="N77" s="189" t="n"/>
      <c r="O77" s="189">
        <f>L77-M77</f>
        <v/>
      </c>
      <c r="P77" s="189">
        <f>K77-N77</f>
        <v/>
      </c>
      <c r="Q77" s="189">
        <f>M77+O77</f>
        <v/>
      </c>
      <c r="R77" s="189">
        <f>M77+N77+O77+P77</f>
        <v/>
      </c>
      <c r="S77" s="203">
        <f>SUM(T77:V77)</f>
        <v/>
      </c>
      <c r="T77" s="203" t="n"/>
      <c r="U77" s="203" t="n"/>
      <c r="V77" s="203" t="n"/>
      <c r="W77" s="203" t="n"/>
      <c r="X77" s="203" t="n"/>
      <c r="Y77" s="203" t="n"/>
      <c r="Z77" s="203" t="n"/>
      <c r="AA77" s="203" t="n"/>
      <c r="AB77" s="188" t="n"/>
      <c r="AC77" s="188" t="n"/>
      <c r="AD77" s="188" t="n"/>
      <c r="AE77" s="188" t="n"/>
      <c r="AF77" s="188" t="n"/>
      <c r="AG77" s="188" t="n"/>
      <c r="AH77" s="188" t="n"/>
      <c r="AI77" s="188" t="n"/>
      <c r="AJ77" s="188" t="n"/>
      <c r="AK77" s="188" t="n"/>
      <c r="AL77" s="214" t="n"/>
    </row>
    <row r="78" ht="26" customFormat="1" customHeight="1" s="180">
      <c r="A78" s="55" t="n"/>
      <c r="B78" s="234" t="n"/>
      <c r="C78" s="234" t="n"/>
      <c r="D78" s="230" t="inlineStr">
        <is>
          <t>八、研发费用</t>
        </is>
      </c>
      <c r="E78" s="235" t="n"/>
      <c r="F78" s="235" t="n"/>
      <c r="G78" s="235" t="n"/>
      <c r="H78" s="217" t="n"/>
      <c r="I78" s="217" t="n"/>
      <c r="J78" s="217">
        <f>H78+I78</f>
        <v/>
      </c>
      <c r="K78" s="217" t="n"/>
      <c r="L78" s="232">
        <f>J78-K78</f>
        <v/>
      </c>
      <c r="M78" s="237">
        <f>SUM(M74:M76)</f>
        <v/>
      </c>
      <c r="N78" s="237">
        <f>SUM(N74:N76)</f>
        <v/>
      </c>
      <c r="O78" s="237">
        <f>SUM(O74:O76)</f>
        <v/>
      </c>
      <c r="P78" s="237">
        <f>SUM(P74:P76)</f>
        <v/>
      </c>
      <c r="Q78" s="237">
        <f>SUM(Q74:Q76)</f>
        <v/>
      </c>
      <c r="R78" s="237">
        <f>SUM(R74:R76)</f>
        <v/>
      </c>
      <c r="S78" s="237">
        <f>SUM(S74:S76)</f>
        <v/>
      </c>
      <c r="T78" s="237">
        <f>SUM(T74:T76)</f>
        <v/>
      </c>
      <c r="U78" s="237">
        <f>SUM(U74:U76)</f>
        <v/>
      </c>
      <c r="V78" s="237">
        <f>SUM(V74:V76)</f>
        <v/>
      </c>
      <c r="W78" s="237">
        <f>SUM(W74:W76)</f>
        <v/>
      </c>
      <c r="X78" s="237">
        <f>SUM(X74:X76)</f>
        <v/>
      </c>
      <c r="Y78" s="237">
        <f>SUM(Y74:Y76)</f>
        <v/>
      </c>
      <c r="Z78" s="237">
        <f>SUM(Z74:Z76)</f>
        <v/>
      </c>
      <c r="AA78" s="237">
        <f>SUM(AA74:AA76)</f>
        <v/>
      </c>
      <c r="AB78" s="237">
        <f>SUM(AB74:AB76)</f>
        <v/>
      </c>
      <c r="AC78" s="237">
        <f>SUM(AC74:AC76)</f>
        <v/>
      </c>
      <c r="AD78" s="237">
        <f>SUM(AD74:AD76)</f>
        <v/>
      </c>
      <c r="AE78" s="237">
        <f>SUM(AE74:AE76)</f>
        <v/>
      </c>
      <c r="AF78" s="237">
        <f>SUM(AF74:AF76)</f>
        <v/>
      </c>
      <c r="AG78" s="237">
        <f>SUM(AG74:AG76)</f>
        <v/>
      </c>
      <c r="AH78" s="237">
        <f>SUM(AH74:AH76)</f>
        <v/>
      </c>
      <c r="AI78" s="237">
        <f>SUM(AI74:AI76)</f>
        <v/>
      </c>
      <c r="AJ78" s="237">
        <f>SUM(AJ74:AJ76)</f>
        <v/>
      </c>
      <c r="AK78" s="237">
        <f>SUM(AK74:AK76)</f>
        <v/>
      </c>
      <c r="AL78" s="238" t="n"/>
    </row>
    <row r="79" ht="26" customFormat="1" customHeight="1" s="180">
      <c r="A79" s="33" t="n">
        <v>1</v>
      </c>
      <c r="B79" s="199" t="n"/>
      <c r="C79" s="199" t="n"/>
      <c r="D79" s="218" t="n"/>
      <c r="E79" s="212" t="n"/>
      <c r="F79" s="212" t="n"/>
      <c r="G79" s="212" t="n"/>
      <c r="H79" s="189" t="n"/>
      <c r="I79" s="189" t="n"/>
      <c r="J79" s="184">
        <f>H79+I79</f>
        <v/>
      </c>
      <c r="K79" s="189" t="n"/>
      <c r="L79" s="202">
        <f>J79-K79</f>
        <v/>
      </c>
      <c r="M79" s="189" t="n"/>
      <c r="N79" s="189" t="n"/>
      <c r="O79" s="189">
        <f>L79-M79</f>
        <v/>
      </c>
      <c r="P79" s="189">
        <f>K79-N79</f>
        <v/>
      </c>
      <c r="Q79" s="189">
        <f>M79+O79</f>
        <v/>
      </c>
      <c r="R79" s="189">
        <f>M79+N79+O79+P79</f>
        <v/>
      </c>
      <c r="S79" s="203">
        <f>SUM(T79:V79)</f>
        <v/>
      </c>
      <c r="T79" s="203" t="n"/>
      <c r="U79" s="203" t="n"/>
      <c r="V79" s="203" t="n"/>
      <c r="W79" s="203" t="n"/>
      <c r="X79" s="203" t="n"/>
      <c r="Y79" s="203" t="n"/>
      <c r="Z79" s="203" t="n"/>
      <c r="AA79" s="203" t="n"/>
      <c r="AB79" s="188" t="n"/>
      <c r="AC79" s="188" t="n"/>
      <c r="AD79" s="188" t="n"/>
      <c r="AE79" s="188" t="n"/>
      <c r="AF79" s="188" t="n"/>
      <c r="AG79" s="188" t="n"/>
      <c r="AH79" s="188" t="n"/>
      <c r="AI79" s="188" t="n"/>
      <c r="AJ79" s="188" t="n"/>
      <c r="AK79" s="188" t="n"/>
      <c r="AL79" s="214" t="n"/>
    </row>
    <row r="80" ht="14" customFormat="1" customHeight="1" s="180">
      <c r="A80" s="33" t="n">
        <v>2</v>
      </c>
      <c r="B80" s="199" t="n"/>
      <c r="C80" s="199" t="n"/>
      <c r="D80" s="218" t="n"/>
      <c r="E80" s="212" t="n"/>
      <c r="F80" s="212" t="n"/>
      <c r="G80" s="212" t="n"/>
      <c r="H80" s="189" t="n"/>
      <c r="I80" s="189" t="n"/>
      <c r="J80" s="184" t="n"/>
      <c r="K80" s="189" t="n"/>
      <c r="L80" s="202" t="n"/>
      <c r="M80" s="189" t="n"/>
      <c r="N80" s="189" t="n"/>
      <c r="O80" s="189">
        <f>L80-M80</f>
        <v/>
      </c>
      <c r="P80" s="189">
        <f>K80-N80</f>
        <v/>
      </c>
      <c r="Q80" s="189">
        <f>M80+O80</f>
        <v/>
      </c>
      <c r="R80" s="189">
        <f>M80+N80+O80+P80</f>
        <v/>
      </c>
      <c r="S80" s="203">
        <f>SUM(T80:V80)</f>
        <v/>
      </c>
      <c r="T80" s="203" t="n"/>
      <c r="U80" s="203" t="n"/>
      <c r="V80" s="203" t="n"/>
      <c r="W80" s="203" t="n"/>
      <c r="X80" s="203" t="n"/>
      <c r="Y80" s="203" t="n"/>
      <c r="Z80" s="203" t="n"/>
      <c r="AA80" s="203" t="n"/>
      <c r="AB80" s="188" t="n"/>
      <c r="AC80" s="188" t="n"/>
      <c r="AD80" s="188" t="n"/>
      <c r="AE80" s="188" t="n"/>
      <c r="AF80" s="188" t="n"/>
      <c r="AG80" s="188" t="n"/>
      <c r="AH80" s="188" t="n"/>
      <c r="AI80" s="188" t="n"/>
      <c r="AJ80" s="188" t="n"/>
      <c r="AK80" s="188" t="n"/>
      <c r="AL80" s="214" t="n"/>
    </row>
    <row r="81" ht="14" customFormat="1" customHeight="1" s="3">
      <c r="A81" s="33" t="n">
        <v>3</v>
      </c>
      <c r="B81" s="199" t="n"/>
      <c r="C81" s="199" t="n"/>
      <c r="D81" s="218" t="n"/>
      <c r="E81" s="212" t="n"/>
      <c r="F81" s="212" t="n"/>
      <c r="G81" s="212" t="n"/>
      <c r="H81" s="189" t="n"/>
      <c r="I81" s="189" t="n"/>
      <c r="J81" s="184" t="n"/>
      <c r="K81" s="189" t="n"/>
      <c r="L81" s="202" t="n"/>
      <c r="M81" s="189" t="n"/>
      <c r="N81" s="189" t="n"/>
      <c r="O81" s="189">
        <f>L81-M81</f>
        <v/>
      </c>
      <c r="P81" s="189">
        <f>K81-N81</f>
        <v/>
      </c>
      <c r="Q81" s="189">
        <f>M81+O81</f>
        <v/>
      </c>
      <c r="R81" s="189">
        <f>M81+N81+O81+P81</f>
        <v/>
      </c>
      <c r="S81" s="203">
        <f>SUM(T81:V81)</f>
        <v/>
      </c>
      <c r="T81" s="203" t="n"/>
      <c r="U81" s="203" t="n"/>
      <c r="V81" s="203" t="n"/>
      <c r="W81" s="203" t="n"/>
      <c r="X81" s="203" t="n"/>
      <c r="Y81" s="203" t="n"/>
      <c r="Z81" s="203" t="n"/>
      <c r="AA81" s="203" t="n"/>
      <c r="AB81" s="188" t="n"/>
      <c r="AC81" s="188" t="n"/>
      <c r="AD81" s="188" t="n"/>
      <c r="AE81" s="188" t="n"/>
      <c r="AF81" s="188" t="n"/>
      <c r="AG81" s="188" t="n"/>
      <c r="AH81" s="188" t="n"/>
      <c r="AI81" s="188" t="n"/>
      <c r="AJ81" s="188" t="n"/>
      <c r="AK81" s="188" t="n"/>
      <c r="AL81" s="214" t="n"/>
    </row>
    <row r="82" ht="14" customHeight="1" s="159">
      <c r="A82" s="41" t="n"/>
      <c r="B82" s="215" t="n"/>
      <c r="C82" s="215" t="n"/>
      <c r="D82" s="230" t="inlineStr">
        <is>
          <t>九、成本及费用合计（三+四+五+六+七）</t>
        </is>
      </c>
      <c r="E82" s="231" t="n"/>
      <c r="F82" s="231" t="n"/>
      <c r="G82" s="231" t="n"/>
      <c r="H82" s="217">
        <f>H68+H69+H70+H71+#REF!</f>
        <v/>
      </c>
      <c r="I82" s="217">
        <f>I68+I69+I70+I71+#REF!</f>
        <v/>
      </c>
      <c r="J82" s="242">
        <f>J68+J69+J70+J71+#REF!</f>
        <v/>
      </c>
      <c r="K82" s="217">
        <f>K68+K69+K70+K71+#REF!</f>
        <v/>
      </c>
      <c r="L82" s="243">
        <f>L68+L69+L70+L71+#REF!</f>
        <v/>
      </c>
      <c r="M82" s="243">
        <f>M68+M69+M70+M71</f>
        <v/>
      </c>
      <c r="N82" s="243">
        <f>N68+N69+N70+N71</f>
        <v/>
      </c>
      <c r="O82" s="243">
        <f>O68+O69+O70+O71</f>
        <v/>
      </c>
      <c r="P82" s="243">
        <f>P68+P69+P70+P71</f>
        <v/>
      </c>
      <c r="Q82" s="243">
        <f>Q68+Q69+Q70+Q71</f>
        <v/>
      </c>
      <c r="R82" s="243">
        <f>R68+R69+R70+R71</f>
        <v/>
      </c>
      <c r="S82" s="237">
        <f>S68+S69+S70+S71</f>
        <v/>
      </c>
      <c r="T82" s="237" t="n"/>
      <c r="U82" s="237" t="n"/>
      <c r="V82" s="237" t="n"/>
      <c r="W82" s="237" t="n"/>
      <c r="X82" s="237" t="n"/>
      <c r="Y82" s="237" t="n"/>
      <c r="Z82" s="237">
        <f>Z68+Z69+Z70+Z71</f>
        <v/>
      </c>
      <c r="AA82" s="237">
        <f>AA68+AA69+AA70+AA71</f>
        <v/>
      </c>
      <c r="AB82" s="244" t="n"/>
      <c r="AC82" s="244" t="n"/>
      <c r="AD82" s="244" t="n"/>
      <c r="AE82" s="244" t="n"/>
      <c r="AF82" s="244" t="n"/>
      <c r="AG82" s="244" t="n"/>
      <c r="AH82" s="244" t="n"/>
      <c r="AI82" s="244" t="n"/>
      <c r="AJ82" s="244" t="n"/>
      <c r="AK82" s="245" t="n"/>
      <c r="AL82" s="246" t="n"/>
    </row>
    <row r="83" ht="14" customHeight="1" s="159">
      <c r="A83" s="41" t="n"/>
      <c r="B83" s="215" t="n"/>
      <c r="C83" s="215" t="n"/>
      <c r="D83" s="230" t="inlineStr">
        <is>
          <t>十、增值税实际税负（按财务数据）</t>
        </is>
      </c>
      <c r="E83" s="231" t="inlineStr">
        <is>
          <t>根据财务账面实际已缴纳增值税额+尚需缴纳的增值税额</t>
        </is>
      </c>
      <c r="F83" s="231" t="n"/>
      <c r="G83" s="231" t="n"/>
      <c r="H83" s="217" t="n"/>
      <c r="I83" s="217" t="n"/>
      <c r="J83" s="242">
        <f>H78+I78</f>
        <v/>
      </c>
      <c r="K83" s="217" t="inlineStr">
        <is>
          <t>/</t>
        </is>
      </c>
      <c r="L83" s="243" t="inlineStr">
        <is>
          <t>/</t>
        </is>
      </c>
      <c r="M83" s="243" t="n"/>
      <c r="N83" s="243">
        <f>N6-N77</f>
        <v/>
      </c>
      <c r="O83" s="243" t="n"/>
      <c r="P83" s="243" t="n"/>
      <c r="Q83" s="243" t="inlineStr">
        <is>
          <t>/</t>
        </is>
      </c>
      <c r="R83" s="243">
        <f>N78+P78</f>
        <v/>
      </c>
      <c r="S83" s="237" t="n"/>
      <c r="T83" s="237" t="n"/>
      <c r="U83" s="237" t="n"/>
      <c r="V83" s="237" t="n"/>
      <c r="W83" s="237" t="n"/>
      <c r="X83" s="237" t="n"/>
      <c r="Y83" s="237" t="n"/>
      <c r="Z83" s="237" t="n"/>
      <c r="AA83" s="237" t="n"/>
      <c r="AB83" s="244" t="n"/>
      <c r="AC83" s="244" t="n"/>
      <c r="AD83" s="244" t="n"/>
      <c r="AE83" s="244" t="n"/>
      <c r="AF83" s="244" t="n"/>
      <c r="AG83" s="244" t="n"/>
      <c r="AH83" s="244" t="n"/>
      <c r="AI83" s="244" t="n"/>
      <c r="AJ83" s="244" t="n"/>
      <c r="AK83" s="245" t="n"/>
      <c r="AL83" s="246" t="n"/>
    </row>
    <row r="84">
      <c r="A84" s="41" t="n"/>
      <c r="B84" s="215" t="n"/>
      <c r="C84" s="215" t="n"/>
      <c r="D84" s="230" t="inlineStr">
        <is>
          <t>十一、税金及附加（按财务数据）</t>
        </is>
      </c>
      <c r="E84" s="231" t="inlineStr">
        <is>
          <t>根据财务账面实际已缴纳税金及附加+尚需缴纳的税金及附加</t>
        </is>
      </c>
      <c r="F84" s="231" t="n"/>
      <c r="G84" s="231" t="n"/>
      <c r="H84" s="217" t="n"/>
      <c r="I84" s="217" t="n"/>
      <c r="J84" s="242">
        <f>H79+I79</f>
        <v/>
      </c>
      <c r="K84" s="217" t="n"/>
      <c r="L84" s="243">
        <f>J79</f>
        <v/>
      </c>
      <c r="M84" s="247" t="n">
        <v>25924.24</v>
      </c>
      <c r="N84" s="243" t="n"/>
      <c r="O84" s="243">
        <f>L79-M79</f>
        <v/>
      </c>
      <c r="P84" s="243" t="n"/>
      <c r="Q84" s="243">
        <f>M79+O79</f>
        <v/>
      </c>
      <c r="R84" s="243">
        <f>Q79</f>
        <v/>
      </c>
      <c r="S84" s="237" t="n"/>
      <c r="T84" s="237" t="n"/>
      <c r="U84" s="237" t="n"/>
      <c r="V84" s="237" t="n"/>
      <c r="W84" s="237" t="n"/>
      <c r="X84" s="237" t="n"/>
      <c r="Y84" s="237" t="n"/>
      <c r="Z84" s="237" t="n"/>
      <c r="AA84" s="237" t="n"/>
      <c r="AB84" s="244" t="n"/>
      <c r="AC84" s="244" t="n"/>
      <c r="AD84" s="244" t="n"/>
      <c r="AE84" s="244" t="n"/>
      <c r="AF84" s="244" t="n"/>
      <c r="AG84" s="244" t="n"/>
      <c r="AH84" s="244" t="n"/>
      <c r="AI84" s="244" t="n"/>
      <c r="AJ84" s="244" t="n"/>
      <c r="AK84" s="245" t="n"/>
      <c r="AL84" s="246" t="n"/>
    </row>
    <row r="85">
      <c r="A85" s="41" t="n"/>
      <c r="B85" s="215" t="n"/>
      <c r="C85" s="215" t="n"/>
      <c r="D85" s="230" t="inlineStr">
        <is>
          <t>十二、利润</t>
        </is>
      </c>
      <c r="E85" s="231" t="n"/>
      <c r="F85" s="231" t="n"/>
      <c r="G85" s="231" t="n"/>
      <c r="H85" s="217" t="n"/>
      <c r="I85" s="217" t="n"/>
      <c r="J85" s="242">
        <f>J6-J77-J78-J79</f>
        <v/>
      </c>
      <c r="K85" s="217" t="n"/>
      <c r="L85" s="243" t="n"/>
      <c r="M85" s="243" t="n"/>
      <c r="N85" s="243" t="n"/>
      <c r="O85" s="243" t="n"/>
      <c r="P85" s="243" t="n"/>
      <c r="Q85" s="243" t="n"/>
      <c r="R85" s="243" t="n"/>
      <c r="S85" s="237" t="n"/>
      <c r="T85" s="237" t="n"/>
      <c r="U85" s="237" t="n"/>
      <c r="V85" s="237" t="n"/>
      <c r="W85" s="237" t="n"/>
      <c r="X85" s="237" t="n"/>
      <c r="Y85" s="237" t="n"/>
      <c r="Z85" s="237" t="n"/>
      <c r="AA85" s="237" t="n"/>
      <c r="AB85" s="244" t="n"/>
      <c r="AC85" s="244" t="n"/>
      <c r="AD85" s="244" t="n"/>
      <c r="AE85" s="244" t="n"/>
      <c r="AF85" s="244" t="n"/>
      <c r="AG85" s="244" t="n"/>
      <c r="AH85" s="244" t="n"/>
      <c r="AI85" s="244" t="n"/>
      <c r="AJ85" s="244" t="n"/>
      <c r="AK85" s="245" t="n"/>
      <c r="AL85" s="246" t="n"/>
    </row>
    <row r="86">
      <c r="A86" s="105" t="n"/>
      <c r="B86" s="106" t="n"/>
      <c r="C86" s="106" t="n"/>
      <c r="D86" s="107" t="inlineStr">
        <is>
          <t>十三、利润率</t>
        </is>
      </c>
      <c r="E86" s="108" t="n"/>
      <c r="F86" s="108" t="n"/>
      <c r="G86" s="108" t="n"/>
      <c r="H86" s="109" t="n"/>
      <c r="I86" s="109" t="n"/>
      <c r="J86" s="109">
        <f>J80/J6</f>
        <v/>
      </c>
      <c r="K86" s="109" t="n"/>
      <c r="L86" s="127">
        <f>L80/L6</f>
        <v/>
      </c>
      <c r="M86" s="127">
        <f>M80/M6</f>
        <v/>
      </c>
      <c r="N86" s="127" t="n"/>
      <c r="O86" s="127" t="n"/>
      <c r="P86" s="127" t="n"/>
      <c r="Q86" s="127">
        <f>Q80/Q6</f>
        <v/>
      </c>
      <c r="R86" s="127">
        <f>R80/R6</f>
        <v/>
      </c>
      <c r="S86" s="142" t="n"/>
      <c r="T86" s="142" t="n"/>
      <c r="U86" s="142" t="n"/>
      <c r="V86" s="142" t="n"/>
      <c r="W86" s="142" t="n"/>
      <c r="X86" s="142" t="n"/>
      <c r="Y86" s="142" t="n"/>
      <c r="Z86" s="142" t="n"/>
      <c r="AA86" s="142" t="n"/>
      <c r="AB86" s="146" t="n"/>
      <c r="AC86" s="146" t="n"/>
      <c r="AD86" s="146" t="n"/>
      <c r="AE86" s="146" t="n"/>
      <c r="AF86" s="146" t="n"/>
      <c r="AG86" s="146" t="n"/>
      <c r="AH86" s="146" t="n"/>
      <c r="AI86" s="146" t="n"/>
      <c r="AJ86" s="146" t="n"/>
      <c r="AK86" s="154" t="n"/>
      <c r="AL86" s="155" t="n"/>
    </row>
    <row r="87">
      <c r="A87" s="111" t="n"/>
      <c r="B87" s="111" t="n"/>
      <c r="C87" s="111" t="n"/>
      <c r="D87" s="112" t="n"/>
      <c r="E87" s="113" t="n"/>
      <c r="F87" s="113" t="n"/>
      <c r="G87" s="113" t="n"/>
      <c r="H87" s="248" t="n"/>
      <c r="I87" s="248" t="n"/>
      <c r="J87" s="249" t="inlineStr">
        <is>
          <t>含税利润率</t>
        </is>
      </c>
      <c r="K87" s="250" t="n"/>
      <c r="L87" s="251" t="inlineStr">
        <is>
          <t>不含税利润率</t>
        </is>
      </c>
      <c r="M87" s="252" t="n"/>
      <c r="N87" s="252" t="n"/>
      <c r="O87" s="252" t="n"/>
      <c r="P87" s="252" t="n"/>
      <c r="Q87" s="252" t="n"/>
      <c r="R87" s="252" t="n"/>
      <c r="S87" s="252" t="n"/>
      <c r="T87" s="252" t="n"/>
      <c r="U87" s="252" t="n"/>
      <c r="V87" s="252" t="n"/>
      <c r="W87" s="252" t="n"/>
      <c r="X87" s="252" t="n"/>
      <c r="Y87" s="252" t="n"/>
      <c r="Z87" s="253" t="n"/>
      <c r="AA87" s="162" t="n"/>
      <c r="AB87" s="254" t="n"/>
      <c r="AC87" s="254" t="n"/>
      <c r="AD87" s="254" t="n"/>
      <c r="AE87" s="254" t="n"/>
      <c r="AF87" s="254" t="n"/>
      <c r="AG87" s="254" t="n"/>
      <c r="AH87" s="254" t="n"/>
      <c r="AI87" s="254" t="n"/>
      <c r="AJ87" s="254" t="n"/>
      <c r="AK87" s="254" t="n"/>
      <c r="AL87" s="156" t="n"/>
    </row>
    <row r="88">
      <c r="A88" s="111" t="n"/>
      <c r="B88" s="111" t="n"/>
      <c r="C88" s="111" t="n"/>
      <c r="D88" s="112" t="n"/>
      <c r="E88" s="113" t="n"/>
      <c r="F88" s="113" t="n"/>
      <c r="G88" s="113" t="n"/>
      <c r="H88" s="248" t="n"/>
      <c r="I88" s="248" t="n"/>
      <c r="J88" s="255" t="n"/>
      <c r="K88" s="248" t="n"/>
      <c r="L88" s="256" t="n"/>
      <c r="M88" s="252" t="n"/>
      <c r="N88" s="252" t="n"/>
      <c r="O88" s="252" t="n"/>
      <c r="P88" s="252" t="n"/>
      <c r="Q88" s="252" t="n"/>
      <c r="R88" s="252" t="n"/>
      <c r="S88" s="252" t="n"/>
      <c r="T88" s="252" t="n"/>
      <c r="U88" s="252" t="n"/>
      <c r="V88" s="252" t="n"/>
      <c r="W88" s="252" t="n"/>
      <c r="X88" s="252" t="n"/>
      <c r="Y88" s="252" t="n"/>
      <c r="Z88" s="253" t="n"/>
      <c r="AA88" s="162" t="n"/>
      <c r="AB88" s="254" t="n"/>
      <c r="AC88" s="254" t="n"/>
      <c r="AD88" s="254" t="n"/>
      <c r="AE88" s="254" t="n"/>
      <c r="AF88" s="254" t="n"/>
      <c r="AG88" s="254" t="n"/>
      <c r="AH88" s="254" t="n"/>
      <c r="AI88" s="254" t="n"/>
      <c r="AJ88" s="254" t="n"/>
      <c r="AK88" s="254" t="n"/>
      <c r="AL88" s="156" t="n"/>
    </row>
    <row r="89">
      <c r="A89" s="116" t="n"/>
      <c r="B89" s="116" t="n"/>
      <c r="C89" s="116" t="n"/>
      <c r="D89" s="117" t="n"/>
      <c r="E89" s="118" t="n"/>
      <c r="F89" s="118" t="n"/>
      <c r="G89" s="118" t="n"/>
      <c r="H89" s="119" t="n"/>
      <c r="I89" s="119" t="n"/>
      <c r="J89" s="134" t="n"/>
      <c r="K89" s="257" t="n"/>
      <c r="L89" s="257" t="n"/>
      <c r="M89" s="258" t="n"/>
      <c r="N89" s="257" t="n"/>
      <c r="O89" s="257" t="n"/>
      <c r="P89" s="259" t="n"/>
      <c r="Q89" s="259" t="n"/>
      <c r="R89" s="257" t="n"/>
      <c r="S89" s="260" t="n"/>
      <c r="T89" s="260" t="n"/>
      <c r="U89" s="260" t="n"/>
      <c r="V89" s="260" t="n"/>
      <c r="W89" s="260" t="n"/>
      <c r="X89" s="260" t="n"/>
      <c r="Y89" s="260" t="n"/>
      <c r="Z89" s="261" t="n"/>
      <c r="AA89" s="262" t="n"/>
      <c r="AD89" s="263" t="n"/>
      <c r="AE89" s="263" t="n"/>
      <c r="AF89" s="263" t="n"/>
      <c r="AG89" s="263" t="n"/>
      <c r="AH89" s="263" t="n"/>
      <c r="AI89" s="263" t="n"/>
      <c r="AJ89" s="263" t="n"/>
      <c r="AK89" s="263" t="n"/>
      <c r="AL89" s="121" t="n"/>
    </row>
    <row r="90">
      <c r="A90" s="121" t="n"/>
      <c r="B90" s="121" t="n"/>
      <c r="C90" s="121" t="n"/>
      <c r="D90" s="121" t="n"/>
      <c r="E90" s="122" t="n"/>
      <c r="F90" s="122" t="n"/>
      <c r="G90" s="122" t="n"/>
      <c r="H90" s="122" t="n"/>
      <c r="I90" s="122" t="n"/>
      <c r="J90" s="122" t="n"/>
      <c r="K90" s="264" t="n"/>
      <c r="L90" s="122" t="n"/>
      <c r="M90" s="265" t="n"/>
      <c r="N90" s="265" t="n"/>
      <c r="O90" s="265" t="n"/>
      <c r="P90" s="265" t="n"/>
      <c r="Q90" s="265" t="n"/>
      <c r="R90" s="265" t="n"/>
      <c r="S90" s="260" t="n"/>
      <c r="T90" s="260" t="n"/>
      <c r="U90" s="260" t="n"/>
      <c r="V90" s="260" t="n"/>
      <c r="W90" s="260" t="n"/>
      <c r="X90" s="260" t="n"/>
      <c r="Y90" s="260" t="n"/>
      <c r="Z90" s="265" t="n"/>
      <c r="AA90" s="263" t="n"/>
      <c r="AB90" s="263" t="n"/>
      <c r="AC90" s="263" t="n"/>
      <c r="AD90" s="263" t="n"/>
      <c r="AE90" s="263" t="n"/>
      <c r="AF90" s="263" t="n"/>
      <c r="AG90" s="263" t="n"/>
      <c r="AH90" s="263" t="n"/>
      <c r="AI90" s="263" t="n"/>
      <c r="AJ90" s="263" t="n"/>
      <c r="AK90" s="263" t="n"/>
      <c r="AL90" s="121" t="n"/>
    </row>
    <row r="91">
      <c r="A91" s="121" t="n"/>
      <c r="B91" s="121" t="n"/>
      <c r="C91" s="121" t="n"/>
      <c r="D91" s="121" t="n"/>
      <c r="E91" s="122" t="n"/>
      <c r="F91" s="122" t="n"/>
      <c r="G91" s="122" t="n"/>
      <c r="H91" s="122" t="n"/>
      <c r="I91" s="122" t="n"/>
      <c r="J91" s="122" t="n"/>
      <c r="K91" s="264" t="n"/>
      <c r="L91" s="122" t="n"/>
      <c r="M91" s="265" t="n"/>
      <c r="N91" s="265" t="n"/>
      <c r="O91" s="265" t="n"/>
      <c r="P91" s="265" t="n"/>
      <c r="Q91" s="265" t="n"/>
      <c r="R91" s="265" t="n"/>
      <c r="S91" s="260" t="n"/>
      <c r="T91" s="260" t="n"/>
      <c r="U91" s="260" t="n"/>
      <c r="V91" s="260" t="n"/>
      <c r="W91" s="260" t="n"/>
      <c r="X91" s="260" t="n"/>
      <c r="Y91" s="260" t="n"/>
      <c r="Z91" s="265" t="n"/>
      <c r="AA91" s="263" t="n"/>
      <c r="AB91" s="263" t="n"/>
      <c r="AC91" s="263" t="n"/>
      <c r="AD91" s="263" t="n"/>
      <c r="AE91" s="263" t="n"/>
      <c r="AF91" s="263" t="n"/>
      <c r="AG91" s="263" t="n"/>
      <c r="AH91" s="263" t="n"/>
      <c r="AI91" s="263" t="n"/>
      <c r="AJ91" s="263" t="n"/>
      <c r="AK91" s="263" t="n"/>
      <c r="AL91" s="121" t="n"/>
    </row>
    <row r="92">
      <c r="A92" s="121" t="n"/>
      <c r="B92" s="121" t="n"/>
      <c r="C92" s="121" t="n"/>
      <c r="D92" s="121" t="n"/>
      <c r="E92" s="123" t="n"/>
      <c r="F92" s="123" t="n"/>
      <c r="G92" s="123" t="n"/>
      <c r="H92" s="122" t="n"/>
      <c r="I92" s="122" t="n"/>
      <c r="J92" s="122" t="n"/>
      <c r="K92" s="123" t="n"/>
      <c r="L92" s="122" t="n"/>
      <c r="M92" s="265" t="n"/>
      <c r="N92" s="261" t="n"/>
      <c r="O92" s="265" t="n"/>
      <c r="P92" s="265" t="n"/>
      <c r="Q92" s="265" t="n"/>
      <c r="R92" s="257" t="n"/>
      <c r="S92" s="260" t="n"/>
      <c r="T92" s="260" t="n"/>
      <c r="U92" s="260" t="n"/>
      <c r="V92" s="260" t="n"/>
      <c r="W92" s="260" t="n"/>
      <c r="X92" s="260" t="n"/>
      <c r="Y92" s="260" t="n"/>
      <c r="Z92" s="265" t="n"/>
      <c r="AA92" s="263" t="n"/>
      <c r="AB92" s="263" t="n"/>
      <c r="AC92" s="263" t="n"/>
      <c r="AD92" s="263" t="n"/>
      <c r="AE92" s="263" t="n"/>
      <c r="AF92" s="263" t="n"/>
      <c r="AG92" s="263" t="n"/>
      <c r="AH92" s="263" t="n"/>
      <c r="AI92" s="263" t="n"/>
      <c r="AJ92" s="263" t="n"/>
      <c r="AK92" s="263" t="n"/>
      <c r="AL92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2026-04-20T08:31:40Z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