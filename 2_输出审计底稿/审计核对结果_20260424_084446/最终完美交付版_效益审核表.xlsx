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3" authorId="0" shapeId="0">
      <text>
        <t>于:
**同财务账面合同履约成本/工程施工成本/直接人工费数据一致**</t>
      </text>
    </comment>
    <comment ref="F33" authorId="0" shapeId="0">
      <text>
        <t>于:
**同财务账面合同履约成本/工程施工成本/直接人工费数据一致**</t>
      </text>
    </comment>
    <comment ref="G33" authorId="0" shapeId="0">
      <text>
        <t>于:
**同财务账面合同履约成本/工程施工成本/直接人工费数据一致**</t>
      </text>
    </comment>
    <comment ref="H33" authorId="0" shapeId="0">
      <text>
        <t>于:
**同财务账面合同履约成本/工程施工成本/直接人工费数据一致**</t>
      </text>
    </comment>
    <comment ref="I33" authorId="0" shapeId="0">
      <text>
        <t>于:
**同财务账面合同履约成本/工程施工成本/直接人工费数据一致**</t>
      </text>
    </comment>
    <comment ref="J33" authorId="0" shapeId="0">
      <text>
        <t>于:
**同财务账面合同履约成本/工程施工成本/直接人工费数据一致**</t>
      </text>
    </comment>
    <comment ref="K33" authorId="0" shapeId="0">
      <text>
        <t>于:
**同财务账面合同履约成本/工程施工成本/直接人工费数据一致**</t>
      </text>
    </comment>
    <comment ref="L33" authorId="0" shapeId="0">
      <text>
        <t>于:
**同财务账面合同履约成本/工程施工成本/直接人工费数据一致**</t>
      </text>
    </comment>
    <comment ref="M33" authorId="0" shapeId="0">
      <text>
        <t>于:
**同财务账面合同履约成本/工程施工成本/直接人工费数据一致**</t>
      </text>
    </comment>
    <comment ref="N33" authorId="0" shapeId="0">
      <text>
        <t>于:
**同财务账面合同履约成本/工程施工成本/直接人工费数据一致**</t>
      </text>
    </comment>
    <comment ref="O33" authorId="0" shapeId="0">
      <text>
        <t>于:
**同财务账面合同履约成本/工程施工成本/直接人工费数据一致**</t>
      </text>
    </comment>
    <comment ref="P33" authorId="0" shapeId="0">
      <text>
        <t>于:
**同财务账面合同履约成本/工程施工成本/直接人工费数据一致**</t>
      </text>
    </comment>
    <comment ref="Q33" authorId="0" shapeId="0">
      <text>
        <t>于:
**同财务账面合同履约成本/工程施工成本/直接人工费数据一致**</t>
      </text>
    </comment>
    <comment ref="R33" authorId="0" shapeId="0">
      <text>
        <t>于:
**同财务账面合同履约成本/工程施工成本/直接人工费数据一致**</t>
      </text>
    </comment>
    <comment ref="S33" authorId="0" shapeId="0">
      <text>
        <t>于:
**同财务账面合同履约成本/工程施工成本/直接人工费数据一致**</t>
      </text>
    </comment>
    <comment ref="T33" authorId="0" shapeId="0">
      <text>
        <t>于:
**同财务账面合同履约成本/工程施工成本/直接人工费数据一致**</t>
      </text>
    </comment>
    <comment ref="U33" authorId="0" shapeId="0">
      <text>
        <t>于:
**同财务账面合同履约成本/工程施工成本/直接人工费数据一致**</t>
      </text>
    </comment>
    <comment ref="V33" authorId="0" shapeId="0">
      <text>
        <t>于:
**同财务账面合同履约成本/工程施工成本/直接人工费数据一致**</t>
      </text>
    </comment>
    <comment ref="W33" authorId="0" shapeId="0">
      <text>
        <t>于:
**同财务账面合同履约成本/工程施工成本/直接人工费数据一致**</t>
      </text>
    </comment>
    <comment ref="X33" authorId="0" shapeId="0">
      <text>
        <t>于:
**同财务账面合同履约成本/工程施工成本/直接人工费数据一致**</t>
      </text>
    </comment>
    <comment ref="Y33" authorId="0" shapeId="0">
      <text>
        <t>于:
**同财务账面合同履约成本/工程施工成本/直接人工费数据一致**</t>
      </text>
    </comment>
    <comment ref="Z33" authorId="0" shapeId="0">
      <text>
        <t>于:
**同财务账面合同履约成本/工程施工成本/直接人工费数据一致**</t>
      </text>
    </comment>
    <comment ref="AA33" authorId="0" shapeId="0">
      <text>
        <t>于:
**同财务账面合同履约成本/工程施工成本/直接人工费数据一致**</t>
      </text>
    </comment>
    <comment ref="AB33" authorId="0" shapeId="0">
      <text>
        <t>于:
**同财务账面合同履约成本/工程施工成本/直接人工费数据一致**</t>
      </text>
    </comment>
    <comment ref="AC33" authorId="0" shapeId="0">
      <text>
        <t>于:
**同财务账面合同履约成本/工程施工成本/直接人工费数据一致**</t>
      </text>
    </comment>
    <comment ref="AD33" authorId="0" shapeId="0">
      <text>
        <t>于:
**同财务账面合同履约成本/工程施工成本/直接人工费数据一致**</t>
      </text>
    </comment>
    <comment ref="AE33" authorId="0" shapeId="0">
      <text>
        <t>于:
**同财务账面合同履约成本/工程施工成本/直接人工费数据一致**</t>
      </text>
    </comment>
    <comment ref="AF33" authorId="0" shapeId="0">
      <text>
        <t>于:
**同财务账面合同履约成本/工程施工成本/直接人工费数据一致**</t>
      </text>
    </comment>
    <comment ref="AG33" authorId="0" shapeId="0">
      <text>
        <t>于:
**同财务账面合同履约成本/工程施工成本/直接人工费数据一致**</t>
      </text>
    </comment>
    <comment ref="AH33" authorId="0" shapeId="0">
      <text>
        <t>于:
**同财务账面合同履约成本/工程施工成本/直接人工费数据一致**</t>
      </text>
    </comment>
    <comment ref="AI33" authorId="0" shapeId="0">
      <text>
        <t>于:
**同财务账面合同履约成本/工程施工成本/直接人工费数据一致**</t>
      </text>
    </comment>
    <comment ref="AJ33" authorId="0" shapeId="0">
      <text>
        <t>于:
**同财务账面合同履约成本/工程施工成本/直接人工费数据一致**</t>
      </text>
    </comment>
    <comment ref="AK33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7" authorId="1" shapeId="0">
      <text>
        <t>**同财务账面合同履约成本/工程施工成本/间接费数据一致**</t>
      </text>
    </comment>
    <comment ref="D195" authorId="2" shapeId="0">
      <text>
        <t>（在建：房建0.6%，其它0.4%；在保修期间的按0.3~0.5%自行确定;保修期结束为0）</t>
      </text>
    </comment>
    <comment ref="E20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1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79" t="n"/>
      <c r="B32" s="280" t="n"/>
      <c r="C32" s="280" t="n"/>
      <c r="D32" s="291" t="inlineStr">
        <is>
          <t>**财务未列部分需增列***</t>
        </is>
      </c>
      <c r="E32" s="292" t="n"/>
      <c r="F32" s="292" t="n"/>
      <c r="G32" s="292" t="n"/>
      <c r="H32" s="282" t="n"/>
      <c r="I32" s="282" t="n"/>
      <c r="J32" s="282" t="n"/>
      <c r="K32" s="283" t="n"/>
      <c r="L32" s="284" t="n"/>
      <c r="M32" s="282" t="n"/>
      <c r="N32" s="282" t="n"/>
      <c r="O32" s="282">
        <f>L32-M32</f>
        <v/>
      </c>
      <c r="P32" s="282">
        <f>K32-N32</f>
        <v/>
      </c>
      <c r="Q32" s="282">
        <f>M32+O32</f>
        <v/>
      </c>
      <c r="R32" s="282">
        <f>M32+N32+O32+P32</f>
        <v/>
      </c>
      <c r="S32" s="286">
        <f>SUM(T32:V32)</f>
        <v/>
      </c>
      <c r="T32" s="282" t="n"/>
      <c r="U32" s="282" t="n"/>
      <c r="V32" s="282" t="n"/>
      <c r="W32" s="282" t="n"/>
      <c r="X32" s="282" t="n"/>
      <c r="Y32" s="282" t="n"/>
      <c r="Z32" s="282">
        <f>SUM(AA16:AJ16)</f>
        <v/>
      </c>
      <c r="AA32" s="293" t="n"/>
      <c r="AB32" s="287" t="n"/>
      <c r="AC32" s="287" t="n"/>
      <c r="AD32" s="287" t="n"/>
      <c r="AE32" s="287" t="n"/>
      <c r="AF32" s="287" t="n"/>
      <c r="AG32" s="287" t="n"/>
      <c r="AH32" s="287" t="n"/>
      <c r="AI32" s="287" t="n"/>
      <c r="AJ32" s="287" t="n"/>
      <c r="AK32" s="287">
        <f>AB16/1.17*0.17+AC16/1.16*0.16+AD16/1.11*0.11+AE16/1.1*0.1+AF16/1.09*0.09+AI16/1.03*0.03</f>
        <v/>
      </c>
      <c r="AL32" s="294" t="n"/>
    </row>
    <row r="33" ht="14" customFormat="1" customHeight="1" s="180">
      <c r="A33" s="295" t="n"/>
      <c r="B33" s="296" t="n"/>
      <c r="C33" s="296" t="n"/>
      <c r="D33" s="297" t="inlineStr">
        <is>
          <t>人工费小计：</t>
        </is>
      </c>
      <c r="E33" s="298">
        <f>SUM(E12:E32)</f>
        <v/>
      </c>
      <c r="F33" s="298">
        <f>SUM(F12:F32)</f>
        <v/>
      </c>
      <c r="G33" s="298">
        <f>SUM(G12:G32)</f>
        <v/>
      </c>
      <c r="H33" s="298">
        <f>SUM(H12:H32)</f>
        <v/>
      </c>
      <c r="I33" s="298">
        <f>SUM(I12:I32)</f>
        <v/>
      </c>
      <c r="J33" s="298">
        <f>SUM(J12:J32)</f>
        <v/>
      </c>
      <c r="K33" s="298">
        <f>SUM(K12:K32)</f>
        <v/>
      </c>
      <c r="L33" s="298">
        <f>SUM(L12:L32)</f>
        <v/>
      </c>
      <c r="M33" s="298">
        <f>SUM(M12:M32)</f>
        <v/>
      </c>
      <c r="N33" s="298">
        <f>SUM(N12:N32)</f>
        <v/>
      </c>
      <c r="O33" s="298">
        <f>SUM(O12:O32)</f>
        <v/>
      </c>
      <c r="P33" s="298">
        <f>SUM(P12:P32)</f>
        <v/>
      </c>
      <c r="Q33" s="298">
        <f>SUM(Q12:Q32)</f>
        <v/>
      </c>
      <c r="R33" s="298">
        <f>SUM(R12:R32)</f>
        <v/>
      </c>
      <c r="S33" s="298">
        <f>SUM(S12:S32)</f>
        <v/>
      </c>
      <c r="T33" s="298">
        <f>SUM(T12:T32)</f>
        <v/>
      </c>
      <c r="U33" s="298">
        <f>SUM(U12:U32)</f>
        <v/>
      </c>
      <c r="V33" s="298">
        <f>SUM(V12:V32)</f>
        <v/>
      </c>
      <c r="W33" s="298">
        <f>SUM(W12:W32)</f>
        <v/>
      </c>
      <c r="X33" s="298">
        <f>SUM(X12:X32)</f>
        <v/>
      </c>
      <c r="Y33" s="298">
        <f>SUM(Y12:Y32)</f>
        <v/>
      </c>
      <c r="Z33" s="298">
        <f>SUM(Z12:Z32)</f>
        <v/>
      </c>
      <c r="AA33" s="298">
        <f>SUM(AA12:AA32)</f>
        <v/>
      </c>
      <c r="AB33" s="298">
        <f>SUM(AB12:AB32)</f>
        <v/>
      </c>
      <c r="AC33" s="298">
        <f>SUM(AC12:AC32)</f>
        <v/>
      </c>
      <c r="AD33" s="298">
        <f>SUM(AD12:AD32)</f>
        <v/>
      </c>
      <c r="AE33" s="298">
        <f>SUM(AE12:AE32)</f>
        <v/>
      </c>
      <c r="AF33" s="298">
        <f>SUM(AF12:AF32)</f>
        <v/>
      </c>
      <c r="AG33" s="298">
        <f>SUM(AG12:AG32)</f>
        <v/>
      </c>
      <c r="AH33" s="298">
        <f>SUM(AH12:AH32)</f>
        <v/>
      </c>
      <c r="AI33" s="298">
        <f>SUM(AI12:AI32)</f>
        <v/>
      </c>
      <c r="AJ33" s="298">
        <f>SUM(AJ12:AJ32)</f>
        <v/>
      </c>
      <c r="AK33" s="298">
        <f>SUM(AK12:AK32)</f>
        <v/>
      </c>
      <c r="AL33" s="288" t="n"/>
    </row>
    <row r="34" ht="14" customFormat="1" customHeight="1" s="180">
      <c r="A34" s="279" t="n"/>
      <c r="B34" s="280" t="n"/>
      <c r="C34" s="280" t="n"/>
      <c r="D34" s="299" t="inlineStr">
        <is>
          <t>（二）分包工程</t>
        </is>
      </c>
      <c r="E34" s="280" t="n"/>
      <c r="F34" s="280" t="n"/>
      <c r="G34" s="280" t="n"/>
      <c r="H34" s="282" t="n"/>
      <c r="I34" s="282" t="n"/>
      <c r="J34" s="282" t="n"/>
      <c r="K34" s="283" t="n"/>
      <c r="L34" s="284" t="n"/>
      <c r="M34" s="282" t="n"/>
      <c r="N34" s="282" t="n"/>
      <c r="O34" s="282">
        <f>L34-M34</f>
        <v/>
      </c>
      <c r="P34" s="282">
        <f>K34-N34</f>
        <v/>
      </c>
      <c r="Q34" s="282">
        <f>M34+O34</f>
        <v/>
      </c>
      <c r="R34" s="282">
        <f>M34+N34+O34+P34</f>
        <v/>
      </c>
      <c r="S34" s="286">
        <f>SUM(T34:V34)</f>
        <v/>
      </c>
      <c r="T34" s="286" t="n"/>
      <c r="U34" s="286" t="n"/>
      <c r="V34" s="286" t="n"/>
      <c r="W34" s="286" t="n"/>
      <c r="X34" s="286" t="n"/>
      <c r="Y34" s="286" t="n"/>
      <c r="Z34" s="286" t="n"/>
      <c r="AA34" s="286" t="n"/>
      <c r="AB34" s="286" t="n"/>
      <c r="AC34" s="286" t="n"/>
      <c r="AD34" s="286" t="n"/>
      <c r="AE34" s="286" t="n"/>
      <c r="AF34" s="286" t="n"/>
      <c r="AG34" s="286" t="n"/>
      <c r="AH34" s="286" t="n"/>
      <c r="AI34" s="286" t="n"/>
      <c r="AJ34" s="286" t="n"/>
      <c r="AK34" s="287">
        <f>AB18/1.17*0.17+AC18/1.16*0.16+AD18/1.11*0.11+AE18/1.1*0.1+AF18/1.09*0.09+AI18/1.03*0.03</f>
        <v/>
      </c>
      <c r="AL34" s="288" t="n"/>
    </row>
    <row r="35" ht="14" customFormat="1" customHeight="1" s="180">
      <c r="A35" s="206" t="n">
        <v>1</v>
      </c>
      <c r="B35" s="206" t="inlineStr">
        <is>
          <t>100217528</t>
        </is>
      </c>
      <c r="C35" s="207" t="inlineStr">
        <is>
          <t>中建四局0200202101803017</t>
        </is>
      </c>
      <c r="D35" s="207" t="inlineStr">
        <is>
          <t>佛山市耀盈活动房屋有限公司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6" t="n"/>
      <c r="M35" s="210" t="n">
        <v>461205.33</v>
      </c>
      <c r="N35" s="210" t="n">
        <v>61180.3</v>
      </c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10" t="n">
        <v>507773.85</v>
      </c>
      <c r="U35" s="206" t="n"/>
      <c r="V35" s="206" t="n"/>
      <c r="W35" s="290" t="n"/>
      <c r="X35" s="290" t="n"/>
      <c r="Y35" s="290" t="n"/>
      <c r="Z35" s="290" t="n"/>
      <c r="AA35" s="290" t="n"/>
      <c r="AB35" s="290" t="n"/>
      <c r="AC35" s="290" t="n"/>
      <c r="AD35" s="290" t="n"/>
      <c r="AE35" s="290" t="n"/>
      <c r="AF35" s="290" t="n"/>
      <c r="AG35" s="290" t="n"/>
      <c r="AH35" s="290" t="n"/>
      <c r="AI35" s="290" t="n"/>
      <c r="AJ35" s="290" t="n"/>
      <c r="AK35" s="290" t="n"/>
      <c r="AL35" s="290" t="n"/>
    </row>
    <row r="36" ht="14" customFormat="1" customHeight="1" s="180">
      <c r="A36" s="206" t="n">
        <v>2</v>
      </c>
      <c r="B36" s="206" t="inlineStr">
        <is>
          <t>200120407</t>
        </is>
      </c>
      <c r="C36" s="207" t="inlineStr">
        <is>
          <t>中建四局0200202101803011</t>
        </is>
      </c>
      <c r="D36" s="207" t="inlineStr">
        <is>
          <t>广东华海建设集团有限公司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17622990.53</v>
      </c>
      <c r="N36" s="210" t="n">
        <v>1620857.48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17382710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3</v>
      </c>
      <c r="B37" s="206" t="inlineStr">
        <is>
          <t>200393732</t>
        </is>
      </c>
      <c r="C37" s="207" t="inlineStr">
        <is>
          <t>中建四局020020210018030002</t>
        </is>
      </c>
      <c r="D37" s="207" t="inlineStr">
        <is>
          <t>广东城投建设集团有限公司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1164215.34</v>
      </c>
      <c r="N37" s="210" t="n">
        <v>108019.98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1215005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4</v>
      </c>
      <c r="B38" s="206" t="inlineStr">
        <is>
          <t>200430199</t>
        </is>
      </c>
      <c r="C38" s="207" t="inlineStr">
        <is>
          <t>中建四局0200202101803023</t>
        </is>
      </c>
      <c r="D38" s="207" t="inlineStr">
        <is>
          <t>广东振华建筑有限公司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422454.4</v>
      </c>
      <c r="N38" s="210" t="n">
        <v>13065.6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260000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5</v>
      </c>
      <c r="B39" s="206" t="inlineStr">
        <is>
          <t>200053581</t>
        </is>
      </c>
      <c r="C39" s="207" t="inlineStr">
        <is>
          <t>中建四局0200202101803003</t>
        </is>
      </c>
      <c r="D39" s="207" t="inlineStr">
        <is>
          <t>广东粤忠晟保安服务有限公司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2383550.91</v>
      </c>
      <c r="N39" s="210" t="n">
        <v>122373.19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2284661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6</v>
      </c>
      <c r="B40" s="206" t="inlineStr">
        <is>
          <t>100095592</t>
        </is>
      </c>
      <c r="C40" s="207" t="inlineStr">
        <is>
          <t>中建四局0200202101803005</t>
        </is>
      </c>
      <c r="D40" s="207" t="inlineStr">
        <is>
          <t>广东金华城建设集团有限公司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9646066.359999999</v>
      </c>
      <c r="N40" s="210" t="n">
        <v>889462.14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9688900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7</v>
      </c>
      <c r="B41" s="206" t="inlineStr">
        <is>
          <t>200350492</t>
        </is>
      </c>
      <c r="C41" s="207" t="inlineStr">
        <is>
          <t>中建四局0200202101803010</t>
        </is>
      </c>
      <c r="D41" s="207" t="inlineStr">
        <is>
          <t>广东鑫弘盛建设工程有限公司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31780341.05</v>
      </c>
      <c r="N41" s="210" t="n">
        <v>2928739.94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34881345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8</v>
      </c>
      <c r="B42" s="206" t="inlineStr">
        <is>
          <t>200167577</t>
        </is>
      </c>
      <c r="C42" s="207" t="inlineStr">
        <is>
          <t>中建四局0200202101803018</t>
        </is>
      </c>
      <c r="D42" s="207" t="inlineStr">
        <is>
          <t>广州巧艺佳建筑装饰工程有限公司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678606.99</v>
      </c>
      <c r="N42" s="210" t="n">
        <v>62680.61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756733.7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9</v>
      </c>
      <c r="B43" s="206" t="inlineStr">
        <is>
          <t>200167577</t>
        </is>
      </c>
      <c r="C43" s="207" t="inlineStr">
        <is>
          <t>中建四局0200202101803019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1543302.24</v>
      </c>
      <c r="N43" s="210" t="n">
        <v>142971.95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1731549.1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10</v>
      </c>
      <c r="B44" s="206" t="inlineStr">
        <is>
          <t>100060432</t>
        </is>
      </c>
      <c r="C44" s="207" t="inlineStr">
        <is>
          <t>中建四局0200202101803004</t>
        </is>
      </c>
      <c r="D44" s="207" t="inlineStr">
        <is>
          <t>广州市亲力劳务派遣有限公司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14558358.96</v>
      </c>
      <c r="N44" s="210" t="n">
        <v>448169.28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14546400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11</v>
      </c>
      <c r="B45" s="206" t="inlineStr">
        <is>
          <t>100060432</t>
        </is>
      </c>
      <c r="C45" s="207" t="inlineStr">
        <is>
          <t>中建四局0200202101803014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40402570.47</v>
      </c>
      <c r="N45" s="210" t="n">
        <v>1242269.38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42593124.4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12</v>
      </c>
      <c r="B46" s="206" t="inlineStr">
        <is>
          <t>200328198</t>
        </is>
      </c>
      <c r="C46" s="207" t="inlineStr">
        <is>
          <t>中建四局0200202101803022</t>
        </is>
      </c>
      <c r="D46" s="207" t="inlineStr">
        <is>
          <t>广州市华居宝建筑装饰工程实业有限公司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4222327.28</v>
      </c>
      <c r="N46" s="210" t="n">
        <v>389361.13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4669100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13</v>
      </c>
      <c r="B47" s="206" t="inlineStr">
        <is>
          <t>100006039</t>
        </is>
      </c>
      <c r="C47" s="207" t="inlineStr">
        <is>
          <t>中建四局0200202101803016</t>
        </is>
      </c>
      <c r="D47" s="207" t="inlineStr">
        <is>
          <t>广州市桃园建材有限公司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229902.49</v>
      </c>
      <c r="N47" s="210" t="n">
        <v>7082.56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243167.55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14</v>
      </c>
      <c r="B48" s="206" t="inlineStr">
        <is>
          <t>200163448</t>
        </is>
      </c>
      <c r="C48" s="207" t="inlineStr">
        <is>
          <t>中建四局020020210018030001</t>
        </is>
      </c>
      <c r="D48" s="207" t="inlineStr">
        <is>
          <t>广州市森平装饰材料有限公司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1025077.57</v>
      </c>
      <c r="N48" s="210" t="n">
        <v>95110.28999999999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953000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15</v>
      </c>
      <c r="B49" s="206" t="inlineStr">
        <is>
          <t>200524589</t>
        </is>
      </c>
      <c r="C49" s="207" t="inlineStr">
        <is>
          <t>中建四局0200202101803020</t>
        </is>
      </c>
      <c r="D49" s="207" t="inlineStr">
        <is>
          <t>广州新广建设工程有限公司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1270396</v>
      </c>
      <c r="N49" s="210" t="n">
        <v>116872.2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1412300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16</v>
      </c>
      <c r="B50" s="206" t="inlineStr">
        <is>
          <t>200310203</t>
        </is>
      </c>
      <c r="C50" s="207" t="inlineStr">
        <is>
          <t>中建四局02002021018030025</t>
        </is>
      </c>
      <c r="D50" s="207" t="inlineStr">
        <is>
          <t>广州爱创广告策划有限公司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440556.7</v>
      </c>
      <c r="N50" s="210" t="n">
        <v>27250.93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481000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17</v>
      </c>
      <c r="B51" s="206" t="inlineStr">
        <is>
          <t>100082913</t>
        </is>
      </c>
      <c r="C51" s="207" t="inlineStr">
        <is>
          <t>中建四局0200202101803024</t>
        </is>
      </c>
      <c r="D51" s="207" t="inlineStr">
        <is>
          <t>广州盛绿建材有限公司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691816.8</v>
      </c>
      <c r="N51" s="210" t="n">
        <v>64189.19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685000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18</v>
      </c>
      <c r="B52" s="206" t="inlineStr">
        <is>
          <t>100217147</t>
        </is>
      </c>
      <c r="C52" s="207" t="inlineStr">
        <is>
          <t>中建四局0200202101803006</t>
        </is>
      </c>
      <c r="D52" s="207" t="inlineStr">
        <is>
          <t>广州精诚建筑劳务有限公司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5332586.7</v>
      </c>
      <c r="N52" s="210" t="n">
        <v>491883.5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5957255.62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19</v>
      </c>
      <c r="B53" s="206" t="inlineStr">
        <is>
          <t>200050849</t>
        </is>
      </c>
      <c r="C53" s="207" t="inlineStr">
        <is>
          <t>中建四局0200202101803009</t>
        </is>
      </c>
      <c r="D53" s="207" t="inlineStr">
        <is>
          <t>广州轲达土石方工程有限公司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4591554.32</v>
      </c>
      <c r="N53" s="210" t="n">
        <v>425595.11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4881700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20</v>
      </c>
      <c r="B54" s="206" t="inlineStr">
        <is>
          <t>200140248</t>
        </is>
      </c>
      <c r="C54" s="207" t="inlineStr">
        <is>
          <t>中建四局0200202101803001</t>
        </is>
      </c>
      <c r="D54" s="207" t="inlineStr">
        <is>
          <t>广州陇飞广告有限公司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1310979.55</v>
      </c>
      <c r="N54" s="210" t="n">
        <v>35791.76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1378952.99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21</v>
      </c>
      <c r="B55" s="206" t="inlineStr">
        <is>
          <t>200098421</t>
        </is>
      </c>
      <c r="C55" s="207" t="inlineStr">
        <is>
          <t>中建四局0200202101803015</t>
        </is>
      </c>
      <c r="D55" s="207" t="inlineStr">
        <is>
          <t>广州鸿伟广告工程有限公司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275636.96</v>
      </c>
      <c r="N55" s="210" t="n">
        <v>8437.870000000001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282000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22</v>
      </c>
      <c r="B56" s="206" t="inlineStr">
        <is>
          <t>100089001</t>
        </is>
      </c>
      <c r="C56" s="207" t="inlineStr">
        <is>
          <t>中建四局0200202101803002</t>
        </is>
      </c>
      <c r="D56" s="207" t="inlineStr">
        <is>
          <t>正工模块化建筑科技（深圳）有限公司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1028396.83</v>
      </c>
      <c r="N56" s="210" t="n">
        <v>136848.07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1189525.58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23</v>
      </c>
      <c r="B57" s="206" t="inlineStr">
        <is>
          <t>100089001</t>
        </is>
      </c>
      <c r="C57" s="207" t="inlineStr">
        <is>
          <t>中建四局0200202101803008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863347.49</v>
      </c>
      <c r="N57" s="210" t="n">
        <v>114830.34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998140.64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24</v>
      </c>
      <c r="B58" s="206" t="inlineStr">
        <is>
          <t>100089014</t>
        </is>
      </c>
      <c r="C58" s="207" t="inlineStr">
        <is>
          <t>中建四局0200202101803012</t>
        </is>
      </c>
      <c r="D58" s="207" t="inlineStr">
        <is>
          <t>江西志特新材料股份有限公司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8910792.42</v>
      </c>
      <c r="N58" s="210" t="n">
        <v>1184934.15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10299812.4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25</v>
      </c>
      <c r="B59" s="206" t="inlineStr">
        <is>
          <t>200447949</t>
        </is>
      </c>
      <c r="C59" s="207" t="inlineStr">
        <is>
          <t>中建四局0200202101803007</t>
        </is>
      </c>
      <c r="D59" s="207" t="inlineStr">
        <is>
          <t>深圳市他拍档科技有限公司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1200868.51</v>
      </c>
      <c r="N59" s="210" t="n">
        <v>108396.07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1308300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26</v>
      </c>
      <c r="B60" s="206" t="inlineStr">
        <is>
          <t>200280905</t>
        </is>
      </c>
      <c r="C60" s="207" t="inlineStr">
        <is>
          <t>中建四局0200202101803013</t>
        </is>
      </c>
      <c r="D60" s="207" t="inlineStr">
        <is>
          <t>深圳市宏富丽晶建筑装饰工程有限公司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360003.32</v>
      </c>
      <c r="N60" s="210" t="n">
        <v>33118.76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401100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27</v>
      </c>
      <c r="B61" s="206" t="inlineStr">
        <is>
          <t>200165033</t>
        </is>
      </c>
      <c r="C61" s="207" t="inlineStr">
        <is>
          <t>中建四局0200202101803021</t>
        </is>
      </c>
      <c r="D61" s="207" t="inlineStr">
        <is>
          <t>深圳市鹏兴机电工程有限公司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31380176.19</v>
      </c>
      <c r="N61" s="210" t="n">
        <v>2909197.29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33467842.59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79" t="n"/>
      <c r="B62" s="280" t="n"/>
      <c r="C62" s="280" t="n"/>
      <c r="D62" s="291" t="inlineStr">
        <is>
          <t>**财务未列部分需增列***</t>
        </is>
      </c>
      <c r="E62" s="300" t="n"/>
      <c r="F62" s="300" t="n"/>
      <c r="G62" s="300" t="n"/>
      <c r="H62" s="282" t="n"/>
      <c r="I62" s="282" t="n"/>
      <c r="J62" s="282" t="n"/>
      <c r="K62" s="283" t="n"/>
      <c r="L62" s="284" t="n"/>
      <c r="M62" s="282" t="n"/>
      <c r="N62" s="282" t="n"/>
      <c r="O62" s="282">
        <f>L62-M62</f>
        <v/>
      </c>
      <c r="P62" s="282">
        <f>K62-N62</f>
        <v/>
      </c>
      <c r="Q62" s="282">
        <f>M62+O62</f>
        <v/>
      </c>
      <c r="R62" s="282">
        <f>M62+N62+O62+P62</f>
        <v/>
      </c>
      <c r="S62" s="286">
        <f>SUM(T62:V62)</f>
        <v/>
      </c>
      <c r="T62" s="282" t="n"/>
      <c r="U62" s="282" t="n"/>
      <c r="V62" s="282" t="n"/>
      <c r="W62" s="282" t="n"/>
      <c r="X62" s="282" t="n"/>
      <c r="Y62" s="282" t="n"/>
      <c r="Z62" s="286" t="n"/>
      <c r="AA62" s="286" t="n"/>
      <c r="AB62" s="287" t="n"/>
      <c r="AC62" s="287" t="n"/>
      <c r="AD62" s="287" t="n"/>
      <c r="AE62" s="287" t="n"/>
      <c r="AF62" s="287" t="n"/>
      <c r="AG62" s="287" t="n"/>
      <c r="AH62" s="287" t="n"/>
      <c r="AI62" s="287" t="n"/>
      <c r="AJ62" s="287" t="n"/>
      <c r="AK62" s="287">
        <f>AB22/1.17*0.17+AC22/1.16*0.16+AD22/1.11*0.11+AE22/1.1*0.1+AF22/1.09*0.09+AI22/1.03*0.03</f>
        <v/>
      </c>
      <c r="AL62" s="294" t="n"/>
    </row>
    <row r="63" ht="14" customFormat="1" customHeight="1" s="180">
      <c r="A63" s="295" t="n"/>
      <c r="B63" s="296" t="n"/>
      <c r="C63" s="296" t="n"/>
      <c r="D63" s="297" t="inlineStr">
        <is>
          <t>分包工程小计：</t>
        </is>
      </c>
      <c r="E63" s="298">
        <f>SUM(E34:E62)</f>
        <v/>
      </c>
      <c r="F63" s="298">
        <f>SUM(F34:F62)</f>
        <v/>
      </c>
      <c r="G63" s="298">
        <f>SUM(G34:G62)</f>
        <v/>
      </c>
      <c r="H63" s="298">
        <f>SUM(H34:H62)</f>
        <v/>
      </c>
      <c r="I63" s="298">
        <f>SUM(I34:I62)</f>
        <v/>
      </c>
      <c r="J63" s="298">
        <f>SUM(J34:J62)</f>
        <v/>
      </c>
      <c r="K63" s="298">
        <f>SUM(K34:K62)</f>
        <v/>
      </c>
      <c r="L63" s="298">
        <f>SUM(L34:L62)</f>
        <v/>
      </c>
      <c r="M63" s="298">
        <f>SUM(M34:M62)</f>
        <v/>
      </c>
      <c r="N63" s="298">
        <f>SUM(N34:N62)</f>
        <v/>
      </c>
      <c r="O63" s="298">
        <f>SUM(O34:O62)</f>
        <v/>
      </c>
      <c r="P63" s="298">
        <f>SUM(P34:P62)</f>
        <v/>
      </c>
      <c r="Q63" s="298">
        <f>SUM(Q34:Q62)</f>
        <v/>
      </c>
      <c r="R63" s="298">
        <f>SUM(R34:R62)</f>
        <v/>
      </c>
      <c r="S63" s="298">
        <f>SUM(S34:S62)</f>
        <v/>
      </c>
      <c r="T63" s="298">
        <f>SUM(T34:T62)</f>
        <v/>
      </c>
      <c r="U63" s="298">
        <f>SUM(U34:U62)</f>
        <v/>
      </c>
      <c r="V63" s="298">
        <f>SUM(V34:V62)</f>
        <v/>
      </c>
      <c r="W63" s="298">
        <f>SUM(W34:W62)</f>
        <v/>
      </c>
      <c r="X63" s="298">
        <f>SUM(X34:X62)</f>
        <v/>
      </c>
      <c r="Y63" s="298">
        <f>SUM(Y34:Y62)</f>
        <v/>
      </c>
      <c r="Z63" s="298">
        <f>SUM(Z34:Z62)</f>
        <v/>
      </c>
      <c r="AA63" s="298">
        <f>SUM(AA34:AA62)</f>
        <v/>
      </c>
      <c r="AB63" s="298">
        <f>SUM(AB34:AB62)</f>
        <v/>
      </c>
      <c r="AC63" s="298">
        <f>SUM(AC34:AC62)</f>
        <v/>
      </c>
      <c r="AD63" s="298">
        <f>SUM(AD34:AD62)</f>
        <v/>
      </c>
      <c r="AE63" s="298">
        <f>SUM(AE34:AE62)</f>
        <v/>
      </c>
      <c r="AF63" s="298">
        <f>SUM(AF34:AF62)</f>
        <v/>
      </c>
      <c r="AG63" s="298">
        <f>SUM(AG34:AG62)</f>
        <v/>
      </c>
      <c r="AH63" s="298">
        <f>SUM(AH34:AH62)</f>
        <v/>
      </c>
      <c r="AI63" s="298">
        <f>SUM(AI34:AI62)</f>
        <v/>
      </c>
      <c r="AJ63" s="298">
        <f>SUM(AJ34:AJ62)</f>
        <v/>
      </c>
      <c r="AK63" s="298">
        <f>SUM(AK34:AK62)</f>
        <v/>
      </c>
      <c r="AL63" s="288" t="n"/>
    </row>
    <row r="64" ht="14" customFormat="1" customHeight="1" s="180">
      <c r="A64" s="279" t="n"/>
      <c r="B64" s="280" t="n"/>
      <c r="C64" s="280" t="n"/>
      <c r="D64" s="299" t="inlineStr">
        <is>
          <t>(三)材料费</t>
        </is>
      </c>
      <c r="E64" s="280" t="n"/>
      <c r="F64" s="280" t="n"/>
      <c r="G64" s="28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6" t="n"/>
      <c r="U64" s="286" t="n"/>
      <c r="V64" s="286" t="n"/>
      <c r="W64" s="286" t="n"/>
      <c r="X64" s="286" t="n"/>
      <c r="Y64" s="286" t="n"/>
      <c r="Z64" s="286" t="n"/>
      <c r="AA64" s="286" t="n"/>
      <c r="AB64" s="301" t="n"/>
      <c r="AC64" s="301" t="n"/>
      <c r="AD64" s="301" t="n"/>
      <c r="AE64" s="301" t="n"/>
      <c r="AF64" s="301" t="n"/>
      <c r="AG64" s="301" t="n"/>
      <c r="AH64" s="301" t="n"/>
      <c r="AI64" s="301" t="n"/>
      <c r="AJ64" s="301" t="n"/>
      <c r="AK64" s="287">
        <f>AB24/1.17*0.17+AC24/1.16*0.16+AD24/1.11*0.11+AE24/1.1*0.1+AF24/1.09*0.09+AI24/1.03*0.03</f>
        <v/>
      </c>
      <c r="AL64" s="302" t="n"/>
    </row>
    <row r="65" ht="14" customFormat="1" customHeight="1" s="180">
      <c r="A65" s="279" t="n"/>
      <c r="B65" s="280" t="n"/>
      <c r="C65" s="280" t="n"/>
      <c r="D65" s="282" t="inlineStr">
        <is>
          <t>（1）集中采购</t>
        </is>
      </c>
      <c r="E65" s="280" t="n"/>
      <c r="F65" s="280" t="n"/>
      <c r="G65" s="280" t="n"/>
      <c r="H65" s="282" t="n"/>
      <c r="I65" s="282" t="n"/>
      <c r="J65" s="282" t="n"/>
      <c r="K65" s="283" t="n"/>
      <c r="L65" s="284" t="n"/>
      <c r="M65" s="282" t="n"/>
      <c r="N65" s="282" t="n"/>
      <c r="O65" s="282">
        <f>L65-M65</f>
        <v/>
      </c>
      <c r="P65" s="282">
        <f>K65-N65</f>
        <v/>
      </c>
      <c r="Q65" s="282">
        <f>M65+O65</f>
        <v/>
      </c>
      <c r="R65" s="282">
        <f>M65+N65+O65+P65</f>
        <v/>
      </c>
      <c r="S65" s="286">
        <f>SUM(T65:V65)</f>
        <v/>
      </c>
      <c r="T65" s="286" t="n"/>
      <c r="U65" s="286" t="n"/>
      <c r="V65" s="286" t="n"/>
      <c r="W65" s="286" t="n"/>
      <c r="X65" s="286" t="n"/>
      <c r="Y65" s="286" t="n"/>
      <c r="Z65" s="286" t="n"/>
      <c r="AA65" s="286" t="n"/>
      <c r="AB65" s="301" t="n"/>
      <c r="AC65" s="301" t="n"/>
      <c r="AD65" s="301" t="n"/>
      <c r="AE65" s="301" t="n"/>
      <c r="AF65" s="301" t="n"/>
      <c r="AG65" s="301" t="n"/>
      <c r="AH65" s="301" t="n"/>
      <c r="AI65" s="301" t="n"/>
      <c r="AJ65" s="301" t="n"/>
      <c r="AK65" s="287">
        <f>AB25/1.17*0.17+AC25/1.16*0.16+AD25/1.11*0.11+AE25/1.1*0.1+AF25/1.09*0.09+AI25/1.03*0.03</f>
        <v/>
      </c>
      <c r="AL65" s="302" t="n"/>
    </row>
    <row r="66" ht="14" customFormat="1" customHeight="1" s="180">
      <c r="A66" s="33" t="n"/>
      <c r="B66" s="199" t="n"/>
      <c r="C66" s="199" t="n"/>
      <c r="D66" s="222" t="n"/>
      <c r="E66" s="213" t="n"/>
      <c r="F66" s="213" t="n"/>
      <c r="G66" s="213" t="n"/>
      <c r="H66" s="189" t="n"/>
      <c r="I66" s="189" t="n"/>
      <c r="J66" s="189" t="n"/>
      <c r="K66" s="201" t="n"/>
      <c r="L66" s="303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189">
        <f>SUM(AA26:AJ26)</f>
        <v/>
      </c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AB26/1.17*0.17+AC26/1.16*0.16+AD26/1.11*0.11+AE26/1.1*0.1+AF26/1.09*0.09+AI26/1.03*0.03</f>
        <v/>
      </c>
      <c r="AL66" s="221" t="n"/>
    </row>
    <row r="67" ht="14" customFormat="1" customHeight="1" s="180">
      <c r="A67" s="33" t="n"/>
      <c r="B67" s="199" t="n"/>
      <c r="C67" s="199" t="n"/>
      <c r="D67" s="222" t="n"/>
      <c r="E67" s="213" t="n"/>
      <c r="F67" s="213" t="n"/>
      <c r="G67" s="213" t="n"/>
      <c r="H67" s="189" t="n"/>
      <c r="I67" s="189" t="n"/>
      <c r="J67" s="189" t="n"/>
      <c r="K67" s="201" t="n"/>
      <c r="L67" s="303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189">
        <f>SUM(AA27:AJ27)</f>
        <v/>
      </c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AB27/1.17*0.17+AC27/1.16*0.16+AD27/1.11*0.11+AE27/1.1*0.1+AF27/1.09*0.09+AI27/1.03*0.03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SUM(AA28:AJ28)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AB28/1.17*0.17+AC28/1.16*0.16+AD28/1.11*0.11+AE28/1.1*0.1+AF28/1.09*0.09+AI28/1.03*0.03</f>
        <v/>
      </c>
      <c r="AL68" s="221" t="n"/>
    </row>
    <row r="69" ht="39" customFormat="1" customHeight="1" s="180">
      <c r="A69" s="279" t="n"/>
      <c r="B69" s="280" t="n"/>
      <c r="C69" s="280" t="n"/>
      <c r="D69" s="282" t="inlineStr">
        <is>
          <t>（2）自行采购</t>
        </is>
      </c>
      <c r="E69" s="300" t="n"/>
      <c r="F69" s="300" t="n"/>
      <c r="G69" s="300" t="n"/>
      <c r="H69" s="282" t="n"/>
      <c r="I69" s="282" t="n"/>
      <c r="J69" s="282" t="n"/>
      <c r="K69" s="283" t="n"/>
      <c r="L69" s="284" t="n"/>
      <c r="M69" s="282" t="n"/>
      <c r="N69" s="282" t="n"/>
      <c r="O69" s="282">
        <f>L69-M69</f>
        <v/>
      </c>
      <c r="P69" s="282">
        <f>K69-N69</f>
        <v/>
      </c>
      <c r="Q69" s="282">
        <f>M69+O69</f>
        <v/>
      </c>
      <c r="R69" s="282">
        <f>M69+N69+O69+P69</f>
        <v/>
      </c>
      <c r="S69" s="286">
        <f>SUM(T69:V69)</f>
        <v/>
      </c>
      <c r="T69" s="286" t="n"/>
      <c r="U69" s="286" t="n"/>
      <c r="V69" s="286" t="n"/>
      <c r="W69" s="286" t="n"/>
      <c r="X69" s="286" t="n"/>
      <c r="Y69" s="286" t="n"/>
      <c r="Z69" s="282">
        <f>SUM(AA29:AJ29)</f>
        <v/>
      </c>
      <c r="AA69" s="286" t="n"/>
      <c r="AB69" s="301" t="n"/>
      <c r="AC69" s="301" t="n"/>
      <c r="AD69" s="301" t="n"/>
      <c r="AE69" s="301" t="n"/>
      <c r="AF69" s="301" t="n"/>
      <c r="AG69" s="301" t="n"/>
      <c r="AH69" s="301" t="n"/>
      <c r="AI69" s="301" t="n"/>
      <c r="AJ69" s="301" t="n"/>
      <c r="AK69" s="287">
        <f>AB29/1.17*0.17+AC29/1.16*0.16+AD29/1.11*0.11+AE29/1.1*0.1+AF29/1.09*0.09+AI29/1.03*0.03</f>
        <v/>
      </c>
      <c r="AL69" s="302" t="n"/>
    </row>
    <row r="70" ht="14" customFormat="1" customHeight="1" s="180">
      <c r="A70" s="206" t="n">
        <v>1</v>
      </c>
      <c r="B70" s="206" t="n"/>
      <c r="C70" s="207" t="inlineStr">
        <is>
          <t>中建四局0200202101802001</t>
        </is>
      </c>
      <c r="D70" s="207" t="inlineStr">
        <is>
          <t>ZGD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6" t="n"/>
      <c r="M70" s="210" t="n">
        <v>-0.03</v>
      </c>
      <c r="N70" s="206" t="n"/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06" t="n"/>
      <c r="U70" s="206" t="n"/>
      <c r="V70" s="206" t="n"/>
      <c r="W70" s="290" t="n"/>
      <c r="X70" s="290" t="n"/>
      <c r="Y70" s="290" t="n"/>
      <c r="Z70" s="290" t="n"/>
      <c r="AA70" s="290" t="n"/>
      <c r="AB70" s="290" t="n"/>
      <c r="AC70" s="290" t="n"/>
      <c r="AD70" s="290" t="n"/>
      <c r="AE70" s="290" t="n"/>
      <c r="AF70" s="290" t="n"/>
      <c r="AG70" s="290" t="n"/>
      <c r="AH70" s="290" t="n"/>
      <c r="AI70" s="290" t="n"/>
      <c r="AJ70" s="290" t="n"/>
      <c r="AK70" s="290" t="n"/>
      <c r="AL70" s="290" t="n"/>
    </row>
    <row r="71" ht="14" customFormat="1" customHeight="1" s="180">
      <c r="A71" s="206" t="n">
        <v>2</v>
      </c>
      <c r="B71" s="206" t="inlineStr">
        <is>
          <t>200234685</t>
        </is>
      </c>
      <c r="C71" s="207" t="inlineStr">
        <is>
          <t>中建四局0200202101806022</t>
        </is>
      </c>
      <c r="D71" s="207" t="inlineStr">
        <is>
          <t>上海找钢网供应链管理有限公司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6" t="n"/>
      <c r="M71" s="210" t="n">
        <v>2740600.46</v>
      </c>
      <c r="N71" s="210" t="n">
        <v>356278.05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3096878.51</v>
      </c>
      <c r="U71" s="206" t="n"/>
      <c r="V71" s="206" t="n"/>
      <c r="W71" s="290" t="n"/>
      <c r="X71" s="290" t="n"/>
      <c r="Y71" s="290" t="n"/>
      <c r="Z71" s="290" t="n"/>
      <c r="AA71" s="290" t="n"/>
      <c r="AB71" s="290" t="n"/>
      <c r="AC71" s="290" t="n"/>
      <c r="AD71" s="290" t="n"/>
      <c r="AE71" s="290" t="n"/>
      <c r="AF71" s="290" t="n"/>
      <c r="AG71" s="290" t="n"/>
      <c r="AH71" s="290" t="n"/>
      <c r="AI71" s="290" t="n"/>
      <c r="AJ71" s="290" t="n"/>
      <c r="AK71" s="290" t="n"/>
      <c r="AL71" s="290" t="n"/>
    </row>
    <row r="72" ht="14" customFormat="1" customHeight="1" s="180">
      <c r="A72" s="206" t="n">
        <v>3</v>
      </c>
      <c r="B72" s="206" t="inlineStr">
        <is>
          <t>2043724</t>
        </is>
      </c>
      <c r="C72" s="207" t="inlineStr">
        <is>
          <t>中建四局020020210018060002</t>
        </is>
      </c>
      <c r="D72" s="207" t="inlineStr">
        <is>
          <t>中建四局绿色建筑科技（广东）有限公司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752363.78</v>
      </c>
      <c r="N72" s="210" t="n">
        <v>97807.23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850171.01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4</v>
      </c>
      <c r="B73" s="206" t="inlineStr">
        <is>
          <t>100197784</t>
        </is>
      </c>
      <c r="C73" s="207" t="inlineStr">
        <is>
          <t>中建四局0200202101806025</t>
        </is>
      </c>
      <c r="D73" s="207" t="inlineStr">
        <is>
          <t>中铁物资集团华南有限公司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4776307.53</v>
      </c>
      <c r="N73" s="210" t="n">
        <v>620919.97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5397227.5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5</v>
      </c>
      <c r="B74" s="206" t="inlineStr">
        <is>
          <t>100237790</t>
        </is>
      </c>
      <c r="C74" s="207" t="inlineStr">
        <is>
          <t>中建四局0200202101806004</t>
        </is>
      </c>
      <c r="D74" s="207" t="inlineStr">
        <is>
          <t>佛山唐贵五金电器有限公司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14369</v>
      </c>
      <c r="N74" s="210" t="n">
        <v>1867.97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16236.97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中建四局0200202101806005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130267</v>
      </c>
      <c r="N75" s="210" t="n">
        <v>16934.71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147201.71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中建四局0200202101806006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2550134.38</v>
      </c>
      <c r="N76" s="210" t="n">
        <v>331517.47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2881651.85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中建四局0200202101806016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2123772.79</v>
      </c>
      <c r="N77" s="210" t="n">
        <v>276090.52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2399863.31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9</v>
      </c>
      <c r="B78" s="206" t="inlineStr">
        <is>
          <t>100146779</t>
        </is>
      </c>
      <c r="C78" s="207" t="inlineStr">
        <is>
          <t>中建四局0200202101806026</t>
        </is>
      </c>
      <c r="D78" s="207" t="inlineStr">
        <is>
          <t>佛山市南海区洪顺水泥构件厂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1006289.65</v>
      </c>
      <c r="N78" s="210" t="n">
        <v>130817.7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1137107.35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10</v>
      </c>
      <c r="B79" s="206" t="inlineStr">
        <is>
          <t>100206907</t>
        </is>
      </c>
      <c r="C79" s="207" t="inlineStr">
        <is>
          <t>中建四局0200202101806014</t>
        </is>
      </c>
      <c r="D79" s="207" t="inlineStr">
        <is>
          <t>佛山市开力电气有限公司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63203</v>
      </c>
      <c r="N79" s="210" t="n">
        <v>8216.389999999999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71419.39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11</v>
      </c>
      <c r="B80" s="206" t="inlineStr">
        <is>
          <t>200162951</t>
        </is>
      </c>
      <c r="C80" s="207" t="inlineStr">
        <is>
          <t>中建四局0200202101806036</t>
        </is>
      </c>
      <c r="D80" s="207" t="inlineStr">
        <is>
          <t>佛山市翊德通新型环保科技建材有限公司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4369961.51</v>
      </c>
      <c r="N80" s="210" t="n">
        <v>568095.3199999999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4938056.52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12</v>
      </c>
      <c r="B81" s="206" t="inlineStr">
        <is>
          <t>100232795</t>
        </is>
      </c>
      <c r="C81" s="207" t="inlineStr">
        <is>
          <t>中建四局0200202101806001</t>
        </is>
      </c>
      <c r="D81" s="207" t="inlineStr">
        <is>
          <t>佰丽特（厦门）电气科技有限公司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333728</v>
      </c>
      <c r="N81" s="210" t="n">
        <v>43384.64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301690.11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13</v>
      </c>
      <c r="B82" s="206" t="inlineStr">
        <is>
          <t>200282611</t>
        </is>
      </c>
      <c r="C82" s="207" t="inlineStr">
        <is>
          <t>中建四局0200202101806009</t>
        </is>
      </c>
      <c r="D82" s="207" t="inlineStr">
        <is>
          <t>平安商贸有限公司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8873935.289999999</v>
      </c>
      <c r="N82" s="210" t="n">
        <v>1153611.59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10027546.88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14</v>
      </c>
      <c r="B83" s="206" t="inlineStr">
        <is>
          <t>200609375</t>
        </is>
      </c>
      <c r="C83" s="207" t="inlineStr">
        <is>
          <t>中建四局0200202101806040</t>
        </is>
      </c>
      <c r="D83" s="207" t="inlineStr">
        <is>
          <t>广东富景成环保建材有限公司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385917.65</v>
      </c>
      <c r="N83" s="210" t="n">
        <v>50169.29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436086.94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15</v>
      </c>
      <c r="B84" s="206" t="inlineStr">
        <is>
          <t>200589118</t>
        </is>
      </c>
      <c r="C84" s="207" t="inlineStr">
        <is>
          <t>中建四局020020210018060001</t>
        </is>
      </c>
      <c r="D84" s="207" t="inlineStr">
        <is>
          <t>广东广物中南建材集团有限公司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4299184.04</v>
      </c>
      <c r="N84" s="210" t="n">
        <v>558893.95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4858077.99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16</v>
      </c>
      <c r="B85" s="206" t="inlineStr">
        <is>
          <t>100218495</t>
        </is>
      </c>
      <c r="C85" s="207" t="inlineStr">
        <is>
          <t>中建四局0200202101806024</t>
        </is>
      </c>
      <c r="D85" s="207" t="inlineStr">
        <is>
          <t>广东广物物资有限公司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52140600.21</v>
      </c>
      <c r="N85" s="210" t="n">
        <v>6778278.02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57634200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17</v>
      </c>
      <c r="B86" s="206" t="inlineStr">
        <is>
          <t>100217200</t>
        </is>
      </c>
      <c r="C86" s="207" t="inlineStr">
        <is>
          <t>中建四局0200202101806042</t>
        </is>
      </c>
      <c r="D86" s="207" t="inlineStr">
        <is>
          <t>广东新瑞龙生态建材有限公司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9943627.460000001</v>
      </c>
      <c r="N86" s="210" t="n">
        <v>1292671.55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10199210.04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18</v>
      </c>
      <c r="B87" s="206" t="inlineStr">
        <is>
          <t>100217564</t>
        </is>
      </c>
      <c r="C87" s="207" t="inlineStr">
        <is>
          <t>中建四局0200202101806015</t>
        </is>
      </c>
      <c r="D87" s="207" t="inlineStr">
        <is>
          <t>广东顺德雍强贸易有限公司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5074499.2</v>
      </c>
      <c r="N87" s="210" t="n">
        <v>659684.51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5722211.35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19</v>
      </c>
      <c r="B88" s="206" t="inlineStr">
        <is>
          <t>200028988</t>
        </is>
      </c>
      <c r="C88" s="207" t="inlineStr">
        <is>
          <t>中建四局0200202101806020</t>
        </is>
      </c>
      <c r="D88" s="207" t="inlineStr">
        <is>
          <t>广州天源混凝土有限公司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82619375.06999999</v>
      </c>
      <c r="N88" s="210" t="n">
        <v>2479172.51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76114127.56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20</v>
      </c>
      <c r="B89" s="206" t="inlineStr">
        <is>
          <t>100118018</t>
        </is>
      </c>
      <c r="C89" s="207" t="inlineStr">
        <is>
          <t>中建四局0200202101806023</t>
        </is>
      </c>
      <c r="D89" s="207" t="inlineStr">
        <is>
          <t>广州天达混凝土有限公司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7029897.31</v>
      </c>
      <c r="N89" s="210" t="n">
        <v>210896.97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7240794.28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21</v>
      </c>
      <c r="B90" s="206" t="inlineStr">
        <is>
          <t>100217350</t>
        </is>
      </c>
      <c r="C90" s="207" t="inlineStr">
        <is>
          <t>中建四局0200202101806003</t>
        </is>
      </c>
      <c r="D90" s="207" t="inlineStr">
        <is>
          <t>广州市嘉宇金属制品有限公司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416379</v>
      </c>
      <c r="N90" s="210" t="n">
        <v>54129.27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470508.27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22</v>
      </c>
      <c r="B91" s="206" t="inlineStr">
        <is>
          <t>100217450</t>
        </is>
      </c>
      <c r="C91" s="207" t="inlineStr">
        <is>
          <t>中建四局0200202101806041</t>
        </is>
      </c>
      <c r="D91" s="207" t="inlineStr">
        <is>
          <t>广州市常宏建材有限公司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32639</v>
      </c>
      <c r="N91" s="210" t="n">
        <v>4243.07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36882.07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23</v>
      </c>
      <c r="B92" s="206" t="inlineStr">
        <is>
          <t>100115149</t>
        </is>
      </c>
      <c r="C92" s="207" t="inlineStr">
        <is>
          <t>中建四局0200202101806035</t>
        </is>
      </c>
      <c r="D92" s="207" t="inlineStr">
        <is>
          <t>广州市建邦建材有限公司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7683428.5</v>
      </c>
      <c r="N92" s="210" t="n">
        <v>998845.46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8682273.960000001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24</v>
      </c>
      <c r="B93" s="206" t="inlineStr">
        <is>
          <t>100147894</t>
        </is>
      </c>
      <c r="C93" s="207" t="inlineStr">
        <is>
          <t>中建四局0200202101806007</t>
        </is>
      </c>
      <c r="D93" s="207" t="inlineStr">
        <is>
          <t>广州市息县旺建材有限公司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950254.54</v>
      </c>
      <c r="N93" s="210" t="n">
        <v>123533.02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1067146.16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25</v>
      </c>
      <c r="B94" s="206" t="inlineStr">
        <is>
          <t>200335317</t>
        </is>
      </c>
      <c r="C94" s="207" t="inlineStr">
        <is>
          <t>中建四局0200202101806029</t>
        </is>
      </c>
      <c r="D94" s="207" t="inlineStr">
        <is>
          <t>广州市汇亿鑫贸易有限公司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274015</v>
      </c>
      <c r="N94" s="210" t="n">
        <v>35621.95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309636.95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26</v>
      </c>
      <c r="B95" s="206" t="inlineStr">
        <is>
          <t>100006014</t>
        </is>
      </c>
      <c r="C95" s="207" t="inlineStr">
        <is>
          <t>中建四局0200202101806038</t>
        </is>
      </c>
      <c r="D95" s="207" t="inlineStr">
        <is>
          <t>广州市番禺区石楼镇沙南建材二厂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1561706.28</v>
      </c>
      <c r="N95" s="210" t="n">
        <v>203021.99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1764728.27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27</v>
      </c>
      <c r="B96" s="206" t="inlineStr">
        <is>
          <t>100118301</t>
        </is>
      </c>
      <c r="C96" s="207" t="inlineStr">
        <is>
          <t>中建四局0200202101806019</t>
        </is>
      </c>
      <c r="D96" s="207" t="inlineStr">
        <is>
          <t>广州市维意建材有限公司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27146211.76</v>
      </c>
      <c r="N96" s="210" t="n">
        <v>814386.39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27960598.15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28</v>
      </c>
      <c r="B97" s="206" t="inlineStr">
        <is>
          <t>100118101</t>
        </is>
      </c>
      <c r="C97" s="207" t="inlineStr">
        <is>
          <t>中建四局0200202101806032</t>
        </is>
      </c>
      <c r="D97" s="207" t="inlineStr">
        <is>
          <t>广州市长兴混凝土有限公司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7126276.05</v>
      </c>
      <c r="N97" s="210" t="n">
        <v>213788.29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7297640.86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29</v>
      </c>
      <c r="B98" s="206" t="inlineStr">
        <is>
          <t>100217478</t>
        </is>
      </c>
      <c r="C98" s="207" t="inlineStr">
        <is>
          <t>中建四局0200202101806017</t>
        </is>
      </c>
      <c r="D98" s="207" t="inlineStr">
        <is>
          <t>广州建侯建材有限公司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1538956.12</v>
      </c>
      <c r="N98" s="210" t="n">
        <v>200064.3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1739020.42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30</v>
      </c>
      <c r="B99" s="206" t="inlineStr">
        <is>
          <t>100094223</t>
        </is>
      </c>
      <c r="C99" s="207" t="inlineStr">
        <is>
          <t>中建四局0200202101806034</t>
        </is>
      </c>
      <c r="D99" s="207" t="inlineStr">
        <is>
          <t>广州晴泰蓝环保工程有限公司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140000</v>
      </c>
      <c r="N99" s="210" t="n">
        <v>18200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158200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31</v>
      </c>
      <c r="B100" s="206" t="inlineStr">
        <is>
          <t>200413088</t>
        </is>
      </c>
      <c r="C100" s="207" t="inlineStr">
        <is>
          <t>中建四局0200202101806021</t>
        </is>
      </c>
      <c r="D100" s="207" t="inlineStr">
        <is>
          <t>广州盒子住宅科技有限公司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13945976.97</v>
      </c>
      <c r="N100" s="210" t="n">
        <v>1793690.33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8652600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32</v>
      </c>
      <c r="B101" s="206" t="inlineStr">
        <is>
          <t>200234923</t>
        </is>
      </c>
      <c r="C101" s="207" t="inlineStr">
        <is>
          <t>中建四局0200202101806013</t>
        </is>
      </c>
      <c r="D101" s="207" t="inlineStr">
        <is>
          <t>广州睿越建材有限公司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43710.65</v>
      </c>
      <c r="N101" s="210" t="n">
        <v>5682.39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49393.04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33</v>
      </c>
      <c r="B102" s="206" t="inlineStr">
        <is>
          <t>100119801</t>
        </is>
      </c>
      <c r="C102" s="207" t="inlineStr">
        <is>
          <t>中建四局0200202101806037</t>
        </is>
      </c>
      <c r="D102" s="207" t="inlineStr">
        <is>
          <t>广州禄臻贸易有限公司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582161.09</v>
      </c>
      <c r="N102" s="210" t="n">
        <v>75681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657842.08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34</v>
      </c>
      <c r="B103" s="206" t="inlineStr">
        <is>
          <t>100217843</t>
        </is>
      </c>
      <c r="C103" s="207" t="inlineStr">
        <is>
          <t>中建四局0200202101806039</t>
        </is>
      </c>
      <c r="D103" s="207" t="inlineStr">
        <is>
          <t>广州绿色金融街投资管理有限公司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30291914.17</v>
      </c>
      <c r="N103" s="210" t="n">
        <v>3937948.82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34229862.99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35</v>
      </c>
      <c r="B104" s="206" t="inlineStr">
        <is>
          <t>100217163</t>
        </is>
      </c>
      <c r="C104" s="207" t="inlineStr">
        <is>
          <t>中建四局0200202101806002</t>
        </is>
      </c>
      <c r="D104" s="207" t="inlineStr">
        <is>
          <t>广州辰辰建材租赁有限公司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3566769.49</v>
      </c>
      <c r="N104" s="210" t="n">
        <v>463680.09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4017620.13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36</v>
      </c>
      <c r="B105" s="206" t="inlineStr">
        <is>
          <t>200009555</t>
        </is>
      </c>
      <c r="C105" s="207" t="inlineStr">
        <is>
          <t>中建四局0200202101806030</t>
        </is>
      </c>
      <c r="D105" s="207" t="inlineStr">
        <is>
          <t>广联达科技股份有限公司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44247.79</v>
      </c>
      <c r="N105" s="210" t="n">
        <v>5752.21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50000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37</v>
      </c>
      <c r="B106" s="206" t="inlineStr">
        <is>
          <t>100170699</t>
        </is>
      </c>
      <c r="C106" s="207" t="inlineStr">
        <is>
          <t>中建四局0200202101806027</t>
        </is>
      </c>
      <c r="D106" s="207" t="inlineStr">
        <is>
          <t>浙商中拓集团（广东）有限公司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697130.35</v>
      </c>
      <c r="N106" s="210" t="n">
        <v>90626.95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787757.3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38</v>
      </c>
      <c r="B107" s="206" t="inlineStr">
        <is>
          <t>100198899</t>
        </is>
      </c>
      <c r="C107" s="207" t="inlineStr">
        <is>
          <t>中建四局0200202101806008</t>
        </is>
      </c>
      <c r="D107" s="207" t="inlineStr">
        <is>
          <t>深圳市金仪时代环保产业有限公司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46390</v>
      </c>
      <c r="N107" s="210" t="n">
        <v>6030.7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52420.7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39</v>
      </c>
      <c r="B108" s="206" t="inlineStr">
        <is>
          <t>100218623</t>
        </is>
      </c>
      <c r="C108" s="207" t="inlineStr">
        <is>
          <t>中建四局0200202101806043</t>
        </is>
      </c>
      <c r="D108" s="207" t="inlineStr">
        <is>
          <t>深圳市鑫源发陶瓷有限公司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220443.53</v>
      </c>
      <c r="N108" s="210" t="n">
        <v>28657.66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249101.19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40</v>
      </c>
      <c r="B109" s="206" t="inlineStr">
        <is>
          <t>100074117</t>
        </is>
      </c>
      <c r="C109" s="207" t="inlineStr">
        <is>
          <t>中建四局0200202101806011</t>
        </is>
      </c>
      <c r="D109" s="207" t="inlineStr">
        <is>
          <t>清远市榕兴新型环保建材有限责任公司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1271717.14</v>
      </c>
      <c r="N109" s="210" t="n">
        <v>165323.22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1437040.36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41</v>
      </c>
      <c r="B110" s="206" t="inlineStr">
        <is>
          <t>100114405</t>
        </is>
      </c>
      <c r="C110" s="207" t="inlineStr">
        <is>
          <t>中建四局0200202101806018</t>
        </is>
      </c>
      <c r="D110" s="207" t="inlineStr">
        <is>
          <t>祁东县明达轻质陶粒厂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534785.89</v>
      </c>
      <c r="N110" s="210" t="n">
        <v>16863.59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549855.73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42</v>
      </c>
      <c r="B111" s="206" t="inlineStr">
        <is>
          <t>100199057</t>
        </is>
      </c>
      <c r="C111" s="207" t="inlineStr">
        <is>
          <t>中建四局0200202101806010</t>
        </is>
      </c>
      <c r="D111" s="207" t="inlineStr">
        <is>
          <t>福建省莆田市龙兴劳保用品有限公司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509280.38</v>
      </c>
      <c r="N111" s="210" t="n">
        <v>66206.64999999999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575487.03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中建四局0200202101806031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48485.21</v>
      </c>
      <c r="N112" s="210" t="n">
        <v>6303.07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54788.28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44</v>
      </c>
      <c r="B113" s="206" t="n"/>
      <c r="C113" s="207" t="n"/>
      <c r="D113" s="207" t="inlineStr">
        <is>
          <t>ZGD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33986854.84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45</v>
      </c>
      <c r="B114" s="206" t="n"/>
      <c r="C114" s="207" t="n"/>
      <c r="D114" s="207" t="inlineStr">
        <is>
          <t>废旧物资消耗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46</v>
      </c>
      <c r="B115" s="206" t="n"/>
      <c r="C115" s="207" t="n"/>
      <c r="D115" s="207" t="inlineStr">
        <is>
          <t>废旧物资消耗（SQD）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7911.36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47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-50061864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79" t="n">
        <v>48</v>
      </c>
      <c r="B117" s="280" t="n"/>
      <c r="C117" s="280" t="n"/>
      <c r="D117" s="299" t="inlineStr">
        <is>
          <t>材料调入</t>
        </is>
      </c>
      <c r="E117" s="280" t="n"/>
      <c r="F117" s="280" t="n"/>
      <c r="G117" s="280" t="n"/>
      <c r="H117" s="282" t="n"/>
      <c r="I117" s="282" t="n"/>
      <c r="J117" s="282" t="n"/>
      <c r="K117" s="283" t="n"/>
      <c r="L117" s="284" t="n"/>
      <c r="M117" s="304" t="n">
        <v>17996069.15</v>
      </c>
      <c r="N117" s="282" t="n"/>
      <c r="O117" s="282">
        <f>L117-M117</f>
        <v/>
      </c>
      <c r="P117" s="282">
        <f>K117-N117</f>
        <v/>
      </c>
      <c r="Q117" s="282">
        <f>M117+O117</f>
        <v/>
      </c>
      <c r="R117" s="282">
        <f>M117+N117+O117+P117</f>
        <v/>
      </c>
      <c r="S117" s="286">
        <f>SUM(T117:V117)</f>
        <v/>
      </c>
      <c r="T117" s="286" t="n"/>
      <c r="U117" s="286" t="n"/>
      <c r="V117" s="286" t="n"/>
      <c r="W117" s="286" t="n"/>
      <c r="X117" s="286" t="n"/>
      <c r="Y117" s="286" t="n"/>
      <c r="Z117" s="282">
        <f>SUM(AA30:AJ30)</f>
        <v/>
      </c>
      <c r="AA117" s="286" t="n"/>
      <c r="AB117" s="301" t="n"/>
      <c r="AC117" s="301" t="n"/>
      <c r="AD117" s="301" t="n"/>
      <c r="AE117" s="301" t="n"/>
      <c r="AF117" s="301" t="n"/>
      <c r="AG117" s="301" t="n"/>
      <c r="AH117" s="301" t="n"/>
      <c r="AI117" s="301" t="n"/>
      <c r="AJ117" s="301" t="n"/>
      <c r="AK117" s="287">
        <f>AB30/1.17*0.17+AC30/1.16*0.16+AD30/1.11*0.11+AE30/1.1*0.1+AF30/1.09*0.09+AI30/1.03*0.03</f>
        <v/>
      </c>
      <c r="AL117" s="302" t="n"/>
    </row>
    <row r="118">
      <c r="A118" s="279" t="n">
        <v>49</v>
      </c>
      <c r="B118" s="280" t="n"/>
      <c r="C118" s="280" t="n"/>
      <c r="D118" s="299" t="inlineStr">
        <is>
          <t>材料调出（注：负数填报）</t>
        </is>
      </c>
      <c r="E118" s="305" t="n"/>
      <c r="F118" s="305" t="n"/>
      <c r="G118" s="305" t="n"/>
      <c r="H118" s="306" t="n"/>
      <c r="I118" s="306" t="n"/>
      <c r="J118" s="282" t="n"/>
      <c r="K118" s="283" t="n"/>
      <c r="L118" s="284" t="n"/>
      <c r="M118" s="307" t="n">
        <v>-8003517.42</v>
      </c>
      <c r="N118" s="306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306" t="n"/>
      <c r="U118" s="306" t="n"/>
      <c r="V118" s="306" t="n"/>
      <c r="W118" s="306" t="n"/>
      <c r="X118" s="306" t="n"/>
      <c r="Y118" s="306" t="n"/>
      <c r="Z118" s="282">
        <f>SUM(AA31:AJ31)</f>
        <v/>
      </c>
      <c r="AA118" s="306" t="n"/>
      <c r="AB118" s="308" t="n"/>
      <c r="AC118" s="308" t="n"/>
      <c r="AD118" s="308" t="n"/>
      <c r="AE118" s="308" t="n"/>
      <c r="AF118" s="308" t="n"/>
      <c r="AG118" s="308" t="n"/>
      <c r="AH118" s="308" t="n"/>
      <c r="AI118" s="308" t="n"/>
      <c r="AJ118" s="308" t="n"/>
      <c r="AK118" s="287">
        <f>AB31/1.17*0.17+AC31/1.16*0.16+AD31/1.11*0.11+AE31/1.1*0.1+AF31/1.09*0.09+AI31/1.03*0.03</f>
        <v/>
      </c>
      <c r="AL118" s="309" t="n"/>
    </row>
    <row r="119">
      <c r="A119" s="279" t="n"/>
      <c r="B119" s="280" t="n"/>
      <c r="C119" s="280" t="n"/>
      <c r="D119" s="299" t="inlineStr">
        <is>
          <t>材料库存（注：项目已结算未使用材料冲减项目成本，负数填报）</t>
        </is>
      </c>
      <c r="E119" s="305" t="n"/>
      <c r="F119" s="305" t="n"/>
      <c r="G119" s="305" t="n"/>
      <c r="H119" s="306" t="n"/>
      <c r="I119" s="306" t="n"/>
      <c r="J119" s="282" t="n"/>
      <c r="K119" s="283" t="n"/>
      <c r="L119" s="284" t="n"/>
      <c r="M119" s="306" t="n"/>
      <c r="N119" s="306" t="n"/>
      <c r="O119" s="282" t="n"/>
      <c r="P119" s="282" t="n"/>
      <c r="Q119" s="282" t="n"/>
      <c r="R119" s="282" t="n"/>
      <c r="S119" s="286" t="n"/>
      <c r="T119" s="306" t="n"/>
      <c r="U119" s="306" t="n"/>
      <c r="V119" s="306" t="n"/>
      <c r="W119" s="306" t="n"/>
      <c r="X119" s="306" t="n"/>
      <c r="Y119" s="306" t="n"/>
      <c r="Z119" s="282" t="n"/>
      <c r="AA119" s="306" t="n"/>
      <c r="AB119" s="308" t="n"/>
      <c r="AC119" s="308" t="n"/>
      <c r="AD119" s="308" t="n"/>
      <c r="AE119" s="308" t="n"/>
      <c r="AF119" s="308" t="n"/>
      <c r="AG119" s="308" t="n"/>
      <c r="AH119" s="308" t="n"/>
      <c r="AI119" s="308" t="n"/>
      <c r="AJ119" s="308" t="n"/>
      <c r="AK119" s="287" t="n"/>
      <c r="AL119" s="309" t="n"/>
    </row>
    <row r="120">
      <c r="A120" s="279" t="n"/>
      <c r="B120" s="280" t="n"/>
      <c r="C120" s="280" t="n"/>
      <c r="D120" s="291" t="inlineStr">
        <is>
          <t>**财务未列部分需增列***</t>
        </is>
      </c>
      <c r="E120" s="300" t="n"/>
      <c r="F120" s="300" t="n"/>
      <c r="G120" s="300" t="n"/>
      <c r="H120" s="282" t="n"/>
      <c r="I120" s="282" t="n"/>
      <c r="J120" s="282" t="n"/>
      <c r="K120" s="283" t="n"/>
      <c r="L120" s="284" t="n"/>
      <c r="M120" s="282" t="n"/>
      <c r="N120" s="282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287">
        <f>AB33/1.17*0.17+AC33/1.16*0.16+AD33/1.11*0.11+AE33/1.1*0.1+AF33/1.09*0.09+AI33/1.03*0.03</f>
        <v/>
      </c>
      <c r="AL120" s="302" t="n"/>
    </row>
    <row r="121">
      <c r="A121" s="295" t="n"/>
      <c r="B121" s="296" t="n"/>
      <c r="C121" s="296" t="n"/>
      <c r="D121" s="297" t="inlineStr">
        <is>
          <t>材料费小计：</t>
        </is>
      </c>
      <c r="E121" s="298">
        <f>SUM(E64:E120)</f>
        <v/>
      </c>
      <c r="F121" s="298">
        <f>SUM(F64:F120)</f>
        <v/>
      </c>
      <c r="G121" s="298">
        <f>SUM(G64:G120)</f>
        <v/>
      </c>
      <c r="H121" s="298">
        <f>SUM(H64:H120)</f>
        <v/>
      </c>
      <c r="I121" s="298">
        <f>SUM(I64:I120)</f>
        <v/>
      </c>
      <c r="J121" s="298">
        <f>SUM(J64:J120)</f>
        <v/>
      </c>
      <c r="K121" s="298">
        <f>SUM(K64:K120)</f>
        <v/>
      </c>
      <c r="L121" s="298">
        <f>SUM(L64:L120)</f>
        <v/>
      </c>
      <c r="M121" s="298">
        <f>SUM(M64:M120)</f>
        <v/>
      </c>
      <c r="N121" s="298">
        <f>SUM(N64:N120)</f>
        <v/>
      </c>
      <c r="O121" s="298">
        <f>SUM(O64:O120)</f>
        <v/>
      </c>
      <c r="P121" s="298">
        <f>SUM(P64:P120)</f>
        <v/>
      </c>
      <c r="Q121" s="298">
        <f>SUM(Q64:Q120)</f>
        <v/>
      </c>
      <c r="R121" s="298">
        <f>SUM(R64:R120)</f>
        <v/>
      </c>
      <c r="S121" s="298">
        <f>SUM(S64:S120)</f>
        <v/>
      </c>
      <c r="T121" s="298">
        <f>SUM(T64:T120)</f>
        <v/>
      </c>
      <c r="U121" s="298">
        <f>SUM(U64:U120)</f>
        <v/>
      </c>
      <c r="V121" s="298">
        <f>SUM(V64:V120)</f>
        <v/>
      </c>
      <c r="W121" s="298">
        <f>SUM(W64:W120)</f>
        <v/>
      </c>
      <c r="X121" s="298">
        <f>SUM(X64:X120)</f>
        <v/>
      </c>
      <c r="Y121" s="298">
        <f>SUM(Y64:Y120)</f>
        <v/>
      </c>
      <c r="Z121" s="298">
        <f>SUM(Z64:Z120)</f>
        <v/>
      </c>
      <c r="AA121" s="298">
        <f>SUM(AA64:AA120)</f>
        <v/>
      </c>
      <c r="AB121" s="298">
        <f>SUM(AB64:AB120)</f>
        <v/>
      </c>
      <c r="AC121" s="298">
        <f>SUM(AC64:AC120)</f>
        <v/>
      </c>
      <c r="AD121" s="298">
        <f>SUM(AD64:AD120)</f>
        <v/>
      </c>
      <c r="AE121" s="298">
        <f>SUM(AE64:AE120)</f>
        <v/>
      </c>
      <c r="AF121" s="298">
        <f>SUM(AF64:AF120)</f>
        <v/>
      </c>
      <c r="AG121" s="298">
        <f>SUM(AG64:AG120)</f>
        <v/>
      </c>
      <c r="AH121" s="298">
        <f>SUM(AH64:AH120)</f>
        <v/>
      </c>
      <c r="AI121" s="298">
        <f>SUM(AI64:AI120)</f>
        <v/>
      </c>
      <c r="AJ121" s="298">
        <f>SUM(AJ64:AJ120)</f>
        <v/>
      </c>
      <c r="AK121" s="298">
        <f>SUM(AK64:AK120)</f>
        <v/>
      </c>
      <c r="AL121" s="288" t="n"/>
    </row>
    <row r="122">
      <c r="A122" s="279" t="n"/>
      <c r="B122" s="280" t="n"/>
      <c r="C122" s="280" t="n"/>
      <c r="D122" s="299" t="inlineStr">
        <is>
          <t>(四）机械租赁费</t>
        </is>
      </c>
      <c r="E122" s="292" t="n"/>
      <c r="F122" s="292" t="n"/>
      <c r="G122" s="292" t="n"/>
      <c r="H122" s="282" t="n"/>
      <c r="I122" s="282" t="n"/>
      <c r="J122" s="282" t="n"/>
      <c r="K122" s="283" t="n">
        <v>0</v>
      </c>
      <c r="L122" s="284">
        <f>J122-K122</f>
        <v/>
      </c>
      <c r="M122" s="285" t="n"/>
      <c r="N122" s="285" t="n"/>
      <c r="O122" s="282">
        <f>L122-M122</f>
        <v/>
      </c>
      <c r="P122" s="282">
        <f>K122-N122</f>
        <v/>
      </c>
      <c r="Q122" s="282">
        <f>M122+O122</f>
        <v/>
      </c>
      <c r="R122" s="282">
        <f>M122+N122+O122+P122</f>
        <v/>
      </c>
      <c r="S122" s="286">
        <f>SUM(T122:V122)</f>
        <v/>
      </c>
      <c r="T122" s="286" t="n"/>
      <c r="U122" s="286" t="n"/>
      <c r="V122" s="286" t="n"/>
      <c r="W122" s="286" t="n"/>
      <c r="X122" s="286" t="n"/>
      <c r="Y122" s="286" t="n"/>
      <c r="Z122" s="286" t="n"/>
      <c r="AA122" s="286" t="n"/>
      <c r="AB122" s="286" t="n"/>
      <c r="AC122" s="286" t="n"/>
      <c r="AD122" s="286" t="n"/>
      <c r="AE122" s="286" t="n"/>
      <c r="AF122" s="286" t="n"/>
      <c r="AG122" s="286" t="n"/>
      <c r="AH122" s="286" t="n"/>
      <c r="AI122" s="286" t="n"/>
      <c r="AJ122" s="286" t="n"/>
      <c r="AK122" s="287">
        <f>AB35/1.17*0.17+AC35/1.16*0.16+AD35/1.11*0.11+AE35/1.1*0.1+AF35/1.09*0.09+AI35/1.03*0.03</f>
        <v/>
      </c>
      <c r="AL122" s="288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>
        <v>12</v>
      </c>
      <c r="B134" s="206" t="n"/>
      <c r="C134" s="207" t="n"/>
      <c r="D134" s="207" t="inlineStr">
        <is>
          <t>研发支出-机械租赁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-63495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>
        <v>13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06" t="n"/>
      <c r="B136" s="206" t="n"/>
      <c r="C136" s="207" t="n"/>
      <c r="D136" s="207" t="n"/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6">
        <f>J136-K136</f>
        <v/>
      </c>
      <c r="M136" s="210" t="n">
        <v>5438.34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  <c r="W136" s="290" t="n"/>
      <c r="X136" s="290" t="n"/>
      <c r="Y136" s="290" t="n"/>
      <c r="Z136" s="290" t="n"/>
      <c r="AA136" s="290" t="n"/>
      <c r="AB136" s="290" t="n"/>
      <c r="AC136" s="290" t="n"/>
      <c r="AD136" s="290" t="n"/>
      <c r="AE136" s="290" t="n"/>
      <c r="AF136" s="290" t="n"/>
      <c r="AG136" s="290" t="n"/>
      <c r="AH136" s="290" t="n"/>
      <c r="AI136" s="290" t="n"/>
      <c r="AJ136" s="290" t="n"/>
      <c r="AK136" s="290" t="n"/>
      <c r="AL136" s="290" t="n"/>
    </row>
    <row r="137">
      <c r="A137" s="279" t="n"/>
      <c r="B137" s="280" t="n"/>
      <c r="C137" s="280" t="n"/>
      <c r="D137" s="291" t="inlineStr">
        <is>
          <t>**财务未列部分需增列***</t>
        </is>
      </c>
      <c r="E137" s="310" t="n"/>
      <c r="F137" s="310" t="n"/>
      <c r="G137" s="310" t="n"/>
      <c r="H137" s="282" t="n"/>
      <c r="I137" s="282" t="n"/>
      <c r="J137" s="282" t="n"/>
      <c r="K137" s="283" t="n">
        <v>0</v>
      </c>
      <c r="L137" s="284">
        <f>J137-K137</f>
        <v/>
      </c>
      <c r="M137" s="311" t="n"/>
      <c r="N137" s="311" t="n"/>
      <c r="O137" s="282">
        <f>L137-M137</f>
        <v/>
      </c>
      <c r="P137" s="282">
        <f>K137-N137</f>
        <v/>
      </c>
      <c r="Q137" s="282">
        <f>M137+O137</f>
        <v/>
      </c>
      <c r="R137" s="282">
        <f>M137+N137+O137+P137</f>
        <v/>
      </c>
      <c r="S137" s="286">
        <f>SUM(T137:V137)</f>
        <v/>
      </c>
      <c r="T137" s="311" t="n"/>
      <c r="U137" s="311" t="n"/>
      <c r="V137" s="311" t="n"/>
      <c r="W137" s="311" t="n"/>
      <c r="X137" s="311" t="n"/>
      <c r="Y137" s="311" t="n"/>
      <c r="Z137" s="311" t="n"/>
      <c r="AA137" s="286" t="n"/>
      <c r="AB137" s="287" t="n"/>
      <c r="AC137" s="287" t="n"/>
      <c r="AD137" s="287" t="n"/>
      <c r="AE137" s="287" t="n"/>
      <c r="AF137" s="287" t="n"/>
      <c r="AG137" s="287" t="n"/>
      <c r="AH137" s="287" t="n"/>
      <c r="AI137" s="287" t="n"/>
      <c r="AJ137" s="287" t="n"/>
      <c r="AK137" s="287">
        <f>AB37/1.17*0.17+AC37/1.16*0.16+AD37/1.11*0.11+AE37/1.1*0.1+AF37/1.09*0.09+AI37/1.03*0.03</f>
        <v/>
      </c>
      <c r="AL137" s="294" t="n"/>
    </row>
    <row r="138">
      <c r="A138" s="295" t="n"/>
      <c r="B138" s="296" t="n"/>
      <c r="C138" s="296" t="n"/>
      <c r="D138" s="312" t="inlineStr">
        <is>
          <t>机械费小计：</t>
        </is>
      </c>
      <c r="E138" s="313" t="n"/>
      <c r="F138" s="313" t="n"/>
      <c r="G138" s="313" t="n"/>
      <c r="H138" s="298">
        <f>SUM(H122:H137)</f>
        <v/>
      </c>
      <c r="I138" s="298">
        <f>SUM(I122:I137)</f>
        <v/>
      </c>
      <c r="J138" s="298">
        <f>SUM(J122:J137)</f>
        <v/>
      </c>
      <c r="K138" s="298">
        <f>SUM(K122:K137)</f>
        <v/>
      </c>
      <c r="L138" s="314">
        <f>SUM(L122:L137)</f>
        <v/>
      </c>
      <c r="M138" s="298">
        <f>SUM(M122:M137)</f>
        <v/>
      </c>
      <c r="N138" s="298">
        <f>SUM(N122:N137)</f>
        <v/>
      </c>
      <c r="O138" s="298">
        <f>SUM(O122:O137)</f>
        <v/>
      </c>
      <c r="P138" s="298">
        <f>SUM(P122:P137)</f>
        <v/>
      </c>
      <c r="Q138" s="298">
        <f>SUM(Q122:Q137)</f>
        <v/>
      </c>
      <c r="R138" s="298">
        <f>SUM(R122:R137)</f>
        <v/>
      </c>
      <c r="S138" s="298">
        <f>SUM(S122:S137)</f>
        <v/>
      </c>
      <c r="T138" s="298" t="n"/>
      <c r="U138" s="298" t="n"/>
      <c r="V138" s="298" t="n"/>
      <c r="W138" s="298" t="n"/>
      <c r="X138" s="298" t="n"/>
      <c r="Y138" s="298" t="n"/>
      <c r="Z138" s="298">
        <f>SUM(Z122:Z137)</f>
        <v/>
      </c>
      <c r="AA138" s="298">
        <f>SUM(AA122:AA137)</f>
        <v/>
      </c>
      <c r="AB138" s="298" t="n"/>
      <c r="AC138" s="298" t="n"/>
      <c r="AD138" s="298" t="n"/>
      <c r="AE138" s="298" t="n"/>
      <c r="AF138" s="298" t="n"/>
      <c r="AG138" s="298" t="n"/>
      <c r="AH138" s="298" t="n"/>
      <c r="AI138" s="298" t="n"/>
      <c r="AJ138" s="298" t="n"/>
      <c r="AK138" s="298" t="n"/>
      <c r="AL138" s="288" t="n"/>
    </row>
    <row r="139">
      <c r="A139" s="279" t="n"/>
      <c r="B139" s="280" t="n"/>
      <c r="C139" s="280" t="n"/>
      <c r="D139" s="299" t="inlineStr">
        <is>
          <t>（五）其他直接费</t>
        </is>
      </c>
      <c r="E139" s="292" t="n"/>
      <c r="F139" s="292" t="n"/>
      <c r="G139" s="292" t="n"/>
      <c r="H139" s="282" t="n"/>
      <c r="I139" s="282" t="n"/>
      <c r="J139" s="285" t="n">
        <v>0</v>
      </c>
      <c r="K139" s="283" t="n">
        <v>0</v>
      </c>
      <c r="L139" s="284">
        <f>J139-N139-P139</f>
        <v/>
      </c>
      <c r="M139" s="285" t="n"/>
      <c r="N139" s="285" t="n"/>
      <c r="O139" s="282">
        <f>L139-M139</f>
        <v/>
      </c>
      <c r="P139" s="282">
        <f>K139-N139</f>
        <v/>
      </c>
      <c r="Q139" s="282">
        <f>M139+O139</f>
        <v/>
      </c>
      <c r="R139" s="282">
        <f>M139+N139+O139+P139</f>
        <v/>
      </c>
      <c r="S139" s="286">
        <f>SUM(T139:V139)</f>
        <v/>
      </c>
      <c r="T139" s="286" t="n"/>
      <c r="U139" s="286" t="n"/>
      <c r="V139" s="286" t="n"/>
      <c r="W139" s="286" t="n"/>
      <c r="X139" s="286" t="n"/>
      <c r="Y139" s="286" t="n"/>
      <c r="Z139" s="286" t="n"/>
      <c r="AA139" s="286" t="n"/>
      <c r="AB139" s="286" t="n"/>
      <c r="AC139" s="286" t="n"/>
      <c r="AD139" s="286" t="n"/>
      <c r="AE139" s="286" t="n"/>
      <c r="AF139" s="286" t="n"/>
      <c r="AG139" s="286" t="n"/>
      <c r="AH139" s="286" t="n"/>
      <c r="AI139" s="286" t="n"/>
      <c r="AJ139" s="286" t="n"/>
      <c r="AK139" s="287" t="n"/>
      <c r="AL139" s="288" t="n"/>
    </row>
    <row r="140">
      <c r="A140" s="206" t="n">
        <v>1</v>
      </c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2</v>
      </c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3</v>
      </c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4</v>
      </c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06" t="n">
        <v>5</v>
      </c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6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  <c r="W144" s="290" t="n"/>
      <c r="X144" s="290" t="n"/>
      <c r="Y144" s="290" t="n"/>
      <c r="Z144" s="290" t="n"/>
      <c r="AA144" s="290" t="n"/>
      <c r="AB144" s="290" t="n"/>
      <c r="AC144" s="290" t="n"/>
      <c r="AD144" s="290" t="n"/>
      <c r="AE144" s="290" t="n"/>
      <c r="AF144" s="290" t="n"/>
      <c r="AG144" s="290" t="n"/>
      <c r="AH144" s="290" t="n"/>
      <c r="AI144" s="290" t="n"/>
      <c r="AJ144" s="290" t="n"/>
      <c r="AK144" s="290" t="n"/>
      <c r="AL144" s="290" t="n"/>
    </row>
    <row r="145">
      <c r="A145" s="279" t="n"/>
      <c r="B145" s="280" t="n"/>
      <c r="C145" s="280" t="n"/>
      <c r="D145" s="291" t="inlineStr">
        <is>
          <t>**财务未列部分需增列***</t>
        </is>
      </c>
      <c r="E145" s="292" t="n"/>
      <c r="F145" s="292" t="n"/>
      <c r="G145" s="292" t="n"/>
      <c r="H145" s="282" t="n"/>
      <c r="I145" s="282" t="n"/>
      <c r="J145" s="285" t="n"/>
      <c r="K145" s="283" t="n"/>
      <c r="L145" s="284">
        <f>J145-K145</f>
        <v/>
      </c>
      <c r="M145" s="315" t="n"/>
      <c r="N145" s="315" t="n"/>
      <c r="O145" s="282">
        <f>L145-M145</f>
        <v/>
      </c>
      <c r="P145" s="282">
        <f>K145-N145</f>
        <v/>
      </c>
      <c r="Q145" s="282">
        <f>M145+O145</f>
        <v/>
      </c>
      <c r="R145" s="282">
        <f>M145+N145+O145+P145</f>
        <v/>
      </c>
      <c r="S145" s="286">
        <f>SUM(T145:V145)</f>
        <v/>
      </c>
      <c r="T145" s="315" t="n"/>
      <c r="U145" s="315" t="n"/>
      <c r="V145" s="315" t="n"/>
      <c r="W145" s="315" t="n"/>
      <c r="X145" s="315" t="n"/>
      <c r="Y145" s="315" t="n"/>
      <c r="Z145" s="282">
        <f>SUM(AA45:AJ45)</f>
        <v/>
      </c>
      <c r="AA145" s="286" t="n"/>
      <c r="AB145" s="286" t="n"/>
      <c r="AC145" s="286" t="n"/>
      <c r="AD145" s="286" t="n"/>
      <c r="AE145" s="286" t="n"/>
      <c r="AF145" s="286" t="n"/>
      <c r="AG145" s="286" t="n"/>
      <c r="AH145" s="286" t="n"/>
      <c r="AI145" s="286" t="n"/>
      <c r="AJ145" s="286" t="n"/>
      <c r="AK145" s="287" t="n"/>
      <c r="AL145" s="288" t="n"/>
    </row>
    <row r="146">
      <c r="A146" s="316" t="n"/>
      <c r="B146" s="317" t="n"/>
      <c r="C146" s="317" t="n"/>
      <c r="D146" s="312" t="inlineStr">
        <is>
          <t>其他直接费小计：</t>
        </is>
      </c>
      <c r="E146" s="318" t="n"/>
      <c r="F146" s="318" t="n"/>
      <c r="G146" s="318" t="n"/>
      <c r="H146" s="298">
        <f>SUM(H139:H145)</f>
        <v/>
      </c>
      <c r="I146" s="298">
        <f>SUM(I139:I145)</f>
        <v/>
      </c>
      <c r="J146" s="298">
        <f>SUM(J139:J145)</f>
        <v/>
      </c>
      <c r="K146" s="298">
        <f>SUM(K139:K145)</f>
        <v/>
      </c>
      <c r="L146" s="314">
        <f>SUM(L139:L145)</f>
        <v/>
      </c>
      <c r="M146" s="298">
        <f>SUM(M139:M145)</f>
        <v/>
      </c>
      <c r="N146" s="298">
        <f>SUM(N139:N145)</f>
        <v/>
      </c>
      <c r="O146" s="298">
        <f>L146-M146</f>
        <v/>
      </c>
      <c r="P146" s="298">
        <f>SUM(P139:P145)</f>
        <v/>
      </c>
      <c r="Q146" s="298">
        <f>M146+O146</f>
        <v/>
      </c>
      <c r="R146" s="298">
        <f>SUM(R139:R145)</f>
        <v/>
      </c>
      <c r="S146" s="298">
        <f>SUM(S139:S145)</f>
        <v/>
      </c>
      <c r="T146" s="298" t="n"/>
      <c r="U146" s="298" t="n"/>
      <c r="V146" s="298" t="n"/>
      <c r="W146" s="298" t="n"/>
      <c r="X146" s="298" t="n"/>
      <c r="Y146" s="298" t="n"/>
      <c r="Z146" s="298">
        <f>SUM(Z139:Z145)</f>
        <v/>
      </c>
      <c r="AA146" s="298">
        <f>SUM(AA139:AA145)</f>
        <v/>
      </c>
      <c r="AB146" s="298">
        <f>SUM(AB139:AB145)</f>
        <v/>
      </c>
      <c r="AC146" s="298">
        <f>SUM(AC139:AC145)</f>
        <v/>
      </c>
      <c r="AD146" s="298">
        <f>SUM(AD139:AD145)</f>
        <v/>
      </c>
      <c r="AE146" s="298">
        <f>SUM(AE139:AE145)</f>
        <v/>
      </c>
      <c r="AF146" s="298">
        <f>SUM(AF139:AF145)</f>
        <v/>
      </c>
      <c r="AG146" s="298" t="n"/>
      <c r="AH146" s="298" t="n"/>
      <c r="AI146" s="298">
        <f>SUM(AI139:AI145)</f>
        <v/>
      </c>
      <c r="AJ146" s="298">
        <f>SUM(AJ139:AJ145)</f>
        <v/>
      </c>
      <c r="AK146" s="298">
        <f>SUM(AK139:AK145)</f>
        <v/>
      </c>
      <c r="AL146" s="288" t="n"/>
    </row>
    <row r="147">
      <c r="A147" s="279" t="n"/>
      <c r="B147" s="280" t="n"/>
      <c r="C147" s="280" t="n"/>
      <c r="D147" s="299" t="inlineStr">
        <is>
          <t>（六）间接费</t>
        </is>
      </c>
      <c r="E147" s="292" t="n"/>
      <c r="F147" s="292" t="n"/>
      <c r="G147" s="292" t="n"/>
      <c r="H147" s="285" t="n"/>
      <c r="I147" s="282" t="n"/>
      <c r="J147" s="282" t="n">
        <v>0</v>
      </c>
      <c r="K147" s="283" t="n">
        <v>0</v>
      </c>
      <c r="L147" s="284">
        <f>J147-N147-P147</f>
        <v/>
      </c>
      <c r="M147" s="285" t="n"/>
      <c r="N147" s="285" t="n"/>
      <c r="O147" s="282">
        <f>L147-M147</f>
        <v/>
      </c>
      <c r="P147" s="282">
        <f>K147-N147</f>
        <v/>
      </c>
      <c r="Q147" s="282">
        <f>M147+O147</f>
        <v/>
      </c>
      <c r="R147" s="282">
        <f>M147+N147+O147+P147</f>
        <v/>
      </c>
      <c r="S147" s="286">
        <f>SUM(T147:V147)</f>
        <v/>
      </c>
      <c r="T147" s="286" t="n"/>
      <c r="U147" s="286" t="n"/>
      <c r="V147" s="286" t="n"/>
      <c r="W147" s="286" t="n"/>
      <c r="X147" s="286" t="n"/>
      <c r="Y147" s="286" t="n"/>
      <c r="Z147" s="286" t="n"/>
      <c r="AA147" s="286" t="n"/>
      <c r="AB147" s="286" t="n"/>
      <c r="AC147" s="286" t="n"/>
      <c r="AD147" s="286" t="n"/>
      <c r="AE147" s="286" t="n"/>
      <c r="AF147" s="286" t="n"/>
      <c r="AG147" s="286" t="n"/>
      <c r="AH147" s="286" t="n"/>
      <c r="AI147" s="286" t="n"/>
      <c r="AJ147" s="286" t="n"/>
      <c r="AK147" s="287" t="n"/>
      <c r="AL147" s="288" t="n"/>
    </row>
    <row r="148">
      <c r="A148" s="206" t="n">
        <v>1</v>
      </c>
      <c r="B148" s="206" t="n"/>
      <c r="C148" s="207" t="n"/>
      <c r="D148" s="207" t="inlineStr">
        <is>
          <t>书报资料费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220.88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2</v>
      </c>
      <c r="B149" s="206" t="n"/>
      <c r="C149" s="207" t="n"/>
      <c r="D149" s="207" t="inlineStr">
        <is>
          <t>企业年金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186548.56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3</v>
      </c>
      <c r="B150" s="206" t="n"/>
      <c r="C150" s="207" t="n"/>
      <c r="D150" s="207" t="inlineStr">
        <is>
          <t>会议费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5867.37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4</v>
      </c>
      <c r="B151" s="206" t="n"/>
      <c r="C151" s="207" t="n"/>
      <c r="D151" s="207" t="inlineStr">
        <is>
          <t>住房公积金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921583.74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5</v>
      </c>
      <c r="B152" s="206" t="n"/>
      <c r="C152" s="207" t="n"/>
      <c r="D152" s="207" t="inlineStr">
        <is>
          <t>保险费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4245.28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6</v>
      </c>
      <c r="B153" s="206" t="n"/>
      <c r="C153" s="207" t="n"/>
      <c r="D153" s="207" t="inlineStr">
        <is>
          <t>修理费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27769.38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7</v>
      </c>
      <c r="B154" s="206" t="n"/>
      <c r="C154" s="207" t="n"/>
      <c r="D154" s="207" t="inlineStr">
        <is>
          <t>其他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445466.64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8</v>
      </c>
      <c r="B155" s="206" t="n"/>
      <c r="C155" s="207" t="n"/>
      <c r="D155" s="207" t="inlineStr">
        <is>
          <t>其他补充保险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87.84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9</v>
      </c>
      <c r="B156" s="206" t="n"/>
      <c r="C156" s="207" t="n"/>
      <c r="D156" s="207" t="inlineStr">
        <is>
          <t>冲晒印刷费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112428.15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10</v>
      </c>
      <c r="B157" s="206" t="n"/>
      <c r="C157" s="207" t="n"/>
      <c r="D157" s="207" t="inlineStr">
        <is>
          <t>办公用品费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607692.39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11</v>
      </c>
      <c r="B158" s="206" t="n"/>
      <c r="C158" s="207" t="n"/>
      <c r="D158" s="207" t="inlineStr">
        <is>
          <t>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453554.98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12</v>
      </c>
      <c r="B159" s="206" t="n"/>
      <c r="C159" s="207" t="n"/>
      <c r="D159" s="207" t="inlineStr">
        <is>
          <t>基本养老保险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1111816.95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13</v>
      </c>
      <c r="B160" s="206" t="n"/>
      <c r="C160" s="207" t="n"/>
      <c r="D160" s="207" t="inlineStr">
        <is>
          <t>境内差旅费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28860.18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14</v>
      </c>
      <c r="B161" s="206" t="n"/>
      <c r="C161" s="207" t="n"/>
      <c r="D161" s="207" t="inlineStr">
        <is>
          <t>失业保险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45975.32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15</v>
      </c>
      <c r="B162" s="206" t="n"/>
      <c r="C162" s="207" t="n"/>
      <c r="D162" s="207" t="inlineStr">
        <is>
          <t>工会经费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150995.69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16</v>
      </c>
      <c r="B163" s="206" t="n"/>
      <c r="C163" s="207" t="n"/>
      <c r="D163" s="207" t="inlineStr">
        <is>
          <t>工伤保险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43560.14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17</v>
      </c>
      <c r="B164" s="206" t="n"/>
      <c r="C164" s="207" t="n"/>
      <c r="D164" s="207" t="inlineStr">
        <is>
          <t>工资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21079637.05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18</v>
      </c>
      <c r="B165" s="206" t="n"/>
      <c r="C165" s="207" t="n"/>
      <c r="D165" s="207" t="inlineStr">
        <is>
          <t>市内交通费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5663.74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19</v>
      </c>
      <c r="B166" s="206" t="n"/>
      <c r="C166" s="207" t="n"/>
      <c r="D166" s="207" t="inlineStr">
        <is>
          <t>律师费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14327.83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20</v>
      </c>
      <c r="B167" s="206" t="n"/>
      <c r="C167" s="207" t="n"/>
      <c r="D167" s="207" t="inlineStr">
        <is>
          <t>折旧费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65460.13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21</v>
      </c>
      <c r="B168" s="206" t="n"/>
      <c r="C168" s="207" t="n"/>
      <c r="D168" s="207" t="inlineStr">
        <is>
          <t>水电费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1915223.39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22</v>
      </c>
      <c r="B169" s="206" t="n"/>
      <c r="C169" s="207" t="n"/>
      <c r="D169" s="207" t="inlineStr">
        <is>
          <t>燃油费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210747.51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23</v>
      </c>
      <c r="B170" s="206" t="n"/>
      <c r="C170" s="207" t="n"/>
      <c r="D170" s="207" t="inlineStr">
        <is>
          <t>物业租赁费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223298.47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24</v>
      </c>
      <c r="B171" s="206" t="n"/>
      <c r="C171" s="207" t="n"/>
      <c r="D171" s="207" t="inlineStr">
        <is>
          <t>物业管理费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463287.94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25</v>
      </c>
      <c r="B172" s="206" t="n"/>
      <c r="C172" s="207" t="n"/>
      <c r="D172" s="207" t="inlineStr">
        <is>
          <t>物料消耗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4059.41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26</v>
      </c>
      <c r="B173" s="206" t="n"/>
      <c r="C173" s="207" t="n"/>
      <c r="D173" s="207" t="inlineStr">
        <is>
          <t>生育保险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4798.28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27</v>
      </c>
      <c r="B174" s="206" t="n"/>
      <c r="C174" s="207" t="n"/>
      <c r="D174" s="207" t="inlineStr">
        <is>
          <t>社保及公积金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1410339.33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28</v>
      </c>
      <c r="B175" s="206" t="n"/>
      <c r="C175" s="207" t="n"/>
      <c r="D175" s="207" t="inlineStr">
        <is>
          <t>租车费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429894.83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29</v>
      </c>
      <c r="B176" s="206" t="n"/>
      <c r="C176" s="207" t="n"/>
      <c r="D176" s="207" t="inlineStr">
        <is>
          <t>维修保养费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34521.89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30</v>
      </c>
      <c r="B177" s="206" t="n"/>
      <c r="C177" s="207" t="n"/>
      <c r="D177" s="207" t="inlineStr">
        <is>
          <t>网络使用费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114830.51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31</v>
      </c>
      <c r="B178" s="206" t="n"/>
      <c r="C178" s="207" t="n"/>
      <c r="D178" s="207" t="inlineStr">
        <is>
          <t>职工教育经费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135820.32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32</v>
      </c>
      <c r="B179" s="206" t="n"/>
      <c r="C179" s="207" t="n"/>
      <c r="D179" s="207" t="inlineStr">
        <is>
          <t>职工福利费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824342.88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33</v>
      </c>
      <c r="B180" s="206" t="n"/>
      <c r="C180" s="207" t="n"/>
      <c r="D180" s="207" t="inlineStr">
        <is>
          <t>补充医疗保险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7322.89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34</v>
      </c>
      <c r="B181" s="206" t="n"/>
      <c r="C181" s="207" t="n"/>
      <c r="D181" s="207" t="inlineStr">
        <is>
          <t>诉讼费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36638.87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35</v>
      </c>
      <c r="B182" s="206" t="n"/>
      <c r="C182" s="207" t="n"/>
      <c r="D182" s="207" t="inlineStr">
        <is>
          <t>路桥及停车费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78817.39999999999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36</v>
      </c>
      <c r="B183" s="206" t="n"/>
      <c r="C183" s="207" t="n"/>
      <c r="D183" s="207" t="inlineStr">
        <is>
          <t>软件费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209326.47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06" t="n">
        <v>37</v>
      </c>
      <c r="B184" s="206" t="n"/>
      <c r="C184" s="207" t="n"/>
      <c r="D184" s="207" t="inlineStr">
        <is>
          <t>通信费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192969.09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0" t="n"/>
      <c r="X184" s="290" t="n"/>
      <c r="Y184" s="290" t="n"/>
      <c r="Z184" s="290" t="n"/>
      <c r="AA184" s="290" t="n"/>
      <c r="AB184" s="290" t="n"/>
      <c r="AC184" s="290" t="n"/>
      <c r="AD184" s="290" t="n"/>
      <c r="AE184" s="290" t="n"/>
      <c r="AF184" s="290" t="n"/>
      <c r="AG184" s="290" t="n"/>
      <c r="AH184" s="290" t="n"/>
      <c r="AI184" s="290" t="n"/>
      <c r="AJ184" s="290" t="n"/>
      <c r="AK184" s="290" t="n"/>
      <c r="AL184" s="290" t="n"/>
    </row>
    <row r="185">
      <c r="A185" s="206" t="n">
        <v>38</v>
      </c>
      <c r="B185" s="206" t="n"/>
      <c r="C185" s="207" t="n"/>
      <c r="D185" s="207" t="inlineStr">
        <is>
          <t>邮寄费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1030.72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0" t="n"/>
      <c r="X185" s="290" t="n"/>
      <c r="Y185" s="290" t="n"/>
      <c r="Z185" s="290" t="n"/>
      <c r="AA185" s="290" t="n"/>
      <c r="AB185" s="290" t="n"/>
      <c r="AC185" s="290" t="n"/>
      <c r="AD185" s="290" t="n"/>
      <c r="AE185" s="290" t="n"/>
      <c r="AF185" s="290" t="n"/>
      <c r="AG185" s="290" t="n"/>
      <c r="AH185" s="290" t="n"/>
      <c r="AI185" s="290" t="n"/>
      <c r="AJ185" s="290" t="n"/>
      <c r="AK185" s="290" t="n"/>
      <c r="AL185" s="290" t="n"/>
    </row>
    <row r="186">
      <c r="A186" s="279" t="n"/>
      <c r="B186" s="280" t="n"/>
      <c r="C186" s="280" t="n"/>
      <c r="D186" s="291" t="inlineStr">
        <is>
          <t>**财务未列部分需增列***</t>
        </is>
      </c>
      <c r="E186" s="292" t="n"/>
      <c r="F186" s="292" t="n"/>
      <c r="G186" s="292" t="n"/>
      <c r="H186" s="315" t="n"/>
      <c r="I186" s="282" t="n"/>
      <c r="J186" s="315" t="n"/>
      <c r="K186" s="283" t="n"/>
      <c r="L186" s="284" t="n"/>
      <c r="M186" s="315" t="n"/>
      <c r="N186" s="282" t="n"/>
      <c r="O186" s="282">
        <f>L186-M186</f>
        <v/>
      </c>
      <c r="P186" s="282">
        <f>K186-N186</f>
        <v/>
      </c>
      <c r="Q186" s="282">
        <f>M186+O186</f>
        <v/>
      </c>
      <c r="R186" s="282">
        <f>M186+N186+O186+P186</f>
        <v/>
      </c>
      <c r="S186" s="286">
        <f>SUM(T186:V186)</f>
        <v/>
      </c>
      <c r="T186" s="315" t="n"/>
      <c r="U186" s="315" t="n"/>
      <c r="V186" s="315" t="n"/>
      <c r="W186" s="315" t="n"/>
      <c r="X186" s="315" t="n"/>
      <c r="Y186" s="315" t="n"/>
      <c r="Z186" s="315" t="n"/>
      <c r="AA186" s="286" t="n"/>
      <c r="AB186" s="287" t="n"/>
      <c r="AC186" s="287" t="n"/>
      <c r="AD186" s="287" t="n"/>
      <c r="AE186" s="287" t="n"/>
      <c r="AF186" s="287" t="n"/>
      <c r="AG186" s="287" t="n"/>
      <c r="AH186" s="287" t="n"/>
      <c r="AI186" s="287" t="n"/>
      <c r="AJ186" s="287" t="n"/>
      <c r="AK186" s="287" t="n"/>
      <c r="AL186" s="294" t="n"/>
    </row>
    <row r="187">
      <c r="A187" s="316" t="n"/>
      <c r="B187" s="317" t="n"/>
      <c r="C187" s="317" t="n"/>
      <c r="D187" s="312" t="inlineStr">
        <is>
          <t>间接费小计：</t>
        </is>
      </c>
      <c r="E187" s="318" t="n"/>
      <c r="F187" s="318" t="n"/>
      <c r="G187" s="318" t="n"/>
      <c r="H187" s="298">
        <f>SUM(H147:H186)</f>
        <v/>
      </c>
      <c r="I187" s="298">
        <f>SUM(I147:I186)</f>
        <v/>
      </c>
      <c r="J187" s="298">
        <f>SUM(J147:J186)</f>
        <v/>
      </c>
      <c r="K187" s="298">
        <f>SUM(K147:K186)</f>
        <v/>
      </c>
      <c r="L187" s="314">
        <f>SUM(L147:L186)</f>
        <v/>
      </c>
      <c r="M187" s="314">
        <f>SUM(M147:M186)</f>
        <v/>
      </c>
      <c r="N187" s="314">
        <f>SUM(N147:N186)</f>
        <v/>
      </c>
      <c r="O187" s="314">
        <f>SUM(O147:O186)</f>
        <v/>
      </c>
      <c r="P187" s="314">
        <f>SUM(P147:P186)</f>
        <v/>
      </c>
      <c r="Q187" s="314">
        <f>SUM(Q147:Q186)</f>
        <v/>
      </c>
      <c r="R187" s="314">
        <f>SUM(R147:R186)</f>
        <v/>
      </c>
      <c r="S187" s="314">
        <f>SUM(S147:S186)</f>
        <v/>
      </c>
      <c r="T187" s="314" t="n"/>
      <c r="U187" s="314" t="n"/>
      <c r="V187" s="314" t="n"/>
      <c r="W187" s="314" t="n"/>
      <c r="X187" s="314" t="n"/>
      <c r="Y187" s="314" t="n"/>
      <c r="Z187" s="314">
        <f>SUM(Z147:Z186)</f>
        <v/>
      </c>
      <c r="AA187" s="314">
        <f>SUM(AA147:AA186)</f>
        <v/>
      </c>
      <c r="AB187" s="314">
        <f>SUM(AB147:AB186)</f>
        <v/>
      </c>
      <c r="AC187" s="314">
        <f>SUM(AC147:AC186)</f>
        <v/>
      </c>
      <c r="AD187" s="314">
        <f>SUM(AD147:AD186)</f>
        <v/>
      </c>
      <c r="AE187" s="314">
        <f>SUM(AE147:AE186)</f>
        <v/>
      </c>
      <c r="AF187" s="314">
        <f>SUM(AF147:AF186)</f>
        <v/>
      </c>
      <c r="AG187" s="314" t="n"/>
      <c r="AH187" s="314" t="n"/>
      <c r="AI187" s="314">
        <f>SUM(AI147:AI186)</f>
        <v/>
      </c>
      <c r="AJ187" s="314">
        <f>SUM(AJ147:AJ186)</f>
        <v/>
      </c>
      <c r="AK187" s="314">
        <f>SUM(AK147:AK186)</f>
        <v/>
      </c>
      <c r="AL187" s="294" t="n"/>
    </row>
    <row r="188">
      <c r="A188" s="279" t="n"/>
      <c r="B188" s="280" t="n"/>
      <c r="C188" s="280" t="n"/>
      <c r="D188" s="299" t="inlineStr">
        <is>
          <t>（七）安全费</t>
        </is>
      </c>
      <c r="E188" s="292" t="n"/>
      <c r="F188" s="292" t="n"/>
      <c r="G188" s="292" t="n"/>
      <c r="H188" s="282" t="n"/>
      <c r="I188" s="282" t="n"/>
      <c r="J188" s="285" t="n">
        <v>0</v>
      </c>
      <c r="K188" s="319" t="n"/>
      <c r="L188" s="284">
        <f>J188-N188-P188</f>
        <v/>
      </c>
      <c r="M188" s="282" t="n"/>
      <c r="N188" s="282" t="n"/>
      <c r="O188" s="282">
        <f>L188-M188</f>
        <v/>
      </c>
      <c r="P188" s="282">
        <f>K188-N188</f>
        <v/>
      </c>
      <c r="Q188" s="282">
        <f>M188+O188</f>
        <v/>
      </c>
      <c r="R188" s="282">
        <f>M188+N188+O188+P188</f>
        <v/>
      </c>
      <c r="S188" s="286">
        <f>SUM(T188:V188)</f>
        <v/>
      </c>
      <c r="T188" s="315" t="n"/>
      <c r="U188" s="315" t="n"/>
      <c r="V188" s="315" t="n"/>
      <c r="W188" s="315" t="n"/>
      <c r="X188" s="315" t="n"/>
      <c r="Y188" s="315" t="n"/>
      <c r="Z188" s="311" t="n"/>
      <c r="AA188" s="286" t="n"/>
      <c r="AB188" s="287" t="n"/>
      <c r="AC188" s="287" t="n"/>
      <c r="AD188" s="287" t="n"/>
      <c r="AE188" s="287" t="n"/>
      <c r="AF188" s="287" t="n"/>
      <c r="AG188" s="287" t="n"/>
      <c r="AH188" s="287" t="n"/>
      <c r="AI188" s="287" t="n"/>
      <c r="AJ188" s="287" t="n"/>
      <c r="AK188" s="287" t="n"/>
      <c r="AL188" s="294" t="n"/>
    </row>
    <row r="189">
      <c r="A189" s="206" t="n">
        <v>1</v>
      </c>
      <c r="B189" s="206" t="n"/>
      <c r="C189" s="207" t="n"/>
      <c r="D189" s="207" t="inlineStr">
        <is>
          <t>安全生产-人工费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6">
        <f>J189-K189</f>
        <v/>
      </c>
      <c r="M189" s="210" t="n">
        <v>2852405.63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  <c r="W189" s="290" t="n"/>
      <c r="X189" s="290" t="n"/>
      <c r="Y189" s="290" t="n"/>
      <c r="Z189" s="290" t="n"/>
      <c r="AA189" s="290" t="n"/>
      <c r="AB189" s="290" t="n"/>
      <c r="AC189" s="290" t="n"/>
      <c r="AD189" s="290" t="n"/>
      <c r="AE189" s="290" t="n"/>
      <c r="AF189" s="290" t="n"/>
      <c r="AG189" s="290" t="n"/>
      <c r="AH189" s="290" t="n"/>
      <c r="AI189" s="290" t="n"/>
      <c r="AJ189" s="290" t="n"/>
      <c r="AK189" s="290" t="n"/>
      <c r="AL189" s="290" t="n"/>
    </row>
    <row r="190">
      <c r="A190" s="206" t="n">
        <v>2</v>
      </c>
      <c r="B190" s="206" t="n"/>
      <c r="C190" s="207" t="n"/>
      <c r="D190" s="207" t="inlineStr">
        <is>
          <t>安全生产-分包工程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4674095.6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3</v>
      </c>
      <c r="B191" s="206" t="n"/>
      <c r="C191" s="207" t="n"/>
      <c r="D191" s="207" t="inlineStr">
        <is>
          <t>安全生产-机械使用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326856.87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206" t="n">
        <v>4</v>
      </c>
      <c r="B192" s="206" t="n"/>
      <c r="C192" s="207" t="n"/>
      <c r="D192" s="207" t="inlineStr">
        <is>
          <t>安全生产费-报销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2066826.1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316" t="n"/>
      <c r="B193" s="317" t="n"/>
      <c r="C193" s="317" t="n"/>
      <c r="D193" s="312" t="inlineStr">
        <is>
          <t>安全费小计：</t>
        </is>
      </c>
      <c r="E193" s="312" t="n"/>
      <c r="F193" s="312" t="n"/>
      <c r="G193" s="312" t="n"/>
      <c r="H193" s="298">
        <f>SUM(H188:H192)</f>
        <v/>
      </c>
      <c r="I193" s="298">
        <f>SUM(I188:I192)</f>
        <v/>
      </c>
      <c r="J193" s="298" t="n">
        <v>0</v>
      </c>
      <c r="K193" s="298" t="n">
        <v>0</v>
      </c>
      <c r="L193" s="320">
        <f>J193-K193</f>
        <v/>
      </c>
      <c r="M193" s="314">
        <f>SUM(M188:M192)</f>
        <v/>
      </c>
      <c r="N193" s="314">
        <f>SUM(N188:N192)</f>
        <v/>
      </c>
      <c r="O193" s="314">
        <f>SUM(O188:O192)</f>
        <v/>
      </c>
      <c r="P193" s="314">
        <f>SUM(P188:P192)</f>
        <v/>
      </c>
      <c r="Q193" s="314">
        <f>SUM(Q188:Q192)</f>
        <v/>
      </c>
      <c r="R193" s="314">
        <f>SUM(R188:R192)</f>
        <v/>
      </c>
      <c r="S193" s="314">
        <f>SUM(S188:S192)</f>
        <v/>
      </c>
      <c r="T193" s="321" t="n"/>
      <c r="U193" s="321" t="n"/>
      <c r="V193" s="321" t="n"/>
      <c r="W193" s="321" t="n"/>
      <c r="X193" s="321" t="n"/>
      <c r="Y193" s="321" t="n"/>
      <c r="Z193" s="321" t="n"/>
      <c r="AA193" s="321">
        <f>SUM(AA188:AA192)</f>
        <v/>
      </c>
      <c r="AB193" s="321">
        <f>SUM(AB188:AB192)</f>
        <v/>
      </c>
      <c r="AC193" s="321">
        <f>SUM(AC188:AC192)</f>
        <v/>
      </c>
      <c r="AD193" s="321">
        <f>SUM(AD188:AD192)</f>
        <v/>
      </c>
      <c r="AE193" s="321">
        <f>SUM(AE188:AE192)</f>
        <v/>
      </c>
      <c r="AF193" s="321">
        <f>SUM(AF188:AF192)</f>
        <v/>
      </c>
      <c r="AG193" s="321" t="n"/>
      <c r="AH193" s="321" t="n"/>
      <c r="AI193" s="321">
        <f>SUM(AI188:AI192)</f>
        <v/>
      </c>
      <c r="AJ193" s="321">
        <f>SUM(AJ188:AJ192)</f>
        <v/>
      </c>
      <c r="AK193" s="321">
        <f>SUM(AK188:AK192)</f>
        <v/>
      </c>
      <c r="AL193" s="322" t="n"/>
    </row>
    <row r="194">
      <c r="A194" s="316" t="n"/>
      <c r="B194" s="317" t="n"/>
      <c r="C194" s="317" t="n"/>
      <c r="D194" s="312" t="inlineStr">
        <is>
          <t>三、成本合计：</t>
        </is>
      </c>
      <c r="E194" s="318" t="n"/>
      <c r="F194" s="318" t="n"/>
      <c r="G194" s="318" t="n"/>
      <c r="H194" s="298">
        <f>H33+H63+H121+H138+H146+H187+H193</f>
        <v/>
      </c>
      <c r="I194" s="298">
        <f>I33+I63+I121+I138+I146+I187+I193</f>
        <v/>
      </c>
      <c r="J194" s="298">
        <f>J33+J63+J121+J138+J146+J187+J193</f>
        <v/>
      </c>
      <c r="K194" s="298">
        <f>K33+K63+K121+K138+K146+K187+K193</f>
        <v/>
      </c>
      <c r="L194" s="314">
        <f>L33+L63+L121+L138+L146+L187+L193</f>
        <v/>
      </c>
      <c r="M194" s="321">
        <f>M33+M63+M121+M138+M146+M187+M193</f>
        <v/>
      </c>
      <c r="N194" s="321">
        <f>N33+N63+N121+N138+N146+N187+N193</f>
        <v/>
      </c>
      <c r="O194" s="321">
        <f>O33+O63+O121+O138+O146+O187+O193</f>
        <v/>
      </c>
      <c r="P194" s="321">
        <f>P33+P63+P121+P138+P146+P187+P193</f>
        <v/>
      </c>
      <c r="Q194" s="321">
        <f>Q33+Q63+Q121+Q138+Q146+Q187+Q193</f>
        <v/>
      </c>
      <c r="R194" s="321">
        <f>R33+R63+R121+R138+R146+R187+R193</f>
        <v/>
      </c>
      <c r="S194" s="321">
        <f>S33+S63+S121+S138+S146+S187+S193</f>
        <v/>
      </c>
      <c r="T194" s="321" t="n"/>
      <c r="U194" s="321" t="n"/>
      <c r="V194" s="321" t="n"/>
      <c r="W194" s="321" t="n"/>
      <c r="X194" s="321" t="n"/>
      <c r="Y194" s="321" t="n"/>
      <c r="Z194" s="321">
        <f>Z33+Z63+Z121+Z138+Z146+Z187+Z193</f>
        <v/>
      </c>
      <c r="AA194" s="321">
        <f>AA33+AA63+AA121+AA138+AA146+AA187+AA193</f>
        <v/>
      </c>
      <c r="AB194" s="321">
        <f>AB33+AB63+AB121+AB138+AB146+AB187+AB193</f>
        <v/>
      </c>
      <c r="AC194" s="321">
        <f>AC33+AC63+AC121+AC138+AC146+AC187+AC193</f>
        <v/>
      </c>
      <c r="AD194" s="321">
        <f>AD33+AD63+AD121+AD138+AD146+AD187+AD193</f>
        <v/>
      </c>
      <c r="AE194" s="321">
        <f>AE33+AE63+AE121+AE138+AE146+AE187+AE193</f>
        <v/>
      </c>
      <c r="AF194" s="321">
        <f>AF33+AF63+AF121+AF138+AF146+AF187+AF193</f>
        <v/>
      </c>
      <c r="AG194" s="321" t="n"/>
      <c r="AH194" s="321" t="n"/>
      <c r="AI194" s="321">
        <f>AI33+AI63+AI121+AI138+AI146+AI187+AI193</f>
        <v/>
      </c>
      <c r="AJ194" s="321">
        <f>AJ33+AJ63+AJ121+AJ138+AJ146+AJ187+AJ193</f>
        <v/>
      </c>
      <c r="AK194" s="321">
        <f>AK33+AK63+AK121+AK138+AK146+AK187+AK193</f>
        <v/>
      </c>
      <c r="AL194" s="322" t="n"/>
    </row>
    <row r="195">
      <c r="A195" s="316" t="n"/>
      <c r="B195" s="317" t="n"/>
      <c r="C195" s="317" t="n"/>
      <c r="D195" s="312" t="inlineStr">
        <is>
          <t>四、计提保修金</t>
        </is>
      </c>
      <c r="E195" s="318" t="inlineStr">
        <is>
          <t>（在建：房建0.6%，其它0.4%；在保修期间的按0.3~0.5%自行确定;保修期结束为0）</t>
        </is>
      </c>
      <c r="F195" s="318" t="n"/>
      <c r="G195" s="318" t="n"/>
      <c r="H195" s="298" t="n"/>
      <c r="I195" s="298" t="n"/>
      <c r="J195" s="298">
        <f>H195+I195</f>
        <v/>
      </c>
      <c r="K195" s="298" t="n"/>
      <c r="L195" s="314">
        <f>J195-K195</f>
        <v/>
      </c>
      <c r="M195" s="321" t="n"/>
      <c r="N195" s="321" t="n"/>
      <c r="O195" s="321">
        <f>L195-M195</f>
        <v/>
      </c>
      <c r="P195" s="321">
        <f>K195-N195</f>
        <v/>
      </c>
      <c r="Q195" s="321">
        <f>M195+O195</f>
        <v/>
      </c>
      <c r="R195" s="321">
        <f>M195+N195+O195+P195</f>
        <v/>
      </c>
      <c r="S195" s="321">
        <f>SUM(T195:V195)</f>
        <v/>
      </c>
      <c r="T195" s="321" t="n"/>
      <c r="U195" s="321" t="n"/>
      <c r="V195" s="321" t="n"/>
      <c r="W195" s="321" t="n"/>
      <c r="X195" s="321" t="n"/>
      <c r="Y195" s="321" t="n"/>
      <c r="Z195" s="321" t="n"/>
      <c r="AA195" s="321">
        <f>Q69-S69</f>
        <v/>
      </c>
      <c r="AB195" s="321" t="n"/>
      <c r="AC195" s="321" t="n"/>
      <c r="AD195" s="321" t="n"/>
      <c r="AE195" s="321" t="n"/>
      <c r="AF195" s="321" t="n"/>
      <c r="AG195" s="321" t="n"/>
      <c r="AH195" s="321" t="n"/>
      <c r="AI195" s="321" t="n"/>
      <c r="AJ195" s="321" t="n"/>
      <c r="AK195" s="321" t="n"/>
      <c r="AL195" s="322" t="n"/>
    </row>
    <row r="196">
      <c r="A196" s="316" t="n"/>
      <c r="B196" s="317" t="n"/>
      <c r="C196" s="317" t="n"/>
      <c r="D196" s="312" t="inlineStr">
        <is>
          <t>五、过程节点奖金</t>
        </is>
      </c>
      <c r="E196" s="318" t="n"/>
      <c r="F196" s="318" t="n"/>
      <c r="G196" s="318" t="n"/>
      <c r="H196" s="298" t="n"/>
      <c r="I196" s="298" t="n"/>
      <c r="J196" s="298">
        <f>H196+I196</f>
        <v/>
      </c>
      <c r="K196" s="298" t="n"/>
      <c r="L196" s="314">
        <f>J196-K196</f>
        <v/>
      </c>
      <c r="M196" s="321" t="n"/>
      <c r="N196" s="321" t="n"/>
      <c r="O196" s="321">
        <f>L196-M196</f>
        <v/>
      </c>
      <c r="P196" s="321">
        <f>K196-N196</f>
        <v/>
      </c>
      <c r="Q196" s="321">
        <f>M196+O196</f>
        <v/>
      </c>
      <c r="R196" s="321">
        <f>M196+N196+O196+P196</f>
        <v/>
      </c>
      <c r="S196" s="321">
        <f>SUM(T196:V196)</f>
        <v/>
      </c>
      <c r="T196" s="321" t="n"/>
      <c r="U196" s="321" t="n"/>
      <c r="V196" s="321" t="n"/>
      <c r="W196" s="321" t="n"/>
      <c r="X196" s="321" t="n"/>
      <c r="Y196" s="321" t="n"/>
      <c r="Z196" s="321" t="n"/>
      <c r="AA196" s="321" t="n"/>
      <c r="AB196" s="321" t="n"/>
      <c r="AC196" s="321" t="n"/>
      <c r="AD196" s="321" t="n"/>
      <c r="AE196" s="321" t="n"/>
      <c r="AF196" s="321" t="n"/>
      <c r="AG196" s="321" t="n"/>
      <c r="AH196" s="321" t="n"/>
      <c r="AI196" s="321" t="n"/>
      <c r="AJ196" s="321" t="n"/>
      <c r="AK196" s="321" t="n"/>
      <c r="AL196" s="322" t="n"/>
    </row>
    <row r="197">
      <c r="A197" s="316" t="n"/>
      <c r="B197" s="317" t="n"/>
      <c r="C197" s="317" t="n"/>
      <c r="D197" s="312" t="inlineStr">
        <is>
          <t>六、资金占用费用</t>
        </is>
      </c>
      <c r="E197" s="318" t="n"/>
      <c r="F197" s="318" t="n"/>
      <c r="G197" s="318" t="n"/>
      <c r="H197" s="298" t="n"/>
      <c r="I197" s="298" t="n"/>
      <c r="J197" s="298">
        <f>H197+I197</f>
        <v/>
      </c>
      <c r="K197" s="298" t="n"/>
      <c r="L197" s="314">
        <f>J197-K197</f>
        <v/>
      </c>
      <c r="M197" s="323" t="n">
        <v>6780777.21</v>
      </c>
      <c r="N197" s="321" t="n"/>
      <c r="O197" s="321">
        <f>L197-M197</f>
        <v/>
      </c>
      <c r="P197" s="321">
        <f>K197-N197</f>
        <v/>
      </c>
      <c r="Q197" s="321">
        <f>M197+O197</f>
        <v/>
      </c>
      <c r="R197" s="321">
        <f>M197+N197+O197+P197</f>
        <v/>
      </c>
      <c r="S197" s="321">
        <f>SUM(T197:V197)</f>
        <v/>
      </c>
      <c r="T197" s="321" t="n"/>
      <c r="U197" s="321" t="n"/>
      <c r="V197" s="321" t="n"/>
      <c r="W197" s="321" t="n"/>
      <c r="X197" s="321" t="n"/>
      <c r="Y197" s="321" t="n"/>
      <c r="Z197" s="321" t="n"/>
      <c r="AA197" s="321" t="n"/>
      <c r="AB197" s="321" t="n"/>
      <c r="AC197" s="321" t="n"/>
      <c r="AD197" s="321" t="n"/>
      <c r="AE197" s="321" t="n"/>
      <c r="AF197" s="321" t="n"/>
      <c r="AG197" s="321" t="n"/>
      <c r="AH197" s="321" t="n"/>
      <c r="AI197" s="321" t="n"/>
      <c r="AJ197" s="321" t="n"/>
      <c r="AK197" s="321" t="n"/>
      <c r="AL197" s="322" t="n"/>
    </row>
    <row r="198">
      <c r="A198" s="316" t="n"/>
      <c r="B198" s="317" t="n"/>
      <c r="C198" s="317" t="n"/>
      <c r="D198" s="312" t="inlineStr">
        <is>
          <t>七、局投资收益（局投资项目选填）</t>
        </is>
      </c>
      <c r="E198" s="318" t="n"/>
      <c r="F198" s="318" t="n"/>
      <c r="G198" s="318" t="n"/>
      <c r="H198" s="298" t="n"/>
      <c r="I198" s="298" t="n"/>
      <c r="J198" s="298">
        <f>H198+I198</f>
        <v/>
      </c>
      <c r="K198" s="298" t="n"/>
      <c r="L198" s="314">
        <f>J198-K198</f>
        <v/>
      </c>
      <c r="M198" s="321" t="n"/>
      <c r="N198" s="321" t="n"/>
      <c r="O198" s="321">
        <f>L198-M198</f>
        <v/>
      </c>
      <c r="P198" s="321">
        <f>K198-N198</f>
        <v/>
      </c>
      <c r="Q198" s="321">
        <f>M198+O198</f>
        <v/>
      </c>
      <c r="R198" s="321">
        <f>M198+N198+O198+P198</f>
        <v/>
      </c>
      <c r="S198" s="321">
        <f>SUM(T198:V198)</f>
        <v/>
      </c>
      <c r="T198" s="321" t="n"/>
      <c r="U198" s="321" t="n"/>
      <c r="V198" s="321" t="n"/>
      <c r="W198" s="321" t="n"/>
      <c r="X198" s="321" t="n"/>
      <c r="Y198" s="321" t="n"/>
      <c r="Z198" s="321" t="n"/>
      <c r="AA198" s="321" t="n"/>
      <c r="AB198" s="321" t="n"/>
      <c r="AC198" s="321" t="n"/>
      <c r="AD198" s="321" t="n"/>
      <c r="AE198" s="321" t="n"/>
      <c r="AF198" s="321" t="n"/>
      <c r="AG198" s="321" t="n"/>
      <c r="AH198" s="321" t="n"/>
      <c r="AI198" s="321" t="n"/>
      <c r="AJ198" s="321" t="n"/>
      <c r="AK198" s="321" t="n"/>
      <c r="AL198" s="322" t="n"/>
    </row>
    <row r="199">
      <c r="A199" s="316" t="n"/>
      <c r="B199" s="317" t="n"/>
      <c r="C199" s="317" t="n"/>
      <c r="D199" s="312" t="inlineStr">
        <is>
          <t>八、研发费用</t>
        </is>
      </c>
      <c r="E199" s="318" t="n"/>
      <c r="F199" s="318" t="n"/>
      <c r="G199" s="318" t="n"/>
      <c r="H199" s="298" t="n"/>
      <c r="I199" s="298" t="n"/>
      <c r="J199" s="298">
        <f>H199+I199</f>
        <v/>
      </c>
      <c r="K199" s="298" t="n"/>
      <c r="L199" s="314">
        <f>J199-K199</f>
        <v/>
      </c>
      <c r="M199" s="321">
        <f>SUM(M200:M205)</f>
        <v/>
      </c>
      <c r="N199" s="321">
        <f>SUM(N200:N205)</f>
        <v/>
      </c>
      <c r="O199" s="321">
        <f>SUM(O200:O205)</f>
        <v/>
      </c>
      <c r="P199" s="321">
        <f>SUM(P200:P205)</f>
        <v/>
      </c>
      <c r="Q199" s="321">
        <f>SUM(Q200:Q205)</f>
        <v/>
      </c>
      <c r="R199" s="321">
        <f>SUM(R200:R205)</f>
        <v/>
      </c>
      <c r="S199" s="321">
        <f>SUM(S200:S205)</f>
        <v/>
      </c>
      <c r="T199" s="321">
        <f>SUM(T200:T205)</f>
        <v/>
      </c>
      <c r="U199" s="321">
        <f>SUM(U200:U205)</f>
        <v/>
      </c>
      <c r="V199" s="321">
        <f>SUM(V200:V205)</f>
        <v/>
      </c>
      <c r="W199" s="321">
        <f>SUM(W200:W205)</f>
        <v/>
      </c>
      <c r="X199" s="321">
        <f>SUM(X200:X205)</f>
        <v/>
      </c>
      <c r="Y199" s="321">
        <f>SUM(Y200:Y205)</f>
        <v/>
      </c>
      <c r="Z199" s="321">
        <f>SUM(Z200:Z205)</f>
        <v/>
      </c>
      <c r="AA199" s="321">
        <f>SUM(AA200:AA205)</f>
        <v/>
      </c>
      <c r="AB199" s="321">
        <f>SUM(AB200:AB205)</f>
        <v/>
      </c>
      <c r="AC199" s="321">
        <f>SUM(AC200:AC205)</f>
        <v/>
      </c>
      <c r="AD199" s="321">
        <f>SUM(AD200:AD205)</f>
        <v/>
      </c>
      <c r="AE199" s="321">
        <f>SUM(AE200:AE205)</f>
        <v/>
      </c>
      <c r="AF199" s="321">
        <f>SUM(AF200:AF205)</f>
        <v/>
      </c>
      <c r="AG199" s="321">
        <f>SUM(AG200:AG205)</f>
        <v/>
      </c>
      <c r="AH199" s="321">
        <f>SUM(AH200:AH205)</f>
        <v/>
      </c>
      <c r="AI199" s="321">
        <f>SUM(AI200:AI205)</f>
        <v/>
      </c>
      <c r="AJ199" s="321">
        <f>SUM(AJ200:AJ205)</f>
        <v/>
      </c>
      <c r="AK199" s="321">
        <f>SUM(AK200:AK205)</f>
        <v/>
      </c>
      <c r="AL199" s="322" t="n"/>
    </row>
    <row r="200">
      <c r="A200" s="206" t="n">
        <v>1</v>
      </c>
      <c r="B200" s="206" t="n"/>
      <c r="C200" s="207" t="n"/>
      <c r="D200" s="207" t="inlineStr">
        <is>
          <t>研发费用-人工成本</t>
        </is>
      </c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10" t="n">
        <v>4139878.36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  <c r="W200" s="290" t="n"/>
      <c r="X200" s="290" t="n"/>
      <c r="Y200" s="290" t="n"/>
      <c r="Z200" s="290" t="n"/>
      <c r="AA200" s="290" t="n"/>
      <c r="AB200" s="290" t="n"/>
      <c r="AC200" s="290" t="n"/>
      <c r="AD200" s="290" t="n"/>
      <c r="AE200" s="290" t="n"/>
      <c r="AF200" s="290" t="n"/>
      <c r="AG200" s="290" t="n"/>
      <c r="AH200" s="290" t="n"/>
      <c r="AI200" s="290" t="n"/>
      <c r="AJ200" s="290" t="n"/>
      <c r="AK200" s="290" t="n"/>
      <c r="AL200" s="290" t="n"/>
    </row>
    <row r="201">
      <c r="A201" s="206" t="n">
        <v>2</v>
      </c>
      <c r="B201" s="206" t="n"/>
      <c r="C201" s="207" t="n"/>
      <c r="D201" s="207" t="inlineStr">
        <is>
          <t>研发费用-其他</t>
        </is>
      </c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10" t="n">
        <v>2358.5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  <c r="W201" s="290" t="n"/>
      <c r="X201" s="290" t="n"/>
      <c r="Y201" s="290" t="n"/>
      <c r="Z201" s="290" t="n"/>
      <c r="AA201" s="290" t="n"/>
      <c r="AB201" s="290" t="n"/>
      <c r="AC201" s="290" t="n"/>
      <c r="AD201" s="290" t="n"/>
      <c r="AE201" s="290" t="n"/>
      <c r="AF201" s="290" t="n"/>
      <c r="AG201" s="290" t="n"/>
      <c r="AH201" s="290" t="n"/>
      <c r="AI201" s="290" t="n"/>
      <c r="AJ201" s="290" t="n"/>
      <c r="AK201" s="290" t="n"/>
      <c r="AL201" s="290" t="n"/>
    </row>
    <row r="202">
      <c r="A202" s="206" t="n">
        <v>3</v>
      </c>
      <c r="B202" s="206" t="n"/>
      <c r="C202" s="207" t="n"/>
      <c r="D202" s="207" t="inlineStr">
        <is>
          <t>研发费用-内部结转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2358.5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4</v>
      </c>
      <c r="B203" s="206" t="n"/>
      <c r="C203" s="207" t="n"/>
      <c r="D203" s="207" t="inlineStr">
        <is>
          <t>研发费用-折旧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13714.04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5</v>
      </c>
      <c r="B204" s="206" t="n"/>
      <c r="C204" s="207" t="n"/>
      <c r="D204" s="207" t="inlineStr">
        <is>
          <t>研发费用-机械租赁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126990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6</v>
      </c>
      <c r="B205" s="206" t="n"/>
      <c r="C205" s="207" t="n"/>
      <c r="D205" s="207" t="inlineStr">
        <is>
          <t>研发费用-材料费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50061864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95" t="n"/>
      <c r="B206" s="296" t="n"/>
      <c r="C206" s="296" t="n"/>
      <c r="D206" s="312" t="inlineStr">
        <is>
          <t>九、成本及费用合计（三+四+五+六+七）</t>
        </is>
      </c>
      <c r="E206" s="313" t="n"/>
      <c r="F206" s="313" t="n"/>
      <c r="G206" s="313" t="n"/>
      <c r="H206" s="298">
        <f>H194+H195+H196+H197+H198+H199</f>
        <v/>
      </c>
      <c r="I206" s="298">
        <f>I194+I195+I196+I197+I198+I199</f>
        <v/>
      </c>
      <c r="J206" s="324">
        <f>J194+J195+J196+J197+J198+J199</f>
        <v/>
      </c>
      <c r="K206" s="298">
        <f>K194+K195+K196+K197+K198+K199</f>
        <v/>
      </c>
      <c r="L206" s="325">
        <f>L194+L195+L196+L197+L198+L199</f>
        <v/>
      </c>
      <c r="M206" s="325">
        <f>M194+M195+M196+M197+M198+M199</f>
        <v/>
      </c>
      <c r="N206" s="325">
        <f>N194+N195+N196+N197+N198+N199</f>
        <v/>
      </c>
      <c r="O206" s="325">
        <f>O194+O195+O196+O197+O198+O199</f>
        <v/>
      </c>
      <c r="P206" s="325">
        <f>P194+P195+P196+P197+P198+P199</f>
        <v/>
      </c>
      <c r="Q206" s="325">
        <f>Q194+Q195+Q196+Q197+Q198+Q199</f>
        <v/>
      </c>
      <c r="R206" s="325">
        <f>R194+R195+R196+R197+R198+R199</f>
        <v/>
      </c>
      <c r="S206" s="321">
        <f>S194+S195+S196+S197+S198+S199</f>
        <v/>
      </c>
      <c r="T206" s="321" t="n"/>
      <c r="U206" s="321" t="n"/>
      <c r="V206" s="321" t="n"/>
      <c r="W206" s="321" t="n"/>
      <c r="X206" s="321" t="n"/>
      <c r="Y206" s="321" t="n"/>
      <c r="Z206" s="321">
        <f>Z194+Z195+Z196+Z197+Z198+Z199</f>
        <v/>
      </c>
      <c r="AA206" s="321">
        <f>AA194+AA195+AA196+AA197+AA198+AA199</f>
        <v/>
      </c>
      <c r="AB206" s="326" t="n"/>
      <c r="AC206" s="326" t="n"/>
      <c r="AD206" s="326" t="n"/>
      <c r="AE206" s="326" t="n"/>
      <c r="AF206" s="326" t="n"/>
      <c r="AG206" s="326" t="n"/>
      <c r="AH206" s="326" t="n"/>
      <c r="AI206" s="326" t="n"/>
      <c r="AJ206" s="326" t="n"/>
      <c r="AK206" s="327" t="n"/>
      <c r="AL206" s="328" t="n"/>
    </row>
    <row r="207">
      <c r="A207" s="295" t="n"/>
      <c r="B207" s="296" t="n"/>
      <c r="C207" s="296" t="n"/>
      <c r="D207" s="312" t="inlineStr">
        <is>
          <t>十、增值税实际税负（按财务数据）</t>
        </is>
      </c>
      <c r="E207" s="313" t="inlineStr">
        <is>
          <t>根据财务账面实际已缴纳增值税额+尚需缴纳的增值税额</t>
        </is>
      </c>
      <c r="F207" s="313" t="n"/>
      <c r="G207" s="313" t="n"/>
      <c r="H207" s="298" t="n"/>
      <c r="I207" s="298" t="n"/>
      <c r="J207" s="324">
        <f>H78+I78</f>
        <v/>
      </c>
      <c r="K207" s="298" t="inlineStr">
        <is>
          <t>/</t>
        </is>
      </c>
      <c r="L207" s="325" t="inlineStr">
        <is>
          <t>/</t>
        </is>
      </c>
      <c r="M207" s="325" t="n"/>
      <c r="N207" s="325">
        <f>N6-N77</f>
        <v/>
      </c>
      <c r="O207" s="325" t="n"/>
      <c r="P207" s="325" t="n"/>
      <c r="Q207" s="325" t="inlineStr">
        <is>
          <t>/</t>
        </is>
      </c>
      <c r="R207" s="325">
        <f>N78+P78</f>
        <v/>
      </c>
      <c r="S207" s="321" t="n"/>
      <c r="T207" s="321" t="n"/>
      <c r="U207" s="321" t="n"/>
      <c r="V207" s="321" t="n"/>
      <c r="W207" s="321" t="n"/>
      <c r="X207" s="321" t="n"/>
      <c r="Y207" s="321" t="n"/>
      <c r="Z207" s="321" t="n"/>
      <c r="AA207" s="321" t="n"/>
      <c r="AB207" s="326" t="n"/>
      <c r="AC207" s="326" t="n"/>
      <c r="AD207" s="326" t="n"/>
      <c r="AE207" s="326" t="n"/>
      <c r="AF207" s="326" t="n"/>
      <c r="AG207" s="326" t="n"/>
      <c r="AH207" s="326" t="n"/>
      <c r="AI207" s="326" t="n"/>
      <c r="AJ207" s="326" t="n"/>
      <c r="AK207" s="327" t="n"/>
      <c r="AL207" s="328" t="n"/>
    </row>
    <row r="208">
      <c r="A208" s="295" t="n"/>
      <c r="B208" s="296" t="n"/>
      <c r="C208" s="296" t="n"/>
      <c r="D208" s="312" t="inlineStr">
        <is>
          <t>十一、税金及附加（按财务数据）</t>
        </is>
      </c>
      <c r="E208" s="313" t="inlineStr">
        <is>
          <t>根据财务账面实际已缴纳税金及附加+尚需缴纳的税金及附加</t>
        </is>
      </c>
      <c r="F208" s="313" t="n"/>
      <c r="G208" s="313" t="n"/>
      <c r="H208" s="298" t="n"/>
      <c r="I208" s="298" t="n"/>
      <c r="J208" s="324">
        <f>H79+I79</f>
        <v/>
      </c>
      <c r="K208" s="298" t="n"/>
      <c r="L208" s="325">
        <f>J79</f>
        <v/>
      </c>
      <c r="M208" s="329" t="n">
        <v>349670.26</v>
      </c>
      <c r="N208" s="325" t="n"/>
      <c r="O208" s="325">
        <f>L79-M79</f>
        <v/>
      </c>
      <c r="P208" s="325" t="n"/>
      <c r="Q208" s="325">
        <f>M79+O79</f>
        <v/>
      </c>
      <c r="R208" s="325">
        <f>Q79</f>
        <v/>
      </c>
      <c r="S208" s="321" t="n"/>
      <c r="T208" s="321" t="n"/>
      <c r="U208" s="321" t="n"/>
      <c r="V208" s="321" t="n"/>
      <c r="W208" s="321" t="n"/>
      <c r="X208" s="321" t="n"/>
      <c r="Y208" s="321" t="n"/>
      <c r="Z208" s="321" t="n"/>
      <c r="AA208" s="321" t="n"/>
      <c r="AB208" s="326" t="n"/>
      <c r="AC208" s="326" t="n"/>
      <c r="AD208" s="326" t="n"/>
      <c r="AE208" s="326" t="n"/>
      <c r="AF208" s="326" t="n"/>
      <c r="AG208" s="326" t="n"/>
      <c r="AH208" s="326" t="n"/>
      <c r="AI208" s="326" t="n"/>
      <c r="AJ208" s="326" t="n"/>
      <c r="AK208" s="327" t="n"/>
      <c r="AL208" s="328" t="n"/>
    </row>
    <row r="209">
      <c r="A209" s="295" t="n"/>
      <c r="B209" s="296" t="n"/>
      <c r="C209" s="296" t="n"/>
      <c r="D209" s="312" t="inlineStr">
        <is>
          <t>十二、利润</t>
        </is>
      </c>
      <c r="E209" s="313" t="n"/>
      <c r="F209" s="313" t="n"/>
      <c r="G209" s="313" t="n"/>
      <c r="H209" s="298" t="n"/>
      <c r="I209" s="298" t="n"/>
      <c r="J209" s="324">
        <f>J6-J206-J207-J208</f>
        <v/>
      </c>
      <c r="K209" s="298" t="n"/>
      <c r="L209" s="325" t="n"/>
      <c r="M209" s="325" t="n"/>
      <c r="N209" s="325" t="n"/>
      <c r="O209" s="325" t="n"/>
      <c r="P209" s="325" t="n"/>
      <c r="Q209" s="325" t="n"/>
      <c r="R209" s="325" t="n"/>
      <c r="S209" s="321" t="n"/>
      <c r="T209" s="321" t="n"/>
      <c r="U209" s="321" t="n"/>
      <c r="V209" s="321" t="n"/>
      <c r="W209" s="321" t="n"/>
      <c r="X209" s="321" t="n"/>
      <c r="Y209" s="321" t="n"/>
      <c r="Z209" s="321" t="n"/>
      <c r="AA209" s="321" t="n"/>
      <c r="AB209" s="326" t="n"/>
      <c r="AC209" s="326" t="n"/>
      <c r="AD209" s="326" t="n"/>
      <c r="AE209" s="326" t="n"/>
      <c r="AF209" s="326" t="n"/>
      <c r="AG209" s="326" t="n"/>
      <c r="AH209" s="326" t="n"/>
      <c r="AI209" s="326" t="n"/>
      <c r="AJ209" s="326" t="n"/>
      <c r="AK209" s="327" t="n"/>
      <c r="AL209" s="328" t="n"/>
    </row>
    <row r="210">
      <c r="A210" s="330" t="n"/>
      <c r="B210" s="331" t="n"/>
      <c r="C210" s="331" t="n"/>
      <c r="D210" s="332" t="inlineStr">
        <is>
          <t>十三、利润率</t>
        </is>
      </c>
      <c r="E210" s="333" t="n"/>
      <c r="F210" s="333" t="n"/>
      <c r="G210" s="333" t="n"/>
      <c r="H210" s="334" t="n"/>
      <c r="I210" s="334" t="n"/>
      <c r="J210" s="334">
        <f>J209/J6</f>
        <v/>
      </c>
      <c r="K210" s="334" t="n"/>
      <c r="L210" s="335">
        <f>L209/L6</f>
        <v/>
      </c>
      <c r="M210" s="335">
        <f>M209/M6</f>
        <v/>
      </c>
      <c r="N210" s="335" t="n"/>
      <c r="O210" s="335" t="n"/>
      <c r="P210" s="335" t="n"/>
      <c r="Q210" s="335">
        <f>Q209/Q6</f>
        <v/>
      </c>
      <c r="R210" s="335">
        <f>R209/R6</f>
        <v/>
      </c>
      <c r="S210" s="336" t="n"/>
      <c r="T210" s="336" t="n"/>
      <c r="U210" s="336" t="n"/>
      <c r="V210" s="336" t="n"/>
      <c r="W210" s="336" t="n"/>
      <c r="X210" s="336" t="n"/>
      <c r="Y210" s="336" t="n"/>
      <c r="Z210" s="336" t="n"/>
      <c r="AA210" s="336" t="n"/>
      <c r="AB210" s="337" t="n"/>
      <c r="AC210" s="337" t="n"/>
      <c r="AD210" s="337" t="n"/>
      <c r="AE210" s="337" t="n"/>
      <c r="AF210" s="337" t="n"/>
      <c r="AG210" s="337" t="n"/>
      <c r="AH210" s="337" t="n"/>
      <c r="AI210" s="337" t="n"/>
      <c r="AJ210" s="337" t="n"/>
      <c r="AK210" s="338" t="n"/>
      <c r="AL210" s="339" t="n"/>
    </row>
    <row r="211">
      <c r="A211" s="111" t="n"/>
      <c r="B211" s="111" t="n"/>
      <c r="C211" s="111" t="n"/>
      <c r="D211" s="112" t="n"/>
      <c r="E211" s="113" t="n"/>
      <c r="F211" s="113" t="n"/>
      <c r="G211" s="113" t="n"/>
      <c r="H211" s="248" t="n"/>
      <c r="I211" s="248" t="n"/>
      <c r="J211" s="249" t="inlineStr">
        <is>
          <t>含税利润率</t>
        </is>
      </c>
      <c r="K211" s="250" t="n"/>
      <c r="L211" s="251" t="inlineStr">
        <is>
          <t>不含税利润率</t>
        </is>
      </c>
      <c r="M211" s="252" t="n"/>
      <c r="N211" s="252" t="n"/>
      <c r="O211" s="252" t="n"/>
      <c r="P211" s="252" t="n"/>
      <c r="Q211" s="252" t="n"/>
      <c r="R211" s="252" t="n"/>
      <c r="S211" s="252" t="n"/>
      <c r="T211" s="252" t="n"/>
      <c r="U211" s="252" t="n"/>
      <c r="V211" s="252" t="n"/>
      <c r="W211" s="252" t="n"/>
      <c r="X211" s="252" t="n"/>
      <c r="Y211" s="252" t="n"/>
      <c r="Z211" s="253" t="n"/>
      <c r="AA211" s="162" t="n"/>
      <c r="AB211" s="254" t="n"/>
      <c r="AC211" s="254" t="n"/>
      <c r="AD211" s="254" t="n"/>
      <c r="AE211" s="254" t="n"/>
      <c r="AF211" s="254" t="n"/>
      <c r="AG211" s="254" t="n"/>
      <c r="AH211" s="254" t="n"/>
      <c r="AI211" s="254" t="n"/>
      <c r="AJ211" s="254" t="n"/>
      <c r="AK211" s="254" t="n"/>
      <c r="AL211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2026-04-24T00:48:43Z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