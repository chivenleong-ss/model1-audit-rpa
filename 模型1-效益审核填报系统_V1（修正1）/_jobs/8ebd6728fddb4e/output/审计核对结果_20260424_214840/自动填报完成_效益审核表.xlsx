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5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189" t="inlineStr">
        <is>
          <t>（2）自行采购</t>
        </is>
      </c>
      <c r="E68" s="219" t="n"/>
      <c r="F68" s="219" t="n"/>
      <c r="G68" s="219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SUM(AA29:AJ29)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AB29/1.17*0.17+AC29/1.16*0.16+AD29/1.11*0.11+AE29/1.1*0.1+AF29/1.09*0.09+AI29/1.03*0.03</f>
        <v/>
      </c>
      <c r="AL68" s="221" t="n"/>
    </row>
    <row r="69" ht="39" customFormat="1" customHeight="1" s="180">
      <c r="A69" s="33" t="n">
        <v>1</v>
      </c>
      <c r="B69" s="199" t="n"/>
      <c r="C69" s="199" t="n"/>
      <c r="D69" s="218" t="inlineStr">
        <is>
          <t>材料调入</t>
        </is>
      </c>
      <c r="E69" s="199" t="n"/>
      <c r="F69" s="199" t="n"/>
      <c r="G69" s="199" t="n"/>
      <c r="H69" s="189" t="n"/>
      <c r="I69" s="189" t="n"/>
      <c r="J69" s="189" t="n"/>
      <c r="K69" s="201" t="n"/>
      <c r="L69" s="202" t="n"/>
      <c r="M69" s="222" t="n">
        <v>17996069.15</v>
      </c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SUM(AA30:AJ30)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AB30/1.17*0.17+AC30/1.16*0.16+AD30/1.11*0.11+AE30/1.1*0.1+AF30/1.09*0.09+AI30/1.03*0.03</f>
        <v/>
      </c>
      <c r="AL69" s="221" t="n"/>
    </row>
    <row r="70" ht="14" customFormat="1" customHeight="1" s="180">
      <c r="A70" s="33" t="n">
        <v>2</v>
      </c>
      <c r="B70" s="199" t="n"/>
      <c r="C70" s="199" t="n"/>
      <c r="D70" s="218" t="inlineStr">
        <is>
          <t>材料调出（注：负数填报）</t>
        </is>
      </c>
      <c r="E70" s="223" t="n"/>
      <c r="F70" s="223" t="n"/>
      <c r="G70" s="223" t="n"/>
      <c r="H70" s="224" t="n"/>
      <c r="I70" s="224" t="n"/>
      <c r="J70" s="189" t="n"/>
      <c r="K70" s="201" t="n"/>
      <c r="L70" s="202" t="n"/>
      <c r="M70" s="225" t="n">
        <v>-8003517.42</v>
      </c>
      <c r="N70" s="22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24" t="n"/>
      <c r="U70" s="224" t="n"/>
      <c r="V70" s="224" t="n"/>
      <c r="W70" s="224" t="n"/>
      <c r="X70" s="224" t="n"/>
      <c r="Y70" s="224" t="n"/>
      <c r="Z70" s="189">
        <f>SUM(AA31:AJ31)</f>
        <v/>
      </c>
      <c r="AA70" s="224" t="n"/>
      <c r="AB70" s="226" t="n"/>
      <c r="AC70" s="226" t="n"/>
      <c r="AD70" s="226" t="n"/>
      <c r="AE70" s="226" t="n"/>
      <c r="AF70" s="226" t="n"/>
      <c r="AG70" s="226" t="n"/>
      <c r="AH70" s="226" t="n"/>
      <c r="AI70" s="226" t="n"/>
      <c r="AJ70" s="226" t="n"/>
      <c r="AK70" s="188">
        <f>AB31/1.17*0.17+AC31/1.16*0.16+AD31/1.11*0.11+AE31/1.1*0.1+AF31/1.09*0.09+AI31/1.03*0.03</f>
        <v/>
      </c>
      <c r="AL70" s="227" t="n"/>
    </row>
    <row r="71" ht="14" customFormat="1" customHeight="1" s="180">
      <c r="A71" s="33" t="n"/>
      <c r="B71" s="199" t="n"/>
      <c r="C71" s="199" t="n"/>
      <c r="D71" s="218" t="inlineStr">
        <is>
          <t>材料库存（注：项目已结算未使用材料冲减项目成本，负数填报）</t>
        </is>
      </c>
      <c r="E71" s="223" t="n"/>
      <c r="F71" s="223" t="n"/>
      <c r="G71" s="223" t="n"/>
      <c r="H71" s="224" t="n"/>
      <c r="I71" s="224" t="n"/>
      <c r="J71" s="189" t="n"/>
      <c r="K71" s="201" t="n"/>
      <c r="L71" s="202" t="n"/>
      <c r="M71" s="224" t="n"/>
      <c r="N71" s="224" t="n"/>
      <c r="O71" s="189" t="n"/>
      <c r="P71" s="189" t="n"/>
      <c r="Q71" s="189" t="n"/>
      <c r="R71" s="189" t="n"/>
      <c r="S71" s="203" t="n"/>
      <c r="T71" s="224" t="n"/>
      <c r="U71" s="224" t="n"/>
      <c r="V71" s="224" t="n"/>
      <c r="W71" s="224" t="n"/>
      <c r="X71" s="224" t="n"/>
      <c r="Y71" s="224" t="n"/>
      <c r="Z71" s="189" t="n"/>
      <c r="AA71" s="224" t="n"/>
      <c r="AB71" s="226" t="n"/>
      <c r="AC71" s="226" t="n"/>
      <c r="AD71" s="226" t="n"/>
      <c r="AE71" s="226" t="n"/>
      <c r="AF71" s="226" t="n"/>
      <c r="AG71" s="226" t="n"/>
      <c r="AH71" s="226" t="n"/>
      <c r="AI71" s="226" t="n"/>
      <c r="AJ71" s="226" t="n"/>
      <c r="AK71" s="188" t="n"/>
      <c r="AL71" s="227" t="n"/>
    </row>
    <row r="72" ht="14" customFormat="1" customHeight="1" s="180">
      <c r="A72" s="206" t="n">
        <v>3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4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5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9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10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11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12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13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14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15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16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17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18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19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20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21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22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23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24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25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26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27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28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29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30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31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32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33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34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35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36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37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38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39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40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41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42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44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45</v>
      </c>
      <c r="B114" s="206" t="n"/>
      <c r="C114" s="207" t="n"/>
      <c r="D114" s="207" t="inlineStr">
        <is>
          <t>减：研发费用-材料费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46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47</v>
      </c>
      <c r="B116" s="206" t="n"/>
      <c r="C116" s="207" t="n"/>
      <c r="D116" s="207" t="inlineStr">
        <is>
          <t>材料调出+XSD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3278855.9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>
        <v>48</v>
      </c>
      <c r="B117" s="206" t="n"/>
      <c r="C117" s="207" t="n"/>
      <c r="D117" s="207" t="inlineStr">
        <is>
          <t>材料调出+SQD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9" t="n"/>
      <c r="M117" s="210" t="n">
        <v>-1176782.31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206" t="n">
        <v>49</v>
      </c>
      <c r="B118" s="206" t="n"/>
      <c r="C118" s="207" t="n"/>
      <c r="D118" s="207" t="inlineStr">
        <is>
          <t>废旧物资消耗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9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206" t="n">
        <v>50</v>
      </c>
      <c r="B119" s="206" t="n"/>
      <c r="C119" s="207" t="n"/>
      <c r="D119" s="207" t="inlineStr">
        <is>
          <t>废旧物资消耗（SQD）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9" t="n"/>
      <c r="M119" s="210" t="n">
        <v>7911.36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33" t="n"/>
      <c r="B136" s="199" t="n"/>
      <c r="C136" s="199" t="n"/>
      <c r="D136" s="211" t="inlineStr">
        <is>
          <t>**财务未列部分需增列***</t>
        </is>
      </c>
      <c r="E136" s="228" t="n"/>
      <c r="F136" s="228" t="n"/>
      <c r="G136" s="228" t="n"/>
      <c r="H136" s="189" t="n"/>
      <c r="I136" s="189" t="n"/>
      <c r="J136" s="189" t="n"/>
      <c r="K136" s="201" t="n">
        <v>0</v>
      </c>
      <c r="L136" s="202">
        <f>J136-K136</f>
        <v/>
      </c>
      <c r="M136" s="229" t="n"/>
      <c r="N136" s="229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29" t="n"/>
      <c r="U136" s="229" t="n"/>
      <c r="V136" s="229" t="n"/>
      <c r="W136" s="229" t="n"/>
      <c r="X136" s="229" t="n"/>
      <c r="Y136" s="229" t="n"/>
      <c r="Z136" s="229" t="n"/>
      <c r="AA136" s="203" t="n"/>
      <c r="AB136" s="188" t="n"/>
      <c r="AC136" s="188" t="n"/>
      <c r="AD136" s="188" t="n"/>
      <c r="AE136" s="188" t="n"/>
      <c r="AF136" s="188" t="n"/>
      <c r="AG136" s="188" t="n"/>
      <c r="AH136" s="188" t="n"/>
      <c r="AI136" s="188" t="n"/>
      <c r="AJ136" s="188" t="n"/>
      <c r="AK136" s="188">
        <f>AB37/1.17*0.17+AC37/1.16*0.16+AD37/1.11*0.11+AE37/1.1*0.1+AF37/1.09*0.09+AI37/1.03*0.03</f>
        <v/>
      </c>
      <c r="AL136" s="214" t="n"/>
    </row>
    <row r="137">
      <c r="A137" s="41" t="n"/>
      <c r="B137" s="215" t="n"/>
      <c r="C137" s="215" t="n"/>
      <c r="D137" s="230" t="inlineStr">
        <is>
          <t>机械费小计：</t>
        </is>
      </c>
      <c r="E137" s="231" t="n"/>
      <c r="F137" s="231" t="n"/>
      <c r="G137" s="231" t="n"/>
      <c r="H137" s="217">
        <f>SUM(H122:H136)</f>
        <v/>
      </c>
      <c r="I137" s="217">
        <f>SUM(I122:I136)</f>
        <v/>
      </c>
      <c r="J137" s="217">
        <f>SUM(J122:J136)</f>
        <v/>
      </c>
      <c r="K137" s="217">
        <f>SUM(K122:K136)</f>
        <v/>
      </c>
      <c r="L137" s="232">
        <f>SUM(L122:L136)</f>
        <v/>
      </c>
      <c r="M137" s="217">
        <f>SUM(M122:M136)</f>
        <v/>
      </c>
      <c r="N137" s="217">
        <f>SUM(N122:N136)</f>
        <v/>
      </c>
      <c r="O137" s="217">
        <f>SUM(O122:O136)</f>
        <v/>
      </c>
      <c r="P137" s="217">
        <f>SUM(P122:P136)</f>
        <v/>
      </c>
      <c r="Q137" s="217">
        <f>SUM(Q122:Q136)</f>
        <v/>
      </c>
      <c r="R137" s="217">
        <f>SUM(R122:R136)</f>
        <v/>
      </c>
      <c r="S137" s="217">
        <f>SUM(S122:S136)</f>
        <v/>
      </c>
      <c r="T137" s="217" t="n"/>
      <c r="U137" s="217" t="n"/>
      <c r="V137" s="217" t="n"/>
      <c r="W137" s="217" t="n"/>
      <c r="X137" s="217" t="n"/>
      <c r="Y137" s="217" t="n"/>
      <c r="Z137" s="217">
        <f>SUM(Z122:Z136)</f>
        <v/>
      </c>
      <c r="AA137" s="217">
        <f>SUM(AA122:AA136)</f>
        <v/>
      </c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204" t="n"/>
    </row>
    <row r="138">
      <c r="A138" s="33" t="n"/>
      <c r="B138" s="199" t="n"/>
      <c r="C138" s="199" t="n"/>
      <c r="D138" s="218" t="inlineStr">
        <is>
          <t>（五）其他直接费</t>
        </is>
      </c>
      <c r="E138" s="212" t="n"/>
      <c r="F138" s="212" t="n"/>
      <c r="G138" s="212" t="n"/>
      <c r="H138" s="189" t="n"/>
      <c r="I138" s="189" t="n"/>
      <c r="J138" s="184" t="n">
        <v>0</v>
      </c>
      <c r="K138" s="201" t="n">
        <v>0</v>
      </c>
      <c r="L138" s="202">
        <f>J138-N138-P138</f>
        <v/>
      </c>
      <c r="M138" s="184" t="n"/>
      <c r="N138" s="184" t="n"/>
      <c r="O138" s="189">
        <f>L138-M138</f>
        <v/>
      </c>
      <c r="P138" s="189">
        <f>K138-N138</f>
        <v/>
      </c>
      <c r="Q138" s="189">
        <f>M138+O138</f>
        <v/>
      </c>
      <c r="R138" s="189">
        <f>M138+N138+O138+P138</f>
        <v/>
      </c>
      <c r="S138" s="203">
        <f>SUM(T138:V138)</f>
        <v/>
      </c>
      <c r="T138" s="203" t="n"/>
      <c r="U138" s="203" t="n"/>
      <c r="V138" s="203" t="n"/>
      <c r="W138" s="203" t="n"/>
      <c r="X138" s="203" t="n"/>
      <c r="Y138" s="203" t="n"/>
      <c r="Z138" s="203" t="n"/>
      <c r="AA138" s="203" t="n"/>
      <c r="AB138" s="203" t="n"/>
      <c r="AC138" s="203" t="n"/>
      <c r="AD138" s="203" t="n"/>
      <c r="AE138" s="203" t="n"/>
      <c r="AF138" s="203" t="n"/>
      <c r="AG138" s="203" t="n"/>
      <c r="AH138" s="203" t="n"/>
      <c r="AI138" s="203" t="n"/>
      <c r="AJ138" s="203" t="n"/>
      <c r="AK138" s="188" t="n"/>
      <c r="AL138" s="204" t="n"/>
    </row>
    <row r="139">
      <c r="A139" s="206" t="n"/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33" t="n"/>
      <c r="B144" s="199" t="n"/>
      <c r="C144" s="199" t="n"/>
      <c r="D144" s="211" t="inlineStr">
        <is>
          <t>**财务未列部分需增列***</t>
        </is>
      </c>
      <c r="E144" s="212" t="n"/>
      <c r="F144" s="212" t="n"/>
      <c r="G144" s="212" t="n"/>
      <c r="H144" s="189" t="n"/>
      <c r="I144" s="189" t="n"/>
      <c r="J144" s="184" t="n"/>
      <c r="K144" s="201" t="n"/>
      <c r="L144" s="202">
        <f>J144-K144</f>
        <v/>
      </c>
      <c r="M144" s="233" t="n"/>
      <c r="N144" s="233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33" t="n"/>
      <c r="U144" s="233" t="n"/>
      <c r="V144" s="233" t="n"/>
      <c r="W144" s="233" t="n"/>
      <c r="X144" s="233" t="n"/>
      <c r="Y144" s="233" t="n"/>
      <c r="Z144" s="189">
        <f>SUM(AA45:AJ45)</f>
        <v/>
      </c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55" t="n"/>
      <c r="B145" s="234" t="n"/>
      <c r="C145" s="234" t="n"/>
      <c r="D145" s="230" t="inlineStr">
        <is>
          <t>其他直接费小计：</t>
        </is>
      </c>
      <c r="E145" s="235" t="n"/>
      <c r="F145" s="235" t="n"/>
      <c r="G145" s="235" t="n"/>
      <c r="H145" s="217">
        <f>SUM(H138:H144)</f>
        <v/>
      </c>
      <c r="I145" s="217">
        <f>SUM(I138:I144)</f>
        <v/>
      </c>
      <c r="J145" s="217">
        <f>SUM(J138:J144)</f>
        <v/>
      </c>
      <c r="K145" s="217">
        <f>SUM(K138:K144)</f>
        <v/>
      </c>
      <c r="L145" s="232">
        <f>SUM(L138:L144)</f>
        <v/>
      </c>
      <c r="M145" s="217">
        <f>SUM(M138:M144)</f>
        <v/>
      </c>
      <c r="N145" s="217">
        <f>SUM(N138:N144)</f>
        <v/>
      </c>
      <c r="O145" s="217">
        <f>L145-M145</f>
        <v/>
      </c>
      <c r="P145" s="217">
        <f>SUM(P138:P144)</f>
        <v/>
      </c>
      <c r="Q145" s="217">
        <f>M145+O145</f>
        <v/>
      </c>
      <c r="R145" s="217">
        <f>SUM(R138:R144)</f>
        <v/>
      </c>
      <c r="S145" s="217">
        <f>SUM(S138:S144)</f>
        <v/>
      </c>
      <c r="T145" s="217" t="n"/>
      <c r="U145" s="217" t="n"/>
      <c r="V145" s="217" t="n"/>
      <c r="W145" s="217" t="n"/>
      <c r="X145" s="217" t="n"/>
      <c r="Y145" s="217" t="n"/>
      <c r="Z145" s="217">
        <f>SUM(Z138:Z144)</f>
        <v/>
      </c>
      <c r="AA145" s="217">
        <f>SUM(AA138:AA144)</f>
        <v/>
      </c>
      <c r="AB145" s="217">
        <f>SUM(AB138:AB144)</f>
        <v/>
      </c>
      <c r="AC145" s="217">
        <f>SUM(AC138:AC144)</f>
        <v/>
      </c>
      <c r="AD145" s="217">
        <f>SUM(AD138:AD144)</f>
        <v/>
      </c>
      <c r="AE145" s="217">
        <f>SUM(AE138:AE144)</f>
        <v/>
      </c>
      <c r="AF145" s="217">
        <f>SUM(AF138:AF144)</f>
        <v/>
      </c>
      <c r="AG145" s="217" t="n"/>
      <c r="AH145" s="217" t="n"/>
      <c r="AI145" s="217">
        <f>SUM(AI138:AI144)</f>
        <v/>
      </c>
      <c r="AJ145" s="217">
        <f>SUM(AJ138:AJ144)</f>
        <v/>
      </c>
      <c r="AK145" s="217">
        <f>SUM(AK138:AK144)</f>
        <v/>
      </c>
      <c r="AL145" s="204" t="n"/>
    </row>
    <row r="146">
      <c r="A146" s="33" t="n"/>
      <c r="B146" s="199" t="n"/>
      <c r="C146" s="199" t="n"/>
      <c r="D146" s="218" t="inlineStr">
        <is>
          <t>（六）间接费</t>
        </is>
      </c>
      <c r="E146" s="212" t="n"/>
      <c r="F146" s="212" t="n"/>
      <c r="G146" s="212" t="n"/>
      <c r="H146" s="184" t="n"/>
      <c r="I146" s="189" t="n"/>
      <c r="J146" s="189" t="n">
        <v>0</v>
      </c>
      <c r="K146" s="201" t="n">
        <v>0</v>
      </c>
      <c r="L146" s="202">
        <f>J146-N146-P146</f>
        <v/>
      </c>
      <c r="M146" s="184" t="n"/>
      <c r="N146" s="184" t="n"/>
      <c r="O146" s="189">
        <f>L146-M146</f>
        <v/>
      </c>
      <c r="P146" s="189">
        <f>K146-N146</f>
        <v/>
      </c>
      <c r="Q146" s="189">
        <f>M146+O146</f>
        <v/>
      </c>
      <c r="R146" s="189">
        <f>M146+N146+O146+P146</f>
        <v/>
      </c>
      <c r="S146" s="203">
        <f>SUM(T146:V146)</f>
        <v/>
      </c>
      <c r="T146" s="203" t="n"/>
      <c r="U146" s="203" t="n"/>
      <c r="V146" s="203" t="n"/>
      <c r="W146" s="203" t="n"/>
      <c r="X146" s="203" t="n"/>
      <c r="Y146" s="203" t="n"/>
      <c r="Z146" s="203" t="n"/>
      <c r="AA146" s="203" t="n"/>
      <c r="AB146" s="203" t="n"/>
      <c r="AC146" s="203" t="n"/>
      <c r="AD146" s="203" t="n"/>
      <c r="AE146" s="203" t="n"/>
      <c r="AF146" s="203" t="n"/>
      <c r="AG146" s="203" t="n"/>
      <c r="AH146" s="203" t="n"/>
      <c r="AI146" s="203" t="n"/>
      <c r="AJ146" s="203" t="n"/>
      <c r="AK146" s="188" t="n"/>
      <c r="AL146" s="204" t="n"/>
    </row>
    <row r="147">
      <c r="A147" s="206" t="n"/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206" t="n"/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33" t="n"/>
      <c r="B189" s="199" t="n"/>
      <c r="C189" s="199" t="n"/>
      <c r="D189" s="211" t="inlineStr">
        <is>
          <t>**财务未列部分需增列***</t>
        </is>
      </c>
      <c r="E189" s="212" t="n"/>
      <c r="F189" s="212" t="n"/>
      <c r="G189" s="212" t="n"/>
      <c r="H189" s="233" t="n"/>
      <c r="I189" s="189" t="n"/>
      <c r="J189" s="233" t="n"/>
      <c r="K189" s="201" t="n"/>
      <c r="L189" s="202" t="n"/>
      <c r="M189" s="233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33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55" t="n"/>
      <c r="B190" s="234" t="n"/>
      <c r="C190" s="234" t="n"/>
      <c r="D190" s="230" t="inlineStr">
        <is>
          <t>间接费小计：</t>
        </is>
      </c>
      <c r="E190" s="235" t="n"/>
      <c r="F190" s="235" t="n"/>
      <c r="G190" s="235" t="n"/>
      <c r="H190" s="217">
        <f>SUM(H146:H189)</f>
        <v/>
      </c>
      <c r="I190" s="217">
        <f>SUM(I146:I189)</f>
        <v/>
      </c>
      <c r="J190" s="217">
        <f>SUM(J146:J189)</f>
        <v/>
      </c>
      <c r="K190" s="217">
        <f>SUM(K146:K189)</f>
        <v/>
      </c>
      <c r="L190" s="232">
        <f>SUM(L146:L189)</f>
        <v/>
      </c>
      <c r="M190" s="232">
        <f>SUM(M146:M189)</f>
        <v/>
      </c>
      <c r="N190" s="232">
        <f>SUM(N146:N189)</f>
        <v/>
      </c>
      <c r="O190" s="232">
        <f>SUM(O146:O189)</f>
        <v/>
      </c>
      <c r="P190" s="232">
        <f>SUM(P146:P189)</f>
        <v/>
      </c>
      <c r="Q190" s="232">
        <f>SUM(Q146:Q189)</f>
        <v/>
      </c>
      <c r="R190" s="232">
        <f>SUM(R146:R189)</f>
        <v/>
      </c>
      <c r="S190" s="232">
        <f>SUM(S146:S189)</f>
        <v/>
      </c>
      <c r="T190" s="232" t="n"/>
      <c r="U190" s="232" t="n"/>
      <c r="V190" s="232" t="n"/>
      <c r="W190" s="232" t="n"/>
      <c r="X190" s="232" t="n"/>
      <c r="Y190" s="232" t="n"/>
      <c r="Z190" s="232">
        <f>SUM(Z146:Z189)</f>
        <v/>
      </c>
      <c r="AA190" s="232">
        <f>SUM(AA146:AA189)</f>
        <v/>
      </c>
      <c r="AB190" s="232">
        <f>SUM(AB146:AB189)</f>
        <v/>
      </c>
      <c r="AC190" s="232">
        <f>SUM(AC146:AC189)</f>
        <v/>
      </c>
      <c r="AD190" s="232">
        <f>SUM(AD146:AD189)</f>
        <v/>
      </c>
      <c r="AE190" s="232">
        <f>SUM(AE146:AE189)</f>
        <v/>
      </c>
      <c r="AF190" s="232">
        <f>SUM(AF146:AF189)</f>
        <v/>
      </c>
      <c r="AG190" s="232" t="n"/>
      <c r="AH190" s="232" t="n"/>
      <c r="AI190" s="232">
        <f>SUM(AI146:AI189)</f>
        <v/>
      </c>
      <c r="AJ190" s="232">
        <f>SUM(AJ146:AJ189)</f>
        <v/>
      </c>
      <c r="AK190" s="232">
        <f>SUM(AK146:AK189)</f>
        <v/>
      </c>
      <c r="AL190" s="214" t="n"/>
    </row>
    <row r="191">
      <c r="A191" s="33" t="n"/>
      <c r="B191" s="199" t="n"/>
      <c r="C191" s="199" t="n"/>
      <c r="D191" s="218" t="inlineStr">
        <is>
          <t>（七）安全费</t>
        </is>
      </c>
      <c r="E191" s="212" t="n"/>
      <c r="F191" s="212" t="n"/>
      <c r="G191" s="212" t="n"/>
      <c r="H191" s="189" t="n"/>
      <c r="I191" s="189" t="n"/>
      <c r="J191" s="184" t="n">
        <v>0</v>
      </c>
      <c r="K191" s="236" t="n"/>
      <c r="L191" s="202">
        <f>J191-N191-P191</f>
        <v/>
      </c>
      <c r="M191" s="189" t="n"/>
      <c r="N191" s="189" t="n"/>
      <c r="O191" s="189">
        <f>L191-M191</f>
        <v/>
      </c>
      <c r="P191" s="189">
        <f>K191-N191</f>
        <v/>
      </c>
      <c r="Q191" s="189">
        <f>M191+O191</f>
        <v/>
      </c>
      <c r="R191" s="189">
        <f>M191+N191+O191+P191</f>
        <v/>
      </c>
      <c r="S191" s="203">
        <f>SUM(T191:V191)</f>
        <v/>
      </c>
      <c r="T191" s="233" t="n"/>
      <c r="U191" s="233" t="n"/>
      <c r="V191" s="233" t="n"/>
      <c r="W191" s="233" t="n"/>
      <c r="X191" s="233" t="n"/>
      <c r="Y191" s="233" t="n"/>
      <c r="Z191" s="229" t="n"/>
      <c r="AA191" s="203" t="n"/>
      <c r="AB191" s="188" t="n"/>
      <c r="AC191" s="188" t="n"/>
      <c r="AD191" s="188" t="n"/>
      <c r="AE191" s="188" t="n"/>
      <c r="AF191" s="188" t="n"/>
      <c r="AG191" s="188" t="n"/>
      <c r="AH191" s="188" t="n"/>
      <c r="AI191" s="188" t="n"/>
      <c r="AJ191" s="188" t="n"/>
      <c r="AK191" s="188" t="n"/>
      <c r="AL191" s="214" t="n"/>
    </row>
    <row r="192">
      <c r="A192" s="206" t="n"/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206" t="n"/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9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</row>
    <row r="196">
      <c r="A196" s="206" t="n"/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9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</row>
    <row r="197">
      <c r="A197" s="55" t="n"/>
      <c r="B197" s="234" t="n"/>
      <c r="C197" s="234" t="n"/>
      <c r="D197" s="230" t="inlineStr">
        <is>
          <t>安全费小计：</t>
        </is>
      </c>
      <c r="E197" s="230" t="n"/>
      <c r="F197" s="230" t="n"/>
      <c r="G197" s="230" t="n"/>
      <c r="H197" s="217">
        <f>SUM(H191:H196)</f>
        <v/>
      </c>
      <c r="I197" s="217">
        <f>SUM(I191:I196)</f>
        <v/>
      </c>
      <c r="J197" s="217" t="n">
        <v>0</v>
      </c>
      <c r="K197" s="217" t="n">
        <v>0</v>
      </c>
      <c r="L197" s="202">
        <f>J197-K197</f>
        <v/>
      </c>
      <c r="M197" s="232">
        <f>SUM(M191:M196)</f>
        <v/>
      </c>
      <c r="N197" s="232">
        <f>SUM(N191:N196)</f>
        <v/>
      </c>
      <c r="O197" s="232">
        <f>SUM(O191:O196)</f>
        <v/>
      </c>
      <c r="P197" s="232">
        <f>SUM(P191:P196)</f>
        <v/>
      </c>
      <c r="Q197" s="232">
        <f>SUM(Q191:Q196)</f>
        <v/>
      </c>
      <c r="R197" s="232">
        <f>SUM(R191:R196)</f>
        <v/>
      </c>
      <c r="S197" s="232">
        <f>SUM(S191:S196)</f>
        <v/>
      </c>
      <c r="T197" s="237" t="n"/>
      <c r="U197" s="237" t="n"/>
      <c r="V197" s="237" t="n"/>
      <c r="W197" s="237" t="n"/>
      <c r="X197" s="237" t="n"/>
      <c r="Y197" s="237" t="n"/>
      <c r="Z197" s="237" t="n"/>
      <c r="AA197" s="237">
        <f>SUM(AA191:AA196)</f>
        <v/>
      </c>
      <c r="AB197" s="237">
        <f>SUM(AB191:AB196)</f>
        <v/>
      </c>
      <c r="AC197" s="237">
        <f>SUM(AC191:AC196)</f>
        <v/>
      </c>
      <c r="AD197" s="237">
        <f>SUM(AD191:AD196)</f>
        <v/>
      </c>
      <c r="AE197" s="237">
        <f>SUM(AE191:AE196)</f>
        <v/>
      </c>
      <c r="AF197" s="237">
        <f>SUM(AF191:AF196)</f>
        <v/>
      </c>
      <c r="AG197" s="237" t="n"/>
      <c r="AH197" s="237" t="n"/>
      <c r="AI197" s="237">
        <f>SUM(AI191:AI196)</f>
        <v/>
      </c>
      <c r="AJ197" s="237">
        <f>SUM(AJ191:AJ196)</f>
        <v/>
      </c>
      <c r="AK197" s="237">
        <f>SUM(AK191:AK196)</f>
        <v/>
      </c>
      <c r="AL197" s="238" t="n"/>
    </row>
    <row r="198">
      <c r="A198" s="55" t="n"/>
      <c r="B198" s="234" t="n"/>
      <c r="C198" s="234" t="n"/>
      <c r="D198" s="230" t="inlineStr">
        <is>
          <t>三、成本合计：</t>
        </is>
      </c>
      <c r="E198" s="235" t="n"/>
      <c r="F198" s="235" t="n"/>
      <c r="G198" s="235" t="n"/>
      <c r="H198" s="217">
        <f>H34+H65+H121+H137+H145+H190+H197</f>
        <v/>
      </c>
      <c r="I198" s="217">
        <f>I34+I65+I121+I137+I145+I190+I197</f>
        <v/>
      </c>
      <c r="J198" s="217">
        <f>J34+J65+J121+J137+J145+J190+J197</f>
        <v/>
      </c>
      <c r="K198" s="217">
        <f>K34+K65+K121+K137+K145+K190+K197</f>
        <v/>
      </c>
      <c r="L198" s="232">
        <f>L34+L65+L121+L137+L145+L190+L197</f>
        <v/>
      </c>
      <c r="M198" s="237">
        <f>M34+M65+M121+M137+M145+M190+M197</f>
        <v/>
      </c>
      <c r="N198" s="237">
        <f>N34+N65+N121+N137+N145+N190+N197</f>
        <v/>
      </c>
      <c r="O198" s="237">
        <f>O34+O65+O121+O137+O145+O190+O197</f>
        <v/>
      </c>
      <c r="P198" s="237">
        <f>P34+P65+P121+P137+P145+P190+P197</f>
        <v/>
      </c>
      <c r="Q198" s="237">
        <f>Q34+Q65+Q121+Q137+Q145+Q190+Q197</f>
        <v/>
      </c>
      <c r="R198" s="237">
        <f>R34+R65+R121+R137+R145+R190+R197</f>
        <v/>
      </c>
      <c r="S198" s="237">
        <f>S34+S65+S121+S137+S145+S190+S197</f>
        <v/>
      </c>
      <c r="T198" s="237" t="n"/>
      <c r="U198" s="237" t="n"/>
      <c r="V198" s="237" t="n"/>
      <c r="W198" s="237" t="n"/>
      <c r="X198" s="237" t="n"/>
      <c r="Y198" s="237" t="n"/>
      <c r="Z198" s="237">
        <f>Z34+Z65+Z121+Z137+Z145+Z190+Z197</f>
        <v/>
      </c>
      <c r="AA198" s="237">
        <f>AA34+AA65+AA121+AA137+AA145+AA190+AA197</f>
        <v/>
      </c>
      <c r="AB198" s="237">
        <f>AB34+AB65+AB121+AB137+AB145+AB190+AB197</f>
        <v/>
      </c>
      <c r="AC198" s="237">
        <f>AC34+AC65+AC121+AC137+AC145+AC190+AC197</f>
        <v/>
      </c>
      <c r="AD198" s="237">
        <f>AD34+AD65+AD121+AD137+AD145+AD190+AD197</f>
        <v/>
      </c>
      <c r="AE198" s="237">
        <f>AE34+AE65+AE121+AE137+AE145+AE190+AE197</f>
        <v/>
      </c>
      <c r="AF198" s="237">
        <f>AF34+AF65+AF121+AF137+AF145+AF190+AF197</f>
        <v/>
      </c>
      <c r="AG198" s="237" t="n"/>
      <c r="AH198" s="237" t="n"/>
      <c r="AI198" s="237">
        <f>AI34+AI65+AI121+AI137+AI145+AI190+AI197</f>
        <v/>
      </c>
      <c r="AJ198" s="237">
        <f>AJ34+AJ65+AJ121+AJ137+AJ145+AJ190+AJ197</f>
        <v/>
      </c>
      <c r="AK198" s="237">
        <f>AK34+AK65+AK121+AK137+AK145+AK190+AK197</f>
        <v/>
      </c>
      <c r="AL198" s="238" t="n"/>
    </row>
    <row r="199">
      <c r="A199" s="33" t="n"/>
      <c r="B199" s="199" t="n"/>
      <c r="C199" s="199" t="n"/>
      <c r="D199" s="218" t="inlineStr">
        <is>
          <t>四、计提保修金</t>
        </is>
      </c>
      <c r="E199" s="239" t="inlineStr">
        <is>
          <t>（在建：房建0.6%，其它0.4%；在保修期间的按0.3~0.5%自行确定;保修期结束为0）</t>
        </is>
      </c>
      <c r="F199" s="239" t="n"/>
      <c r="G199" s="239" t="n"/>
      <c r="H199" s="184" t="n"/>
      <c r="I199" s="184" t="n"/>
      <c r="J199" s="184">
        <f>H199+I199</f>
        <v/>
      </c>
      <c r="K199" s="184" t="n"/>
      <c r="L199" s="202">
        <f>J199-K199</f>
        <v/>
      </c>
      <c r="M199" s="189" t="n"/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>
        <f>Q69-S69</f>
        <v/>
      </c>
      <c r="AB199" s="240" t="n"/>
      <c r="AC199" s="240" t="n"/>
      <c r="AD199" s="240" t="n"/>
      <c r="AE199" s="240" t="n"/>
      <c r="AF199" s="240" t="n"/>
      <c r="AG199" s="240" t="n"/>
      <c r="AH199" s="240" t="n"/>
      <c r="AI199" s="240" t="n"/>
      <c r="AJ199" s="240" t="n"/>
      <c r="AK199" s="188" t="n"/>
      <c r="AL199" s="238" t="n"/>
    </row>
    <row r="200">
      <c r="A200" s="33" t="n"/>
      <c r="B200" s="199" t="n"/>
      <c r="C200" s="199" t="n"/>
      <c r="D200" s="218" t="inlineStr">
        <is>
          <t>五、过程节点奖金</t>
        </is>
      </c>
      <c r="E200" s="212" t="n"/>
      <c r="F200" s="212" t="n"/>
      <c r="G200" s="212" t="n"/>
      <c r="H200" s="184" t="n"/>
      <c r="I200" s="184" t="n"/>
      <c r="J200" s="184">
        <f>H200+I200</f>
        <v/>
      </c>
      <c r="K200" s="184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33" t="n"/>
      <c r="B201" s="199" t="n"/>
      <c r="C201" s="199" t="n"/>
      <c r="D201" s="218" t="inlineStr">
        <is>
          <t>六、资金占用费用</t>
        </is>
      </c>
      <c r="E201" s="212" t="n"/>
      <c r="F201" s="212" t="n"/>
      <c r="G201" s="212" t="n"/>
      <c r="H201" s="189" t="n"/>
      <c r="I201" s="189" t="n"/>
      <c r="J201" s="184">
        <f>H201+I201</f>
        <v/>
      </c>
      <c r="K201" s="189" t="n"/>
      <c r="L201" s="202">
        <f>J201-K201</f>
        <v/>
      </c>
      <c r="M201" s="222" t="n">
        <v>6780777.21</v>
      </c>
      <c r="N201" s="189" t="n"/>
      <c r="O201" s="189">
        <f>L201-M201</f>
        <v/>
      </c>
      <c r="P201" s="189">
        <f>K201-N201</f>
        <v/>
      </c>
      <c r="Q201" s="189">
        <f>M201+O201</f>
        <v/>
      </c>
      <c r="R201" s="189">
        <f>M201+N201+O201+P201</f>
        <v/>
      </c>
      <c r="S201" s="203">
        <f>SUM(T201:V201)</f>
        <v/>
      </c>
      <c r="T201" s="203" t="n"/>
      <c r="U201" s="203" t="n"/>
      <c r="V201" s="203" t="n"/>
      <c r="W201" s="203" t="n"/>
      <c r="X201" s="203" t="n"/>
      <c r="Y201" s="203" t="n"/>
      <c r="Z201" s="203" t="n"/>
      <c r="AA201" s="203" t="n"/>
      <c r="AB201" s="188" t="n"/>
      <c r="AC201" s="188" t="n"/>
      <c r="AD201" s="188" t="n"/>
      <c r="AE201" s="188" t="n"/>
      <c r="AF201" s="188" t="n"/>
      <c r="AG201" s="188" t="n"/>
      <c r="AH201" s="188" t="n"/>
      <c r="AI201" s="188" t="n"/>
      <c r="AJ201" s="188" t="n"/>
      <c r="AK201" s="188" t="n"/>
      <c r="AL201" s="214" t="n"/>
    </row>
    <row r="202">
      <c r="A202" s="33" t="n"/>
      <c r="B202" s="199" t="n"/>
      <c r="C202" s="199" t="n"/>
      <c r="D202" s="218" t="inlineStr">
        <is>
          <t>七、局投资收益（局投资项目选填）</t>
        </is>
      </c>
      <c r="E202" s="212" t="n"/>
      <c r="F202" s="212" t="n"/>
      <c r="G202" s="212" t="n"/>
      <c r="H202" s="189" t="n"/>
      <c r="I202" s="189" t="n"/>
      <c r="J202" s="184">
        <f>H202+I202</f>
        <v/>
      </c>
      <c r="K202" s="189" t="n"/>
      <c r="L202" s="202">
        <f>J202-K202</f>
        <v/>
      </c>
      <c r="M202" s="189" t="n"/>
      <c r="N202" s="189" t="n"/>
      <c r="O202" s="189">
        <f>L202-M202</f>
        <v/>
      </c>
      <c r="P202" s="189">
        <f>K202-N202</f>
        <v/>
      </c>
      <c r="Q202" s="189">
        <f>M202+O202</f>
        <v/>
      </c>
      <c r="R202" s="189">
        <f>M202+N202+O202+P202</f>
        <v/>
      </c>
      <c r="S202" s="203">
        <f>SUM(T202:V202)</f>
        <v/>
      </c>
      <c r="T202" s="203" t="n"/>
      <c r="U202" s="203" t="n"/>
      <c r="V202" s="203" t="n"/>
      <c r="W202" s="203" t="n"/>
      <c r="X202" s="203" t="n"/>
      <c r="Y202" s="203" t="n"/>
      <c r="Z202" s="203" t="n"/>
      <c r="AA202" s="203" t="n"/>
      <c r="AB202" s="188" t="n"/>
      <c r="AC202" s="188" t="n"/>
      <c r="AD202" s="188" t="n"/>
      <c r="AE202" s="188" t="n"/>
      <c r="AF202" s="188" t="n"/>
      <c r="AG202" s="188" t="n"/>
      <c r="AH202" s="188" t="n"/>
      <c r="AI202" s="188" t="n"/>
      <c r="AJ202" s="188" t="n"/>
      <c r="AK202" s="188" t="n"/>
      <c r="AL202" s="214" t="n"/>
    </row>
    <row r="203">
      <c r="A203" s="55" t="n"/>
      <c r="B203" s="234" t="n"/>
      <c r="C203" s="234" t="n"/>
      <c r="D203" s="230" t="inlineStr">
        <is>
          <t>八、研发费用</t>
        </is>
      </c>
      <c r="E203" s="235" t="n"/>
      <c r="F203" s="235" t="n"/>
      <c r="G203" s="235" t="n"/>
      <c r="H203" s="217" t="n"/>
      <c r="I203" s="217" t="n"/>
      <c r="J203" s="217">
        <f>H203+I203</f>
        <v/>
      </c>
      <c r="K203" s="217" t="n"/>
      <c r="L203" s="232">
        <f>J203-K203</f>
        <v/>
      </c>
      <c r="M203" s="237">
        <f>SUM(M74:M76)</f>
        <v/>
      </c>
      <c r="N203" s="237">
        <f>SUM(N74:N76)</f>
        <v/>
      </c>
      <c r="O203" s="237">
        <f>SUM(O74:O76)</f>
        <v/>
      </c>
      <c r="P203" s="237">
        <f>SUM(P74:P76)</f>
        <v/>
      </c>
      <c r="Q203" s="237">
        <f>SUM(Q74:Q76)</f>
        <v/>
      </c>
      <c r="R203" s="237">
        <f>SUM(R74:R76)</f>
        <v/>
      </c>
      <c r="S203" s="237">
        <f>SUM(S74:S76)</f>
        <v/>
      </c>
      <c r="T203" s="237">
        <f>SUM(T74:T76)</f>
        <v/>
      </c>
      <c r="U203" s="237">
        <f>SUM(U74:U76)</f>
        <v/>
      </c>
      <c r="V203" s="237">
        <f>SUM(V74:V76)</f>
        <v/>
      </c>
      <c r="W203" s="237">
        <f>SUM(W74:W76)</f>
        <v/>
      </c>
      <c r="X203" s="237">
        <f>SUM(X74:X76)</f>
        <v/>
      </c>
      <c r="Y203" s="237">
        <f>SUM(Y74:Y76)</f>
        <v/>
      </c>
      <c r="Z203" s="237">
        <f>SUM(Z74:Z76)</f>
        <v/>
      </c>
      <c r="AA203" s="237">
        <f>SUM(AA74:AA76)</f>
        <v/>
      </c>
      <c r="AB203" s="237">
        <f>SUM(AB74:AB76)</f>
        <v/>
      </c>
      <c r="AC203" s="237">
        <f>SUM(AC74:AC76)</f>
        <v/>
      </c>
      <c r="AD203" s="237">
        <f>SUM(AD74:AD76)</f>
        <v/>
      </c>
      <c r="AE203" s="237">
        <f>SUM(AE74:AE76)</f>
        <v/>
      </c>
      <c r="AF203" s="237">
        <f>SUM(AF74:AF76)</f>
        <v/>
      </c>
      <c r="AG203" s="237">
        <f>SUM(AG74:AG76)</f>
        <v/>
      </c>
      <c r="AH203" s="237">
        <f>SUM(AH74:AH76)</f>
        <v/>
      </c>
      <c r="AI203" s="237">
        <f>SUM(AI74:AI76)</f>
        <v/>
      </c>
      <c r="AJ203" s="237">
        <f>SUM(AJ74:AJ76)</f>
        <v/>
      </c>
      <c r="AK203" s="237">
        <f>SUM(AK74:AK76)</f>
        <v/>
      </c>
      <c r="AL203" s="238" t="n"/>
    </row>
    <row r="204">
      <c r="A204" s="206" t="n"/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206" t="n"/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</row>
    <row r="208">
      <c r="A208" s="206" t="n"/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</row>
    <row r="209">
      <c r="A209" s="33" t="n">
        <v>1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>
        <f>H209+I209</f>
        <v/>
      </c>
      <c r="K209" s="189" t="n"/>
      <c r="L209" s="202">
        <f>J209-K209</f>
        <v/>
      </c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33" t="n">
        <v>2</v>
      </c>
      <c r="B210" s="199" t="n"/>
      <c r="C210" s="199" t="n"/>
      <c r="D210" s="218" t="n"/>
      <c r="E210" s="212" t="n"/>
      <c r="F210" s="212" t="n"/>
      <c r="G210" s="212" t="n"/>
      <c r="H210" s="189" t="n"/>
      <c r="I210" s="189" t="n"/>
      <c r="J210" s="184" t="n"/>
      <c r="K210" s="189" t="n"/>
      <c r="L210" s="202" t="n"/>
      <c r="M210" s="189" t="n"/>
      <c r="N210" s="189" t="n"/>
      <c r="O210" s="189">
        <f>L210-M210</f>
        <v/>
      </c>
      <c r="P210" s="189">
        <f>K210-N210</f>
        <v/>
      </c>
      <c r="Q210" s="189">
        <f>M210+O210</f>
        <v/>
      </c>
      <c r="R210" s="189">
        <f>M210+N210+O210+P210</f>
        <v/>
      </c>
      <c r="S210" s="203">
        <f>SUM(T210:V210)</f>
        <v/>
      </c>
      <c r="T210" s="203" t="n"/>
      <c r="U210" s="203" t="n"/>
      <c r="V210" s="203" t="n"/>
      <c r="W210" s="203" t="n"/>
      <c r="X210" s="203" t="n"/>
      <c r="Y210" s="203" t="n"/>
      <c r="Z210" s="203" t="n"/>
      <c r="AA210" s="203" t="n"/>
      <c r="AB210" s="188" t="n"/>
      <c r="AC210" s="188" t="n"/>
      <c r="AD210" s="188" t="n"/>
      <c r="AE210" s="188" t="n"/>
      <c r="AF210" s="188" t="n"/>
      <c r="AG210" s="188" t="n"/>
      <c r="AH210" s="188" t="n"/>
      <c r="AI210" s="188" t="n"/>
      <c r="AJ210" s="188" t="n"/>
      <c r="AK210" s="188" t="n"/>
      <c r="AL210" s="214" t="n"/>
    </row>
    <row r="211">
      <c r="A211" s="33" t="n">
        <v>3</v>
      </c>
      <c r="B211" s="199" t="n"/>
      <c r="C211" s="199" t="n"/>
      <c r="D211" s="218" t="n"/>
      <c r="E211" s="212" t="n"/>
      <c r="F211" s="212" t="n"/>
      <c r="G211" s="212" t="n"/>
      <c r="H211" s="189" t="n"/>
      <c r="I211" s="189" t="n"/>
      <c r="J211" s="184" t="n"/>
      <c r="K211" s="189" t="n"/>
      <c r="L211" s="202" t="n"/>
      <c r="M211" s="189" t="n"/>
      <c r="N211" s="189" t="n"/>
      <c r="O211" s="189">
        <f>L211-M211</f>
        <v/>
      </c>
      <c r="P211" s="189">
        <f>K211-N211</f>
        <v/>
      </c>
      <c r="Q211" s="189">
        <f>M211+O211</f>
        <v/>
      </c>
      <c r="R211" s="189">
        <f>M211+N211+O211+P211</f>
        <v/>
      </c>
      <c r="S211" s="203">
        <f>SUM(T211:V211)</f>
        <v/>
      </c>
      <c r="T211" s="203" t="n"/>
      <c r="U211" s="203" t="n"/>
      <c r="V211" s="203" t="n"/>
      <c r="W211" s="203" t="n"/>
      <c r="X211" s="203" t="n"/>
      <c r="Y211" s="203" t="n"/>
      <c r="Z211" s="203" t="n"/>
      <c r="AA211" s="203" t="n"/>
      <c r="AB211" s="188" t="n"/>
      <c r="AC211" s="188" t="n"/>
      <c r="AD211" s="188" t="n"/>
      <c r="AE211" s="188" t="n"/>
      <c r="AF211" s="188" t="n"/>
      <c r="AG211" s="188" t="n"/>
      <c r="AH211" s="188" t="n"/>
      <c r="AI211" s="188" t="n"/>
      <c r="AJ211" s="188" t="n"/>
      <c r="AK211" s="188" t="n"/>
      <c r="AL211" s="214" t="n"/>
    </row>
    <row r="212">
      <c r="A212" s="41" t="n"/>
      <c r="B212" s="215" t="n"/>
      <c r="C212" s="215" t="n"/>
      <c r="D212" s="230" t="inlineStr">
        <is>
          <t>九、成本及费用合计（三+四+五+六+七）</t>
        </is>
      </c>
      <c r="E212" s="231" t="n"/>
      <c r="F212" s="231" t="n"/>
      <c r="G212" s="231" t="n"/>
      <c r="H212" s="217">
        <f>H68+H69+H70+H71+#REF!</f>
        <v/>
      </c>
      <c r="I212" s="217">
        <f>I68+I69+I70+I71+#REF!</f>
        <v/>
      </c>
      <c r="J212" s="241">
        <f>J68+J69+J70+J71+#REF!</f>
        <v/>
      </c>
      <c r="K212" s="217">
        <f>K68+K69+K70+K71+#REF!</f>
        <v/>
      </c>
      <c r="L212" s="242">
        <f>L68+L69+L70+L71+#REF!</f>
        <v/>
      </c>
      <c r="M212" s="242">
        <f>M68+M69+M70+M71</f>
        <v/>
      </c>
      <c r="N212" s="242">
        <f>N68+N69+N70+N71</f>
        <v/>
      </c>
      <c r="O212" s="242">
        <f>O68+O69+O70+O71</f>
        <v/>
      </c>
      <c r="P212" s="242">
        <f>P68+P69+P70+P71</f>
        <v/>
      </c>
      <c r="Q212" s="242">
        <f>Q68+Q69+Q70+Q71</f>
        <v/>
      </c>
      <c r="R212" s="242">
        <f>R68+R69+R70+R71</f>
        <v/>
      </c>
      <c r="S212" s="237">
        <f>S68+S69+S70+S71</f>
        <v/>
      </c>
      <c r="T212" s="237" t="n"/>
      <c r="U212" s="237" t="n"/>
      <c r="V212" s="237" t="n"/>
      <c r="W212" s="237" t="n"/>
      <c r="X212" s="237" t="n"/>
      <c r="Y212" s="237" t="n"/>
      <c r="Z212" s="237">
        <f>Z68+Z69+Z70+Z71</f>
        <v/>
      </c>
      <c r="AA212" s="237">
        <f>AA68+AA69+AA70+AA71</f>
        <v/>
      </c>
      <c r="AB212" s="243" t="n"/>
      <c r="AC212" s="243" t="n"/>
      <c r="AD212" s="243" t="n"/>
      <c r="AE212" s="243" t="n"/>
      <c r="AF212" s="243" t="n"/>
      <c r="AG212" s="243" t="n"/>
      <c r="AH212" s="243" t="n"/>
      <c r="AI212" s="243" t="n"/>
      <c r="AJ212" s="243" t="n"/>
      <c r="AK212" s="244" t="n"/>
      <c r="AL212" s="245" t="n"/>
    </row>
    <row r="213">
      <c r="A213" s="41" t="n"/>
      <c r="B213" s="215" t="n"/>
      <c r="C213" s="215" t="n"/>
      <c r="D213" s="230" t="inlineStr">
        <is>
          <t>十、增值税实际税负（按财务数据）</t>
        </is>
      </c>
      <c r="E213" s="231" t="inlineStr">
        <is>
          <t>根据财务账面实际已缴纳增值税额+尚需缴纳的增值税额</t>
        </is>
      </c>
      <c r="F213" s="231" t="n"/>
      <c r="G213" s="231" t="n"/>
      <c r="H213" s="217" t="n"/>
      <c r="I213" s="217" t="n"/>
      <c r="J213" s="241">
        <f>H78+I78</f>
        <v/>
      </c>
      <c r="K213" s="217" t="inlineStr">
        <is>
          <t>/</t>
        </is>
      </c>
      <c r="L213" s="242" t="inlineStr">
        <is>
          <t>/</t>
        </is>
      </c>
      <c r="M213" s="242" t="n"/>
      <c r="N213" s="242">
        <f>N6-N77</f>
        <v/>
      </c>
      <c r="O213" s="242" t="n"/>
      <c r="P213" s="242" t="n"/>
      <c r="Q213" s="242" t="inlineStr">
        <is>
          <t>/</t>
        </is>
      </c>
      <c r="R213" s="242">
        <f>N78+P78</f>
        <v/>
      </c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3" t="n"/>
      <c r="AC213" s="243" t="n"/>
      <c r="AD213" s="243" t="n"/>
      <c r="AE213" s="243" t="n"/>
      <c r="AF213" s="243" t="n"/>
      <c r="AG213" s="243" t="n"/>
      <c r="AH213" s="243" t="n"/>
      <c r="AI213" s="243" t="n"/>
      <c r="AJ213" s="243" t="n"/>
      <c r="AK213" s="244" t="n"/>
      <c r="AL213" s="245" t="n"/>
    </row>
    <row r="214">
      <c r="A214" s="41" t="n"/>
      <c r="B214" s="215" t="n"/>
      <c r="C214" s="215" t="n"/>
      <c r="D214" s="230" t="inlineStr">
        <is>
          <t>十一、税金及附加（按财务数据）</t>
        </is>
      </c>
      <c r="E214" s="231" t="inlineStr">
        <is>
          <t>根据财务账面实际已缴纳税金及附加+尚需缴纳的税金及附加</t>
        </is>
      </c>
      <c r="F214" s="231" t="n"/>
      <c r="G214" s="231" t="n"/>
      <c r="H214" s="217" t="n"/>
      <c r="I214" s="217" t="n"/>
      <c r="J214" s="241">
        <f>H79+I79</f>
        <v/>
      </c>
      <c r="K214" s="217" t="n"/>
      <c r="L214" s="242">
        <f>J79</f>
        <v/>
      </c>
      <c r="M214" s="246" t="n">
        <v>349670.26</v>
      </c>
      <c r="N214" s="242" t="n"/>
      <c r="O214" s="242">
        <f>L79-M79</f>
        <v/>
      </c>
      <c r="P214" s="242" t="n"/>
      <c r="Q214" s="242">
        <f>M79+O79</f>
        <v/>
      </c>
      <c r="R214" s="242">
        <f>Q79</f>
        <v/>
      </c>
      <c r="S214" s="237" t="n"/>
      <c r="T214" s="237" t="n"/>
      <c r="U214" s="237" t="n"/>
      <c r="V214" s="237" t="n"/>
      <c r="W214" s="237" t="n"/>
      <c r="X214" s="237" t="n"/>
      <c r="Y214" s="237" t="n"/>
      <c r="Z214" s="237" t="n"/>
      <c r="AA214" s="237" t="n"/>
      <c r="AB214" s="243" t="n"/>
      <c r="AC214" s="243" t="n"/>
      <c r="AD214" s="243" t="n"/>
      <c r="AE214" s="243" t="n"/>
      <c r="AF214" s="243" t="n"/>
      <c r="AG214" s="243" t="n"/>
      <c r="AH214" s="243" t="n"/>
      <c r="AI214" s="243" t="n"/>
      <c r="AJ214" s="243" t="n"/>
      <c r="AK214" s="244" t="n"/>
      <c r="AL214" s="245" t="n"/>
    </row>
    <row r="215">
      <c r="A215" s="41" t="n"/>
      <c r="B215" s="215" t="n"/>
      <c r="C215" s="215" t="n"/>
      <c r="D215" s="230" t="inlineStr">
        <is>
          <t>十二、利润</t>
        </is>
      </c>
      <c r="E215" s="231" t="n"/>
      <c r="F215" s="231" t="n"/>
      <c r="G215" s="231" t="n"/>
      <c r="H215" s="217" t="n"/>
      <c r="I215" s="217" t="n"/>
      <c r="J215" s="241">
        <f>J6-J77-J78-J79</f>
        <v/>
      </c>
      <c r="K215" s="217" t="n"/>
      <c r="L215" s="242" t="n"/>
      <c r="M215" s="242" t="n"/>
      <c r="N215" s="242" t="n"/>
      <c r="O215" s="242" t="n"/>
      <c r="P215" s="242" t="n"/>
      <c r="Q215" s="242" t="n"/>
      <c r="R215" s="242" t="n"/>
      <c r="S215" s="237" t="n"/>
      <c r="T215" s="237" t="n"/>
      <c r="U215" s="237" t="n"/>
      <c r="V215" s="237" t="n"/>
      <c r="W215" s="237" t="n"/>
      <c r="X215" s="237" t="n"/>
      <c r="Y215" s="237" t="n"/>
      <c r="Z215" s="237" t="n"/>
      <c r="AA215" s="237" t="n"/>
      <c r="AB215" s="243" t="n"/>
      <c r="AC215" s="243" t="n"/>
      <c r="AD215" s="243" t="n"/>
      <c r="AE215" s="243" t="n"/>
      <c r="AF215" s="243" t="n"/>
      <c r="AG215" s="243" t="n"/>
      <c r="AH215" s="243" t="n"/>
      <c r="AI215" s="243" t="n"/>
      <c r="AJ215" s="243" t="n"/>
      <c r="AK215" s="244" t="n"/>
      <c r="AL215" s="245" t="n"/>
    </row>
    <row r="216">
      <c r="A216" s="105" t="n"/>
      <c r="B216" s="106" t="n"/>
      <c r="C216" s="106" t="n"/>
      <c r="D216" s="107" t="inlineStr">
        <is>
          <t>十三、利润率</t>
        </is>
      </c>
      <c r="E216" s="108" t="n"/>
      <c r="F216" s="108" t="n"/>
      <c r="G216" s="108" t="n"/>
      <c r="H216" s="109" t="n"/>
      <c r="I216" s="109" t="n"/>
      <c r="J216" s="109">
        <f>J80/J6</f>
        <v/>
      </c>
      <c r="K216" s="109" t="n"/>
      <c r="L216" s="127">
        <f>L80/L6</f>
        <v/>
      </c>
      <c r="M216" s="127">
        <f>M80/M6</f>
        <v/>
      </c>
      <c r="N216" s="127" t="n"/>
      <c r="O216" s="127" t="n"/>
      <c r="P216" s="127" t="n"/>
      <c r="Q216" s="127">
        <f>Q80/Q6</f>
        <v/>
      </c>
      <c r="R216" s="127">
        <f>R80/R6</f>
        <v/>
      </c>
      <c r="S216" s="142" t="n"/>
      <c r="T216" s="142" t="n"/>
      <c r="U216" s="142" t="n"/>
      <c r="V216" s="142" t="n"/>
      <c r="W216" s="142" t="n"/>
      <c r="X216" s="142" t="n"/>
      <c r="Y216" s="142" t="n"/>
      <c r="Z216" s="142" t="n"/>
      <c r="AA216" s="142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54" t="n"/>
      <c r="AL216" s="155" t="n"/>
    </row>
    <row r="217">
      <c r="A217" s="111" t="n"/>
      <c r="B217" s="111" t="n"/>
      <c r="C217" s="111" t="n"/>
      <c r="D217" s="112" t="n"/>
      <c r="E217" s="113" t="n"/>
      <c r="F217" s="113" t="n"/>
      <c r="G217" s="113" t="n"/>
      <c r="H217" s="247" t="n"/>
      <c r="I217" s="247" t="n"/>
      <c r="J217" s="248" t="inlineStr">
        <is>
          <t>含税利润率</t>
        </is>
      </c>
      <c r="K217" s="249" t="n"/>
      <c r="L217" s="250" t="inlineStr">
        <is>
          <t>不含税利润率</t>
        </is>
      </c>
      <c r="M217" s="251" t="n"/>
      <c r="N217" s="251" t="n"/>
      <c r="O217" s="251" t="n"/>
      <c r="P217" s="251" t="n"/>
      <c r="Q217" s="251" t="n"/>
      <c r="R217" s="251" t="n"/>
      <c r="S217" s="251" t="n"/>
      <c r="T217" s="251" t="n"/>
      <c r="U217" s="251" t="n"/>
      <c r="V217" s="251" t="n"/>
      <c r="W217" s="251" t="n"/>
      <c r="X217" s="251" t="n"/>
      <c r="Y217" s="251" t="n"/>
      <c r="Z217" s="252" t="n"/>
      <c r="AA217" s="162" t="n"/>
      <c r="AB217" s="253" t="n"/>
      <c r="AC217" s="253" t="n"/>
      <c r="AD217" s="253" t="n"/>
      <c r="AE217" s="253" t="n"/>
      <c r="AF217" s="253" t="n"/>
      <c r="AG217" s="253" t="n"/>
      <c r="AH217" s="253" t="n"/>
      <c r="AI217" s="253" t="n"/>
      <c r="AJ217" s="253" t="n"/>
      <c r="AK217" s="253" t="n"/>
      <c r="AL217" s="156" t="n"/>
    </row>
    <row r="218">
      <c r="A218" s="111" t="n"/>
      <c r="B218" s="111" t="n"/>
      <c r="C218" s="111" t="n"/>
      <c r="D218" s="112" t="n"/>
      <c r="E218" s="113" t="n"/>
      <c r="F218" s="113" t="n"/>
      <c r="G218" s="113" t="n"/>
      <c r="H218" s="247" t="n"/>
      <c r="I218" s="247" t="n"/>
      <c r="J218" s="254" t="n"/>
      <c r="K218" s="247" t="n"/>
      <c r="L218" s="255" t="n"/>
      <c r="M218" s="251" t="n"/>
      <c r="N218" s="251" t="n"/>
      <c r="O218" s="251" t="n"/>
      <c r="P218" s="251" t="n"/>
      <c r="Q218" s="251" t="n"/>
      <c r="R218" s="251" t="n"/>
      <c r="S218" s="251" t="n"/>
      <c r="T218" s="251" t="n"/>
      <c r="U218" s="251" t="n"/>
      <c r="V218" s="251" t="n"/>
      <c r="W218" s="251" t="n"/>
      <c r="X218" s="251" t="n"/>
      <c r="Y218" s="251" t="n"/>
      <c r="Z218" s="252" t="n"/>
      <c r="AA218" s="162" t="n"/>
      <c r="AB218" s="253" t="n"/>
      <c r="AC218" s="253" t="n"/>
      <c r="AD218" s="253" t="n"/>
      <c r="AE218" s="253" t="n"/>
      <c r="AF218" s="253" t="n"/>
      <c r="AG218" s="253" t="n"/>
      <c r="AH218" s="253" t="n"/>
      <c r="AI218" s="253" t="n"/>
      <c r="AJ218" s="253" t="n"/>
      <c r="AK218" s="253" t="n"/>
      <c r="AL218" s="156" t="n"/>
    </row>
    <row r="219">
      <c r="A219" s="116" t="n"/>
      <c r="B219" s="116" t="n"/>
      <c r="C219" s="116" t="n"/>
      <c r="D219" s="117" t="n"/>
      <c r="E219" s="118" t="n"/>
      <c r="F219" s="118" t="n"/>
      <c r="G219" s="118" t="n"/>
      <c r="H219" s="119" t="n"/>
      <c r="I219" s="119" t="n"/>
      <c r="J219" s="134" t="n"/>
      <c r="K219" s="256" t="n"/>
      <c r="L219" s="256" t="n"/>
      <c r="M219" s="257" t="n"/>
      <c r="N219" s="256" t="n"/>
      <c r="O219" s="256" t="n"/>
      <c r="P219" s="258" t="n"/>
      <c r="Q219" s="258" t="n"/>
      <c r="R219" s="256" t="n"/>
      <c r="S219" s="259" t="n"/>
      <c r="T219" s="259" t="n"/>
      <c r="U219" s="259" t="n"/>
      <c r="V219" s="259" t="n"/>
      <c r="W219" s="259" t="n"/>
      <c r="X219" s="259" t="n"/>
      <c r="Y219" s="259" t="n"/>
      <c r="Z219" s="260" t="n"/>
      <c r="AA219" s="261" t="n"/>
      <c r="AD219" s="262" t="n"/>
      <c r="AE219" s="262" t="n"/>
      <c r="AF219" s="262" t="n"/>
      <c r="AG219" s="262" t="n"/>
      <c r="AH219" s="262" t="n"/>
      <c r="AI219" s="262" t="n"/>
      <c r="AJ219" s="262" t="n"/>
      <c r="AK219" s="262" t="n"/>
      <c r="AL219" s="121" t="n"/>
    </row>
    <row r="220">
      <c r="A220" s="121" t="n"/>
      <c r="B220" s="121" t="n"/>
      <c r="C220" s="121" t="n"/>
      <c r="D220" s="121" t="n"/>
      <c r="E220" s="122" t="n"/>
      <c r="F220" s="122" t="n"/>
      <c r="G220" s="122" t="n"/>
      <c r="H220" s="122" t="n"/>
      <c r="I220" s="122" t="n"/>
      <c r="J220" s="122" t="n"/>
      <c r="K220" s="263" t="n"/>
      <c r="L220" s="122" t="n"/>
      <c r="M220" s="264" t="n"/>
      <c r="N220" s="264" t="n"/>
      <c r="O220" s="264" t="n"/>
      <c r="P220" s="264" t="n"/>
      <c r="Q220" s="264" t="n"/>
      <c r="R220" s="264" t="n"/>
      <c r="S220" s="259" t="n"/>
      <c r="T220" s="259" t="n"/>
      <c r="U220" s="259" t="n"/>
      <c r="V220" s="259" t="n"/>
      <c r="W220" s="259" t="n"/>
      <c r="X220" s="259" t="n"/>
      <c r="Y220" s="259" t="n"/>
      <c r="Z220" s="264" t="n"/>
      <c r="AA220" s="262" t="n"/>
      <c r="AB220" s="262" t="n"/>
      <c r="AC220" s="262" t="n"/>
      <c r="AD220" s="262" t="n"/>
      <c r="AE220" s="262" t="n"/>
      <c r="AF220" s="262" t="n"/>
      <c r="AG220" s="262" t="n"/>
      <c r="AH220" s="262" t="n"/>
      <c r="AI220" s="262" t="n"/>
      <c r="AJ220" s="262" t="n"/>
      <c r="AK220" s="262" t="n"/>
      <c r="AL220" s="121" t="n"/>
    </row>
    <row r="221">
      <c r="A221" s="121" t="n"/>
      <c r="B221" s="121" t="n"/>
      <c r="C221" s="121" t="n"/>
      <c r="D221" s="121" t="n"/>
      <c r="E221" s="122" t="n"/>
      <c r="F221" s="122" t="n"/>
      <c r="G221" s="122" t="n"/>
      <c r="H221" s="122" t="n"/>
      <c r="I221" s="122" t="n"/>
      <c r="J221" s="122" t="n"/>
      <c r="K221" s="263" t="n"/>
      <c r="L221" s="122" t="n"/>
      <c r="M221" s="264" t="n"/>
      <c r="N221" s="264" t="n"/>
      <c r="O221" s="264" t="n"/>
      <c r="P221" s="264" t="n"/>
      <c r="Q221" s="264" t="n"/>
      <c r="R221" s="264" t="n"/>
      <c r="S221" s="259" t="n"/>
      <c r="T221" s="259" t="n"/>
      <c r="U221" s="259" t="n"/>
      <c r="V221" s="259" t="n"/>
      <c r="W221" s="259" t="n"/>
      <c r="X221" s="259" t="n"/>
      <c r="Y221" s="259" t="n"/>
      <c r="Z221" s="264" t="n"/>
      <c r="AA221" s="262" t="n"/>
      <c r="AB221" s="262" t="n"/>
      <c r="AC221" s="262" t="n"/>
      <c r="AD221" s="262" t="n"/>
      <c r="AE221" s="262" t="n"/>
      <c r="AF221" s="262" t="n"/>
      <c r="AG221" s="262" t="n"/>
      <c r="AH221" s="262" t="n"/>
      <c r="AI221" s="262" t="n"/>
      <c r="AJ221" s="262" t="n"/>
      <c r="AK221" s="262" t="n"/>
      <c r="AL221" s="121" t="n"/>
    </row>
    <row r="222">
      <c r="A222" s="121" t="n"/>
      <c r="B222" s="121" t="n"/>
      <c r="C222" s="121" t="n"/>
      <c r="D222" s="121" t="n"/>
      <c r="E222" s="123" t="n"/>
      <c r="F222" s="123" t="n"/>
      <c r="G222" s="123" t="n"/>
      <c r="H222" s="122" t="n"/>
      <c r="I222" s="122" t="n"/>
      <c r="J222" s="122" t="n"/>
      <c r="K222" s="123" t="n"/>
      <c r="L222" s="122" t="n"/>
      <c r="M222" s="264" t="n"/>
      <c r="N222" s="260" t="n"/>
      <c r="O222" s="264" t="n"/>
      <c r="P222" s="264" t="n"/>
      <c r="Q222" s="264" t="n"/>
      <c r="R222" s="256" t="n"/>
      <c r="S222" s="259" t="n"/>
      <c r="T222" s="259" t="n"/>
      <c r="U222" s="259" t="n"/>
      <c r="V222" s="259" t="n"/>
      <c r="W222" s="259" t="n"/>
      <c r="X222" s="259" t="n"/>
      <c r="Y222" s="259" t="n"/>
      <c r="Z222" s="264" t="n"/>
      <c r="AA222" s="262" t="n"/>
      <c r="AB222" s="262" t="n"/>
      <c r="AC222" s="262" t="n"/>
      <c r="AD222" s="262" t="n"/>
      <c r="AE222" s="262" t="n"/>
      <c r="AF222" s="262" t="n"/>
      <c r="AG222" s="262" t="n"/>
      <c r="AH222" s="262" t="n"/>
      <c r="AI222" s="262" t="n"/>
      <c r="AJ222" s="262" t="n"/>
      <c r="AK222" s="262" t="n"/>
      <c r="AL22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2026-04-24T13:57:30Z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