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7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4" fontId="0" fillId="0" borderId="0" pivotButton="0" quotePrefix="0" xfId="0"/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69" authorId="1" shapeId="0">
      <text>
        <t xml:space="preserve">**同财务账面合同履约成本/工程施工成本/机械租赁费数据一致**
</t>
      </text>
    </comment>
    <comment ref="M75" authorId="0" shapeId="0">
      <text>
        <t>于:
**同财务账面合同履约成本/工程施工成本其他直接费数据一致**</t>
      </text>
    </comment>
    <comment ref="M112" authorId="1" shapeId="0">
      <text>
        <t>**同财务账面合同履约成本/工程施工成本/间接费数据一致**</t>
      </text>
    </comment>
    <comment ref="D120" authorId="2" shapeId="0">
      <text>
        <t>（在建：房建0.6%，其它0.4%；在保修期间的按0.3~0.5%自行确定;保修期结束为0）</t>
      </text>
    </comment>
    <comment ref="E130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31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9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L400001831</t>
        </is>
      </c>
      <c r="C6" s="11" t="n">
        <v>1220137354</v>
      </c>
      <c r="D6" s="181" t="inlineStr">
        <is>
          <t>广州市黄埔区汤村项目复建区1号地块施工总承包及总承包管理配合服务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289958061.57</v>
      </c>
      <c r="N6" s="186" t="n">
        <v>37816603.94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100224730</t>
        </is>
      </c>
      <c r="C13" s="207" t="inlineStr">
        <is>
          <t>中建四局0200202103604002</t>
        </is>
      </c>
      <c r="D13" s="207" t="inlineStr">
        <is>
          <t>广州市万有达建筑工程有限公司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39139848.98</v>
      </c>
      <c r="N13" s="210" t="n">
        <v>3607788.37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42134082.34</v>
      </c>
      <c r="U13" s="206" t="n"/>
      <c r="V13" s="206" t="n"/>
      <c r="AB13" s="211" t="n">
        <v>38986256.75</v>
      </c>
    </row>
    <row r="14" ht="14" customFormat="1" customHeight="1" s="180">
      <c r="A14" s="206" t="n">
        <v>2</v>
      </c>
      <c r="B14" s="206" t="inlineStr">
        <is>
          <t>200421551</t>
        </is>
      </c>
      <c r="C14" s="207" t="inlineStr">
        <is>
          <t>中建四局0200202103604001</t>
        </is>
      </c>
      <c r="D14" s="207" t="inlineStr">
        <is>
          <t>湖南阳旭建筑劳务服务有限公司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149405.03</v>
      </c>
      <c r="N14" s="210" t="n">
        <v>4620.77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06" t="n"/>
      <c r="U14" s="206" t="n"/>
      <c r="V14" s="206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1277824.57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CFK+姚建霞-封存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75440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CFK+朱新伟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59500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CFK+汤燕英-封存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71338.33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CFK+胡伟龙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74013.34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</row>
    <row r="20" ht="14" customFormat="1" customHeight="1" s="180">
      <c r="A20" s="33" t="n"/>
      <c r="B20" s="199" t="n"/>
      <c r="C20" s="199" t="n"/>
      <c r="D20" s="212" t="inlineStr">
        <is>
          <t>**财务未列部分需增列***</t>
        </is>
      </c>
      <c r="E20" s="213" t="n"/>
      <c r="F20" s="213" t="n"/>
      <c r="G20" s="213" t="n"/>
      <c r="H20" s="189" t="n"/>
      <c r="I20" s="189" t="n"/>
      <c r="J20" s="189" t="n"/>
      <c r="K20" s="201" t="n"/>
      <c r="L20" s="202" t="n"/>
      <c r="M20" s="189" t="n"/>
      <c r="N20" s="189" t="n"/>
      <c r="O20" s="189">
        <f>L20-M20</f>
        <v/>
      </c>
      <c r="P20" s="189">
        <f>K20-N20</f>
        <v/>
      </c>
      <c r="Q20" s="189">
        <f>M20+O20</f>
        <v/>
      </c>
      <c r="R20" s="189">
        <f>M20+N20+O20+P20</f>
        <v/>
      </c>
      <c r="S20" s="203">
        <f>SUM(T20:V20)</f>
        <v/>
      </c>
      <c r="T20" s="189" t="n"/>
      <c r="U20" s="189" t="n"/>
      <c r="V20" s="189" t="n"/>
      <c r="W20" s="189" t="n"/>
      <c r="X20" s="189" t="n"/>
      <c r="Y20" s="189" t="n"/>
      <c r="Z20" s="189">
        <f>SUM(AA16:AJ16)</f>
        <v/>
      </c>
      <c r="AA20" s="214" t="n"/>
      <c r="AB20" s="188" t="n"/>
      <c r="AC20" s="188" t="n"/>
      <c r="AD20" s="188" t="n"/>
      <c r="AE20" s="188" t="n"/>
      <c r="AF20" s="188" t="n"/>
      <c r="AG20" s="188" t="n"/>
      <c r="AH20" s="188" t="n"/>
      <c r="AI20" s="188" t="n"/>
      <c r="AJ20" s="188" t="n"/>
      <c r="AK20" s="188">
        <f>AB16/1.17*0.17+AC16/1.16*0.16+AD16/1.11*0.11+AE16/1.1*0.1+AF16/1.09*0.09+AI16/1.03*0.03</f>
        <v/>
      </c>
      <c r="AL20" s="215" t="n"/>
    </row>
    <row r="21" ht="14" customFormat="1" customHeight="1" s="180">
      <c r="A21" s="41" t="n"/>
      <c r="B21" s="216" t="n"/>
      <c r="C21" s="216" t="n"/>
      <c r="D21" s="217" t="inlineStr">
        <is>
          <t>人工费小计：</t>
        </is>
      </c>
      <c r="E21" s="218">
        <f>SUM(E12:E20)</f>
        <v/>
      </c>
      <c r="F21" s="218">
        <f>SUM(F12:F20)</f>
        <v/>
      </c>
      <c r="G21" s="218">
        <f>SUM(G12:G20)</f>
        <v/>
      </c>
      <c r="H21" s="218">
        <f>SUM(H12:H20)</f>
        <v/>
      </c>
      <c r="I21" s="218">
        <f>SUM(I12:I20)</f>
        <v/>
      </c>
      <c r="J21" s="218">
        <f>SUM(J12:J20)</f>
        <v/>
      </c>
      <c r="K21" s="218">
        <f>SUM(K12:K20)</f>
        <v/>
      </c>
      <c r="L21" s="218">
        <f>SUM(L12:L20)</f>
        <v/>
      </c>
      <c r="M21" s="218">
        <f>SUM(M12:M20)</f>
        <v/>
      </c>
      <c r="N21" s="218">
        <f>SUM(N12:N20)</f>
        <v/>
      </c>
      <c r="O21" s="218">
        <f>SUM(O12:O20)</f>
        <v/>
      </c>
      <c r="P21" s="218">
        <f>SUM(P12:P20)</f>
        <v/>
      </c>
      <c r="Q21" s="218">
        <f>SUM(Q12:Q20)</f>
        <v/>
      </c>
      <c r="R21" s="218">
        <f>SUM(R12:R20)</f>
        <v/>
      </c>
      <c r="S21" s="218">
        <f>SUM(S12:S20)</f>
        <v/>
      </c>
      <c r="T21" s="218">
        <f>SUM(T12:T20)</f>
        <v/>
      </c>
      <c r="U21" s="218">
        <f>SUM(U12:U20)</f>
        <v/>
      </c>
      <c r="V21" s="218">
        <f>SUM(V12:V20)</f>
        <v/>
      </c>
      <c r="W21" s="218">
        <f>SUM(W12:W20)</f>
        <v/>
      </c>
      <c r="X21" s="218">
        <f>SUM(X12:X20)</f>
        <v/>
      </c>
      <c r="Y21" s="218">
        <f>SUM(Y12:Y20)</f>
        <v/>
      </c>
      <c r="Z21" s="218">
        <f>SUM(Z12:Z20)</f>
        <v/>
      </c>
      <c r="AA21" s="218">
        <f>SUM(AA12:AA20)</f>
        <v/>
      </c>
      <c r="AB21" s="218">
        <f>SUM(AB12:AB20)</f>
        <v/>
      </c>
      <c r="AC21" s="218">
        <f>SUM(AC12:AC20)</f>
        <v/>
      </c>
      <c r="AD21" s="218">
        <f>SUM(AD12:AD20)</f>
        <v/>
      </c>
      <c r="AE21" s="218">
        <f>SUM(AE12:AE20)</f>
        <v/>
      </c>
      <c r="AF21" s="218">
        <f>SUM(AF12:AF20)</f>
        <v/>
      </c>
      <c r="AG21" s="218">
        <f>SUM(AG12:AG20)</f>
        <v/>
      </c>
      <c r="AH21" s="218">
        <f>SUM(AH12:AH20)</f>
        <v/>
      </c>
      <c r="AI21" s="218">
        <f>SUM(AI12:AI20)</f>
        <v/>
      </c>
      <c r="AJ21" s="218">
        <f>SUM(AJ12:AJ20)</f>
        <v/>
      </c>
      <c r="AK21" s="218">
        <f>SUM(AK12:AK20)</f>
        <v/>
      </c>
      <c r="AL21" s="204" t="n"/>
    </row>
    <row r="22" ht="14" customFormat="1" customHeight="1" s="180">
      <c r="A22" s="33" t="n"/>
      <c r="B22" s="199" t="n"/>
      <c r="C22" s="199" t="n"/>
      <c r="D22" s="219" t="inlineStr">
        <is>
          <t>（二）分包工程</t>
        </is>
      </c>
      <c r="E22" s="199" t="n"/>
      <c r="F22" s="199" t="n"/>
      <c r="G22" s="199" t="n"/>
      <c r="H22" s="189" t="n"/>
      <c r="I22" s="189" t="n"/>
      <c r="J22" s="189" t="n"/>
      <c r="K22" s="201" t="n"/>
      <c r="L22" s="202" t="n"/>
      <c r="M22" s="189" t="n"/>
      <c r="N22" s="189" t="n"/>
      <c r="O22" s="189">
        <f>L22-M22</f>
        <v/>
      </c>
      <c r="P22" s="189">
        <f>K22-N22</f>
        <v/>
      </c>
      <c r="Q22" s="189">
        <f>M22+O22</f>
        <v/>
      </c>
      <c r="R22" s="189">
        <f>M22+N22+O22+P22</f>
        <v/>
      </c>
      <c r="S22" s="203">
        <f>SUM(T22:V22)</f>
        <v/>
      </c>
      <c r="T22" s="203" t="n"/>
      <c r="U22" s="203" t="n"/>
      <c r="V22" s="203" t="n"/>
      <c r="W22" s="203" t="n"/>
      <c r="X22" s="203" t="n"/>
      <c r="Y22" s="203" t="n"/>
      <c r="Z22" s="203" t="n"/>
      <c r="AA22" s="203" t="n"/>
      <c r="AB22" s="203" t="n"/>
      <c r="AC22" s="203" t="n"/>
      <c r="AD22" s="203" t="n"/>
      <c r="AE22" s="203" t="n"/>
      <c r="AF22" s="203" t="n"/>
      <c r="AG22" s="203" t="n"/>
      <c r="AH22" s="203" t="n"/>
      <c r="AI22" s="203" t="n"/>
      <c r="AJ22" s="203" t="n"/>
      <c r="AK22" s="188">
        <f>AB18/1.17*0.17+AC18/1.16*0.16+AD18/1.11*0.11+AE18/1.1*0.1+AF18/1.09*0.09+AI18/1.03*0.03</f>
        <v/>
      </c>
      <c r="AL22" s="204" t="n"/>
    </row>
    <row r="23" ht="14" customFormat="1" customHeight="1" s="180">
      <c r="A23" s="206" t="n">
        <v>1</v>
      </c>
      <c r="B23" s="206" t="inlineStr">
        <is>
          <t>200084879</t>
        </is>
      </c>
      <c r="C23" s="207" t="inlineStr">
        <is>
          <t>中建四局0200202103603003</t>
        </is>
      </c>
      <c r="D23" s="207" t="inlineStr">
        <is>
          <t>广东新添美安防技术有限公司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7542836.89</v>
      </c>
      <c r="N23" s="210" t="n">
        <v>695857.95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5850000</v>
      </c>
      <c r="U23" s="206" t="n"/>
      <c r="V23" s="206" t="n"/>
      <c r="AB23" s="211" t="n">
        <v>5895004.43</v>
      </c>
    </row>
    <row r="24" ht="14" customFormat="1" customHeight="1" s="180">
      <c r="A24" s="206" t="n">
        <v>2</v>
      </c>
      <c r="B24" s="206" t="inlineStr">
        <is>
          <t>200053581</t>
        </is>
      </c>
      <c r="C24" s="207" t="inlineStr">
        <is>
          <t>中建四局020020210036030002</t>
        </is>
      </c>
      <c r="D24" s="207" t="inlineStr">
        <is>
          <t>广东粤忠晟保安服务有限公司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1429064.55</v>
      </c>
      <c r="N24" s="210" t="n">
        <v>6169.77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1479432.19</v>
      </c>
      <c r="U24" s="206" t="n"/>
      <c r="V24" s="206" t="n"/>
      <c r="AB24" s="211" t="n">
        <v>1191083.4</v>
      </c>
    </row>
    <row r="25" ht="14" customFormat="1" customHeight="1" s="180">
      <c r="A25" s="206" t="n">
        <v>3</v>
      </c>
      <c r="B25" s="206" t="inlineStr">
        <is>
          <t>100089001</t>
        </is>
      </c>
      <c r="C25" s="207" t="inlineStr">
        <is>
          <t>中建四局0200202103603001</t>
        </is>
      </c>
      <c r="D25" s="207" t="inlineStr">
        <is>
          <t>正工模块化建筑科技（深圳）有限公司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1322968.79</v>
      </c>
      <c r="N25" s="210" t="n">
        <v>175495.86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1525464.01</v>
      </c>
      <c r="U25" s="206" t="n"/>
      <c r="V25" s="206" t="n"/>
      <c r="AB25" s="211" t="n">
        <v>1525464.01</v>
      </c>
    </row>
    <row r="26" ht="14" customFormat="1" customHeight="1" s="180">
      <c r="A26" s="206" t="n">
        <v>4</v>
      </c>
      <c r="B26" s="206" t="inlineStr">
        <is>
          <t>100089014</t>
        </is>
      </c>
      <c r="C26" s="207" t="inlineStr">
        <is>
          <t>中建四局0200202103603005</t>
        </is>
      </c>
      <c r="D26" s="207" t="inlineStr">
        <is>
          <t>江西志特新材料股份有限公司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6462444.78</v>
      </c>
      <c r="N26" s="210" t="n">
        <v>865292.38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7339874</v>
      </c>
      <c r="U26" s="206" t="n"/>
      <c r="V26" s="206" t="n"/>
      <c r="AB26" s="211" t="n">
        <v>7521387.51</v>
      </c>
    </row>
    <row r="27" ht="14" customFormat="1" customHeight="1" s="180">
      <c r="A27" s="206" t="n">
        <v>5</v>
      </c>
      <c r="B27" s="206" t="inlineStr">
        <is>
          <t>100095072</t>
        </is>
      </c>
      <c r="C27" s="207" t="inlineStr">
        <is>
          <t>中建四局0200202103603004</t>
        </is>
      </c>
      <c r="D27" s="207" t="inlineStr">
        <is>
          <t>深圳市华西安装工程有限公司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16033034.52</v>
      </c>
      <c r="N27" s="210" t="n">
        <v>1472850.15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11460000</v>
      </c>
      <c r="U27" s="206" t="n"/>
      <c r="V27" s="206" t="n"/>
      <c r="AB27" s="211" t="n">
        <v>12330383.03</v>
      </c>
    </row>
    <row r="28" ht="14" customFormat="1" customHeight="1" s="180">
      <c r="A28" s="206" t="n">
        <v>6</v>
      </c>
      <c r="B28" s="206" t="inlineStr">
        <is>
          <t>100010344</t>
        </is>
      </c>
      <c r="C28" s="207" t="inlineStr">
        <is>
          <t>中建四局0200202103603006</t>
        </is>
      </c>
      <c r="D28" s="207" t="inlineStr">
        <is>
          <t>湖北省隆兴防水材料有限责任公司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3141650.02</v>
      </c>
      <c r="N28" s="210" t="n">
        <v>290751.38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1885000</v>
      </c>
      <c r="U28" s="206" t="n"/>
      <c r="V28" s="206" t="n"/>
      <c r="AB28" s="211" t="n">
        <v>2141530.08</v>
      </c>
    </row>
    <row r="29" ht="14" customFormat="1" customHeight="1" s="180">
      <c r="A29" s="206" t="n">
        <v>7</v>
      </c>
      <c r="B29" s="206" t="inlineStr">
        <is>
          <t>200421551</t>
        </is>
      </c>
      <c r="C29" s="207" t="inlineStr">
        <is>
          <t>中建四局0200202103603002</t>
        </is>
      </c>
      <c r="D29" s="207" t="inlineStr">
        <is>
          <t>湖南阳旭建筑劳务服务有限公司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39456446.11</v>
      </c>
      <c r="N29" s="210" t="n">
        <v>1205289.43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39939542.03</v>
      </c>
      <c r="U29" s="206" t="n"/>
      <c r="V29" s="206" t="n"/>
      <c r="AB29" s="211" t="n">
        <v>38298398.63</v>
      </c>
    </row>
    <row r="30" ht="14" customFormat="1" customHeight="1" s="180">
      <c r="A30" s="206" t="n">
        <v>8</v>
      </c>
      <c r="B30" s="206" t="n"/>
      <c r="C30" s="207" t="n"/>
      <c r="D30" s="207" t="inlineStr">
        <is>
          <t>ZGD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-11619636.7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9</v>
      </c>
      <c r="B31" s="206" t="n"/>
      <c r="C31" s="207" t="n"/>
      <c r="D31" s="207" t="inlineStr">
        <is>
          <t>SQD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5809818.35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33" t="n"/>
      <c r="B32" s="199" t="n"/>
      <c r="C32" s="199" t="n"/>
      <c r="D32" s="212" t="inlineStr">
        <is>
          <t>**财务未列部分需增列***</t>
        </is>
      </c>
      <c r="E32" s="220" t="n"/>
      <c r="F32" s="220" t="n"/>
      <c r="G32" s="220" t="n"/>
      <c r="H32" s="189" t="n"/>
      <c r="I32" s="189" t="n"/>
      <c r="J32" s="189" t="n"/>
      <c r="K32" s="201" t="n"/>
      <c r="L32" s="202" t="n"/>
      <c r="M32" s="189" t="n"/>
      <c r="N32" s="189" t="n"/>
      <c r="O32" s="189">
        <f>L32-M32</f>
        <v/>
      </c>
      <c r="P32" s="189">
        <f>K32-N32</f>
        <v/>
      </c>
      <c r="Q32" s="189">
        <f>M32+O32</f>
        <v/>
      </c>
      <c r="R32" s="189">
        <f>M32+N32+O32+P32</f>
        <v/>
      </c>
      <c r="S32" s="203">
        <f>SUM(T32:V32)</f>
        <v/>
      </c>
      <c r="T32" s="189" t="n"/>
      <c r="U32" s="189" t="n"/>
      <c r="V32" s="189" t="n"/>
      <c r="W32" s="189" t="n"/>
      <c r="X32" s="189" t="n"/>
      <c r="Y32" s="189" t="n"/>
      <c r="Z32" s="203" t="n"/>
      <c r="AA32" s="203" t="n"/>
      <c r="AB32" s="188" t="n"/>
      <c r="AC32" s="188" t="n"/>
      <c r="AD32" s="188" t="n"/>
      <c r="AE32" s="188" t="n"/>
      <c r="AF32" s="188" t="n"/>
      <c r="AG32" s="188" t="n"/>
      <c r="AH32" s="188" t="n"/>
      <c r="AI32" s="188" t="n"/>
      <c r="AJ32" s="188" t="n"/>
      <c r="AK32" s="188">
        <f>AB22/1.17*0.17+AC22/1.16*0.16+AD22/1.11*0.11+AE22/1.1*0.1+AF22/1.09*0.09+AI22/1.03*0.03</f>
        <v/>
      </c>
      <c r="AL32" s="215" t="n"/>
    </row>
    <row r="33" ht="14" customFormat="1" customHeight="1" s="180">
      <c r="A33" s="41" t="n"/>
      <c r="B33" s="216" t="n"/>
      <c r="C33" s="216" t="n"/>
      <c r="D33" s="217" t="inlineStr">
        <is>
          <t>分包工程小计：</t>
        </is>
      </c>
      <c r="E33" s="218">
        <f>SUM(E22:E32)</f>
        <v/>
      </c>
      <c r="F33" s="218">
        <f>SUM(F22:F32)</f>
        <v/>
      </c>
      <c r="G33" s="218">
        <f>SUM(G22:G32)</f>
        <v/>
      </c>
      <c r="H33" s="218">
        <f>SUM(H22:H32)</f>
        <v/>
      </c>
      <c r="I33" s="218">
        <f>SUM(I22:I32)</f>
        <v/>
      </c>
      <c r="J33" s="218">
        <f>SUM(J22:J32)</f>
        <v/>
      </c>
      <c r="K33" s="218">
        <f>SUM(K22:K32)</f>
        <v/>
      </c>
      <c r="L33" s="218">
        <f>SUM(L22:L32)</f>
        <v/>
      </c>
      <c r="M33" s="218">
        <f>SUM(M22:M32)</f>
        <v/>
      </c>
      <c r="N33" s="218">
        <f>SUM(N22:N32)</f>
        <v/>
      </c>
      <c r="O33" s="218">
        <f>SUM(O22:O32)</f>
        <v/>
      </c>
      <c r="P33" s="218">
        <f>SUM(P22:P32)</f>
        <v/>
      </c>
      <c r="Q33" s="218">
        <f>SUM(Q22:Q32)</f>
        <v/>
      </c>
      <c r="R33" s="218">
        <f>SUM(R22:R32)</f>
        <v/>
      </c>
      <c r="S33" s="218">
        <f>SUM(S22:S32)</f>
        <v/>
      </c>
      <c r="T33" s="218">
        <f>SUM(T22:T32)</f>
        <v/>
      </c>
      <c r="U33" s="218">
        <f>SUM(U22:U32)</f>
        <v/>
      </c>
      <c r="V33" s="218">
        <f>SUM(V22:V32)</f>
        <v/>
      </c>
      <c r="W33" s="218">
        <f>SUM(W22:W32)</f>
        <v/>
      </c>
      <c r="X33" s="218">
        <f>SUM(X22:X32)</f>
        <v/>
      </c>
      <c r="Y33" s="218">
        <f>SUM(Y22:Y32)</f>
        <v/>
      </c>
      <c r="Z33" s="218">
        <f>SUM(Z22:Z32)</f>
        <v/>
      </c>
      <c r="AA33" s="218">
        <f>SUM(AA22:AA32)</f>
        <v/>
      </c>
      <c r="AB33" s="218">
        <f>SUM(AB22:AB32)</f>
        <v/>
      </c>
      <c r="AC33" s="218">
        <f>SUM(AC22:AC32)</f>
        <v/>
      </c>
      <c r="AD33" s="218">
        <f>SUM(AD22:AD32)</f>
        <v/>
      </c>
      <c r="AE33" s="218">
        <f>SUM(AE22:AE32)</f>
        <v/>
      </c>
      <c r="AF33" s="218">
        <f>SUM(AF22:AF32)</f>
        <v/>
      </c>
      <c r="AG33" s="218">
        <f>SUM(AG22:AG32)</f>
        <v/>
      </c>
      <c r="AH33" s="218">
        <f>SUM(AH22:AH32)</f>
        <v/>
      </c>
      <c r="AI33" s="218">
        <f>SUM(AI22:AI32)</f>
        <v/>
      </c>
      <c r="AJ33" s="218">
        <f>SUM(AJ22:AJ32)</f>
        <v/>
      </c>
      <c r="AK33" s="218">
        <f>SUM(AK22:AK32)</f>
        <v/>
      </c>
      <c r="AL33" s="204" t="n"/>
    </row>
    <row r="34" ht="14" customFormat="1" customHeight="1" s="180">
      <c r="A34" s="33" t="n"/>
      <c r="B34" s="199" t="n"/>
      <c r="C34" s="199" t="n"/>
      <c r="D34" s="219" t="inlineStr">
        <is>
          <t>(三)材料费</t>
        </is>
      </c>
      <c r="E34" s="199" t="n"/>
      <c r="F34" s="199" t="n"/>
      <c r="G34" s="199" t="n"/>
      <c r="H34" s="189" t="n"/>
      <c r="I34" s="189" t="n"/>
      <c r="J34" s="189" t="n"/>
      <c r="K34" s="201" t="n"/>
      <c r="L34" s="202" t="n"/>
      <c r="M34" s="189" t="n"/>
      <c r="N34" s="189" t="n"/>
      <c r="O34" s="189">
        <f>L34-M34</f>
        <v/>
      </c>
      <c r="P34" s="189">
        <f>K34-N34</f>
        <v/>
      </c>
      <c r="Q34" s="189">
        <f>M34+O34</f>
        <v/>
      </c>
      <c r="R34" s="189">
        <f>M34+N34+O34+P34</f>
        <v/>
      </c>
      <c r="S34" s="203">
        <f>SUM(T34:V34)</f>
        <v/>
      </c>
      <c r="T34" s="203" t="n"/>
      <c r="U34" s="203" t="n"/>
      <c r="V34" s="203" t="n"/>
      <c r="W34" s="203" t="n"/>
      <c r="X34" s="203" t="n"/>
      <c r="Y34" s="203" t="n"/>
      <c r="Z34" s="203" t="n"/>
      <c r="AA34" s="203" t="n"/>
      <c r="AB34" s="221" t="n"/>
      <c r="AC34" s="221" t="n"/>
      <c r="AD34" s="221" t="n"/>
      <c r="AE34" s="221" t="n"/>
      <c r="AF34" s="221" t="n"/>
      <c r="AG34" s="221" t="n"/>
      <c r="AH34" s="221" t="n"/>
      <c r="AI34" s="221" t="n"/>
      <c r="AJ34" s="221" t="n"/>
      <c r="AK34" s="188">
        <f>AB24/1.17*0.17+AC24/1.16*0.16+AD24/1.11*0.11+AE24/1.1*0.1+AF24/1.09*0.09+AI24/1.03*0.03</f>
        <v/>
      </c>
      <c r="AL34" s="222" t="n"/>
    </row>
    <row r="35" ht="14" customFormat="1" customHeight="1" s="180">
      <c r="A35" s="33" t="n"/>
      <c r="B35" s="199" t="n"/>
      <c r="C35" s="199" t="n"/>
      <c r="D35" s="189" t="inlineStr">
        <is>
          <t>（1）集中采购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21" t="n"/>
      <c r="AC35" s="221" t="n"/>
      <c r="AD35" s="221" t="n"/>
      <c r="AE35" s="221" t="n"/>
      <c r="AF35" s="221" t="n"/>
      <c r="AG35" s="221" t="n"/>
      <c r="AH35" s="221" t="n"/>
      <c r="AI35" s="221" t="n"/>
      <c r="AJ35" s="221" t="n"/>
      <c r="AK35" s="188">
        <f>AB25/1.17*0.17+AC25/1.16*0.16+AD25/1.11*0.11+AE25/1.1*0.1+AF25/1.09*0.09+AI25/1.03*0.03</f>
        <v/>
      </c>
      <c r="AL35" s="222" t="n"/>
    </row>
    <row r="36" ht="14" customFormat="1" customHeight="1" s="180">
      <c r="A36" s="33" t="n"/>
      <c r="B36" s="199" t="n"/>
      <c r="C36" s="199" t="n"/>
      <c r="D36" s="189" t="inlineStr">
        <is>
          <t>（2）自行采购</t>
        </is>
      </c>
      <c r="E36" s="220" t="n"/>
      <c r="F36" s="220" t="n"/>
      <c r="G36" s="220" t="n"/>
      <c r="H36" s="189" t="n"/>
      <c r="I36" s="189" t="n"/>
      <c r="J36" s="189" t="n"/>
      <c r="K36" s="201" t="n"/>
      <c r="L36" s="202" t="n"/>
      <c r="M36" s="189" t="n"/>
      <c r="N36" s="189" t="n"/>
      <c r="O36" s="189">
        <f>L36-M36</f>
        <v/>
      </c>
      <c r="P36" s="189">
        <f>K36-N36</f>
        <v/>
      </c>
      <c r="Q36" s="189">
        <f>M36+O36</f>
        <v/>
      </c>
      <c r="R36" s="189">
        <f>M36+N36+O36+P36</f>
        <v/>
      </c>
      <c r="S36" s="203">
        <f>SUM(T36:V36)</f>
        <v/>
      </c>
      <c r="T36" s="203" t="n"/>
      <c r="U36" s="203" t="n"/>
      <c r="V36" s="203" t="n"/>
      <c r="W36" s="203" t="n"/>
      <c r="X36" s="203" t="n"/>
      <c r="Y36" s="203" t="n"/>
      <c r="Z36" s="189">
        <f>SUM(AA29:AJ29)</f>
        <v/>
      </c>
      <c r="AA36" s="203" t="n"/>
      <c r="AB36" s="221" t="n"/>
      <c r="AC36" s="221" t="n"/>
      <c r="AD36" s="221" t="n"/>
      <c r="AE36" s="221" t="n"/>
      <c r="AF36" s="221" t="n"/>
      <c r="AG36" s="221" t="n"/>
      <c r="AH36" s="221" t="n"/>
      <c r="AI36" s="221" t="n"/>
      <c r="AJ36" s="221" t="n"/>
      <c r="AK36" s="188">
        <f>AB29/1.17*0.17+AC29/1.16*0.16+AD29/1.11*0.11+AE29/1.1*0.1+AF29/1.09*0.09+AI29/1.03*0.03</f>
        <v/>
      </c>
      <c r="AL36" s="222" t="n"/>
    </row>
    <row r="37" ht="14" customFormat="1" customHeight="1" s="180">
      <c r="A37" s="33" t="n">
        <v>1</v>
      </c>
      <c r="B37" s="199" t="n"/>
      <c r="C37" s="199" t="n"/>
      <c r="D37" s="219" t="inlineStr">
        <is>
          <t>材料调入</t>
        </is>
      </c>
      <c r="E37" s="199" t="n"/>
      <c r="F37" s="199" t="n"/>
      <c r="G37" s="199" t="n"/>
      <c r="H37" s="189" t="n"/>
      <c r="I37" s="189" t="n"/>
      <c r="J37" s="189" t="n"/>
      <c r="K37" s="201" t="n"/>
      <c r="L37" s="202" t="n"/>
      <c r="M37" s="223" t="n">
        <v>34020317.08</v>
      </c>
      <c r="N37" s="189" t="n"/>
      <c r="O37" s="189">
        <f>L37-M37</f>
        <v/>
      </c>
      <c r="P37" s="189">
        <f>K37-N37</f>
        <v/>
      </c>
      <c r="Q37" s="189">
        <f>M37+O37</f>
        <v/>
      </c>
      <c r="R37" s="189">
        <f>M37+N37+O37+P37</f>
        <v/>
      </c>
      <c r="S37" s="203">
        <f>SUM(T37:V37)</f>
        <v/>
      </c>
      <c r="T37" s="203" t="n"/>
      <c r="U37" s="203" t="n"/>
      <c r="V37" s="203" t="n"/>
      <c r="W37" s="203" t="n"/>
      <c r="X37" s="203" t="n"/>
      <c r="Y37" s="203" t="n"/>
      <c r="Z37" s="189">
        <f>SUM(AA30:AJ30)</f>
        <v/>
      </c>
      <c r="AA37" s="203" t="n"/>
      <c r="AB37" s="221" t="n"/>
      <c r="AC37" s="221" t="n"/>
      <c r="AD37" s="221" t="n"/>
      <c r="AE37" s="221" t="n"/>
      <c r="AF37" s="221" t="n"/>
      <c r="AG37" s="221" t="n"/>
      <c r="AH37" s="221" t="n"/>
      <c r="AI37" s="221" t="n"/>
      <c r="AJ37" s="221" t="n"/>
      <c r="AK37" s="188">
        <f>AB30/1.17*0.17+AC30/1.16*0.16+AD30/1.11*0.11+AE30/1.1*0.1+AF30/1.09*0.09+AI30/1.03*0.03</f>
        <v/>
      </c>
      <c r="AL37" s="222" t="n"/>
    </row>
    <row r="38" ht="14" customFormat="1" customHeight="1" s="180">
      <c r="A38" s="33" t="n">
        <v>2</v>
      </c>
      <c r="B38" s="199" t="n"/>
      <c r="C38" s="199" t="n"/>
      <c r="D38" s="219" t="inlineStr">
        <is>
          <t>材料调出（注：负数填报）</t>
        </is>
      </c>
      <c r="E38" s="224" t="n"/>
      <c r="F38" s="224" t="n"/>
      <c r="G38" s="224" t="n"/>
      <c r="H38" s="225" t="n"/>
      <c r="I38" s="225" t="n"/>
      <c r="J38" s="189" t="n"/>
      <c r="K38" s="201" t="n"/>
      <c r="L38" s="202" t="n"/>
      <c r="M38" s="226" t="n">
        <v>-8241729.17</v>
      </c>
      <c r="N38" s="225" t="n"/>
      <c r="O38" s="189">
        <f>L38-M38</f>
        <v/>
      </c>
      <c r="P38" s="189">
        <f>K38-N38</f>
        <v/>
      </c>
      <c r="Q38" s="189">
        <f>M38+O38</f>
        <v/>
      </c>
      <c r="R38" s="189">
        <f>M38+N38+O38+P38</f>
        <v/>
      </c>
      <c r="S38" s="203">
        <f>SUM(T38:V38)</f>
        <v/>
      </c>
      <c r="T38" s="225" t="n"/>
      <c r="U38" s="225" t="n"/>
      <c r="V38" s="225" t="n"/>
      <c r="W38" s="225" t="n"/>
      <c r="X38" s="225" t="n"/>
      <c r="Y38" s="225" t="n"/>
      <c r="Z38" s="189">
        <f>SUM(AA31:AJ31)</f>
        <v/>
      </c>
      <c r="AA38" s="225" t="n"/>
      <c r="AB38" s="227" t="n"/>
      <c r="AC38" s="227" t="n"/>
      <c r="AD38" s="227" t="n"/>
      <c r="AE38" s="227" t="n"/>
      <c r="AF38" s="227" t="n"/>
      <c r="AG38" s="227" t="n"/>
      <c r="AH38" s="227" t="n"/>
      <c r="AI38" s="227" t="n"/>
      <c r="AJ38" s="227" t="n"/>
      <c r="AK38" s="188">
        <f>AB31/1.17*0.17+AC31/1.16*0.16+AD31/1.11*0.11+AE31/1.1*0.1+AF31/1.09*0.09+AI31/1.03*0.03</f>
        <v/>
      </c>
      <c r="AL38" s="228" t="n"/>
    </row>
    <row r="39" ht="14" customFormat="1" customHeight="1" s="180">
      <c r="A39" s="33" t="n"/>
      <c r="B39" s="199" t="n"/>
      <c r="C39" s="199" t="n"/>
      <c r="D39" s="219" t="inlineStr">
        <is>
          <t>材料库存（注：项目已结算未使用材料冲减项目成本，负数填报）</t>
        </is>
      </c>
      <c r="E39" s="224" t="n"/>
      <c r="F39" s="224" t="n"/>
      <c r="G39" s="224" t="n"/>
      <c r="H39" s="225" t="n"/>
      <c r="I39" s="225" t="n"/>
      <c r="J39" s="189" t="n"/>
      <c r="K39" s="201" t="n"/>
      <c r="L39" s="202" t="n"/>
      <c r="M39" s="225" t="n"/>
      <c r="N39" s="225" t="n"/>
      <c r="O39" s="189" t="n"/>
      <c r="P39" s="189" t="n"/>
      <c r="Q39" s="189" t="n"/>
      <c r="R39" s="189" t="n"/>
      <c r="S39" s="203" t="n"/>
      <c r="T39" s="225" t="n"/>
      <c r="U39" s="225" t="n"/>
      <c r="V39" s="225" t="n"/>
      <c r="W39" s="225" t="n"/>
      <c r="X39" s="225" t="n"/>
      <c r="Y39" s="225" t="n"/>
      <c r="Z39" s="189" t="n"/>
      <c r="AA39" s="225" t="n"/>
      <c r="AB39" s="227" t="n"/>
      <c r="AC39" s="227" t="n"/>
      <c r="AD39" s="227" t="n"/>
      <c r="AE39" s="227" t="n"/>
      <c r="AF39" s="227" t="n"/>
      <c r="AG39" s="227" t="n"/>
      <c r="AH39" s="227" t="n"/>
      <c r="AI39" s="227" t="n"/>
      <c r="AJ39" s="227" t="n"/>
      <c r="AK39" s="188" t="n"/>
      <c r="AL39" s="228" t="n"/>
    </row>
    <row r="40" ht="14" customFormat="1" customHeight="1" s="180">
      <c r="A40" s="206" t="n">
        <v>3</v>
      </c>
      <c r="B40" s="206" t="inlineStr">
        <is>
          <t>200146994</t>
        </is>
      </c>
      <c r="C40" s="207" t="inlineStr">
        <is>
          <t>中建四局02002021036060015</t>
        </is>
      </c>
      <c r="D40" s="207" t="inlineStr">
        <is>
          <t>东莞市广拓建材贸易有限公司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2678965.24</v>
      </c>
      <c r="N40" s="210" t="n">
        <v>348265.48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2100000</v>
      </c>
      <c r="U40" s="206" t="n"/>
      <c r="V40" s="206" t="n"/>
      <c r="AB40" s="211" t="n">
        <v>2560973.41</v>
      </c>
    </row>
    <row r="41" ht="14" customFormat="1" customHeight="1" s="180">
      <c r="A41" s="206" t="n">
        <v>4</v>
      </c>
      <c r="B41" s="206" t="inlineStr">
        <is>
          <t>200559751</t>
        </is>
      </c>
      <c r="C41" s="207" t="inlineStr">
        <is>
          <t>中建四局0200202103606012</t>
        </is>
      </c>
      <c r="D41" s="207" t="inlineStr">
        <is>
          <t>中励供应链管理（浙江）有限公司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23889974.12</v>
      </c>
      <c r="N41" s="210" t="n">
        <v>3105696.93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26369931.95</v>
      </c>
      <c r="U41" s="206" t="n"/>
      <c r="V41" s="206" t="n"/>
      <c r="AB41" s="211" t="n">
        <v>26369931.95</v>
      </c>
    </row>
    <row r="42" ht="14" customFormat="1" customHeight="1" s="180">
      <c r="A42" s="206" t="n">
        <v>5</v>
      </c>
      <c r="B42" s="206" t="inlineStr">
        <is>
          <t>100237790</t>
        </is>
      </c>
      <c r="C42" s="207" t="inlineStr">
        <is>
          <t>中建四局0200202103606002</t>
        </is>
      </c>
      <c r="D42" s="207" t="inlineStr">
        <is>
          <t>佛山唐贵五金电器有限公司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1606662.27</v>
      </c>
      <c r="N42" s="210" t="n">
        <v>208866.19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1780000</v>
      </c>
      <c r="U42" s="206" t="n"/>
      <c r="V42" s="206" t="n"/>
      <c r="AB42" s="211" t="n">
        <v>1484268.59</v>
      </c>
    </row>
    <row r="43" ht="14" customFormat="1" customHeight="1" s="180">
      <c r="A43" s="206" t="n">
        <v>6</v>
      </c>
      <c r="B43" s="206" t="inlineStr">
        <is>
          <t>100237790</t>
        </is>
      </c>
      <c r="C43" s="207" t="inlineStr">
        <is>
          <t>中建四局0200202103606010</t>
        </is>
      </c>
      <c r="D43" s="207" t="inlineStr">
        <is>
          <t>佛山唐贵五金电器有限公司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122485.42</v>
      </c>
      <c r="N43" s="210" t="n">
        <v>15923.1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</row>
    <row r="44" ht="14" customFormat="1" customHeight="1" s="180">
      <c r="A44" s="206" t="n">
        <v>7</v>
      </c>
      <c r="B44" s="206" t="inlineStr">
        <is>
          <t>100103164</t>
        </is>
      </c>
      <c r="C44" s="207" t="inlineStr">
        <is>
          <t>中建四局0200202103606004</t>
        </is>
      </c>
      <c r="D44" s="207" t="inlineStr">
        <is>
          <t>佛山市众万油品贸易有限公司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159653.02</v>
      </c>
      <c r="N44" s="210" t="n">
        <v>20688.68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180341.7</v>
      </c>
      <c r="U44" s="206" t="n"/>
      <c r="V44" s="206" t="n"/>
      <c r="AB44" s="211" t="n">
        <v>180341.7</v>
      </c>
    </row>
    <row r="45" ht="14" customFormat="1" customHeight="1" s="180">
      <c r="A45" s="206" t="n">
        <v>8</v>
      </c>
      <c r="B45" s="206" t="inlineStr">
        <is>
          <t>200162951</t>
        </is>
      </c>
      <c r="C45" s="207" t="inlineStr">
        <is>
          <t>中建四局0200202103606013</t>
        </is>
      </c>
      <c r="D45" s="207" t="inlineStr">
        <is>
          <t>佛山市翊德通新型环保科技建材有限公司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3870637.75</v>
      </c>
      <c r="N45" s="210" t="n">
        <v>503182.98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3867214.13</v>
      </c>
      <c r="U45" s="206" t="n"/>
      <c r="V45" s="206" t="n"/>
      <c r="AB45" s="211" t="n">
        <v>3900000</v>
      </c>
    </row>
    <row r="46" ht="14" customFormat="1" customHeight="1" s="180">
      <c r="A46" s="206" t="n">
        <v>9</v>
      </c>
      <c r="B46" s="206" t="inlineStr">
        <is>
          <t>100218495</t>
        </is>
      </c>
      <c r="C46" s="207" t="inlineStr">
        <is>
          <t>中建四局0200202103606003</t>
        </is>
      </c>
      <c r="D46" s="207" t="inlineStr">
        <is>
          <t>广东广物物资有限公司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11516250.3</v>
      </c>
      <c r="N46" s="210" t="n">
        <v>1497111.24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12800000</v>
      </c>
      <c r="U46" s="206" t="n"/>
      <c r="V46" s="206" t="n"/>
      <c r="AB46" s="211" t="n">
        <v>13686313.41</v>
      </c>
    </row>
    <row r="47" ht="14" customFormat="1" customHeight="1" s="180">
      <c r="A47" s="206" t="n">
        <v>10</v>
      </c>
      <c r="B47" s="206" t="inlineStr">
        <is>
          <t>100217222</t>
        </is>
      </c>
      <c r="C47" s="207" t="inlineStr">
        <is>
          <t>中建四局02002021036060014</t>
        </is>
      </c>
      <c r="D47" s="207" t="inlineStr">
        <is>
          <t>广州东龙混凝土有限公司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21666282.13</v>
      </c>
      <c r="N47" s="210" t="n">
        <v>649988.4300000001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20865280.35</v>
      </c>
      <c r="U47" s="206" t="n"/>
      <c r="V47" s="206" t="n"/>
      <c r="AB47" s="211" t="n">
        <v>21109210.88</v>
      </c>
    </row>
    <row r="48" ht="14" customFormat="1" customHeight="1" s="180">
      <c r="A48" s="206" t="n">
        <v>11</v>
      </c>
      <c r="B48" s="206" t="inlineStr">
        <is>
          <t>100006041</t>
        </is>
      </c>
      <c r="C48" s="207" t="inlineStr">
        <is>
          <t>中建四局0200202103606001</t>
        </is>
      </c>
      <c r="D48" s="207" t="inlineStr">
        <is>
          <t>广州市万竣混凝土有限公司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18159564.73</v>
      </c>
      <c r="N48" s="210" t="n">
        <v>544803.37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18704368.09</v>
      </c>
      <c r="U48" s="206" t="n"/>
      <c r="V48" s="206" t="n"/>
      <c r="AB48" s="211" t="n">
        <v>18656418.1</v>
      </c>
    </row>
    <row r="49" ht="14" customFormat="1" customHeight="1" s="180">
      <c r="A49" s="206" t="n">
        <v>12</v>
      </c>
      <c r="B49" s="206" t="inlineStr">
        <is>
          <t>100006014</t>
        </is>
      </c>
      <c r="C49" s="207" t="inlineStr">
        <is>
          <t>中建四局0200202103606005</t>
        </is>
      </c>
      <c r="D49" s="207" t="inlineStr">
        <is>
          <t>广州市番禺区石楼镇沙南建材二厂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1222044.27</v>
      </c>
      <c r="N49" s="210" t="n">
        <v>158876.13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1380920.4</v>
      </c>
      <c r="U49" s="206" t="n"/>
      <c r="V49" s="206" t="n"/>
      <c r="AB49" s="211" t="n">
        <v>1380920.4</v>
      </c>
    </row>
    <row r="50" ht="14" customFormat="1" customHeight="1" s="180">
      <c r="A50" s="206" t="n">
        <v>13</v>
      </c>
      <c r="B50" s="206" t="inlineStr">
        <is>
          <t>100006003</t>
        </is>
      </c>
      <c r="C50" s="207" t="inlineStr">
        <is>
          <t>中建四局0200202103606009</t>
        </is>
      </c>
      <c r="D50" s="207" t="inlineStr">
        <is>
          <t>广州稔华建材有限公司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747879.41</v>
      </c>
      <c r="N50" s="210" t="n">
        <v>97224.39999999999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730000</v>
      </c>
      <c r="U50" s="206" t="n"/>
      <c r="V50" s="206" t="n"/>
      <c r="AB50" s="211" t="n">
        <v>845103.8100000001</v>
      </c>
    </row>
    <row r="51" ht="14" customFormat="1" customHeight="1" s="180">
      <c r="A51" s="206" t="n">
        <v>14</v>
      </c>
      <c r="B51" s="206" t="inlineStr">
        <is>
          <t>100217163</t>
        </is>
      </c>
      <c r="C51" s="207" t="inlineStr">
        <is>
          <t>中建四局0200202103606007</t>
        </is>
      </c>
      <c r="D51" s="207" t="inlineStr">
        <is>
          <t>广州辰辰建材租赁有限公司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446060</v>
      </c>
      <c r="N51" s="210" t="n">
        <v>57987.8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504047.8</v>
      </c>
      <c r="U51" s="206" t="n"/>
      <c r="V51" s="206" t="n"/>
      <c r="AB51" s="211" t="n">
        <v>364831.8</v>
      </c>
    </row>
    <row r="52" ht="14" customFormat="1" customHeight="1" s="180">
      <c r="A52" s="206" t="n">
        <v>15</v>
      </c>
      <c r="B52" s="206" t="inlineStr">
        <is>
          <t>100074117</t>
        </is>
      </c>
      <c r="C52" s="207" t="inlineStr">
        <is>
          <t>中建四局0200202103606006</t>
        </is>
      </c>
      <c r="D52" s="207" t="inlineStr">
        <is>
          <t>清远市榕兴新型环保建材有限责任公司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1109491.46</v>
      </c>
      <c r="N52" s="210" t="n">
        <v>144234.01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1364048.84</v>
      </c>
      <c r="U52" s="206" t="n"/>
      <c r="V52" s="206" t="n"/>
      <c r="AB52" s="211" t="n">
        <v>1253725.47</v>
      </c>
    </row>
    <row r="53" ht="14" customFormat="1" customHeight="1" s="180">
      <c r="A53" s="206" t="n">
        <v>16</v>
      </c>
      <c r="B53" s="206" t="inlineStr">
        <is>
          <t>100208281</t>
        </is>
      </c>
      <c r="C53" s="207" t="inlineStr">
        <is>
          <t>中建四局0200202103606008</t>
        </is>
      </c>
      <c r="D53" s="207" t="inlineStr">
        <is>
          <t>湖南轨道物流发展有限公司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28926566.64</v>
      </c>
      <c r="N53" s="210" t="n">
        <v>3760453.67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32782596.29</v>
      </c>
      <c r="U53" s="206" t="n"/>
      <c r="V53" s="206" t="n"/>
      <c r="AB53" s="211" t="n">
        <v>32687020.31</v>
      </c>
    </row>
    <row r="54" ht="14" customFormat="1" customHeight="1" s="180">
      <c r="A54" s="206" t="n">
        <v>17</v>
      </c>
      <c r="B54" s="206" t="n"/>
      <c r="C54" s="207" t="n"/>
      <c r="D54" s="207" t="inlineStr">
        <is>
          <t>减：研发费用-材料费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-3926272.64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</row>
    <row r="55" ht="14" customFormat="1" customHeight="1" s="180">
      <c r="A55" s="206" t="n"/>
      <c r="B55" s="206" t="n"/>
      <c r="C55" s="207" t="n"/>
      <c r="D55" s="207" t="inlineStr">
        <is>
          <t>材料调入+CFK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06" t="n"/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</row>
    <row r="56" ht="14" customFormat="1" customHeight="1" s="180">
      <c r="A56" s="206" t="n"/>
      <c r="B56" s="206" t="n"/>
      <c r="C56" s="207" t="n"/>
      <c r="D56" s="207" t="inlineStr">
        <is>
          <t>材料调出+XSD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06" t="n"/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</row>
    <row r="57" ht="14" customFormat="1" customHeight="1" s="180">
      <c r="A57" s="206" t="n"/>
      <c r="B57" s="206" t="n"/>
      <c r="C57" s="207" t="n"/>
      <c r="D57" s="207" t="inlineStr">
        <is>
          <t>材料调出+SQD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06" t="n"/>
      <c r="N57" s="206" t="n"/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06" t="n"/>
      <c r="U57" s="206" t="n"/>
      <c r="V57" s="206" t="n"/>
    </row>
    <row r="58" ht="14" customFormat="1" customHeight="1" s="180">
      <c r="A58" s="206" t="n">
        <v>18</v>
      </c>
      <c r="B58" s="206" t="n"/>
      <c r="C58" s="207" t="n"/>
      <c r="D58" s="207" t="inlineStr">
        <is>
          <t>废旧物资消耗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-465452.87</v>
      </c>
      <c r="N58" s="206" t="n"/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</row>
    <row r="59" ht="14" customFormat="1" customHeight="1" s="180">
      <c r="A59" s="206" t="n"/>
      <c r="B59" s="206" t="n"/>
      <c r="C59" s="207" t="n"/>
      <c r="D59" s="207" t="inlineStr">
        <is>
          <t>废旧物资消耗（SQD）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06" t="n"/>
      <c r="N59" s="206" t="n"/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</row>
    <row r="60" ht="14" customFormat="1" customHeight="1" s="180">
      <c r="A60" s="33" t="n"/>
      <c r="B60" s="199" t="n"/>
      <c r="C60" s="199" t="n"/>
      <c r="D60" s="212" t="inlineStr">
        <is>
          <t>**财务未列部分需增列***</t>
        </is>
      </c>
      <c r="E60" s="220" t="n"/>
      <c r="F60" s="220" t="n"/>
      <c r="G60" s="220" t="n"/>
      <c r="H60" s="189" t="n"/>
      <c r="I60" s="189" t="n"/>
      <c r="J60" s="189" t="n"/>
      <c r="K60" s="201" t="n"/>
      <c r="L60" s="202" t="n"/>
      <c r="M60" s="189" t="n"/>
      <c r="N60" s="189" t="n"/>
      <c r="O60" s="189">
        <f>L60-M60</f>
        <v/>
      </c>
      <c r="P60" s="189">
        <f>K60-N60</f>
        <v/>
      </c>
      <c r="Q60" s="189">
        <f>M60+O60</f>
        <v/>
      </c>
      <c r="R60" s="189">
        <f>M60+N60+O60+P60</f>
        <v/>
      </c>
      <c r="S60" s="203">
        <f>SUM(T60:V60)</f>
        <v/>
      </c>
      <c r="T60" s="203" t="n"/>
      <c r="U60" s="203" t="n"/>
      <c r="V60" s="203" t="n"/>
      <c r="W60" s="203" t="n"/>
      <c r="X60" s="203" t="n"/>
      <c r="Y60" s="203" t="n"/>
      <c r="Z60" s="203" t="n"/>
      <c r="AA60" s="203" t="n"/>
      <c r="AB60" s="221" t="n"/>
      <c r="AC60" s="221" t="n"/>
      <c r="AD60" s="221" t="n"/>
      <c r="AE60" s="221" t="n"/>
      <c r="AF60" s="221" t="n"/>
      <c r="AG60" s="221" t="n"/>
      <c r="AH60" s="221" t="n"/>
      <c r="AI60" s="221" t="n"/>
      <c r="AJ60" s="221" t="n"/>
      <c r="AK60" s="188">
        <f>AB33/1.17*0.17+AC33/1.16*0.16+AD33/1.11*0.11+AE33/1.1*0.1+AF33/1.09*0.09+AI33/1.03*0.03</f>
        <v/>
      </c>
      <c r="AL60" s="222" t="n"/>
    </row>
    <row r="61" ht="14" customFormat="1" customHeight="1" s="180">
      <c r="A61" s="41" t="n"/>
      <c r="B61" s="216" t="n"/>
      <c r="C61" s="216" t="n"/>
      <c r="D61" s="217" t="inlineStr">
        <is>
          <t>材料费小计：</t>
        </is>
      </c>
      <c r="E61" s="218">
        <f>SUM(E34:E60)</f>
        <v/>
      </c>
      <c r="F61" s="218">
        <f>SUM(F34:F60)</f>
        <v/>
      </c>
      <c r="G61" s="218">
        <f>SUM(G34:G60)</f>
        <v/>
      </c>
      <c r="H61" s="218">
        <f>SUM(H34:H60)</f>
        <v/>
      </c>
      <c r="I61" s="218">
        <f>SUM(I34:I60)</f>
        <v/>
      </c>
      <c r="J61" s="218">
        <f>SUM(J34:J60)</f>
        <v/>
      </c>
      <c r="K61" s="218">
        <f>SUM(K34:K60)</f>
        <v/>
      </c>
      <c r="L61" s="218">
        <f>SUM(L34:L60)</f>
        <v/>
      </c>
      <c r="M61" s="218">
        <f>SUM(M34:M60)</f>
        <v/>
      </c>
      <c r="N61" s="218">
        <f>SUM(N34:N60)</f>
        <v/>
      </c>
      <c r="O61" s="218">
        <f>SUM(O34:O60)</f>
        <v/>
      </c>
      <c r="P61" s="218">
        <f>SUM(P34:P60)</f>
        <v/>
      </c>
      <c r="Q61" s="218">
        <f>SUM(Q34:Q60)</f>
        <v/>
      </c>
      <c r="R61" s="218">
        <f>SUM(R34:R60)</f>
        <v/>
      </c>
      <c r="S61" s="218">
        <f>SUM(S34:S60)</f>
        <v/>
      </c>
      <c r="T61" s="218">
        <f>SUM(T34:T60)</f>
        <v/>
      </c>
      <c r="U61" s="218">
        <f>SUM(U34:U60)</f>
        <v/>
      </c>
      <c r="V61" s="218">
        <f>SUM(V34:V60)</f>
        <v/>
      </c>
      <c r="W61" s="218">
        <f>SUM(W34:W60)</f>
        <v/>
      </c>
      <c r="X61" s="218">
        <f>SUM(X34:X60)</f>
        <v/>
      </c>
      <c r="Y61" s="218">
        <f>SUM(Y34:Y60)</f>
        <v/>
      </c>
      <c r="Z61" s="218">
        <f>SUM(Z34:Z60)</f>
        <v/>
      </c>
      <c r="AA61" s="218">
        <f>SUM(AA34:AA60)</f>
        <v/>
      </c>
      <c r="AB61" s="218">
        <f>SUM(AB34:AB60)</f>
        <v/>
      </c>
      <c r="AC61" s="218">
        <f>SUM(AC34:AC60)</f>
        <v/>
      </c>
      <c r="AD61" s="218">
        <f>SUM(AD34:AD60)</f>
        <v/>
      </c>
      <c r="AE61" s="218">
        <f>SUM(AE34:AE60)</f>
        <v/>
      </c>
      <c r="AF61" s="218">
        <f>SUM(AF34:AF60)</f>
        <v/>
      </c>
      <c r="AG61" s="218">
        <f>SUM(AG34:AG60)</f>
        <v/>
      </c>
      <c r="AH61" s="218">
        <f>SUM(AH34:AH60)</f>
        <v/>
      </c>
      <c r="AI61" s="218">
        <f>SUM(AI34:AI60)</f>
        <v/>
      </c>
      <c r="AJ61" s="218">
        <f>SUM(AJ34:AJ60)</f>
        <v/>
      </c>
      <c r="AK61" s="218">
        <f>SUM(AK34:AK60)</f>
        <v/>
      </c>
      <c r="AL61" s="204" t="n"/>
    </row>
    <row r="62" ht="14" customFormat="1" customHeight="1" s="180">
      <c r="A62" s="33" t="n"/>
      <c r="B62" s="199" t="n"/>
      <c r="C62" s="199" t="n"/>
      <c r="D62" s="219" t="inlineStr">
        <is>
          <t>(四）机械租赁费</t>
        </is>
      </c>
      <c r="E62" s="213" t="n"/>
      <c r="F62" s="213" t="n"/>
      <c r="G62" s="213" t="n"/>
      <c r="H62" s="189" t="n"/>
      <c r="I62" s="189" t="n"/>
      <c r="J62" s="189" t="n"/>
      <c r="K62" s="201" t="n">
        <v>0</v>
      </c>
      <c r="L62" s="202">
        <f>J62-K62</f>
        <v/>
      </c>
      <c r="M62" s="184" t="n"/>
      <c r="N62" s="184" t="n"/>
      <c r="O62" s="189">
        <f>L62-M62</f>
        <v/>
      </c>
      <c r="P62" s="189">
        <f>K62-N62</f>
        <v/>
      </c>
      <c r="Q62" s="189">
        <f>M62+O62</f>
        <v/>
      </c>
      <c r="R62" s="189">
        <f>M62+N62+O62+P62</f>
        <v/>
      </c>
      <c r="S62" s="203">
        <f>SUM(T62:V62)</f>
        <v/>
      </c>
      <c r="T62" s="203" t="n"/>
      <c r="U62" s="203" t="n"/>
      <c r="V62" s="203" t="n"/>
      <c r="W62" s="203" t="n"/>
      <c r="X62" s="203" t="n"/>
      <c r="Y62" s="203" t="n"/>
      <c r="Z62" s="203" t="n"/>
      <c r="AA62" s="203" t="n"/>
      <c r="AB62" s="203" t="n"/>
      <c r="AC62" s="203" t="n"/>
      <c r="AD62" s="203" t="n"/>
      <c r="AE62" s="203" t="n"/>
      <c r="AF62" s="203" t="n"/>
      <c r="AG62" s="203" t="n"/>
      <c r="AH62" s="203" t="n"/>
      <c r="AI62" s="203" t="n"/>
      <c r="AJ62" s="203" t="n"/>
      <c r="AK62" s="188">
        <f>AB35/1.17*0.17+AC35/1.16*0.16+AD35/1.11*0.11+AE35/1.1*0.1+AF35/1.09*0.09+AI35/1.03*0.03</f>
        <v/>
      </c>
      <c r="AL62" s="204" t="n"/>
    </row>
    <row r="63" ht="14" customFormat="1" customHeight="1" s="180">
      <c r="A63" s="206" t="n">
        <v>1</v>
      </c>
      <c r="B63" s="206" t="inlineStr">
        <is>
          <t>200489973</t>
        </is>
      </c>
      <c r="C63" s="207" t="inlineStr">
        <is>
          <t>中建四局020020210036050002</t>
        </is>
      </c>
      <c r="D63" s="207" t="inlineStr">
        <is>
          <t>佛山市南海鼎赞机械设备有限公司</t>
        </is>
      </c>
      <c r="E63" s="206" t="n"/>
      <c r="F63" s="206" t="n"/>
      <c r="G63" s="206" t="n"/>
      <c r="H63" s="206" t="n"/>
      <c r="I63" s="206" t="n"/>
      <c r="J63" s="206">
        <f>H63+I63</f>
        <v/>
      </c>
      <c r="K63" s="208" t="n"/>
      <c r="L63" s="209">
        <f>J63-K63</f>
        <v/>
      </c>
      <c r="M63" s="210" t="n">
        <v>3140750.01</v>
      </c>
      <c r="N63" s="210" t="n">
        <v>408297.5</v>
      </c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10" t="n">
        <v>2453566.5</v>
      </c>
      <c r="U63" s="206" t="n"/>
      <c r="V63" s="206" t="n"/>
      <c r="AB63" s="211" t="n">
        <v>2450000</v>
      </c>
    </row>
    <row r="64" ht="14" customFormat="1" customHeight="1" s="180">
      <c r="A64" s="206" t="n">
        <v>2</v>
      </c>
      <c r="B64" s="206" t="inlineStr">
        <is>
          <t>200428777</t>
        </is>
      </c>
      <c r="C64" s="207" t="inlineStr">
        <is>
          <t>中建四局020020210036050001</t>
        </is>
      </c>
      <c r="D64" s="207" t="inlineStr">
        <is>
          <t>广东君晖建筑工程有限公司</t>
        </is>
      </c>
      <c r="E64" s="206" t="n"/>
      <c r="F64" s="206" t="n"/>
      <c r="G64" s="206" t="n"/>
      <c r="H64" s="206" t="n"/>
      <c r="I64" s="206" t="n"/>
      <c r="J64" s="206">
        <f>H64+I64</f>
        <v/>
      </c>
      <c r="K64" s="208" t="n"/>
      <c r="L64" s="209">
        <f>J64-K64</f>
        <v/>
      </c>
      <c r="M64" s="210" t="n">
        <v>394403.33</v>
      </c>
      <c r="N64" s="210" t="n">
        <v>51272.43</v>
      </c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10" t="n">
        <v>290000</v>
      </c>
      <c r="U64" s="206" t="n"/>
      <c r="V64" s="206" t="n"/>
      <c r="AB64" s="211" t="n">
        <v>350000</v>
      </c>
    </row>
    <row r="65" ht="14" customFormat="1" customHeight="1" s="180">
      <c r="A65" s="206" t="n">
        <v>3</v>
      </c>
      <c r="B65" s="206" t="inlineStr">
        <is>
          <t>200353812</t>
        </is>
      </c>
      <c r="C65" s="207" t="inlineStr">
        <is>
          <t>中建四局0200202103605001</t>
        </is>
      </c>
      <c r="D65" s="207" t="inlineStr">
        <is>
          <t>广州小老虎建筑机械租赁有限公司</t>
        </is>
      </c>
      <c r="E65" s="206" t="n"/>
      <c r="F65" s="206" t="n"/>
      <c r="G65" s="206" t="n"/>
      <c r="H65" s="206" t="n"/>
      <c r="I65" s="206" t="n"/>
      <c r="J65" s="206">
        <f>H65+I65</f>
        <v/>
      </c>
      <c r="K65" s="208" t="n"/>
      <c r="L65" s="209">
        <f>J65-K65</f>
        <v/>
      </c>
      <c r="M65" s="210" t="n">
        <v>8322775.17</v>
      </c>
      <c r="N65" s="210" t="n">
        <v>749049.77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8851326.33</v>
      </c>
      <c r="U65" s="206" t="n"/>
      <c r="V65" s="206" t="n"/>
      <c r="AB65" s="211" t="n">
        <v>8172087.28</v>
      </c>
    </row>
    <row r="66" ht="14" customFormat="1" customHeight="1" s="180">
      <c r="A66" s="206" t="n">
        <v>4</v>
      </c>
      <c r="B66" s="206" t="inlineStr">
        <is>
          <t>100217539</t>
        </is>
      </c>
      <c r="C66" s="207" t="inlineStr">
        <is>
          <t>中建四局0200202103605002</t>
        </is>
      </c>
      <c r="D66" s="207" t="inlineStr">
        <is>
          <t>广州易达运输有限公司</t>
        </is>
      </c>
      <c r="E66" s="206" t="n"/>
      <c r="F66" s="206" t="n"/>
      <c r="G66" s="206" t="n"/>
      <c r="H66" s="206" t="n"/>
      <c r="I66" s="206" t="n"/>
      <c r="J66" s="206">
        <f>H66+I66</f>
        <v/>
      </c>
      <c r="K66" s="208" t="n"/>
      <c r="L66" s="209">
        <f>J66-K66</f>
        <v/>
      </c>
      <c r="M66" s="210" t="n">
        <v>58915.4</v>
      </c>
      <c r="N66" s="210" t="n">
        <v>1767.47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60682.87</v>
      </c>
      <c r="U66" s="206" t="n"/>
      <c r="V66" s="206" t="n"/>
      <c r="AB66" s="211" t="n">
        <v>60690</v>
      </c>
    </row>
    <row r="67" ht="14" customFormat="1" customHeight="1" s="180">
      <c r="A67" s="206" t="n">
        <v>5</v>
      </c>
      <c r="B67" s="206" t="inlineStr">
        <is>
          <t>200372422</t>
        </is>
      </c>
      <c r="C67" s="207" t="inlineStr">
        <is>
          <t>中建四局02002021036050003</t>
        </is>
      </c>
      <c r="D67" s="207" t="inlineStr">
        <is>
          <t>深圳市鑫俊辉机械设备有限公司</t>
        </is>
      </c>
      <c r="E67" s="206" t="n"/>
      <c r="F67" s="206" t="n"/>
      <c r="G67" s="206" t="n"/>
      <c r="H67" s="206" t="n"/>
      <c r="I67" s="206" t="n"/>
      <c r="J67" s="206">
        <f>H67+I67</f>
        <v/>
      </c>
      <c r="K67" s="208" t="n"/>
      <c r="L67" s="209">
        <f>J67-K67</f>
        <v/>
      </c>
      <c r="M67" s="210" t="n">
        <v>260430</v>
      </c>
      <c r="N67" s="210" t="n">
        <v>23438.7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200000</v>
      </c>
      <c r="U67" s="206" t="n"/>
      <c r="V67" s="206" t="n"/>
      <c r="AB67" s="211" t="n">
        <v>283868.7</v>
      </c>
    </row>
    <row r="68" ht="14" customFormat="1" customHeight="1" s="180">
      <c r="A68" s="33" t="n"/>
      <c r="B68" s="199" t="n"/>
      <c r="C68" s="199" t="n"/>
      <c r="D68" s="212" t="inlineStr">
        <is>
          <t>**财务未列部分需增列***</t>
        </is>
      </c>
      <c r="E68" s="229" t="n"/>
      <c r="F68" s="229" t="n"/>
      <c r="G68" s="229" t="n"/>
      <c r="H68" s="189" t="n"/>
      <c r="I68" s="189" t="n"/>
      <c r="J68" s="189" t="n"/>
      <c r="K68" s="201" t="n">
        <v>0</v>
      </c>
      <c r="L68" s="202">
        <f>J68-K68</f>
        <v/>
      </c>
      <c r="M68" s="230" t="n"/>
      <c r="N68" s="230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30" t="n"/>
      <c r="U68" s="230" t="n"/>
      <c r="V68" s="230" t="n"/>
      <c r="W68" s="230" t="n"/>
      <c r="X68" s="230" t="n"/>
      <c r="Y68" s="230" t="n"/>
      <c r="Z68" s="230" t="n"/>
      <c r="AA68" s="203" t="n"/>
      <c r="AB68" s="188" t="n"/>
      <c r="AC68" s="188" t="n"/>
      <c r="AD68" s="188" t="n"/>
      <c r="AE68" s="188" t="n"/>
      <c r="AF68" s="188" t="n"/>
      <c r="AG68" s="188" t="n"/>
      <c r="AH68" s="188" t="n"/>
      <c r="AI68" s="188" t="n"/>
      <c r="AJ68" s="188" t="n"/>
      <c r="AK68" s="188">
        <f>AB37/1.17*0.17+AC37/1.16*0.16+AD37/1.11*0.11+AE37/1.1*0.1+AF37/1.09*0.09+AI37/1.03*0.03</f>
        <v/>
      </c>
      <c r="AL68" s="215" t="n"/>
    </row>
    <row r="69" ht="39" customFormat="1" customHeight="1" s="180">
      <c r="A69" s="41" t="n"/>
      <c r="B69" s="216" t="n"/>
      <c r="C69" s="216" t="n"/>
      <c r="D69" s="231" t="inlineStr">
        <is>
          <t>机械费小计：</t>
        </is>
      </c>
      <c r="E69" s="232" t="n"/>
      <c r="F69" s="232" t="n"/>
      <c r="G69" s="232" t="n"/>
      <c r="H69" s="218">
        <f>SUM(H62:H68)</f>
        <v/>
      </c>
      <c r="I69" s="218">
        <f>SUM(I62:I68)</f>
        <v/>
      </c>
      <c r="J69" s="218">
        <f>SUM(J62:J68)</f>
        <v/>
      </c>
      <c r="K69" s="218">
        <f>SUM(K62:K68)</f>
        <v/>
      </c>
      <c r="L69" s="233">
        <f>SUM(L62:L68)</f>
        <v/>
      </c>
      <c r="M69" s="218">
        <f>SUM(M62:M68)</f>
        <v/>
      </c>
      <c r="N69" s="218">
        <f>SUM(N62:N68)</f>
        <v/>
      </c>
      <c r="O69" s="218">
        <f>SUM(O62:O68)</f>
        <v/>
      </c>
      <c r="P69" s="218">
        <f>SUM(P62:P68)</f>
        <v/>
      </c>
      <c r="Q69" s="218">
        <f>SUM(Q62:Q68)</f>
        <v/>
      </c>
      <c r="R69" s="218">
        <f>SUM(R62:R68)</f>
        <v/>
      </c>
      <c r="S69" s="218">
        <f>SUM(S62:S68)</f>
        <v/>
      </c>
      <c r="T69" s="218" t="n"/>
      <c r="U69" s="218" t="n"/>
      <c r="V69" s="218" t="n"/>
      <c r="W69" s="218" t="n"/>
      <c r="X69" s="218" t="n"/>
      <c r="Y69" s="218" t="n"/>
      <c r="Z69" s="218">
        <f>SUM(Z62:Z68)</f>
        <v/>
      </c>
      <c r="AA69" s="218">
        <f>SUM(AA62:AA68)</f>
        <v/>
      </c>
      <c r="AB69" s="218" t="n"/>
      <c r="AC69" s="218" t="n"/>
      <c r="AD69" s="218" t="n"/>
      <c r="AE69" s="218" t="n"/>
      <c r="AF69" s="218" t="n"/>
      <c r="AG69" s="218" t="n"/>
      <c r="AH69" s="218" t="n"/>
      <c r="AI69" s="218" t="n"/>
      <c r="AJ69" s="218" t="n"/>
      <c r="AK69" s="218" t="n"/>
      <c r="AL69" s="204" t="n"/>
    </row>
    <row r="70" ht="14" customFormat="1" customHeight="1" s="180">
      <c r="A70" s="33" t="n"/>
      <c r="B70" s="199" t="n"/>
      <c r="C70" s="199" t="n"/>
      <c r="D70" s="219" t="inlineStr">
        <is>
          <t>（五）其他直接费</t>
        </is>
      </c>
      <c r="E70" s="213" t="n"/>
      <c r="F70" s="213" t="n"/>
      <c r="G70" s="213" t="n"/>
      <c r="H70" s="189" t="n"/>
      <c r="I70" s="189" t="n"/>
      <c r="J70" s="184" t="n">
        <v>0</v>
      </c>
      <c r="K70" s="201" t="n">
        <v>0</v>
      </c>
      <c r="L70" s="202">
        <f>J70-N70-P70</f>
        <v/>
      </c>
      <c r="M70" s="234" t="n">
        <v>-127.2</v>
      </c>
      <c r="N70" s="184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203" t="n"/>
      <c r="AA70" s="203" t="n"/>
      <c r="AB70" s="203" t="n"/>
      <c r="AC70" s="203" t="n"/>
      <c r="AD70" s="203" t="n"/>
      <c r="AE70" s="203" t="n"/>
      <c r="AF70" s="203" t="n"/>
      <c r="AG70" s="203" t="n"/>
      <c r="AH70" s="203" t="n"/>
      <c r="AI70" s="203" t="n"/>
      <c r="AJ70" s="203" t="n"/>
      <c r="AK70" s="188" t="n"/>
      <c r="AL70" s="204" t="n"/>
    </row>
    <row r="71" ht="14" customFormat="1" customHeight="1" s="180">
      <c r="A71" s="206" t="n"/>
      <c r="B71" s="206" t="n"/>
      <c r="C71" s="207" t="n"/>
      <c r="D71" s="207" t="inlineStr">
        <is>
          <t>保险费</t>
        </is>
      </c>
      <c r="E71" s="206" t="n"/>
      <c r="F71" s="206" t="n"/>
      <c r="G71" s="206" t="n"/>
      <c r="H71" s="206" t="n"/>
      <c r="I71" s="206" t="n"/>
      <c r="J71" s="206">
        <f>H71+I71</f>
        <v/>
      </c>
      <c r="K71" s="208" t="n"/>
      <c r="L71" s="209">
        <f>J71-K71</f>
        <v/>
      </c>
      <c r="M71" s="210" t="n">
        <v>432696.64</v>
      </c>
      <c r="N71" s="206" t="n"/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06" t="n"/>
      <c r="U71" s="206" t="n"/>
      <c r="V71" s="206" t="n"/>
    </row>
    <row r="72" ht="14" customFormat="1" customHeight="1" s="180">
      <c r="A72" s="206" t="n"/>
      <c r="B72" s="206" t="n"/>
      <c r="C72" s="207" t="n"/>
      <c r="D72" s="207" t="inlineStr">
        <is>
          <t>其他</t>
        </is>
      </c>
      <c r="E72" s="206" t="n"/>
      <c r="F72" s="206" t="n"/>
      <c r="G72" s="206" t="n"/>
      <c r="H72" s="206" t="n"/>
      <c r="I72" s="206" t="n"/>
      <c r="J72" s="206">
        <f>H72+I72</f>
        <v/>
      </c>
      <c r="K72" s="208" t="n"/>
      <c r="L72" s="209">
        <f>J72-K72</f>
        <v/>
      </c>
      <c r="M72" s="210" t="n">
        <v>1154170.62</v>
      </c>
      <c r="N72" s="206" t="n"/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06" t="n"/>
      <c r="U72" s="206" t="n"/>
      <c r="V72" s="206" t="n"/>
    </row>
    <row r="73" ht="14" customFormat="1" customHeight="1" s="180">
      <c r="A73" s="206" t="n"/>
      <c r="B73" s="206" t="n"/>
      <c r="C73" s="207" t="n"/>
      <c r="D73" s="207" t="inlineStr">
        <is>
          <t>检验试验费</t>
        </is>
      </c>
      <c r="E73" s="206" t="n"/>
      <c r="F73" s="206" t="n"/>
      <c r="G73" s="206" t="n"/>
      <c r="H73" s="206" t="n"/>
      <c r="I73" s="206" t="n"/>
      <c r="J73" s="206">
        <f>H73+I73</f>
        <v/>
      </c>
      <c r="K73" s="208" t="n"/>
      <c r="L73" s="209">
        <f>J73-K73</f>
        <v/>
      </c>
      <c r="M73" s="210" t="n">
        <v>704751.05</v>
      </c>
      <c r="N73" s="206" t="n"/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06" t="n"/>
      <c r="U73" s="206" t="n"/>
      <c r="V73" s="206" t="n"/>
    </row>
    <row r="74" ht="14" customFormat="1" customHeight="1" s="180">
      <c r="A74" s="33" t="n"/>
      <c r="B74" s="199" t="n"/>
      <c r="C74" s="199" t="n"/>
      <c r="D74" s="212" t="inlineStr">
        <is>
          <t>**财务未列部分需增列***</t>
        </is>
      </c>
      <c r="E74" s="213" t="n"/>
      <c r="F74" s="213" t="n"/>
      <c r="G74" s="213" t="n"/>
      <c r="H74" s="189" t="n"/>
      <c r="I74" s="189" t="n"/>
      <c r="J74" s="184" t="n"/>
      <c r="K74" s="201" t="n"/>
      <c r="L74" s="202">
        <f>J74-K74</f>
        <v/>
      </c>
      <c r="M74" s="235" t="n"/>
      <c r="N74" s="235" t="n"/>
      <c r="O74" s="189">
        <f>L74-M74</f>
        <v/>
      </c>
      <c r="P74" s="189">
        <f>K74-N74</f>
        <v/>
      </c>
      <c r="Q74" s="189">
        <f>M74+O74</f>
        <v/>
      </c>
      <c r="R74" s="189">
        <f>M74+N74+O74+P74</f>
        <v/>
      </c>
      <c r="S74" s="203">
        <f>SUM(T74:V74)</f>
        <v/>
      </c>
      <c r="T74" s="235" t="n"/>
      <c r="U74" s="235" t="n"/>
      <c r="V74" s="235" t="n"/>
      <c r="W74" s="235" t="n"/>
      <c r="X74" s="235" t="n"/>
      <c r="Y74" s="235" t="n"/>
      <c r="Z74" s="189">
        <f>SUM(AA45:AJ45)</f>
        <v/>
      </c>
      <c r="AA74" s="203" t="n"/>
      <c r="AB74" s="203" t="n"/>
      <c r="AC74" s="203" t="n"/>
      <c r="AD74" s="203" t="n"/>
      <c r="AE74" s="203" t="n"/>
      <c r="AF74" s="203" t="n"/>
      <c r="AG74" s="203" t="n"/>
      <c r="AH74" s="203" t="n"/>
      <c r="AI74" s="203" t="n"/>
      <c r="AJ74" s="203" t="n"/>
      <c r="AK74" s="188" t="n"/>
      <c r="AL74" s="204" t="n"/>
    </row>
    <row r="75" ht="14" customFormat="1" customHeight="1" s="180">
      <c r="A75" s="55" t="n"/>
      <c r="B75" s="236" t="n"/>
      <c r="C75" s="236" t="n"/>
      <c r="D75" s="231" t="inlineStr">
        <is>
          <t>其他直接费小计：</t>
        </is>
      </c>
      <c r="E75" s="237" t="n"/>
      <c r="F75" s="237" t="n"/>
      <c r="G75" s="237" t="n"/>
      <c r="H75" s="218">
        <f>SUM(H70:H74)</f>
        <v/>
      </c>
      <c r="I75" s="218">
        <f>SUM(I70:I74)</f>
        <v/>
      </c>
      <c r="J75" s="218">
        <f>SUM(J70:J74)</f>
        <v/>
      </c>
      <c r="K75" s="218">
        <f>SUM(K70:K74)</f>
        <v/>
      </c>
      <c r="L75" s="233">
        <f>SUM(L70:L74)</f>
        <v/>
      </c>
      <c r="M75" s="218">
        <f>SUM(M70:M74)</f>
        <v/>
      </c>
      <c r="N75" s="218">
        <f>SUM(N70:N74)</f>
        <v/>
      </c>
      <c r="O75" s="218">
        <f>L75-M75</f>
        <v/>
      </c>
      <c r="P75" s="218">
        <f>SUM(P70:P74)</f>
        <v/>
      </c>
      <c r="Q75" s="218">
        <f>M75+O75</f>
        <v/>
      </c>
      <c r="R75" s="218">
        <f>SUM(R70:R74)</f>
        <v/>
      </c>
      <c r="S75" s="218">
        <f>SUM(S70:S74)</f>
        <v/>
      </c>
      <c r="T75" s="218" t="n"/>
      <c r="U75" s="218" t="n"/>
      <c r="V75" s="218" t="n"/>
      <c r="W75" s="218" t="n"/>
      <c r="X75" s="218" t="n"/>
      <c r="Y75" s="218" t="n"/>
      <c r="Z75" s="218">
        <f>SUM(Z70:Z74)</f>
        <v/>
      </c>
      <c r="AA75" s="218">
        <f>SUM(AA70:AA74)</f>
        <v/>
      </c>
      <c r="AB75" s="218">
        <f>SUM(AB70:AB74)</f>
        <v/>
      </c>
      <c r="AC75" s="218">
        <f>SUM(AC70:AC74)</f>
        <v/>
      </c>
      <c r="AD75" s="218">
        <f>SUM(AD70:AD74)</f>
        <v/>
      </c>
      <c r="AE75" s="218">
        <f>SUM(AE70:AE74)</f>
        <v/>
      </c>
      <c r="AF75" s="218">
        <f>SUM(AF70:AF74)</f>
        <v/>
      </c>
      <c r="AG75" s="218" t="n"/>
      <c r="AH75" s="218" t="n"/>
      <c r="AI75" s="218">
        <f>SUM(AI70:AI74)</f>
        <v/>
      </c>
      <c r="AJ75" s="218">
        <f>SUM(AJ70:AJ74)</f>
        <v/>
      </c>
      <c r="AK75" s="218">
        <f>SUM(AK70:AK74)</f>
        <v/>
      </c>
      <c r="AL75" s="204" t="n"/>
    </row>
    <row r="76" ht="14" customFormat="1" customHeight="1" s="180">
      <c r="A76" s="33" t="n"/>
      <c r="B76" s="199" t="n"/>
      <c r="C76" s="199" t="n"/>
      <c r="D76" s="219" t="inlineStr">
        <is>
          <t>（六）间接费</t>
        </is>
      </c>
      <c r="E76" s="213" t="n"/>
      <c r="F76" s="213" t="n"/>
      <c r="G76" s="213" t="n"/>
      <c r="H76" s="184" t="n"/>
      <c r="I76" s="189" t="n"/>
      <c r="J76" s="189" t="n">
        <v>0</v>
      </c>
      <c r="K76" s="201" t="n">
        <v>0</v>
      </c>
      <c r="L76" s="202">
        <f>J76-N76-P76</f>
        <v/>
      </c>
      <c r="M76" s="184" t="n"/>
      <c r="N76" s="184" t="n"/>
      <c r="O76" s="189">
        <f>L76-M76</f>
        <v/>
      </c>
      <c r="P76" s="189">
        <f>K76-N76</f>
        <v/>
      </c>
      <c r="Q76" s="189">
        <f>M76+O76</f>
        <v/>
      </c>
      <c r="R76" s="189">
        <f>M76+N76+O76+P76</f>
        <v/>
      </c>
      <c r="S76" s="203">
        <f>SUM(T76:V76)</f>
        <v/>
      </c>
      <c r="T76" s="203" t="n"/>
      <c r="U76" s="203" t="n"/>
      <c r="V76" s="203" t="n"/>
      <c r="W76" s="203" t="n"/>
      <c r="X76" s="203" t="n"/>
      <c r="Y76" s="203" t="n"/>
      <c r="Z76" s="203" t="n"/>
      <c r="AA76" s="203" t="n"/>
      <c r="AB76" s="203" t="n"/>
      <c r="AC76" s="203" t="n"/>
      <c r="AD76" s="203" t="n"/>
      <c r="AE76" s="203" t="n"/>
      <c r="AF76" s="203" t="n"/>
      <c r="AG76" s="203" t="n"/>
      <c r="AH76" s="203" t="n"/>
      <c r="AI76" s="203" t="n"/>
      <c r="AJ76" s="203" t="n"/>
      <c r="AK76" s="188" t="n"/>
      <c r="AL76" s="204" t="n"/>
    </row>
    <row r="77" ht="14" customFormat="1" customHeight="1" s="180">
      <c r="A77" s="206" t="n"/>
      <c r="B77" s="206" t="n"/>
      <c r="C77" s="207" t="n"/>
      <c r="D77" s="207" t="inlineStr">
        <is>
          <t>ZGD-境内差旅费</t>
        </is>
      </c>
      <c r="E77" s="206" t="n"/>
      <c r="F77" s="206" t="n"/>
      <c r="G77" s="206" t="n"/>
      <c r="H77" s="206" t="n"/>
      <c r="I77" s="206" t="n"/>
      <c r="J77" s="206">
        <f>H77+I77</f>
        <v/>
      </c>
      <c r="K77" s="208" t="n"/>
      <c r="L77" s="209">
        <f>J77-K77</f>
        <v/>
      </c>
      <c r="M77" s="210" t="n">
        <v>19.85</v>
      </c>
      <c r="N77" s="206" t="n"/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06" t="n"/>
      <c r="U77" s="206" t="n"/>
      <c r="V77" s="206" t="n"/>
    </row>
    <row r="78" ht="26" customFormat="1" customHeight="1" s="180">
      <c r="A78" s="206" t="n"/>
      <c r="B78" s="206" t="n"/>
      <c r="C78" s="207" t="n"/>
      <c r="D78" s="207" t="inlineStr">
        <is>
          <t>ZGD-工会经费</t>
        </is>
      </c>
      <c r="E78" s="206" t="n"/>
      <c r="F78" s="206" t="n"/>
      <c r="G78" s="206" t="n"/>
      <c r="H78" s="206" t="n"/>
      <c r="I78" s="206" t="n"/>
      <c r="J78" s="206">
        <f>H78+I78</f>
        <v/>
      </c>
      <c r="K78" s="208" t="n"/>
      <c r="L78" s="209">
        <f>J78-K78</f>
        <v/>
      </c>
      <c r="M78" s="210" t="n">
        <v>174.86</v>
      </c>
      <c r="N78" s="206" t="n"/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06" t="n"/>
      <c r="U78" s="206" t="n"/>
      <c r="V78" s="206" t="n"/>
    </row>
    <row r="79" ht="26" customFormat="1" customHeight="1" s="180">
      <c r="A79" s="206" t="n"/>
      <c r="B79" s="206" t="n"/>
      <c r="C79" s="207" t="n"/>
      <c r="D79" s="207" t="inlineStr">
        <is>
          <t>企业年金</t>
        </is>
      </c>
      <c r="E79" s="206" t="n"/>
      <c r="F79" s="206" t="n"/>
      <c r="G79" s="206" t="n"/>
      <c r="H79" s="206" t="n"/>
      <c r="I79" s="206" t="n"/>
      <c r="J79" s="206">
        <f>H79+I79</f>
        <v/>
      </c>
      <c r="K79" s="208" t="n"/>
      <c r="L79" s="209">
        <f>J79-K79</f>
        <v/>
      </c>
      <c r="M79" s="210" t="n">
        <v>17742.24</v>
      </c>
      <c r="N79" s="206" t="n"/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06" t="n"/>
      <c r="U79" s="206" t="n"/>
      <c r="V79" s="206" t="n"/>
    </row>
    <row r="80" ht="14" customFormat="1" customHeight="1" s="180">
      <c r="A80" s="206" t="n"/>
      <c r="B80" s="206" t="n"/>
      <c r="C80" s="207" t="n"/>
      <c r="D80" s="207" t="inlineStr">
        <is>
          <t>住房公积金</t>
        </is>
      </c>
      <c r="E80" s="206" t="n"/>
      <c r="F80" s="206" t="n"/>
      <c r="G80" s="206" t="n"/>
      <c r="H80" s="206" t="n"/>
      <c r="I80" s="206" t="n"/>
      <c r="J80" s="206">
        <f>H80+I80</f>
        <v/>
      </c>
      <c r="K80" s="208" t="n"/>
      <c r="L80" s="209">
        <f>J80-K80</f>
        <v/>
      </c>
      <c r="M80" s="210" t="n">
        <v>354846</v>
      </c>
      <c r="N80" s="206" t="n"/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06" t="n"/>
      <c r="U80" s="206" t="n"/>
      <c r="V80" s="206" t="n"/>
    </row>
    <row r="81" ht="14" customFormat="1" customHeight="1" s="3">
      <c r="A81" s="206" t="n"/>
      <c r="B81" s="206" t="n"/>
      <c r="C81" s="207" t="n"/>
      <c r="D81" s="207" t="inlineStr">
        <is>
          <t>保安保洁费</t>
        </is>
      </c>
      <c r="E81" s="206" t="n"/>
      <c r="F81" s="206" t="n"/>
      <c r="G81" s="206" t="n"/>
      <c r="H81" s="206" t="n"/>
      <c r="I81" s="206" t="n"/>
      <c r="J81" s="206">
        <f>H81+I81</f>
        <v/>
      </c>
      <c r="K81" s="208" t="n"/>
      <c r="L81" s="209">
        <f>J81-K81</f>
        <v/>
      </c>
      <c r="M81" s="210" t="n">
        <v>85380.32000000001</v>
      </c>
      <c r="N81" s="206" t="n"/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06" t="n"/>
      <c r="U81" s="206" t="n"/>
      <c r="V81" s="206" t="n"/>
    </row>
    <row r="82" ht="14" customHeight="1" s="159">
      <c r="A82" s="206" t="n"/>
      <c r="B82" s="206" t="n"/>
      <c r="C82" s="207" t="n"/>
      <c r="D82" s="207" t="inlineStr">
        <is>
          <t>修理费</t>
        </is>
      </c>
      <c r="E82" s="206" t="n"/>
      <c r="F82" s="206" t="n"/>
      <c r="G82" s="206" t="n"/>
      <c r="H82" s="206" t="n"/>
      <c r="I82" s="206" t="n"/>
      <c r="J82" s="206">
        <f>H82+I82</f>
        <v/>
      </c>
      <c r="K82" s="208" t="n"/>
      <c r="L82" s="209">
        <f>J82-K82</f>
        <v/>
      </c>
      <c r="M82" s="210" t="n">
        <v>45517.86</v>
      </c>
      <c r="N82" s="206" t="n"/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06" t="n"/>
      <c r="U82" s="206" t="n"/>
      <c r="V82" s="206" t="n"/>
    </row>
    <row r="83" ht="14" customHeight="1" s="159">
      <c r="A83" s="206" t="n"/>
      <c r="B83" s="206" t="n"/>
      <c r="C83" s="207" t="n"/>
      <c r="D83" s="207" t="inlineStr">
        <is>
          <t>其他</t>
        </is>
      </c>
      <c r="E83" s="206" t="n"/>
      <c r="F83" s="206" t="n"/>
      <c r="G83" s="206" t="n"/>
      <c r="H83" s="206" t="n"/>
      <c r="I83" s="206" t="n"/>
      <c r="J83" s="206">
        <f>H83+I83</f>
        <v/>
      </c>
      <c r="K83" s="208" t="n"/>
      <c r="L83" s="209">
        <f>J83-K83</f>
        <v/>
      </c>
      <c r="M83" s="210" t="n">
        <v>35702.91</v>
      </c>
      <c r="N83" s="206" t="n"/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06" t="n"/>
      <c r="U83" s="206" t="n"/>
      <c r="V83" s="206" t="n"/>
    </row>
    <row r="84">
      <c r="A84" s="206" t="n"/>
      <c r="B84" s="206" t="n"/>
      <c r="C84" s="207" t="n"/>
      <c r="D84" s="207" t="inlineStr">
        <is>
          <t>冲晒印刷费</t>
        </is>
      </c>
      <c r="E84" s="206" t="n"/>
      <c r="F84" s="206" t="n"/>
      <c r="G84" s="206" t="n"/>
      <c r="H84" s="206" t="n"/>
      <c r="I84" s="206" t="n"/>
      <c r="J84" s="206">
        <f>H84+I84</f>
        <v/>
      </c>
      <c r="K84" s="208" t="n"/>
      <c r="L84" s="209">
        <f>J84-K84</f>
        <v/>
      </c>
      <c r="M84" s="210" t="n">
        <v>141655.44</v>
      </c>
      <c r="N84" s="206" t="n"/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06" t="n"/>
      <c r="U84" s="206" t="n"/>
      <c r="V84" s="206" t="n"/>
    </row>
    <row r="85">
      <c r="A85" s="206" t="n"/>
      <c r="B85" s="206" t="n"/>
      <c r="C85" s="207" t="n"/>
      <c r="D85" s="207" t="inlineStr">
        <is>
          <t>办公用品费</t>
        </is>
      </c>
      <c r="E85" s="206" t="n"/>
      <c r="F85" s="206" t="n"/>
      <c r="G85" s="206" t="n"/>
      <c r="H85" s="206" t="n"/>
      <c r="I85" s="206" t="n"/>
      <c r="J85" s="206">
        <f>H85+I85</f>
        <v/>
      </c>
      <c r="K85" s="208" t="n"/>
      <c r="L85" s="209">
        <f>J85-K85</f>
        <v/>
      </c>
      <c r="M85" s="210" t="n">
        <v>342874.91</v>
      </c>
      <c r="N85" s="206" t="n"/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06" t="n"/>
      <c r="U85" s="206" t="n"/>
      <c r="V85" s="206" t="n"/>
    </row>
    <row r="86">
      <c r="A86" s="206" t="n"/>
      <c r="B86" s="206" t="n"/>
      <c r="C86" s="207" t="n"/>
      <c r="D86" s="207" t="inlineStr">
        <is>
          <t>医疗保险</t>
        </is>
      </c>
      <c r="E86" s="206" t="n"/>
      <c r="F86" s="206" t="n"/>
      <c r="G86" s="206" t="n"/>
      <c r="H86" s="206" t="n"/>
      <c r="I86" s="206" t="n"/>
      <c r="J86" s="206">
        <f>H86+I86</f>
        <v/>
      </c>
      <c r="K86" s="208" t="n"/>
      <c r="L86" s="209">
        <f>J86-K86</f>
        <v/>
      </c>
      <c r="M86" s="210" t="n">
        <v>239686.83</v>
      </c>
      <c r="N86" s="206" t="n"/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06" t="n"/>
      <c r="U86" s="206" t="n"/>
      <c r="V86" s="206" t="n"/>
    </row>
    <row r="87">
      <c r="A87" s="206" t="n"/>
      <c r="B87" s="206" t="n"/>
      <c r="C87" s="207" t="n"/>
      <c r="D87" s="207" t="inlineStr">
        <is>
          <t>基本养老保险</t>
        </is>
      </c>
      <c r="E87" s="206" t="n"/>
      <c r="F87" s="206" t="n"/>
      <c r="G87" s="206" t="n"/>
      <c r="H87" s="206" t="n"/>
      <c r="I87" s="206" t="n"/>
      <c r="J87" s="206">
        <f>H87+I87</f>
        <v/>
      </c>
      <c r="K87" s="208" t="n"/>
      <c r="L87" s="209">
        <f>J87-K87</f>
        <v/>
      </c>
      <c r="M87" s="210" t="n">
        <v>785587.66</v>
      </c>
      <c r="N87" s="206" t="n"/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06" t="n"/>
      <c r="U87" s="206" t="n"/>
      <c r="V87" s="206" t="n"/>
    </row>
    <row r="88">
      <c r="A88" s="206" t="n"/>
      <c r="B88" s="206" t="n"/>
      <c r="C88" s="207" t="n"/>
      <c r="D88" s="207" t="inlineStr">
        <is>
          <t>境内差旅费</t>
        </is>
      </c>
      <c r="E88" s="206" t="n"/>
      <c r="F88" s="206" t="n"/>
      <c r="G88" s="206" t="n"/>
      <c r="H88" s="206" t="n"/>
      <c r="I88" s="206" t="n"/>
      <c r="J88" s="206">
        <f>H88+I88</f>
        <v/>
      </c>
      <c r="K88" s="208" t="n"/>
      <c r="L88" s="209">
        <f>J88-K88</f>
        <v/>
      </c>
      <c r="M88" s="210" t="n">
        <v>56585.28</v>
      </c>
      <c r="N88" s="206" t="n"/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</row>
    <row r="89">
      <c r="A89" s="206" t="n"/>
      <c r="B89" s="206" t="n"/>
      <c r="C89" s="207" t="n"/>
      <c r="D89" s="207" t="inlineStr">
        <is>
          <t>失业保险</t>
        </is>
      </c>
      <c r="E89" s="206" t="n"/>
      <c r="F89" s="206" t="n"/>
      <c r="G89" s="206" t="n"/>
      <c r="H89" s="206" t="n"/>
      <c r="I89" s="206" t="n"/>
      <c r="J89" s="206">
        <f>H89+I89</f>
        <v/>
      </c>
      <c r="K89" s="208" t="n"/>
      <c r="L89" s="209">
        <f>J89-K89</f>
        <v/>
      </c>
      <c r="M89" s="210" t="n">
        <v>27374.29</v>
      </c>
      <c r="N89" s="206" t="n"/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</row>
    <row r="90">
      <c r="A90" s="206" t="n"/>
      <c r="B90" s="206" t="n"/>
      <c r="C90" s="207" t="n"/>
      <c r="D90" s="207" t="inlineStr">
        <is>
          <t>工会经费</t>
        </is>
      </c>
      <c r="E90" s="206" t="n"/>
      <c r="F90" s="206" t="n"/>
      <c r="G90" s="206" t="n"/>
      <c r="H90" s="206" t="n"/>
      <c r="I90" s="206" t="n"/>
      <c r="J90" s="206">
        <f>H90+I90</f>
        <v/>
      </c>
      <c r="K90" s="208" t="n"/>
      <c r="L90" s="209">
        <f>J90-K90</f>
        <v/>
      </c>
      <c r="M90" s="210" t="n">
        <v>68354.05</v>
      </c>
      <c r="N90" s="206" t="n"/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06" t="n"/>
      <c r="U90" s="206" t="n"/>
      <c r="V90" s="206" t="n"/>
    </row>
    <row r="91">
      <c r="A91" s="206" t="n"/>
      <c r="B91" s="206" t="n"/>
      <c r="C91" s="207" t="n"/>
      <c r="D91" s="207" t="inlineStr">
        <is>
          <t>工伤保险</t>
        </is>
      </c>
      <c r="E91" s="206" t="n"/>
      <c r="F91" s="206" t="n"/>
      <c r="G91" s="206" t="n"/>
      <c r="H91" s="206" t="n"/>
      <c r="I91" s="206" t="n"/>
      <c r="J91" s="206">
        <f>H91+I91</f>
        <v/>
      </c>
      <c r="K91" s="208" t="n"/>
      <c r="L91" s="209">
        <f>J91-K91</f>
        <v/>
      </c>
      <c r="M91" s="210" t="n">
        <v>41844.32</v>
      </c>
      <c r="N91" s="206" t="n"/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06" t="n"/>
      <c r="U91" s="206" t="n"/>
      <c r="V91" s="206" t="n"/>
    </row>
    <row r="92">
      <c r="A92" s="206" t="n"/>
      <c r="B92" s="206" t="n"/>
      <c r="C92" s="207" t="n"/>
      <c r="D92" s="207" t="inlineStr">
        <is>
          <t>工资</t>
        </is>
      </c>
      <c r="E92" s="206" t="n"/>
      <c r="F92" s="206" t="n"/>
      <c r="G92" s="206" t="n"/>
      <c r="H92" s="206" t="n"/>
      <c r="I92" s="206" t="n"/>
      <c r="J92" s="206">
        <f>H92+I92</f>
        <v/>
      </c>
      <c r="K92" s="208" t="n"/>
      <c r="L92" s="209">
        <f>J92-K92</f>
        <v/>
      </c>
      <c r="M92" s="210" t="n">
        <v>6390165.85</v>
      </c>
      <c r="N92" s="206" t="n"/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</row>
    <row r="93">
      <c r="A93" s="206" t="n"/>
      <c r="B93" s="206" t="n"/>
      <c r="C93" s="207" t="n"/>
      <c r="D93" s="207" t="inlineStr">
        <is>
          <t>市内交通费</t>
        </is>
      </c>
      <c r="E93" s="206" t="n"/>
      <c r="F93" s="206" t="n"/>
      <c r="G93" s="206" t="n"/>
      <c r="H93" s="206" t="n"/>
      <c r="I93" s="206" t="n"/>
      <c r="J93" s="206">
        <f>H93+I93</f>
        <v/>
      </c>
      <c r="K93" s="208" t="n"/>
      <c r="L93" s="209">
        <f>J93-K93</f>
        <v/>
      </c>
      <c r="M93" s="210" t="n">
        <v>249.88</v>
      </c>
      <c r="N93" s="206" t="n"/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06" t="n"/>
      <c r="U93" s="206" t="n"/>
      <c r="V93" s="206" t="n"/>
    </row>
    <row r="94">
      <c r="A94" s="206" t="n"/>
      <c r="B94" s="206" t="n"/>
      <c r="C94" s="207" t="n"/>
      <c r="D94" s="207" t="inlineStr">
        <is>
          <t>律师费</t>
        </is>
      </c>
      <c r="E94" s="206" t="n"/>
      <c r="F94" s="206" t="n"/>
      <c r="G94" s="206" t="n"/>
      <c r="H94" s="206" t="n"/>
      <c r="I94" s="206" t="n"/>
      <c r="J94" s="206">
        <f>H94+I94</f>
        <v/>
      </c>
      <c r="K94" s="208" t="n"/>
      <c r="L94" s="209">
        <f>J94-K94</f>
        <v/>
      </c>
      <c r="M94" s="210" t="n">
        <v>24056.6</v>
      </c>
      <c r="N94" s="206" t="n"/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06" t="n"/>
      <c r="U94" s="206" t="n"/>
      <c r="V94" s="206" t="n"/>
    </row>
    <row r="95">
      <c r="A95" s="206" t="n"/>
      <c r="B95" s="206" t="n"/>
      <c r="C95" s="207" t="n"/>
      <c r="D95" s="207" t="inlineStr">
        <is>
          <t>折旧费</t>
        </is>
      </c>
      <c r="E95" s="206" t="n"/>
      <c r="F95" s="206" t="n"/>
      <c r="G95" s="206" t="n"/>
      <c r="H95" s="206" t="n"/>
      <c r="I95" s="206" t="n"/>
      <c r="J95" s="206">
        <f>H95+I95</f>
        <v/>
      </c>
      <c r="K95" s="208" t="n"/>
      <c r="L95" s="209">
        <f>J95-K95</f>
        <v/>
      </c>
      <c r="M95" s="210" t="n">
        <v>8068.7</v>
      </c>
      <c r="N95" s="206" t="n"/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06" t="n"/>
      <c r="U95" s="206" t="n"/>
      <c r="V95" s="206" t="n"/>
    </row>
    <row r="96">
      <c r="A96" s="206" t="n"/>
      <c r="B96" s="206" t="n"/>
      <c r="C96" s="207" t="n"/>
      <c r="D96" s="207" t="inlineStr">
        <is>
          <t>燃油费</t>
        </is>
      </c>
      <c r="E96" s="206" t="n"/>
      <c r="F96" s="206" t="n"/>
      <c r="G96" s="206" t="n"/>
      <c r="H96" s="206" t="n"/>
      <c r="I96" s="206" t="n"/>
      <c r="J96" s="206">
        <f>H96+I96</f>
        <v/>
      </c>
      <c r="K96" s="208" t="n"/>
      <c r="L96" s="209">
        <f>J96-K96</f>
        <v/>
      </c>
      <c r="M96" s="210" t="n">
        <v>61952.74</v>
      </c>
      <c r="N96" s="206" t="n"/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06" t="n"/>
      <c r="U96" s="206" t="n"/>
      <c r="V96" s="206" t="n"/>
    </row>
    <row r="97">
      <c r="A97" s="206" t="n"/>
      <c r="B97" s="206" t="n"/>
      <c r="C97" s="207" t="n"/>
      <c r="D97" s="207" t="inlineStr">
        <is>
          <t>物业管理费</t>
        </is>
      </c>
      <c r="E97" s="206" t="n"/>
      <c r="F97" s="206" t="n"/>
      <c r="G97" s="206" t="n"/>
      <c r="H97" s="206" t="n"/>
      <c r="I97" s="206" t="n"/>
      <c r="J97" s="206">
        <f>H97+I97</f>
        <v/>
      </c>
      <c r="K97" s="208" t="n"/>
      <c r="L97" s="209">
        <f>J97-K97</f>
        <v/>
      </c>
      <c r="M97" s="210" t="n">
        <v>399120.24</v>
      </c>
      <c r="N97" s="206" t="n"/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06" t="n"/>
      <c r="U97" s="206" t="n"/>
      <c r="V97" s="206" t="n"/>
    </row>
    <row r="98">
      <c r="A98" s="206" t="n"/>
      <c r="B98" s="206" t="n"/>
      <c r="C98" s="207" t="n"/>
      <c r="D98" s="207" t="inlineStr">
        <is>
          <t>生育保险</t>
        </is>
      </c>
      <c r="E98" s="206" t="n"/>
      <c r="F98" s="206" t="n"/>
      <c r="G98" s="206" t="n"/>
      <c r="H98" s="206" t="n"/>
      <c r="I98" s="206" t="n"/>
      <c r="J98" s="206">
        <f>H98+I98</f>
        <v/>
      </c>
      <c r="K98" s="208" t="n"/>
      <c r="L98" s="209">
        <f>J98-K98</f>
        <v/>
      </c>
      <c r="M98" s="210" t="n">
        <v>5673.75</v>
      </c>
      <c r="N98" s="206" t="n"/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06" t="n"/>
      <c r="U98" s="206" t="n"/>
      <c r="V98" s="206" t="n"/>
    </row>
    <row r="99">
      <c r="A99" s="206" t="n"/>
      <c r="B99" s="206" t="n"/>
      <c r="C99" s="207" t="n"/>
      <c r="D99" s="207" t="inlineStr">
        <is>
          <t>社保及公积金</t>
        </is>
      </c>
      <c r="E99" s="206" t="n"/>
      <c r="F99" s="206" t="n"/>
      <c r="G99" s="206" t="n"/>
      <c r="H99" s="206" t="n"/>
      <c r="I99" s="206" t="n"/>
      <c r="J99" s="206">
        <f>H99+I99</f>
        <v/>
      </c>
      <c r="K99" s="208" t="n"/>
      <c r="L99" s="209">
        <f>J99-K99</f>
        <v/>
      </c>
      <c r="M99" s="210" t="n">
        <v>275511.16</v>
      </c>
      <c r="N99" s="206" t="n"/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06" t="n"/>
      <c r="U99" s="206" t="n"/>
      <c r="V99" s="206" t="n"/>
    </row>
    <row r="100">
      <c r="A100" s="206" t="n"/>
      <c r="B100" s="206" t="n"/>
      <c r="C100" s="207" t="n"/>
      <c r="D100" s="207" t="inlineStr">
        <is>
          <t>租车费</t>
        </is>
      </c>
      <c r="E100" s="206" t="n"/>
      <c r="F100" s="206" t="n"/>
      <c r="G100" s="206" t="n"/>
      <c r="H100" s="206" t="n"/>
      <c r="I100" s="206" t="n"/>
      <c r="J100" s="206">
        <f>H100+I100</f>
        <v/>
      </c>
      <c r="K100" s="208" t="n"/>
      <c r="L100" s="209">
        <f>J100-K100</f>
        <v/>
      </c>
      <c r="M100" s="210" t="n">
        <v>18229.2</v>
      </c>
      <c r="N100" s="206" t="n"/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06" t="n"/>
      <c r="U100" s="206" t="n"/>
      <c r="V100" s="206" t="n"/>
    </row>
    <row r="101">
      <c r="A101" s="206" t="n"/>
      <c r="B101" s="206" t="n"/>
      <c r="C101" s="207" t="n"/>
      <c r="D101" s="207" t="inlineStr">
        <is>
          <t>维修保养费</t>
        </is>
      </c>
      <c r="E101" s="206" t="n"/>
      <c r="F101" s="206" t="n"/>
      <c r="G101" s="206" t="n"/>
      <c r="H101" s="206" t="n"/>
      <c r="I101" s="206" t="n"/>
      <c r="J101" s="206">
        <f>H101+I101</f>
        <v/>
      </c>
      <c r="K101" s="208" t="n"/>
      <c r="L101" s="209">
        <f>J101-K101</f>
        <v/>
      </c>
      <c r="M101" s="210" t="n">
        <v>16244.86</v>
      </c>
      <c r="N101" s="206" t="n"/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06" t="n"/>
      <c r="U101" s="206" t="n"/>
      <c r="V101" s="206" t="n"/>
    </row>
    <row r="102">
      <c r="A102" s="206" t="n"/>
      <c r="B102" s="206" t="n"/>
      <c r="C102" s="207" t="n"/>
      <c r="D102" s="207" t="inlineStr">
        <is>
          <t>网络使用费</t>
        </is>
      </c>
      <c r="E102" s="206" t="n"/>
      <c r="F102" s="206" t="n"/>
      <c r="G102" s="206" t="n"/>
      <c r="H102" s="206" t="n"/>
      <c r="I102" s="206" t="n"/>
      <c r="J102" s="206">
        <f>H102+I102</f>
        <v/>
      </c>
      <c r="K102" s="208" t="n"/>
      <c r="L102" s="209">
        <f>J102-K102</f>
        <v/>
      </c>
      <c r="M102" s="210" t="n">
        <v>127503.01</v>
      </c>
      <c r="N102" s="206" t="n"/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06" t="n"/>
      <c r="U102" s="206" t="n"/>
      <c r="V102" s="206" t="n"/>
    </row>
    <row r="103">
      <c r="A103" s="206" t="n"/>
      <c r="B103" s="206" t="n"/>
      <c r="C103" s="207" t="n"/>
      <c r="D103" s="207" t="inlineStr">
        <is>
          <t>职工教育经费</t>
        </is>
      </c>
      <c r="E103" s="206" t="n"/>
      <c r="F103" s="206" t="n"/>
      <c r="G103" s="206" t="n"/>
      <c r="H103" s="206" t="n"/>
      <c r="I103" s="206" t="n"/>
      <c r="J103" s="206">
        <f>H103+I103</f>
        <v/>
      </c>
      <c r="K103" s="208" t="n"/>
      <c r="L103" s="209">
        <f>J103-K103</f>
        <v/>
      </c>
      <c r="M103" s="210" t="n">
        <v>35002.91</v>
      </c>
      <c r="N103" s="206" t="n"/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</row>
    <row r="104">
      <c r="A104" s="206" t="n"/>
      <c r="B104" s="206" t="n"/>
      <c r="C104" s="207" t="n"/>
      <c r="D104" s="207" t="inlineStr">
        <is>
          <t>职工福利费</t>
        </is>
      </c>
      <c r="E104" s="206" t="n"/>
      <c r="F104" s="206" t="n"/>
      <c r="G104" s="206" t="n"/>
      <c r="H104" s="206" t="n"/>
      <c r="I104" s="206" t="n"/>
      <c r="J104" s="206">
        <f>H104+I104</f>
        <v/>
      </c>
      <c r="K104" s="208" t="n"/>
      <c r="L104" s="209">
        <f>J104-K104</f>
        <v/>
      </c>
      <c r="M104" s="210" t="n">
        <v>188522.63</v>
      </c>
      <c r="N104" s="206" t="n"/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</row>
    <row r="105">
      <c r="A105" s="206" t="n"/>
      <c r="B105" s="206" t="n"/>
      <c r="C105" s="207" t="n"/>
      <c r="D105" s="207" t="inlineStr">
        <is>
          <t>补充医疗保险</t>
        </is>
      </c>
      <c r="E105" s="206" t="n"/>
      <c r="F105" s="206" t="n"/>
      <c r="G105" s="206" t="n"/>
      <c r="H105" s="206" t="n"/>
      <c r="I105" s="206" t="n"/>
      <c r="J105" s="206">
        <f>H105+I105</f>
        <v/>
      </c>
      <c r="K105" s="208" t="n"/>
      <c r="L105" s="209">
        <f>J105-K105</f>
        <v/>
      </c>
      <c r="M105" s="210" t="n">
        <v>2802.66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</row>
    <row r="106">
      <c r="A106" s="206" t="n"/>
      <c r="B106" s="206" t="n"/>
      <c r="C106" s="207" t="n"/>
      <c r="D106" s="207" t="inlineStr">
        <is>
          <t>诉讼费</t>
        </is>
      </c>
      <c r="E106" s="206" t="n"/>
      <c r="F106" s="206" t="n"/>
      <c r="G106" s="206" t="n"/>
      <c r="H106" s="206" t="n"/>
      <c r="I106" s="206" t="n"/>
      <c r="J106" s="206">
        <f>H106+I106</f>
        <v/>
      </c>
      <c r="K106" s="208" t="n"/>
      <c r="L106" s="209">
        <f>J106-K106</f>
        <v/>
      </c>
      <c r="M106" s="210" t="n">
        <v>310729.56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</row>
    <row r="107">
      <c r="A107" s="206" t="n"/>
      <c r="B107" s="206" t="n"/>
      <c r="C107" s="207" t="n"/>
      <c r="D107" s="207" t="inlineStr">
        <is>
          <t>路桥及停车费</t>
        </is>
      </c>
      <c r="E107" s="206" t="n"/>
      <c r="F107" s="206" t="n"/>
      <c r="G107" s="206" t="n"/>
      <c r="H107" s="206" t="n"/>
      <c r="I107" s="206" t="n"/>
      <c r="J107" s="206">
        <f>H107+I107</f>
        <v/>
      </c>
      <c r="K107" s="208" t="n"/>
      <c r="L107" s="209">
        <f>J107-K107</f>
        <v/>
      </c>
      <c r="M107" s="210" t="n">
        <v>40569.97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</row>
    <row r="108">
      <c r="A108" s="206" t="n"/>
      <c r="B108" s="206" t="n"/>
      <c r="C108" s="207" t="n"/>
      <c r="D108" s="207" t="inlineStr">
        <is>
          <t>软件费</t>
        </is>
      </c>
      <c r="E108" s="206" t="n"/>
      <c r="F108" s="206" t="n"/>
      <c r="G108" s="206" t="n"/>
      <c r="H108" s="206" t="n"/>
      <c r="I108" s="206" t="n"/>
      <c r="J108" s="206">
        <f>H108+I108</f>
        <v/>
      </c>
      <c r="K108" s="208" t="n"/>
      <c r="L108" s="209">
        <f>J108-K108</f>
        <v/>
      </c>
      <c r="M108" s="210" t="n">
        <v>14454.72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</row>
    <row r="109">
      <c r="A109" s="206" t="n"/>
      <c r="B109" s="206" t="n"/>
      <c r="C109" s="207" t="n"/>
      <c r="D109" s="207" t="inlineStr">
        <is>
          <t>通信费</t>
        </is>
      </c>
      <c r="E109" s="206" t="n"/>
      <c r="F109" s="206" t="n"/>
      <c r="G109" s="206" t="n"/>
      <c r="H109" s="206" t="n"/>
      <c r="I109" s="206" t="n"/>
      <c r="J109" s="206">
        <f>H109+I109</f>
        <v/>
      </c>
      <c r="K109" s="208" t="n"/>
      <c r="L109" s="209">
        <f>J109-K109</f>
        <v/>
      </c>
      <c r="M109" s="210" t="n">
        <v>35361.79</v>
      </c>
      <c r="N109" s="206" t="n"/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06" t="n"/>
      <c r="U109" s="206" t="n"/>
      <c r="V109" s="206" t="n"/>
    </row>
    <row r="110">
      <c r="A110" s="206" t="n"/>
      <c r="B110" s="206" t="n"/>
      <c r="C110" s="207" t="n"/>
      <c r="D110" s="207" t="inlineStr">
        <is>
          <t>邮寄费</t>
        </is>
      </c>
      <c r="E110" s="206" t="n"/>
      <c r="F110" s="206" t="n"/>
      <c r="G110" s="206" t="n"/>
      <c r="H110" s="206" t="n"/>
      <c r="I110" s="206" t="n"/>
      <c r="J110" s="206">
        <f>H110+I110</f>
        <v/>
      </c>
      <c r="K110" s="208" t="n"/>
      <c r="L110" s="209">
        <f>J110-K110</f>
        <v/>
      </c>
      <c r="M110" s="210" t="n">
        <v>604.72</v>
      </c>
      <c r="N110" s="206" t="n"/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06" t="n"/>
      <c r="U110" s="206" t="n"/>
      <c r="V110" s="206" t="n"/>
    </row>
    <row r="111">
      <c r="A111" s="33" t="n"/>
      <c r="B111" s="199" t="n"/>
      <c r="C111" s="199" t="n"/>
      <c r="D111" s="212" t="inlineStr">
        <is>
          <t>**财务未列部分需增列***</t>
        </is>
      </c>
      <c r="E111" s="213" t="n"/>
      <c r="F111" s="213" t="n"/>
      <c r="G111" s="213" t="n"/>
      <c r="H111" s="235" t="n"/>
      <c r="I111" s="189" t="n"/>
      <c r="J111" s="235" t="n"/>
      <c r="K111" s="201" t="n"/>
      <c r="L111" s="202" t="n"/>
      <c r="M111" s="235" t="n"/>
      <c r="N111" s="189" t="n"/>
      <c r="O111" s="189">
        <f>L111-M111</f>
        <v/>
      </c>
      <c r="P111" s="189">
        <f>K111-N111</f>
        <v/>
      </c>
      <c r="Q111" s="189">
        <f>M111+O111</f>
        <v/>
      </c>
      <c r="R111" s="189">
        <f>M111+N111+O111+P111</f>
        <v/>
      </c>
      <c r="S111" s="203">
        <f>SUM(T111:V111)</f>
        <v/>
      </c>
      <c r="T111" s="235" t="n"/>
      <c r="U111" s="235" t="n"/>
      <c r="V111" s="235" t="n"/>
      <c r="W111" s="235" t="n"/>
      <c r="X111" s="235" t="n"/>
      <c r="Y111" s="235" t="n"/>
      <c r="Z111" s="235" t="n"/>
      <c r="AA111" s="203" t="n"/>
      <c r="AB111" s="188" t="n"/>
      <c r="AC111" s="188" t="n"/>
      <c r="AD111" s="188" t="n"/>
      <c r="AE111" s="188" t="n"/>
      <c r="AF111" s="188" t="n"/>
      <c r="AG111" s="188" t="n"/>
      <c r="AH111" s="188" t="n"/>
      <c r="AI111" s="188" t="n"/>
      <c r="AJ111" s="188" t="n"/>
      <c r="AK111" s="188" t="n"/>
      <c r="AL111" s="215" t="n"/>
    </row>
    <row r="112">
      <c r="A112" s="55" t="n"/>
      <c r="B112" s="236" t="n"/>
      <c r="C112" s="236" t="n"/>
      <c r="D112" s="231" t="inlineStr">
        <is>
          <t>间接费小计：</t>
        </is>
      </c>
      <c r="E112" s="237" t="n"/>
      <c r="F112" s="237" t="n"/>
      <c r="G112" s="237" t="n"/>
      <c r="H112" s="218">
        <f>SUM(H76:H111)</f>
        <v/>
      </c>
      <c r="I112" s="218">
        <f>SUM(I76:I111)</f>
        <v/>
      </c>
      <c r="J112" s="218">
        <f>SUM(J76:J111)</f>
        <v/>
      </c>
      <c r="K112" s="218">
        <f>SUM(K76:K111)</f>
        <v/>
      </c>
      <c r="L112" s="233">
        <f>SUM(L76:L111)</f>
        <v/>
      </c>
      <c r="M112" s="233">
        <f>SUM(M76:M111)</f>
        <v/>
      </c>
      <c r="N112" s="233">
        <f>SUM(N76:N111)</f>
        <v/>
      </c>
      <c r="O112" s="233">
        <f>SUM(O76:O111)</f>
        <v/>
      </c>
      <c r="P112" s="233">
        <f>SUM(P76:P111)</f>
        <v/>
      </c>
      <c r="Q112" s="233">
        <f>SUM(Q76:Q111)</f>
        <v/>
      </c>
      <c r="R112" s="233">
        <f>SUM(R76:R111)</f>
        <v/>
      </c>
      <c r="S112" s="233">
        <f>SUM(S76:S111)</f>
        <v/>
      </c>
      <c r="T112" s="233" t="n"/>
      <c r="U112" s="233" t="n"/>
      <c r="V112" s="233" t="n"/>
      <c r="W112" s="233" t="n"/>
      <c r="X112" s="233" t="n"/>
      <c r="Y112" s="233" t="n"/>
      <c r="Z112" s="233">
        <f>SUM(Z76:Z111)</f>
        <v/>
      </c>
      <c r="AA112" s="233">
        <f>SUM(AA76:AA111)</f>
        <v/>
      </c>
      <c r="AB112" s="233">
        <f>SUM(AB76:AB111)</f>
        <v/>
      </c>
      <c r="AC112" s="233">
        <f>SUM(AC76:AC111)</f>
        <v/>
      </c>
      <c r="AD112" s="233">
        <f>SUM(AD76:AD111)</f>
        <v/>
      </c>
      <c r="AE112" s="233">
        <f>SUM(AE76:AE111)</f>
        <v/>
      </c>
      <c r="AF112" s="233">
        <f>SUM(AF76:AF111)</f>
        <v/>
      </c>
      <c r="AG112" s="233" t="n"/>
      <c r="AH112" s="233" t="n"/>
      <c r="AI112" s="233">
        <f>SUM(AI76:AI111)</f>
        <v/>
      </c>
      <c r="AJ112" s="233">
        <f>SUM(AJ76:AJ111)</f>
        <v/>
      </c>
      <c r="AK112" s="233">
        <f>SUM(AK76:AK111)</f>
        <v/>
      </c>
      <c r="AL112" s="215" t="n"/>
    </row>
    <row r="113">
      <c r="A113" s="33" t="n"/>
      <c r="B113" s="199" t="n"/>
      <c r="C113" s="199" t="n"/>
      <c r="D113" s="219" t="inlineStr">
        <is>
          <t>（七）安全费</t>
        </is>
      </c>
      <c r="E113" s="213" t="n"/>
      <c r="F113" s="213" t="n"/>
      <c r="G113" s="213" t="n"/>
      <c r="H113" s="189" t="n"/>
      <c r="I113" s="189" t="n"/>
      <c r="J113" s="184" t="n">
        <v>0</v>
      </c>
      <c r="K113" s="238" t="n"/>
      <c r="L113" s="202">
        <f>J113-N113-P113</f>
        <v/>
      </c>
      <c r="M113" s="189" t="n"/>
      <c r="N113" s="189" t="n"/>
      <c r="O113" s="189">
        <f>L113-M113</f>
        <v/>
      </c>
      <c r="P113" s="189">
        <f>K113-N113</f>
        <v/>
      </c>
      <c r="Q113" s="189">
        <f>M113+O113</f>
        <v/>
      </c>
      <c r="R113" s="189">
        <f>M113+N113+O113+P113</f>
        <v/>
      </c>
      <c r="S113" s="203">
        <f>SUM(T113:V113)</f>
        <v/>
      </c>
      <c r="T113" s="235" t="n"/>
      <c r="U113" s="235" t="n"/>
      <c r="V113" s="235" t="n"/>
      <c r="W113" s="235" t="n"/>
      <c r="X113" s="235" t="n"/>
      <c r="Y113" s="235" t="n"/>
      <c r="Z113" s="230" t="n"/>
      <c r="AA113" s="203" t="n"/>
      <c r="AB113" s="188" t="n"/>
      <c r="AC113" s="188" t="n"/>
      <c r="AD113" s="188" t="n"/>
      <c r="AE113" s="188" t="n"/>
      <c r="AF113" s="188" t="n"/>
      <c r="AG113" s="188" t="n"/>
      <c r="AH113" s="188" t="n"/>
      <c r="AI113" s="188" t="n"/>
      <c r="AJ113" s="188" t="n"/>
      <c r="AK113" s="188" t="n"/>
      <c r="AL113" s="215" t="n"/>
    </row>
    <row r="114">
      <c r="A114" s="206" t="n"/>
      <c r="B114" s="206" t="n"/>
      <c r="C114" s="207" t="n"/>
      <c r="D114" s="207" t="inlineStr">
        <is>
          <t>ZGD-安全生产-分包工程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9">
        <f>J114-K114</f>
        <v/>
      </c>
      <c r="M114" s="210" t="n">
        <v>11619636.7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206" t="n"/>
      <c r="B115" s="206" t="n"/>
      <c r="C115" s="207" t="n"/>
      <c r="D115" s="207" t="inlineStr">
        <is>
          <t>安全生产-人工费</t>
        </is>
      </c>
      <c r="E115" s="206" t="n"/>
      <c r="F115" s="206" t="n"/>
      <c r="G115" s="206" t="n"/>
      <c r="H115" s="206" t="n"/>
      <c r="I115" s="206" t="n"/>
      <c r="J115" s="206">
        <f>H115+I115</f>
        <v/>
      </c>
      <c r="K115" s="208" t="n"/>
      <c r="L115" s="209">
        <f>J115-K115</f>
        <v/>
      </c>
      <c r="M115" s="210" t="n">
        <v>951309.41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</row>
    <row r="116">
      <c r="A116" s="206" t="n"/>
      <c r="B116" s="206" t="n"/>
      <c r="C116" s="207" t="n"/>
      <c r="D116" s="207" t="inlineStr">
        <is>
          <t>安全生产-分包工程</t>
        </is>
      </c>
      <c r="E116" s="206" t="n"/>
      <c r="F116" s="206" t="n"/>
      <c r="G116" s="206" t="n"/>
      <c r="H116" s="206" t="n"/>
      <c r="I116" s="206" t="n"/>
      <c r="J116" s="206">
        <f>H116+I116</f>
        <v/>
      </c>
      <c r="K116" s="208" t="n"/>
      <c r="L116" s="209">
        <f>J116-K116</f>
        <v/>
      </c>
      <c r="M116" s="210" t="n">
        <v>-4215295.89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</row>
    <row r="117">
      <c r="A117" s="206" t="n"/>
      <c r="B117" s="206" t="n"/>
      <c r="C117" s="207" t="n"/>
      <c r="D117" s="207" t="inlineStr">
        <is>
          <t>安全生产费-报销</t>
        </is>
      </c>
      <c r="E117" s="206" t="n"/>
      <c r="F117" s="206" t="n"/>
      <c r="G117" s="206" t="n"/>
      <c r="H117" s="206" t="n"/>
      <c r="I117" s="206" t="n"/>
      <c r="J117" s="206">
        <f>H117+I117</f>
        <v/>
      </c>
      <c r="K117" s="208" t="n"/>
      <c r="L117" s="209">
        <f>J117-K117</f>
        <v/>
      </c>
      <c r="M117" s="210" t="n">
        <v>162980</v>
      </c>
      <c r="N117" s="206" t="n"/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06" t="n"/>
      <c r="U117" s="206" t="n"/>
      <c r="V117" s="206" t="n"/>
    </row>
    <row r="118">
      <c r="A118" s="55" t="n"/>
      <c r="B118" s="236" t="n"/>
      <c r="C118" s="236" t="n"/>
      <c r="D118" s="231" t="inlineStr">
        <is>
          <t>安全费小计：</t>
        </is>
      </c>
      <c r="E118" s="231" t="n"/>
      <c r="F118" s="231" t="n"/>
      <c r="G118" s="231" t="n"/>
      <c r="H118" s="218">
        <f>SUM(H113:H117)</f>
        <v/>
      </c>
      <c r="I118" s="218">
        <f>SUM(I113:I117)</f>
        <v/>
      </c>
      <c r="J118" s="218" t="n">
        <v>0</v>
      </c>
      <c r="K118" s="218" t="n">
        <v>0</v>
      </c>
      <c r="L118" s="202">
        <f>J118-K118</f>
        <v/>
      </c>
      <c r="M118" s="233">
        <f>SUM(M113:M117)</f>
        <v/>
      </c>
      <c r="N118" s="233">
        <f>SUM(N113:N117)</f>
        <v/>
      </c>
      <c r="O118" s="233">
        <f>SUM(O113:O117)</f>
        <v/>
      </c>
      <c r="P118" s="233">
        <f>SUM(P113:P117)</f>
        <v/>
      </c>
      <c r="Q118" s="233">
        <f>SUM(Q113:Q117)</f>
        <v/>
      </c>
      <c r="R118" s="233">
        <f>SUM(R113:R117)</f>
        <v/>
      </c>
      <c r="S118" s="233">
        <f>SUM(S113:S117)</f>
        <v/>
      </c>
      <c r="T118" s="239" t="n"/>
      <c r="U118" s="239" t="n"/>
      <c r="V118" s="239" t="n"/>
      <c r="W118" s="239" t="n"/>
      <c r="X118" s="239" t="n"/>
      <c r="Y118" s="239" t="n"/>
      <c r="Z118" s="239" t="n"/>
      <c r="AA118" s="239">
        <f>SUM(AA113:AA117)</f>
        <v/>
      </c>
      <c r="AB118" s="239">
        <f>SUM(AB113:AB117)</f>
        <v/>
      </c>
      <c r="AC118" s="239">
        <f>SUM(AC113:AC117)</f>
        <v/>
      </c>
      <c r="AD118" s="239">
        <f>SUM(AD113:AD117)</f>
        <v/>
      </c>
      <c r="AE118" s="239">
        <f>SUM(AE113:AE117)</f>
        <v/>
      </c>
      <c r="AF118" s="239">
        <f>SUM(AF113:AF117)</f>
        <v/>
      </c>
      <c r="AG118" s="239" t="n"/>
      <c r="AH118" s="239" t="n"/>
      <c r="AI118" s="239">
        <f>SUM(AI113:AI117)</f>
        <v/>
      </c>
      <c r="AJ118" s="239">
        <f>SUM(AJ113:AJ117)</f>
        <v/>
      </c>
      <c r="AK118" s="239">
        <f>SUM(AK113:AK117)</f>
        <v/>
      </c>
      <c r="AL118" s="240" t="n"/>
    </row>
    <row r="119">
      <c r="A119" s="55" t="n"/>
      <c r="B119" s="236" t="n"/>
      <c r="C119" s="236" t="n"/>
      <c r="D119" s="231" t="inlineStr">
        <is>
          <t>三、成本合计：</t>
        </is>
      </c>
      <c r="E119" s="237" t="n"/>
      <c r="F119" s="237" t="n"/>
      <c r="G119" s="237" t="n"/>
      <c r="H119" s="218">
        <f>H21+H33+H61+H69+H75+H112+H118</f>
        <v/>
      </c>
      <c r="I119" s="218">
        <f>I21+I33+I61+I69+I75+I112+I118</f>
        <v/>
      </c>
      <c r="J119" s="218">
        <f>J21+J33+J61+J69+J75+J112+J118</f>
        <v/>
      </c>
      <c r="K119" s="218">
        <f>K21+K33+K61+K69+K75+K112+K118</f>
        <v/>
      </c>
      <c r="L119" s="233">
        <f>L21+L33+L61+L69+L75+L112+L118</f>
        <v/>
      </c>
      <c r="M119" s="239">
        <f>M21+M33+M61+M69+M75+M112+M118</f>
        <v/>
      </c>
      <c r="N119" s="239">
        <f>N21+N33+N61+N69+N75+N112+N118</f>
        <v/>
      </c>
      <c r="O119" s="239">
        <f>O21+O33+O61+O69+O75+O112+O118</f>
        <v/>
      </c>
      <c r="P119" s="239">
        <f>P21+P33+P61+P69+P75+P112+P118</f>
        <v/>
      </c>
      <c r="Q119" s="239">
        <f>Q21+Q33+Q61+Q69+Q75+Q112+Q118</f>
        <v/>
      </c>
      <c r="R119" s="239">
        <f>R21+R33+R61+R69+R75+R112+R118</f>
        <v/>
      </c>
      <c r="S119" s="239">
        <f>S21+S33+S61+S69+S75+S112+S118</f>
        <v/>
      </c>
      <c r="T119" s="239" t="n"/>
      <c r="U119" s="239" t="n"/>
      <c r="V119" s="239" t="n"/>
      <c r="W119" s="239" t="n"/>
      <c r="X119" s="239" t="n"/>
      <c r="Y119" s="239" t="n"/>
      <c r="Z119" s="239">
        <f>Z21+Z33+Z61+Z69+Z75+Z112+Z118</f>
        <v/>
      </c>
      <c r="AA119" s="239">
        <f>AA21+AA33+AA61+AA69+AA75+AA112+AA118</f>
        <v/>
      </c>
      <c r="AB119" s="239">
        <f>AB21+AB33+AB61+AB69+AB75+AB112+AB118</f>
        <v/>
      </c>
      <c r="AC119" s="239">
        <f>AC21+AC33+AC61+AC69+AC75+AC112+AC118</f>
        <v/>
      </c>
      <c r="AD119" s="239">
        <f>AD21+AD33+AD61+AD69+AD75+AD112+AD118</f>
        <v/>
      </c>
      <c r="AE119" s="239">
        <f>AE21+AE33+AE61+AE69+AE75+AE112+AE118</f>
        <v/>
      </c>
      <c r="AF119" s="239">
        <f>AF21+AF33+AF61+AF69+AF75+AF112+AF118</f>
        <v/>
      </c>
      <c r="AG119" s="239" t="n"/>
      <c r="AH119" s="239" t="n"/>
      <c r="AI119" s="239">
        <f>AI21+AI33+AI61+AI69+AI75+AI112+AI118</f>
        <v/>
      </c>
      <c r="AJ119" s="239">
        <f>AJ21+AJ33+AJ61+AJ69+AJ75+AJ112+AJ118</f>
        <v/>
      </c>
      <c r="AK119" s="239">
        <f>AK21+AK33+AK61+AK69+AK75+AK112+AK118</f>
        <v/>
      </c>
      <c r="AL119" s="240" t="n"/>
    </row>
    <row r="120">
      <c r="A120" s="33" t="n"/>
      <c r="B120" s="199" t="n"/>
      <c r="C120" s="199" t="n"/>
      <c r="D120" s="219" t="inlineStr">
        <is>
          <t>四、计提保修金</t>
        </is>
      </c>
      <c r="E120" s="241" t="inlineStr">
        <is>
          <t>（在建：房建0.6%，其它0.4%；在保修期间的按0.3~0.5%自行确定;保修期结束为0）</t>
        </is>
      </c>
      <c r="F120" s="241" t="n"/>
      <c r="G120" s="241" t="n"/>
      <c r="H120" s="184" t="n"/>
      <c r="I120" s="184" t="n"/>
      <c r="J120" s="184">
        <f>H120+I120</f>
        <v/>
      </c>
      <c r="K120" s="184" t="n"/>
      <c r="L120" s="202">
        <f>J120-K120</f>
        <v/>
      </c>
      <c r="M120" s="189" t="n"/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>
        <f>Q69-S69</f>
        <v/>
      </c>
      <c r="AB120" s="242" t="n"/>
      <c r="AC120" s="242" t="n"/>
      <c r="AD120" s="242" t="n"/>
      <c r="AE120" s="242" t="n"/>
      <c r="AF120" s="242" t="n"/>
      <c r="AG120" s="242" t="n"/>
      <c r="AH120" s="242" t="n"/>
      <c r="AI120" s="242" t="n"/>
      <c r="AJ120" s="242" t="n"/>
      <c r="AK120" s="188" t="n"/>
      <c r="AL120" s="240" t="n"/>
    </row>
    <row r="121">
      <c r="A121" s="33" t="n"/>
      <c r="B121" s="199" t="n"/>
      <c r="C121" s="199" t="n"/>
      <c r="D121" s="219" t="inlineStr">
        <is>
          <t>五、过程节点奖金</t>
        </is>
      </c>
      <c r="E121" s="213" t="n"/>
      <c r="F121" s="213" t="n"/>
      <c r="G121" s="213" t="n"/>
      <c r="H121" s="184" t="n"/>
      <c r="I121" s="184" t="n"/>
      <c r="J121" s="184">
        <f>H121+I121</f>
        <v/>
      </c>
      <c r="K121" s="184" t="n"/>
      <c r="L121" s="202">
        <f>J121-K121</f>
        <v/>
      </c>
      <c r="M121" s="189" t="n"/>
      <c r="N121" s="189" t="n"/>
      <c r="O121" s="189">
        <f>L121-M121</f>
        <v/>
      </c>
      <c r="P121" s="189">
        <f>K121-N121</f>
        <v/>
      </c>
      <c r="Q121" s="189">
        <f>M121+O121</f>
        <v/>
      </c>
      <c r="R121" s="189">
        <f>M121+N121+O121+P121</f>
        <v/>
      </c>
      <c r="S121" s="203">
        <f>SUM(T121:V121)</f>
        <v/>
      </c>
      <c r="T121" s="203" t="n"/>
      <c r="U121" s="203" t="n"/>
      <c r="V121" s="203" t="n"/>
      <c r="W121" s="203" t="n"/>
      <c r="X121" s="203" t="n"/>
      <c r="Y121" s="203" t="n"/>
      <c r="Z121" s="203" t="n"/>
      <c r="AA121" s="203" t="n"/>
      <c r="AB121" s="188" t="n"/>
      <c r="AC121" s="188" t="n"/>
      <c r="AD121" s="188" t="n"/>
      <c r="AE121" s="188" t="n"/>
      <c r="AF121" s="188" t="n"/>
      <c r="AG121" s="188" t="n"/>
      <c r="AH121" s="188" t="n"/>
      <c r="AI121" s="188" t="n"/>
      <c r="AJ121" s="188" t="n"/>
      <c r="AK121" s="188" t="n"/>
      <c r="AL121" s="215" t="n"/>
    </row>
    <row r="122">
      <c r="A122" s="33" t="n"/>
      <c r="B122" s="199" t="n"/>
      <c r="C122" s="199" t="n"/>
      <c r="D122" s="219" t="inlineStr">
        <is>
          <t>六、资金占用费用</t>
        </is>
      </c>
      <c r="E122" s="213" t="n"/>
      <c r="F122" s="213" t="n"/>
      <c r="G122" s="213" t="n"/>
      <c r="H122" s="189" t="n"/>
      <c r="I122" s="189" t="n"/>
      <c r="J122" s="184">
        <f>H122+I122</f>
        <v/>
      </c>
      <c r="K122" s="189" t="n"/>
      <c r="L122" s="202">
        <f>J122-K122</f>
        <v/>
      </c>
      <c r="M122" s="223" t="n">
        <v>762837.87</v>
      </c>
      <c r="N122" s="189" t="n"/>
      <c r="O122" s="189">
        <f>L122-M122</f>
        <v/>
      </c>
      <c r="P122" s="189">
        <f>K122-N122</f>
        <v/>
      </c>
      <c r="Q122" s="189">
        <f>M122+O122</f>
        <v/>
      </c>
      <c r="R122" s="189">
        <f>M122+N122+O122+P122</f>
        <v/>
      </c>
      <c r="S122" s="203">
        <f>SUM(T122:V122)</f>
        <v/>
      </c>
      <c r="T122" s="203" t="n"/>
      <c r="U122" s="203" t="n"/>
      <c r="V122" s="203" t="n"/>
      <c r="W122" s="203" t="n"/>
      <c r="X122" s="203" t="n"/>
      <c r="Y122" s="203" t="n"/>
      <c r="Z122" s="203" t="n"/>
      <c r="AA122" s="203" t="n"/>
      <c r="AB122" s="188" t="n"/>
      <c r="AC122" s="188" t="n"/>
      <c r="AD122" s="188" t="n"/>
      <c r="AE122" s="188" t="n"/>
      <c r="AF122" s="188" t="n"/>
      <c r="AG122" s="188" t="n"/>
      <c r="AH122" s="188" t="n"/>
      <c r="AI122" s="188" t="n"/>
      <c r="AJ122" s="188" t="n"/>
      <c r="AK122" s="188" t="n"/>
      <c r="AL122" s="215" t="n"/>
    </row>
    <row r="123">
      <c r="A123" s="33" t="n"/>
      <c r="B123" s="199" t="n"/>
      <c r="C123" s="199" t="n"/>
      <c r="D123" s="219" t="inlineStr">
        <is>
          <t>七、局投资收益（局投资项目选填）</t>
        </is>
      </c>
      <c r="E123" s="213" t="n"/>
      <c r="F123" s="213" t="n"/>
      <c r="G123" s="213" t="n"/>
      <c r="H123" s="189" t="n"/>
      <c r="I123" s="189" t="n"/>
      <c r="J123" s="184">
        <f>H123+I123</f>
        <v/>
      </c>
      <c r="K123" s="189" t="n"/>
      <c r="L123" s="202">
        <f>J123-K123</f>
        <v/>
      </c>
      <c r="M123" s="189" t="n"/>
      <c r="N123" s="189" t="n"/>
      <c r="O123" s="189">
        <f>L123-M123</f>
        <v/>
      </c>
      <c r="P123" s="189">
        <f>K123-N123</f>
        <v/>
      </c>
      <c r="Q123" s="189">
        <f>M123+O123</f>
        <v/>
      </c>
      <c r="R123" s="189">
        <f>M123+N123+O123+P123</f>
        <v/>
      </c>
      <c r="S123" s="203">
        <f>SUM(T123:V123)</f>
        <v/>
      </c>
      <c r="T123" s="203" t="n"/>
      <c r="U123" s="203" t="n"/>
      <c r="V123" s="203" t="n"/>
      <c r="W123" s="203" t="n"/>
      <c r="X123" s="203" t="n"/>
      <c r="Y123" s="203" t="n"/>
      <c r="Z123" s="203" t="n"/>
      <c r="AA123" s="203" t="n"/>
      <c r="AB123" s="188" t="n"/>
      <c r="AC123" s="188" t="n"/>
      <c r="AD123" s="188" t="n"/>
      <c r="AE123" s="188" t="n"/>
      <c r="AF123" s="188" t="n"/>
      <c r="AG123" s="188" t="n"/>
      <c r="AH123" s="188" t="n"/>
      <c r="AI123" s="188" t="n"/>
      <c r="AJ123" s="188" t="n"/>
      <c r="AK123" s="188" t="n"/>
      <c r="AL123" s="215" t="n"/>
    </row>
    <row r="124">
      <c r="A124" s="55" t="n"/>
      <c r="B124" s="236" t="n"/>
      <c r="C124" s="236" t="n"/>
      <c r="D124" s="231" t="inlineStr">
        <is>
          <t>八、研发费用</t>
        </is>
      </c>
      <c r="E124" s="237" t="n"/>
      <c r="F124" s="237" t="n"/>
      <c r="G124" s="237" t="n"/>
      <c r="H124" s="218" t="n"/>
      <c r="I124" s="218" t="n"/>
      <c r="J124" s="218">
        <f>H124+I124</f>
        <v/>
      </c>
      <c r="K124" s="218" t="n"/>
      <c r="L124" s="233">
        <f>J124-K124</f>
        <v/>
      </c>
      <c r="M124" s="239">
        <f>SUM(M74:M76)</f>
        <v/>
      </c>
      <c r="N124" s="239">
        <f>SUM(N74:N76)</f>
        <v/>
      </c>
      <c r="O124" s="239">
        <f>SUM(O74:O76)</f>
        <v/>
      </c>
      <c r="P124" s="239">
        <f>SUM(P74:P76)</f>
        <v/>
      </c>
      <c r="Q124" s="239">
        <f>SUM(Q74:Q76)</f>
        <v/>
      </c>
      <c r="R124" s="239">
        <f>SUM(R74:R76)</f>
        <v/>
      </c>
      <c r="S124" s="239">
        <f>SUM(S74:S76)</f>
        <v/>
      </c>
      <c r="T124" s="239">
        <f>SUM(T74:T76)</f>
        <v/>
      </c>
      <c r="U124" s="239">
        <f>SUM(U74:U76)</f>
        <v/>
      </c>
      <c r="V124" s="239">
        <f>SUM(V74:V76)</f>
        <v/>
      </c>
      <c r="W124" s="239">
        <f>SUM(W74:W76)</f>
        <v/>
      </c>
      <c r="X124" s="239">
        <f>SUM(X74:X76)</f>
        <v/>
      </c>
      <c r="Y124" s="239">
        <f>SUM(Y74:Y76)</f>
        <v/>
      </c>
      <c r="Z124" s="239">
        <f>SUM(Z74:Z76)</f>
        <v/>
      </c>
      <c r="AA124" s="239">
        <f>SUM(AA74:AA76)</f>
        <v/>
      </c>
      <c r="AB124" s="239">
        <f>SUM(AB74:AB76)</f>
        <v/>
      </c>
      <c r="AC124" s="239">
        <f>SUM(AC74:AC76)</f>
        <v/>
      </c>
      <c r="AD124" s="239">
        <f>SUM(AD74:AD76)</f>
        <v/>
      </c>
      <c r="AE124" s="239">
        <f>SUM(AE74:AE76)</f>
        <v/>
      </c>
      <c r="AF124" s="239">
        <f>SUM(AF74:AF76)</f>
        <v/>
      </c>
      <c r="AG124" s="239">
        <f>SUM(AG74:AG76)</f>
        <v/>
      </c>
      <c r="AH124" s="239">
        <f>SUM(AH74:AH76)</f>
        <v/>
      </c>
      <c r="AI124" s="239">
        <f>SUM(AI74:AI76)</f>
        <v/>
      </c>
      <c r="AJ124" s="239">
        <f>SUM(AJ74:AJ76)</f>
        <v/>
      </c>
      <c r="AK124" s="239">
        <f>SUM(AK74:AK76)</f>
        <v/>
      </c>
      <c r="AL124" s="240" t="n"/>
    </row>
    <row r="125">
      <c r="A125" s="206" t="n"/>
      <c r="B125" s="206" t="n"/>
      <c r="C125" s="207" t="n"/>
      <c r="D125" s="207" t="inlineStr">
        <is>
          <t>研发费用-材料费</t>
        </is>
      </c>
      <c r="E125" s="206" t="n"/>
      <c r="F125" s="206" t="n"/>
      <c r="G125" s="206" t="n"/>
      <c r="H125" s="206" t="n"/>
      <c r="I125" s="206" t="n"/>
      <c r="J125" s="206" t="n"/>
      <c r="K125" s="206" t="n"/>
      <c r="L125" s="206" t="n"/>
      <c r="M125" s="210" t="n">
        <v>3926272.64</v>
      </c>
      <c r="N125" s="206" t="n"/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06" t="n"/>
      <c r="U125" s="206" t="n"/>
      <c r="V125" s="206" t="n"/>
    </row>
    <row r="126">
      <c r="A126" s="33" t="n">
        <v>1</v>
      </c>
      <c r="B126" s="199" t="n"/>
      <c r="C126" s="199" t="n"/>
      <c r="D126" s="219" t="n"/>
      <c r="E126" s="213" t="n"/>
      <c r="F126" s="213" t="n"/>
      <c r="G126" s="213" t="n"/>
      <c r="H126" s="189" t="n"/>
      <c r="I126" s="189" t="n"/>
      <c r="J126" s="184">
        <f>H126+I126</f>
        <v/>
      </c>
      <c r="K126" s="189" t="n"/>
      <c r="L126" s="202">
        <f>J126-K126</f>
        <v/>
      </c>
      <c r="M126" s="189" t="n"/>
      <c r="N126" s="189" t="n"/>
      <c r="O126" s="189">
        <f>L126-M126</f>
        <v/>
      </c>
      <c r="P126" s="189">
        <f>K126-N126</f>
        <v/>
      </c>
      <c r="Q126" s="189">
        <f>M126+O126</f>
        <v/>
      </c>
      <c r="R126" s="189">
        <f>M126+N126+O126+P126</f>
        <v/>
      </c>
      <c r="S126" s="203">
        <f>SUM(T126:V126)</f>
        <v/>
      </c>
      <c r="T126" s="203" t="n"/>
      <c r="U126" s="203" t="n"/>
      <c r="V126" s="203" t="n"/>
      <c r="W126" s="203" t="n"/>
      <c r="X126" s="203" t="n"/>
      <c r="Y126" s="203" t="n"/>
      <c r="Z126" s="203" t="n"/>
      <c r="AA126" s="203" t="n"/>
      <c r="AB126" s="188" t="n"/>
      <c r="AC126" s="188" t="n"/>
      <c r="AD126" s="188" t="n"/>
      <c r="AE126" s="188" t="n"/>
      <c r="AF126" s="188" t="n"/>
      <c r="AG126" s="188" t="n"/>
      <c r="AH126" s="188" t="n"/>
      <c r="AI126" s="188" t="n"/>
      <c r="AJ126" s="188" t="n"/>
      <c r="AK126" s="188" t="n"/>
      <c r="AL126" s="215" t="n"/>
    </row>
    <row r="127">
      <c r="A127" s="33" t="n">
        <v>2</v>
      </c>
      <c r="B127" s="199" t="n"/>
      <c r="C127" s="199" t="n"/>
      <c r="D127" s="219" t="n"/>
      <c r="E127" s="213" t="n"/>
      <c r="F127" s="213" t="n"/>
      <c r="G127" s="213" t="n"/>
      <c r="H127" s="189" t="n"/>
      <c r="I127" s="189" t="n"/>
      <c r="J127" s="184" t="n"/>
      <c r="K127" s="189" t="n"/>
      <c r="L127" s="202" t="n"/>
      <c r="M127" s="189" t="n"/>
      <c r="N127" s="189" t="n"/>
      <c r="O127" s="189">
        <f>L127-M127</f>
        <v/>
      </c>
      <c r="P127" s="189">
        <f>K127-N127</f>
        <v/>
      </c>
      <c r="Q127" s="189">
        <f>M127+O127</f>
        <v/>
      </c>
      <c r="R127" s="189">
        <f>M127+N127+O127+P127</f>
        <v/>
      </c>
      <c r="S127" s="203">
        <f>SUM(T127:V127)</f>
        <v/>
      </c>
      <c r="T127" s="203" t="n"/>
      <c r="U127" s="203" t="n"/>
      <c r="V127" s="203" t="n"/>
      <c r="W127" s="203" t="n"/>
      <c r="X127" s="203" t="n"/>
      <c r="Y127" s="203" t="n"/>
      <c r="Z127" s="203" t="n"/>
      <c r="AA127" s="203" t="n"/>
      <c r="AB127" s="188" t="n"/>
      <c r="AC127" s="188" t="n"/>
      <c r="AD127" s="188" t="n"/>
      <c r="AE127" s="188" t="n"/>
      <c r="AF127" s="188" t="n"/>
      <c r="AG127" s="188" t="n"/>
      <c r="AH127" s="188" t="n"/>
      <c r="AI127" s="188" t="n"/>
      <c r="AJ127" s="188" t="n"/>
      <c r="AK127" s="188" t="n"/>
      <c r="AL127" s="215" t="n"/>
    </row>
    <row r="128">
      <c r="A128" s="33" t="n">
        <v>3</v>
      </c>
      <c r="B128" s="199" t="n"/>
      <c r="C128" s="199" t="n"/>
      <c r="D128" s="219" t="n"/>
      <c r="E128" s="213" t="n"/>
      <c r="F128" s="213" t="n"/>
      <c r="G128" s="213" t="n"/>
      <c r="H128" s="189" t="n"/>
      <c r="I128" s="189" t="n"/>
      <c r="J128" s="184" t="n"/>
      <c r="K128" s="189" t="n"/>
      <c r="L128" s="202" t="n"/>
      <c r="M128" s="189" t="n"/>
      <c r="N128" s="189" t="n"/>
      <c r="O128" s="189">
        <f>L128-M128</f>
        <v/>
      </c>
      <c r="P128" s="189">
        <f>K128-N128</f>
        <v/>
      </c>
      <c r="Q128" s="189">
        <f>M128+O128</f>
        <v/>
      </c>
      <c r="R128" s="189">
        <f>M128+N128+O128+P128</f>
        <v/>
      </c>
      <c r="S128" s="203">
        <f>SUM(T128:V128)</f>
        <v/>
      </c>
      <c r="T128" s="203" t="n"/>
      <c r="U128" s="203" t="n"/>
      <c r="V128" s="203" t="n"/>
      <c r="W128" s="203" t="n"/>
      <c r="X128" s="203" t="n"/>
      <c r="Y128" s="203" t="n"/>
      <c r="Z128" s="203" t="n"/>
      <c r="AA128" s="203" t="n"/>
      <c r="AB128" s="188" t="n"/>
      <c r="AC128" s="188" t="n"/>
      <c r="AD128" s="188" t="n"/>
      <c r="AE128" s="188" t="n"/>
      <c r="AF128" s="188" t="n"/>
      <c r="AG128" s="188" t="n"/>
      <c r="AH128" s="188" t="n"/>
      <c r="AI128" s="188" t="n"/>
      <c r="AJ128" s="188" t="n"/>
      <c r="AK128" s="188" t="n"/>
      <c r="AL128" s="215" t="n"/>
    </row>
    <row r="129">
      <c r="A129" s="41" t="n"/>
      <c r="B129" s="216" t="n"/>
      <c r="C129" s="216" t="n"/>
      <c r="D129" s="231" t="inlineStr">
        <is>
          <t>九、成本及费用合计（三+四+五+六+七）</t>
        </is>
      </c>
      <c r="E129" s="232" t="n"/>
      <c r="F129" s="232" t="n"/>
      <c r="G129" s="232" t="n"/>
      <c r="H129" s="218">
        <f>H68+H69+H70+H71+#REF!</f>
        <v/>
      </c>
      <c r="I129" s="218">
        <f>I68+I69+I70+I71+#REF!</f>
        <v/>
      </c>
      <c r="J129" s="243">
        <f>J68+J69+J70+J71+#REF!</f>
        <v/>
      </c>
      <c r="K129" s="218">
        <f>K68+K69+K70+K71+#REF!</f>
        <v/>
      </c>
      <c r="L129" s="244">
        <f>L68+L69+L70+L71+#REF!</f>
        <v/>
      </c>
      <c r="M129" s="244">
        <f>M68+M69+M70+M71</f>
        <v/>
      </c>
      <c r="N129" s="244">
        <f>N68+N69+N70+N71</f>
        <v/>
      </c>
      <c r="O129" s="244">
        <f>O68+O69+O70+O71</f>
        <v/>
      </c>
      <c r="P129" s="244">
        <f>P68+P69+P70+P71</f>
        <v/>
      </c>
      <c r="Q129" s="244">
        <f>Q68+Q69+Q70+Q71</f>
        <v/>
      </c>
      <c r="R129" s="244">
        <f>R68+R69+R70+R71</f>
        <v/>
      </c>
      <c r="S129" s="239">
        <f>S68+S69+S70+S71</f>
        <v/>
      </c>
      <c r="T129" s="239" t="n"/>
      <c r="U129" s="239" t="n"/>
      <c r="V129" s="239" t="n"/>
      <c r="W129" s="239" t="n"/>
      <c r="X129" s="239" t="n"/>
      <c r="Y129" s="239" t="n"/>
      <c r="Z129" s="239">
        <f>Z68+Z69+Z70+Z71</f>
        <v/>
      </c>
      <c r="AA129" s="239">
        <f>AA68+AA69+AA70+AA71</f>
        <v/>
      </c>
      <c r="AB129" s="245" t="n"/>
      <c r="AC129" s="245" t="n"/>
      <c r="AD129" s="245" t="n"/>
      <c r="AE129" s="245" t="n"/>
      <c r="AF129" s="245" t="n"/>
      <c r="AG129" s="245" t="n"/>
      <c r="AH129" s="245" t="n"/>
      <c r="AI129" s="245" t="n"/>
      <c r="AJ129" s="245" t="n"/>
      <c r="AK129" s="246" t="n"/>
      <c r="AL129" s="247" t="n"/>
    </row>
    <row r="130">
      <c r="A130" s="41" t="n"/>
      <c r="B130" s="216" t="n"/>
      <c r="C130" s="216" t="n"/>
      <c r="D130" s="231" t="inlineStr">
        <is>
          <t>十、增值税实际税负（按财务数据）</t>
        </is>
      </c>
      <c r="E130" s="232" t="inlineStr">
        <is>
          <t>根据财务账面实际已缴纳增值税额+尚需缴纳的增值税额</t>
        </is>
      </c>
      <c r="F130" s="232" t="n"/>
      <c r="G130" s="232" t="n"/>
      <c r="H130" s="218" t="n"/>
      <c r="I130" s="218" t="n"/>
      <c r="J130" s="243">
        <f>H78+I78</f>
        <v/>
      </c>
      <c r="K130" s="218" t="inlineStr">
        <is>
          <t>/</t>
        </is>
      </c>
      <c r="L130" s="244" t="inlineStr">
        <is>
          <t>/</t>
        </is>
      </c>
      <c r="M130" s="244" t="n"/>
      <c r="N130" s="244">
        <f>N6-N77</f>
        <v/>
      </c>
      <c r="O130" s="244" t="n"/>
      <c r="P130" s="244" t="n"/>
      <c r="Q130" s="244" t="inlineStr">
        <is>
          <t>/</t>
        </is>
      </c>
      <c r="R130" s="244">
        <f>N78+P78</f>
        <v/>
      </c>
      <c r="S130" s="239" t="n"/>
      <c r="T130" s="239" t="n"/>
      <c r="U130" s="239" t="n"/>
      <c r="V130" s="239" t="n"/>
      <c r="W130" s="239" t="n"/>
      <c r="X130" s="239" t="n"/>
      <c r="Y130" s="239" t="n"/>
      <c r="Z130" s="239" t="n"/>
      <c r="AA130" s="239" t="n"/>
      <c r="AB130" s="245" t="n"/>
      <c r="AC130" s="245" t="n"/>
      <c r="AD130" s="245" t="n"/>
      <c r="AE130" s="245" t="n"/>
      <c r="AF130" s="245" t="n"/>
      <c r="AG130" s="245" t="n"/>
      <c r="AH130" s="245" t="n"/>
      <c r="AI130" s="245" t="n"/>
      <c r="AJ130" s="245" t="n"/>
      <c r="AK130" s="246" t="n"/>
      <c r="AL130" s="247" t="n"/>
    </row>
    <row r="131">
      <c r="A131" s="41" t="n"/>
      <c r="B131" s="216" t="n"/>
      <c r="C131" s="216" t="n"/>
      <c r="D131" s="231" t="inlineStr">
        <is>
          <t>十一、税金及附加（按财务数据）</t>
        </is>
      </c>
      <c r="E131" s="232" t="inlineStr">
        <is>
          <t>根据财务账面实际已缴纳税金及附加+尚需缴纳的税金及附加</t>
        </is>
      </c>
      <c r="F131" s="232" t="n"/>
      <c r="G131" s="232" t="n"/>
      <c r="H131" s="218" t="n"/>
      <c r="I131" s="218" t="n"/>
      <c r="J131" s="243">
        <f>H79+I79</f>
        <v/>
      </c>
      <c r="K131" s="218" t="n"/>
      <c r="L131" s="244">
        <f>J79</f>
        <v/>
      </c>
      <c r="M131" s="248" t="n">
        <v>260389.37</v>
      </c>
      <c r="N131" s="244" t="n"/>
      <c r="O131" s="244">
        <f>L79-M79</f>
        <v/>
      </c>
      <c r="P131" s="244" t="n"/>
      <c r="Q131" s="244">
        <f>M79+O79</f>
        <v/>
      </c>
      <c r="R131" s="244">
        <f>Q79</f>
        <v/>
      </c>
      <c r="S131" s="239" t="n"/>
      <c r="T131" s="239" t="n"/>
      <c r="U131" s="239" t="n"/>
      <c r="V131" s="239" t="n"/>
      <c r="W131" s="239" t="n"/>
      <c r="X131" s="239" t="n"/>
      <c r="Y131" s="239" t="n"/>
      <c r="Z131" s="239" t="n"/>
      <c r="AA131" s="239" t="n"/>
      <c r="AB131" s="245" t="n"/>
      <c r="AC131" s="245" t="n"/>
      <c r="AD131" s="245" t="n"/>
      <c r="AE131" s="245" t="n"/>
      <c r="AF131" s="245" t="n"/>
      <c r="AG131" s="245" t="n"/>
      <c r="AH131" s="245" t="n"/>
      <c r="AI131" s="245" t="n"/>
      <c r="AJ131" s="245" t="n"/>
      <c r="AK131" s="246" t="n"/>
      <c r="AL131" s="247" t="n"/>
    </row>
    <row r="132">
      <c r="A132" s="41" t="n"/>
      <c r="B132" s="216" t="n"/>
      <c r="C132" s="216" t="n"/>
      <c r="D132" s="231" t="inlineStr">
        <is>
          <t>十二、利润</t>
        </is>
      </c>
      <c r="E132" s="232" t="n"/>
      <c r="F132" s="232" t="n"/>
      <c r="G132" s="232" t="n"/>
      <c r="H132" s="218" t="n"/>
      <c r="I132" s="218" t="n"/>
      <c r="J132" s="243">
        <f>J6-J77-J78-J79</f>
        <v/>
      </c>
      <c r="K132" s="218" t="n"/>
      <c r="L132" s="244" t="n"/>
      <c r="M132" s="244" t="n"/>
      <c r="N132" s="244" t="n"/>
      <c r="O132" s="244" t="n"/>
      <c r="P132" s="244" t="n"/>
      <c r="Q132" s="244" t="n"/>
      <c r="R132" s="244" t="n"/>
      <c r="S132" s="239" t="n"/>
      <c r="T132" s="239" t="n"/>
      <c r="U132" s="239" t="n"/>
      <c r="V132" s="239" t="n"/>
      <c r="W132" s="239" t="n"/>
      <c r="X132" s="239" t="n"/>
      <c r="Y132" s="239" t="n"/>
      <c r="Z132" s="239" t="n"/>
      <c r="AA132" s="239" t="n"/>
      <c r="AB132" s="245" t="n"/>
      <c r="AC132" s="245" t="n"/>
      <c r="AD132" s="245" t="n"/>
      <c r="AE132" s="245" t="n"/>
      <c r="AF132" s="245" t="n"/>
      <c r="AG132" s="245" t="n"/>
      <c r="AH132" s="245" t="n"/>
      <c r="AI132" s="245" t="n"/>
      <c r="AJ132" s="245" t="n"/>
      <c r="AK132" s="246" t="n"/>
      <c r="AL132" s="247" t="n"/>
    </row>
    <row r="133">
      <c r="A133" s="105" t="n"/>
      <c r="B133" s="106" t="n"/>
      <c r="C133" s="106" t="n"/>
      <c r="D133" s="107" t="inlineStr">
        <is>
          <t>十三、利润率</t>
        </is>
      </c>
      <c r="E133" s="108" t="n"/>
      <c r="F133" s="108" t="n"/>
      <c r="G133" s="108" t="n"/>
      <c r="H133" s="109" t="n"/>
      <c r="I133" s="109" t="n"/>
      <c r="J133" s="109">
        <f>J80/J6</f>
        <v/>
      </c>
      <c r="K133" s="109" t="n"/>
      <c r="L133" s="127">
        <f>L80/L6</f>
        <v/>
      </c>
      <c r="M133" s="127">
        <f>M80/M6</f>
        <v/>
      </c>
      <c r="N133" s="127" t="n"/>
      <c r="O133" s="127" t="n"/>
      <c r="P133" s="127" t="n"/>
      <c r="Q133" s="127">
        <f>Q80/Q6</f>
        <v/>
      </c>
      <c r="R133" s="127">
        <f>R80/R6</f>
        <v/>
      </c>
      <c r="S133" s="142" t="n"/>
      <c r="T133" s="142" t="n"/>
      <c r="U133" s="142" t="n"/>
      <c r="V133" s="142" t="n"/>
      <c r="W133" s="142" t="n"/>
      <c r="X133" s="142" t="n"/>
      <c r="Y133" s="142" t="n"/>
      <c r="Z133" s="142" t="n"/>
      <c r="AA133" s="142" t="n"/>
      <c r="AB133" s="146" t="n"/>
      <c r="AC133" s="146" t="n"/>
      <c r="AD133" s="146" t="n"/>
      <c r="AE133" s="146" t="n"/>
      <c r="AF133" s="146" t="n"/>
      <c r="AG133" s="146" t="n"/>
      <c r="AH133" s="146" t="n"/>
      <c r="AI133" s="146" t="n"/>
      <c r="AJ133" s="146" t="n"/>
      <c r="AK133" s="154" t="n"/>
      <c r="AL133" s="155" t="n"/>
    </row>
    <row r="134">
      <c r="A134" s="111" t="n"/>
      <c r="B134" s="111" t="n"/>
      <c r="C134" s="111" t="n"/>
      <c r="D134" s="112" t="n"/>
      <c r="E134" s="113" t="n"/>
      <c r="F134" s="113" t="n"/>
      <c r="G134" s="113" t="n"/>
      <c r="H134" s="249" t="n"/>
      <c r="I134" s="249" t="n"/>
      <c r="J134" s="250" t="inlineStr">
        <is>
          <t>含税利润率</t>
        </is>
      </c>
      <c r="K134" s="251" t="n"/>
      <c r="L134" s="252" t="inlineStr">
        <is>
          <t>不含税利润率</t>
        </is>
      </c>
      <c r="M134" s="253" t="n"/>
      <c r="N134" s="253" t="n"/>
      <c r="O134" s="253" t="n"/>
      <c r="P134" s="253" t="n"/>
      <c r="Q134" s="253" t="n"/>
      <c r="R134" s="253" t="n"/>
      <c r="S134" s="253" t="n"/>
      <c r="T134" s="253" t="n"/>
      <c r="U134" s="253" t="n"/>
      <c r="V134" s="253" t="n"/>
      <c r="W134" s="253" t="n"/>
      <c r="X134" s="253" t="n"/>
      <c r="Y134" s="253" t="n"/>
      <c r="Z134" s="254" t="n"/>
      <c r="AA134" s="162" t="n"/>
      <c r="AB134" s="255" t="n"/>
      <c r="AC134" s="255" t="n"/>
      <c r="AD134" s="255" t="n"/>
      <c r="AE134" s="255" t="n"/>
      <c r="AF134" s="255" t="n"/>
      <c r="AG134" s="255" t="n"/>
      <c r="AH134" s="255" t="n"/>
      <c r="AI134" s="255" t="n"/>
      <c r="AJ134" s="255" t="n"/>
      <c r="AK134" s="255" t="n"/>
      <c r="AL134" s="156" t="n"/>
    </row>
    <row r="135">
      <c r="A135" s="111" t="n"/>
      <c r="B135" s="111" t="n"/>
      <c r="C135" s="111" t="n"/>
      <c r="D135" s="112" t="n"/>
      <c r="E135" s="113" t="n"/>
      <c r="F135" s="113" t="n"/>
      <c r="G135" s="113" t="n"/>
      <c r="H135" s="249" t="n"/>
      <c r="I135" s="249" t="n"/>
      <c r="J135" s="256" t="n"/>
      <c r="K135" s="249" t="n"/>
      <c r="L135" s="257" t="n"/>
      <c r="M135" s="253" t="n"/>
      <c r="N135" s="253" t="n"/>
      <c r="O135" s="253" t="n"/>
      <c r="P135" s="253" t="n"/>
      <c r="Q135" s="253" t="n"/>
      <c r="R135" s="253" t="n"/>
      <c r="S135" s="253" t="n"/>
      <c r="T135" s="253" t="n"/>
      <c r="U135" s="253" t="n"/>
      <c r="V135" s="253" t="n"/>
      <c r="W135" s="253" t="n"/>
      <c r="X135" s="253" t="n"/>
      <c r="Y135" s="253" t="n"/>
      <c r="Z135" s="254" t="n"/>
      <c r="AA135" s="162" t="n"/>
      <c r="AB135" s="255" t="n"/>
      <c r="AC135" s="255" t="n"/>
      <c r="AD135" s="255" t="n"/>
      <c r="AE135" s="255" t="n"/>
      <c r="AF135" s="255" t="n"/>
      <c r="AG135" s="255" t="n"/>
      <c r="AH135" s="255" t="n"/>
      <c r="AI135" s="255" t="n"/>
      <c r="AJ135" s="255" t="n"/>
      <c r="AK135" s="255" t="n"/>
      <c r="AL135" s="156" t="n"/>
    </row>
    <row r="136">
      <c r="A136" s="116" t="n"/>
      <c r="B136" s="116" t="n"/>
      <c r="C136" s="116" t="n"/>
      <c r="D136" s="117" t="n"/>
      <c r="E136" s="118" t="n"/>
      <c r="F136" s="118" t="n"/>
      <c r="G136" s="118" t="n"/>
      <c r="H136" s="119" t="n"/>
      <c r="I136" s="119" t="n"/>
      <c r="J136" s="134" t="n"/>
      <c r="K136" s="258" t="n"/>
      <c r="L136" s="258" t="n"/>
      <c r="M136" s="259" t="n"/>
      <c r="N136" s="258" t="n"/>
      <c r="O136" s="258" t="n"/>
      <c r="P136" s="260" t="n"/>
      <c r="Q136" s="260" t="n"/>
      <c r="R136" s="258" t="n"/>
      <c r="S136" s="261" t="n"/>
      <c r="T136" s="261" t="n"/>
      <c r="U136" s="261" t="n"/>
      <c r="V136" s="261" t="n"/>
      <c r="W136" s="261" t="n"/>
      <c r="X136" s="261" t="n"/>
      <c r="Y136" s="261" t="n"/>
      <c r="Z136" s="262" t="n"/>
      <c r="AA136" s="263" t="n"/>
      <c r="AD136" s="264" t="n"/>
      <c r="AE136" s="264" t="n"/>
      <c r="AF136" s="264" t="n"/>
      <c r="AG136" s="264" t="n"/>
      <c r="AH136" s="264" t="n"/>
      <c r="AI136" s="264" t="n"/>
      <c r="AJ136" s="264" t="n"/>
      <c r="AK136" s="264" t="n"/>
      <c r="AL136" s="121" t="n"/>
    </row>
    <row r="137">
      <c r="A137" s="121" t="n"/>
      <c r="B137" s="121" t="n"/>
      <c r="C137" s="121" t="n"/>
      <c r="D137" s="121" t="n"/>
      <c r="E137" s="122" t="n"/>
      <c r="F137" s="122" t="n"/>
      <c r="G137" s="122" t="n"/>
      <c r="H137" s="122" t="n"/>
      <c r="I137" s="122" t="n"/>
      <c r="J137" s="122" t="n"/>
      <c r="K137" s="265" t="n"/>
      <c r="L137" s="122" t="n"/>
      <c r="M137" s="266" t="n"/>
      <c r="N137" s="266" t="n"/>
      <c r="O137" s="266" t="n"/>
      <c r="P137" s="266" t="n"/>
      <c r="Q137" s="266" t="n"/>
      <c r="R137" s="266" t="n"/>
      <c r="S137" s="261" t="n"/>
      <c r="T137" s="261" t="n"/>
      <c r="U137" s="261" t="n"/>
      <c r="V137" s="261" t="n"/>
      <c r="W137" s="261" t="n"/>
      <c r="X137" s="261" t="n"/>
      <c r="Y137" s="261" t="n"/>
      <c r="Z137" s="266" t="n"/>
      <c r="AA137" s="264" t="n"/>
      <c r="AB137" s="264" t="n"/>
      <c r="AC137" s="264" t="n"/>
      <c r="AD137" s="264" t="n"/>
      <c r="AE137" s="264" t="n"/>
      <c r="AF137" s="264" t="n"/>
      <c r="AG137" s="264" t="n"/>
      <c r="AH137" s="264" t="n"/>
      <c r="AI137" s="264" t="n"/>
      <c r="AJ137" s="264" t="n"/>
      <c r="AK137" s="264" t="n"/>
      <c r="AL137" s="121" t="n"/>
    </row>
    <row r="138">
      <c r="A138" s="121" t="n"/>
      <c r="B138" s="121" t="n"/>
      <c r="C138" s="121" t="n"/>
      <c r="D138" s="121" t="n"/>
      <c r="E138" s="122" t="n"/>
      <c r="F138" s="122" t="n"/>
      <c r="G138" s="122" t="n"/>
      <c r="H138" s="122" t="n"/>
      <c r="I138" s="122" t="n"/>
      <c r="J138" s="122" t="n"/>
      <c r="K138" s="265" t="n"/>
      <c r="L138" s="122" t="n"/>
      <c r="M138" s="266" t="n"/>
      <c r="N138" s="266" t="n"/>
      <c r="O138" s="266" t="n"/>
      <c r="P138" s="266" t="n"/>
      <c r="Q138" s="266" t="n"/>
      <c r="R138" s="266" t="n"/>
      <c r="S138" s="261" t="n"/>
      <c r="T138" s="261" t="n"/>
      <c r="U138" s="261" t="n"/>
      <c r="V138" s="261" t="n"/>
      <c r="W138" s="261" t="n"/>
      <c r="X138" s="261" t="n"/>
      <c r="Y138" s="261" t="n"/>
      <c r="Z138" s="266" t="n"/>
      <c r="AA138" s="264" t="n"/>
      <c r="AB138" s="264" t="n"/>
      <c r="AC138" s="264" t="n"/>
      <c r="AD138" s="264" t="n"/>
      <c r="AE138" s="264" t="n"/>
      <c r="AF138" s="264" t="n"/>
      <c r="AG138" s="264" t="n"/>
      <c r="AH138" s="264" t="n"/>
      <c r="AI138" s="264" t="n"/>
      <c r="AJ138" s="264" t="n"/>
      <c r="AK138" s="264" t="n"/>
      <c r="AL138" s="121" t="n"/>
    </row>
    <row r="139">
      <c r="A139" s="121" t="n"/>
      <c r="B139" s="121" t="n"/>
      <c r="C139" s="121" t="n"/>
      <c r="D139" s="121" t="n"/>
      <c r="E139" s="123" t="n"/>
      <c r="F139" s="123" t="n"/>
      <c r="G139" s="123" t="n"/>
      <c r="H139" s="122" t="n"/>
      <c r="I139" s="122" t="n"/>
      <c r="J139" s="122" t="n"/>
      <c r="K139" s="123" t="n"/>
      <c r="L139" s="122" t="n"/>
      <c r="M139" s="266" t="n"/>
      <c r="N139" s="262" t="n"/>
      <c r="O139" s="266" t="n"/>
      <c r="P139" s="266" t="n"/>
      <c r="Q139" s="266" t="n"/>
      <c r="R139" s="258" t="n"/>
      <c r="S139" s="261" t="n"/>
      <c r="T139" s="261" t="n"/>
      <c r="U139" s="261" t="n"/>
      <c r="V139" s="261" t="n"/>
      <c r="W139" s="261" t="n"/>
      <c r="X139" s="261" t="n"/>
      <c r="Y139" s="261" t="n"/>
      <c r="Z139" s="266" t="n"/>
      <c r="AA139" s="264" t="n"/>
      <c r="AB139" s="264" t="n"/>
      <c r="AC139" s="264" t="n"/>
      <c r="AD139" s="264" t="n"/>
      <c r="AE139" s="264" t="n"/>
      <c r="AF139" s="264" t="n"/>
      <c r="AG139" s="264" t="n"/>
      <c r="AH139" s="264" t="n"/>
      <c r="AI139" s="264" t="n"/>
      <c r="AJ139" s="264" t="n"/>
      <c r="AK139" s="264" t="n"/>
      <c r="AL139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2026-04-24T23:53:18Z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