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18" authorId="0" shapeId="0">
      <text>
        <t>于:
**同财务账面合同履约成本/工程施工成本/直接人工费数据一致**</t>
      </text>
    </comment>
    <comment ref="F18" authorId="0" shapeId="0">
      <text>
        <t>于:
**同财务账面合同履约成本/工程施工成本/直接人工费数据一致**</t>
      </text>
    </comment>
    <comment ref="G18" authorId="0" shapeId="0">
      <text>
        <t>于:
**同财务账面合同履约成本/工程施工成本/直接人工费数据一致**</t>
      </text>
    </comment>
    <comment ref="H18" authorId="0" shapeId="0">
      <text>
        <t>于:
**同财务账面合同履约成本/工程施工成本/直接人工费数据一致**</t>
      </text>
    </comment>
    <comment ref="I18" authorId="0" shapeId="0">
      <text>
        <t>于:
**同财务账面合同履约成本/工程施工成本/直接人工费数据一致**</t>
      </text>
    </comment>
    <comment ref="J18" authorId="0" shapeId="0">
      <text>
        <t>于:
**同财务账面合同履约成本/工程施工成本/直接人工费数据一致**</t>
      </text>
    </comment>
    <comment ref="K18" authorId="0" shapeId="0">
      <text>
        <t>于:
**同财务账面合同履约成本/工程施工成本/直接人工费数据一致**</t>
      </text>
    </comment>
    <comment ref="L18" authorId="0" shapeId="0">
      <text>
        <t>于:
**同财务账面合同履约成本/工程施工成本/直接人工费数据一致**</t>
      </text>
    </comment>
    <comment ref="M18" authorId="0" shapeId="0">
      <text>
        <t>于:
**同财务账面合同履约成本/工程施工成本/直接人工费数据一致**</t>
      </text>
    </comment>
    <comment ref="N18" authorId="0" shapeId="0">
      <text>
        <t>于:
**同财务账面合同履约成本/工程施工成本/直接人工费数据一致**</t>
      </text>
    </comment>
    <comment ref="O18" authorId="0" shapeId="0">
      <text>
        <t>于:
**同财务账面合同履约成本/工程施工成本/直接人工费数据一致**</t>
      </text>
    </comment>
    <comment ref="P18" authorId="0" shapeId="0">
      <text>
        <t>于:
**同财务账面合同履约成本/工程施工成本/直接人工费数据一致**</t>
      </text>
    </comment>
    <comment ref="Q18" authorId="0" shapeId="0">
      <text>
        <t>于:
**同财务账面合同履约成本/工程施工成本/直接人工费数据一致**</t>
      </text>
    </comment>
    <comment ref="R18" authorId="0" shapeId="0">
      <text>
        <t>于:
**同财务账面合同履约成本/工程施工成本/直接人工费数据一致**</t>
      </text>
    </comment>
    <comment ref="S18" authorId="0" shapeId="0">
      <text>
        <t>于:
**同财务账面合同履约成本/工程施工成本/直接人工费数据一致**</t>
      </text>
    </comment>
    <comment ref="T18" authorId="0" shapeId="0">
      <text>
        <t>于:
**同财务账面合同履约成本/工程施工成本/直接人工费数据一致**</t>
      </text>
    </comment>
    <comment ref="U18" authorId="0" shapeId="0">
      <text>
        <t>于:
**同财务账面合同履约成本/工程施工成本/直接人工费数据一致**</t>
      </text>
    </comment>
    <comment ref="V18" authorId="0" shapeId="0">
      <text>
        <t>于:
**同财务账面合同履约成本/工程施工成本/直接人工费数据一致**</t>
      </text>
    </comment>
    <comment ref="W18" authorId="0" shapeId="0">
      <text>
        <t>于:
**同财务账面合同履约成本/工程施工成本/直接人工费数据一致**</t>
      </text>
    </comment>
    <comment ref="X18" authorId="0" shapeId="0">
      <text>
        <t>于:
**同财务账面合同履约成本/工程施工成本/直接人工费数据一致**</t>
      </text>
    </comment>
    <comment ref="Y18" authorId="0" shapeId="0">
      <text>
        <t>于:
**同财务账面合同履约成本/工程施工成本/直接人工费数据一致**</t>
      </text>
    </comment>
    <comment ref="Z18" authorId="0" shapeId="0">
      <text>
        <t>于:
**同财务账面合同履约成本/工程施工成本/直接人工费数据一致**</t>
      </text>
    </comment>
    <comment ref="AA18" authorId="0" shapeId="0">
      <text>
        <t>于:
**同财务账面合同履约成本/工程施工成本/直接人工费数据一致**</t>
      </text>
    </comment>
    <comment ref="AB18" authorId="0" shapeId="0">
      <text>
        <t>于:
**同财务账面合同履约成本/工程施工成本/直接人工费数据一致**</t>
      </text>
    </comment>
    <comment ref="AC18" authorId="0" shapeId="0">
      <text>
        <t>于:
**同财务账面合同履约成本/工程施工成本/直接人工费数据一致**</t>
      </text>
    </comment>
    <comment ref="AD18" authorId="0" shapeId="0">
      <text>
        <t>于:
**同财务账面合同履约成本/工程施工成本/直接人工费数据一致**</t>
      </text>
    </comment>
    <comment ref="AE18" authorId="0" shapeId="0">
      <text>
        <t>于:
**同财务账面合同履约成本/工程施工成本/直接人工费数据一致**</t>
      </text>
    </comment>
    <comment ref="AF18" authorId="0" shapeId="0">
      <text>
        <t>于:
**同财务账面合同履约成本/工程施工成本/直接人工费数据一致**</t>
      </text>
    </comment>
    <comment ref="AG18" authorId="0" shapeId="0">
      <text>
        <t>于:
**同财务账面合同履约成本/工程施工成本/直接人工费数据一致**</t>
      </text>
    </comment>
    <comment ref="AH18" authorId="0" shapeId="0">
      <text>
        <t>于:
**同财务账面合同履约成本/工程施工成本/直接人工费数据一致**</t>
      </text>
    </comment>
    <comment ref="AI18" authorId="0" shapeId="0">
      <text>
        <t>于:
**同财务账面合同履约成本/工程施工成本/直接人工费数据一致**</t>
      </text>
    </comment>
    <comment ref="AJ18" authorId="0" shapeId="0">
      <text>
        <t>于:
**同财务账面合同履约成本/工程施工成本/直接人工费数据一致**</t>
      </text>
    </comment>
    <comment ref="AK18" authorId="0" shapeId="0">
      <text>
        <t>于:
**同财务账面合同履约成本/工程施工成本/直接人工费数据一致**</t>
      </text>
    </comment>
    <comment ref="M75" authorId="1" shapeId="0">
      <text>
        <t xml:space="preserve">**同财务账面合同履约成本/工程施工成本/机械租赁费数据一致**
</t>
      </text>
    </comment>
    <comment ref="M84" authorId="0" shapeId="0">
      <text>
        <t>于:
**同财务账面合同履约成本/工程施工成本其他直接费数据一致**</t>
      </text>
    </comment>
    <comment ref="M125" authorId="1" shapeId="0">
      <text>
        <t>**同财务账面合同履约成本/工程施工成本/间接费数据一致**</t>
      </text>
    </comment>
    <comment ref="D133" authorId="2" shapeId="0">
      <text>
        <t>（在建：房建0.6%，其它0.4%；在保修期间的按0.3~0.5%自行确定;保修期结束为0）</t>
      </text>
    </comment>
    <comment ref="E14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4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6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L400100262</t>
        </is>
      </c>
      <c r="C6" s="11" t="n">
        <v>1220141096</v>
      </c>
      <c r="D6" s="181" t="inlineStr">
        <is>
          <t>保利阅旭台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164746137.21</v>
      </c>
      <c r="N6" s="186" t="n">
        <v>13540142.74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200436105</t>
        </is>
      </c>
      <c r="C13" s="207" t="inlineStr">
        <is>
          <t>中建四局0200202104504002</t>
        </is>
      </c>
      <c r="D13" s="207" t="inlineStr">
        <is>
          <t>广东纬地建筑劳务有限公司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322302.51</v>
      </c>
      <c r="N13" s="210" t="n">
        <v>9916.99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272300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100217147</t>
        </is>
      </c>
      <c r="C14" s="207" t="inlineStr">
        <is>
          <t>中建四局0200202104504001</t>
        </is>
      </c>
      <c r="D14" s="207" t="inlineStr">
        <is>
          <t>广州精诚建筑劳务有限公司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3897747.79</v>
      </c>
      <c r="N14" s="210" t="n">
        <v>119405.02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4099572.61</v>
      </c>
      <c r="U14" s="206" t="n"/>
      <c r="V14" s="206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2719625.81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ZGD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80558.22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</row>
    <row r="17" ht="14" customFormat="1" customHeight="1" s="180">
      <c r="A17" s="33" t="n"/>
      <c r="B17" s="199" t="n"/>
      <c r="C17" s="199" t="n"/>
      <c r="D17" s="211" t="inlineStr">
        <is>
          <t>**财务未列部分需增列***</t>
        </is>
      </c>
      <c r="E17" s="212" t="n"/>
      <c r="F17" s="212" t="n"/>
      <c r="G17" s="212" t="n"/>
      <c r="H17" s="189" t="n"/>
      <c r="I17" s="189" t="n"/>
      <c r="J17" s="189" t="n"/>
      <c r="K17" s="201" t="n"/>
      <c r="L17" s="202" t="n"/>
      <c r="M17" s="189" t="n"/>
      <c r="N17" s="189" t="n"/>
      <c r="O17" s="189">
        <f>L17-M17</f>
        <v/>
      </c>
      <c r="P17" s="189">
        <f>K17-N17</f>
        <v/>
      </c>
      <c r="Q17" s="189">
        <f>M17+O17</f>
        <v/>
      </c>
      <c r="R17" s="189">
        <f>M17+N17+O17+P17</f>
        <v/>
      </c>
      <c r="S17" s="203">
        <f>SUM(T17:V17)</f>
        <v/>
      </c>
      <c r="T17" s="189" t="n"/>
      <c r="U17" s="189" t="n"/>
      <c r="V17" s="189" t="n"/>
      <c r="W17" s="189" t="n"/>
      <c r="X17" s="189" t="n"/>
      <c r="Y17" s="189" t="n"/>
      <c r="Z17" s="189">
        <f>SUM(AA16:AJ16)</f>
        <v/>
      </c>
      <c r="AA17" s="213" t="n"/>
      <c r="AB17" s="188" t="n"/>
      <c r="AC17" s="188" t="n"/>
      <c r="AD17" s="188" t="n"/>
      <c r="AE17" s="188" t="n"/>
      <c r="AF17" s="188" t="n"/>
      <c r="AG17" s="188" t="n"/>
      <c r="AH17" s="188" t="n"/>
      <c r="AI17" s="188" t="n"/>
      <c r="AJ17" s="188" t="n"/>
      <c r="AK17" s="188">
        <f>AB16/1.17*0.17+AC16/1.16*0.16+AD16/1.11*0.11+AE16/1.1*0.1+AF16/1.09*0.09+AI16/1.03*0.03</f>
        <v/>
      </c>
      <c r="AL17" s="214" t="n"/>
    </row>
    <row r="18" ht="14" customFormat="1" customHeight="1" s="180">
      <c r="A18" s="41" t="n"/>
      <c r="B18" s="215" t="n"/>
      <c r="C18" s="215" t="n"/>
      <c r="D18" s="216" t="inlineStr">
        <is>
          <t>人工费小计：</t>
        </is>
      </c>
      <c r="E18" s="217">
        <f>SUM(E12:E17)</f>
        <v/>
      </c>
      <c r="F18" s="217">
        <f>SUM(F12:F17)</f>
        <v/>
      </c>
      <c r="G18" s="217">
        <f>SUM(G12:G17)</f>
        <v/>
      </c>
      <c r="H18" s="217">
        <f>SUM(H12:H17)</f>
        <v/>
      </c>
      <c r="I18" s="217">
        <f>SUM(I12:I17)</f>
        <v/>
      </c>
      <c r="J18" s="217">
        <f>SUM(J12:J17)</f>
        <v/>
      </c>
      <c r="K18" s="217">
        <f>SUM(K12:K17)</f>
        <v/>
      </c>
      <c r="L18" s="217">
        <f>SUM(L12:L17)</f>
        <v/>
      </c>
      <c r="M18" s="217">
        <f>SUM(M12:M17)</f>
        <v/>
      </c>
      <c r="N18" s="217">
        <f>SUM(N12:N17)</f>
        <v/>
      </c>
      <c r="O18" s="217">
        <f>SUM(O12:O17)</f>
        <v/>
      </c>
      <c r="P18" s="217">
        <f>SUM(P12:P17)</f>
        <v/>
      </c>
      <c r="Q18" s="217">
        <f>SUM(Q12:Q17)</f>
        <v/>
      </c>
      <c r="R18" s="217">
        <f>SUM(R12:R17)</f>
        <v/>
      </c>
      <c r="S18" s="217">
        <f>SUM(S12:S17)</f>
        <v/>
      </c>
      <c r="T18" s="217">
        <f>SUM(T12:T17)</f>
        <v/>
      </c>
      <c r="U18" s="217">
        <f>SUM(U12:U17)</f>
        <v/>
      </c>
      <c r="V18" s="217">
        <f>SUM(V12:V17)</f>
        <v/>
      </c>
      <c r="W18" s="217">
        <f>SUM(W12:W17)</f>
        <v/>
      </c>
      <c r="X18" s="217">
        <f>SUM(X12:X17)</f>
        <v/>
      </c>
      <c r="Y18" s="217">
        <f>SUM(Y12:Y17)</f>
        <v/>
      </c>
      <c r="Z18" s="217">
        <f>SUM(Z12:Z17)</f>
        <v/>
      </c>
      <c r="AA18" s="217">
        <f>SUM(AA12:AA17)</f>
        <v/>
      </c>
      <c r="AB18" s="217">
        <f>SUM(AB12:AB17)</f>
        <v/>
      </c>
      <c r="AC18" s="217">
        <f>SUM(AC12:AC17)</f>
        <v/>
      </c>
      <c r="AD18" s="217">
        <f>SUM(AD12:AD17)</f>
        <v/>
      </c>
      <c r="AE18" s="217">
        <f>SUM(AE12:AE17)</f>
        <v/>
      </c>
      <c r="AF18" s="217">
        <f>SUM(AF12:AF17)</f>
        <v/>
      </c>
      <c r="AG18" s="217">
        <f>SUM(AG12:AG17)</f>
        <v/>
      </c>
      <c r="AH18" s="217">
        <f>SUM(AH12:AH17)</f>
        <v/>
      </c>
      <c r="AI18" s="217">
        <f>SUM(AI12:AI17)</f>
        <v/>
      </c>
      <c r="AJ18" s="217">
        <f>SUM(AJ12:AJ17)</f>
        <v/>
      </c>
      <c r="AK18" s="217">
        <f>SUM(AK12:AK17)</f>
        <v/>
      </c>
      <c r="AL18" s="204" t="n"/>
    </row>
    <row r="19" ht="14" customFormat="1" customHeight="1" s="180">
      <c r="A19" s="33" t="n"/>
      <c r="B19" s="199" t="n"/>
      <c r="C19" s="199" t="n"/>
      <c r="D19" s="218" t="inlineStr">
        <is>
          <t>（二）分包工程</t>
        </is>
      </c>
      <c r="E19" s="199" t="n"/>
      <c r="F19" s="199" t="n"/>
      <c r="G19" s="199" t="n"/>
      <c r="H19" s="189" t="n"/>
      <c r="I19" s="189" t="n"/>
      <c r="J19" s="189" t="n"/>
      <c r="K19" s="201" t="n"/>
      <c r="L19" s="202" t="n"/>
      <c r="M19" s="189" t="n"/>
      <c r="N19" s="189" t="n"/>
      <c r="O19" s="189">
        <f>L19-M19</f>
        <v/>
      </c>
      <c r="P19" s="189">
        <f>K19-N19</f>
        <v/>
      </c>
      <c r="Q19" s="189">
        <f>M19+O19</f>
        <v/>
      </c>
      <c r="R19" s="189">
        <f>M19+N19+O19+P19</f>
        <v/>
      </c>
      <c r="S19" s="203">
        <f>SUM(T19:V19)</f>
        <v/>
      </c>
      <c r="T19" s="203" t="n"/>
      <c r="U19" s="203" t="n"/>
      <c r="V19" s="203" t="n"/>
      <c r="W19" s="203" t="n"/>
      <c r="X19" s="203" t="n"/>
      <c r="Y19" s="203" t="n"/>
      <c r="Z19" s="203" t="n"/>
      <c r="AA19" s="203" t="n"/>
      <c r="AB19" s="203" t="n"/>
      <c r="AC19" s="203" t="n"/>
      <c r="AD19" s="203" t="n"/>
      <c r="AE19" s="203" t="n"/>
      <c r="AF19" s="203" t="n"/>
      <c r="AG19" s="203" t="n"/>
      <c r="AH19" s="203" t="n"/>
      <c r="AI19" s="203" t="n"/>
      <c r="AJ19" s="203" t="n"/>
      <c r="AK19" s="188">
        <f>AB18/1.17*0.17+AC18/1.16*0.16+AD18/1.11*0.11+AE18/1.1*0.1+AF18/1.09*0.09+AI18/1.03*0.03</f>
        <v/>
      </c>
      <c r="AL19" s="204" t="n"/>
    </row>
    <row r="20" ht="14" customFormat="1" customHeight="1" s="180">
      <c r="A20" s="206" t="n">
        <v>1</v>
      </c>
      <c r="B20" s="206" t="inlineStr">
        <is>
          <t>200147390</t>
        </is>
      </c>
      <c r="C20" s="207" t="inlineStr">
        <is>
          <t>中建四局0200202104503001</t>
        </is>
      </c>
      <c r="D20" s="207" t="inlineStr">
        <is>
          <t>佛山市劲辉鑫业建筑工程有限公司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2817692.82</v>
      </c>
      <c r="N20" s="210" t="n">
        <v>375692.37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1905250</v>
      </c>
      <c r="U20" s="206" t="n"/>
      <c r="V20" s="206" t="n"/>
    </row>
    <row r="21" ht="14" customFormat="1" customHeight="1" s="180">
      <c r="A21" s="206" t="n">
        <v>2</v>
      </c>
      <c r="B21" s="206" t="inlineStr">
        <is>
          <t>200199796</t>
        </is>
      </c>
      <c r="C21" s="207" t="inlineStr">
        <is>
          <t>中建四局0200202104503005</t>
        </is>
      </c>
      <c r="D21" s="207" t="inlineStr">
        <is>
          <t>佛山市喜润鑫建筑工程有限公司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778756.29</v>
      </c>
      <c r="N21" s="210" t="n">
        <v>23961.74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575800</v>
      </c>
      <c r="U21" s="206" t="n"/>
      <c r="V21" s="206" t="n"/>
    </row>
    <row r="22" ht="14" customFormat="1" customHeight="1" s="180">
      <c r="A22" s="206" t="n">
        <v>3</v>
      </c>
      <c r="B22" s="206" t="inlineStr">
        <is>
          <t>100217528</t>
        </is>
      </c>
      <c r="C22" s="207" t="inlineStr">
        <is>
          <t>中建四局0200202104503006</t>
        </is>
      </c>
      <c r="D22" s="207" t="inlineStr">
        <is>
          <t>佛山市耀盈活动房屋有限公司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271587.58</v>
      </c>
      <c r="N22" s="210" t="n">
        <v>36211.68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215000</v>
      </c>
      <c r="U22" s="206" t="n"/>
      <c r="V22" s="206" t="n"/>
    </row>
    <row r="23" ht="14" customFormat="1" customHeight="1" s="180">
      <c r="A23" s="206" t="n">
        <v>4</v>
      </c>
      <c r="B23" s="206" t="inlineStr">
        <is>
          <t>100174525</t>
        </is>
      </c>
      <c r="C23" s="207" t="inlineStr">
        <is>
          <t>中建四局0200202104503004</t>
        </is>
      </c>
      <c r="D23" s="207" t="inlineStr">
        <is>
          <t>四川湘盛建筑工程有限公司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2618349.91</v>
      </c>
      <c r="N23" s="210" t="n">
        <v>241571.53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1895600</v>
      </c>
      <c r="U23" s="206" t="n"/>
      <c r="V23" s="206" t="n"/>
    </row>
    <row r="24" ht="14" customFormat="1" customHeight="1" s="180">
      <c r="A24" s="206" t="n">
        <v>5</v>
      </c>
      <c r="B24" s="206" t="inlineStr">
        <is>
          <t>200540519</t>
        </is>
      </c>
      <c r="C24" s="207" t="inlineStr">
        <is>
          <t>中建四局0200202104503002</t>
        </is>
      </c>
      <c r="D24" s="207" t="inlineStr">
        <is>
          <t>广东湘庆建筑工程有限公司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1047869.29</v>
      </c>
      <c r="N24" s="210" t="n">
        <v>96726.39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819800</v>
      </c>
      <c r="U24" s="206" t="n"/>
      <c r="V24" s="206" t="n"/>
    </row>
    <row r="25" ht="14" customFormat="1" customHeight="1" s="180">
      <c r="A25" s="206" t="n">
        <v>6</v>
      </c>
      <c r="B25" s="206" t="inlineStr">
        <is>
          <t>200053581</t>
        </is>
      </c>
      <c r="C25" s="207" t="inlineStr">
        <is>
          <t>中建四局020020210045030002</t>
        </is>
      </c>
      <c r="D25" s="207" t="inlineStr">
        <is>
          <t>广东粤忠晟保安服务有限公司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546358.62</v>
      </c>
      <c r="N25" s="210" t="n">
        <v>28018.39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394070.52</v>
      </c>
      <c r="U25" s="206" t="n"/>
      <c r="V25" s="206" t="n"/>
    </row>
    <row r="26" ht="14" customFormat="1" customHeight="1" s="180">
      <c r="A26" s="206" t="n">
        <v>7</v>
      </c>
      <c r="B26" s="206" t="inlineStr">
        <is>
          <t>200436105</t>
        </is>
      </c>
      <c r="C26" s="207" t="inlineStr">
        <is>
          <t>中建四局0200202104503003</t>
        </is>
      </c>
      <c r="D26" s="207" t="inlineStr">
        <is>
          <t>广东纬地建筑劳务有限公司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46719399.14</v>
      </c>
      <c r="N26" s="210" t="n">
        <v>1437441.88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41605917</v>
      </c>
      <c r="U26" s="206" t="n"/>
      <c r="V26" s="206" t="n"/>
    </row>
    <row r="27" ht="14" customFormat="1" customHeight="1" s="180">
      <c r="A27" s="206" t="n">
        <v>8</v>
      </c>
      <c r="B27" s="206" t="inlineStr">
        <is>
          <t>100217071</t>
        </is>
      </c>
      <c r="C27" s="207" t="inlineStr">
        <is>
          <t>中建四局0200202104503007</t>
        </is>
      </c>
      <c r="D27" s="207" t="inlineStr">
        <is>
          <t>广东邵宇建筑安装工程有限公司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6451674.06</v>
      </c>
      <c r="N27" s="210" t="n">
        <v>595534.53</v>
      </c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10" t="n">
        <v>5353700</v>
      </c>
      <c r="U27" s="206" t="n"/>
      <c r="V27" s="206" t="n"/>
    </row>
    <row r="28" ht="14" customFormat="1" customHeight="1" s="180">
      <c r="A28" s="206" t="n">
        <v>9</v>
      </c>
      <c r="B28" s="206" t="inlineStr">
        <is>
          <t>100187703</t>
        </is>
      </c>
      <c r="C28" s="207" t="inlineStr">
        <is>
          <t>中建四局0200202104503008</t>
        </is>
      </c>
      <c r="D28" s="207" t="inlineStr">
        <is>
          <t>广州市金式广告有限公司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303433.81</v>
      </c>
      <c r="N28" s="210" t="n">
        <v>9336.42</v>
      </c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10" t="n">
        <v>100000</v>
      </c>
      <c r="U28" s="206" t="n"/>
      <c r="V28" s="206" t="n"/>
    </row>
    <row r="29" ht="14" customFormat="1" customHeight="1" s="180">
      <c r="A29" s="206" t="n">
        <v>10</v>
      </c>
      <c r="B29" s="206" t="inlineStr">
        <is>
          <t>200056273</t>
        </is>
      </c>
      <c r="C29" s="207" t="inlineStr">
        <is>
          <t>中建四局020020210045030001</t>
        </is>
      </c>
      <c r="D29" s="207" t="inlineStr">
        <is>
          <t>广州金的建设有限公司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95182.23</v>
      </c>
      <c r="N29" s="210" t="n">
        <v>8786.049999999999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74400</v>
      </c>
      <c r="U29" s="206" t="n"/>
      <c r="V29" s="206" t="n"/>
    </row>
    <row r="30" ht="14" customFormat="1" customHeight="1" s="180">
      <c r="A30" s="33" t="n"/>
      <c r="B30" s="199" t="n"/>
      <c r="C30" s="199" t="n"/>
      <c r="D30" s="211" t="inlineStr">
        <is>
          <t>**财务未列部分需增列***</t>
        </is>
      </c>
      <c r="E30" s="219" t="n"/>
      <c r="F30" s="219" t="n"/>
      <c r="G30" s="219" t="n"/>
      <c r="H30" s="189" t="n"/>
      <c r="I30" s="189" t="n"/>
      <c r="J30" s="189" t="n"/>
      <c r="K30" s="201" t="n"/>
      <c r="L30" s="202" t="n"/>
      <c r="M30" s="189" t="n"/>
      <c r="N30" s="189" t="n"/>
      <c r="O30" s="189">
        <f>L30-M30</f>
        <v/>
      </c>
      <c r="P30" s="189">
        <f>K30-N30</f>
        <v/>
      </c>
      <c r="Q30" s="189">
        <f>M30+O30</f>
        <v/>
      </c>
      <c r="R30" s="189">
        <f>M30+N30+O30+P30</f>
        <v/>
      </c>
      <c r="S30" s="203">
        <f>SUM(T30:V30)</f>
        <v/>
      </c>
      <c r="T30" s="189" t="n"/>
      <c r="U30" s="189" t="n"/>
      <c r="V30" s="189" t="n"/>
      <c r="W30" s="189" t="n"/>
      <c r="X30" s="189" t="n"/>
      <c r="Y30" s="189" t="n"/>
      <c r="Z30" s="203" t="n"/>
      <c r="AA30" s="203" t="n"/>
      <c r="AB30" s="188" t="n"/>
      <c r="AC30" s="188" t="n"/>
      <c r="AD30" s="188" t="n"/>
      <c r="AE30" s="188" t="n"/>
      <c r="AF30" s="188" t="n"/>
      <c r="AG30" s="188" t="n"/>
      <c r="AH30" s="188" t="n"/>
      <c r="AI30" s="188" t="n"/>
      <c r="AJ30" s="188" t="n"/>
      <c r="AK30" s="188">
        <f>AB22/1.17*0.17+AC22/1.16*0.16+AD22/1.11*0.11+AE22/1.1*0.1+AF22/1.09*0.09+AI22/1.03*0.03</f>
        <v/>
      </c>
      <c r="AL30" s="214" t="n"/>
    </row>
    <row r="31" ht="14" customFormat="1" customHeight="1" s="180">
      <c r="A31" s="41" t="n"/>
      <c r="B31" s="215" t="n"/>
      <c r="C31" s="215" t="n"/>
      <c r="D31" s="216" t="inlineStr">
        <is>
          <t>分包工程小计：</t>
        </is>
      </c>
      <c r="E31" s="217">
        <f>SUM(E19:E30)</f>
        <v/>
      </c>
      <c r="F31" s="217">
        <f>SUM(F19:F30)</f>
        <v/>
      </c>
      <c r="G31" s="217">
        <f>SUM(G19:G30)</f>
        <v/>
      </c>
      <c r="H31" s="217">
        <f>SUM(H19:H30)</f>
        <v/>
      </c>
      <c r="I31" s="217">
        <f>SUM(I19:I30)</f>
        <v/>
      </c>
      <c r="J31" s="217">
        <f>SUM(J19:J30)</f>
        <v/>
      </c>
      <c r="K31" s="217">
        <f>SUM(K19:K30)</f>
        <v/>
      </c>
      <c r="L31" s="217">
        <f>SUM(L19:L30)</f>
        <v/>
      </c>
      <c r="M31" s="217">
        <f>SUM(M19:M30)</f>
        <v/>
      </c>
      <c r="N31" s="217">
        <f>SUM(N19:N30)</f>
        <v/>
      </c>
      <c r="O31" s="217">
        <f>SUM(O19:O30)</f>
        <v/>
      </c>
      <c r="P31" s="217">
        <f>SUM(P19:P30)</f>
        <v/>
      </c>
      <c r="Q31" s="217">
        <f>SUM(Q19:Q30)</f>
        <v/>
      </c>
      <c r="R31" s="217">
        <f>SUM(R19:R30)</f>
        <v/>
      </c>
      <c r="S31" s="217">
        <f>SUM(S19:S30)</f>
        <v/>
      </c>
      <c r="T31" s="217">
        <f>SUM(T19:T30)</f>
        <v/>
      </c>
      <c r="U31" s="217">
        <f>SUM(U19:U30)</f>
        <v/>
      </c>
      <c r="V31" s="217">
        <f>SUM(V19:V30)</f>
        <v/>
      </c>
      <c r="W31" s="217">
        <f>SUM(W19:W30)</f>
        <v/>
      </c>
      <c r="X31" s="217">
        <f>SUM(X19:X30)</f>
        <v/>
      </c>
      <c r="Y31" s="217">
        <f>SUM(Y19:Y30)</f>
        <v/>
      </c>
      <c r="Z31" s="217">
        <f>SUM(Z19:Z30)</f>
        <v/>
      </c>
      <c r="AA31" s="217">
        <f>SUM(AA19:AA30)</f>
        <v/>
      </c>
      <c r="AB31" s="217">
        <f>SUM(AB19:AB30)</f>
        <v/>
      </c>
      <c r="AC31" s="217">
        <f>SUM(AC19:AC30)</f>
        <v/>
      </c>
      <c r="AD31" s="217">
        <f>SUM(AD19:AD30)</f>
        <v/>
      </c>
      <c r="AE31" s="217">
        <f>SUM(AE19:AE30)</f>
        <v/>
      </c>
      <c r="AF31" s="217">
        <f>SUM(AF19:AF30)</f>
        <v/>
      </c>
      <c r="AG31" s="217">
        <f>SUM(AG19:AG30)</f>
        <v/>
      </c>
      <c r="AH31" s="217">
        <f>SUM(AH19:AH30)</f>
        <v/>
      </c>
      <c r="AI31" s="217">
        <f>SUM(AI19:AI30)</f>
        <v/>
      </c>
      <c r="AJ31" s="217">
        <f>SUM(AJ19:AJ30)</f>
        <v/>
      </c>
      <c r="AK31" s="217">
        <f>SUM(AK19:AK30)</f>
        <v/>
      </c>
      <c r="AL31" s="204" t="n"/>
    </row>
    <row r="32" ht="26" customFormat="1" customHeight="1" s="180">
      <c r="A32" s="33" t="n"/>
      <c r="B32" s="199" t="n"/>
      <c r="C32" s="199" t="n"/>
      <c r="D32" s="218" t="inlineStr">
        <is>
          <t>(三)材料费</t>
        </is>
      </c>
      <c r="E32" s="199" t="n"/>
      <c r="F32" s="199" t="n"/>
      <c r="G32" s="199" t="n"/>
      <c r="H32" s="189" t="n"/>
      <c r="I32" s="189" t="n"/>
      <c r="J32" s="189" t="n"/>
      <c r="K32" s="201" t="n"/>
      <c r="L32" s="202" t="n"/>
      <c r="M32" s="189" t="n"/>
      <c r="N32" s="189" t="n"/>
      <c r="O32" s="189">
        <f>L32-M32</f>
        <v/>
      </c>
      <c r="P32" s="189">
        <f>K32-N32</f>
        <v/>
      </c>
      <c r="Q32" s="189">
        <f>M32+O32</f>
        <v/>
      </c>
      <c r="R32" s="189">
        <f>M32+N32+O32+P32</f>
        <v/>
      </c>
      <c r="S32" s="203">
        <f>SUM(T32:V32)</f>
        <v/>
      </c>
      <c r="T32" s="203" t="n"/>
      <c r="U32" s="203" t="n"/>
      <c r="V32" s="203" t="n"/>
      <c r="W32" s="203" t="n"/>
      <c r="X32" s="203" t="n"/>
      <c r="Y32" s="203" t="n"/>
      <c r="Z32" s="203" t="n"/>
      <c r="AA32" s="203" t="n"/>
      <c r="AB32" s="220" t="n"/>
      <c r="AC32" s="220" t="n"/>
      <c r="AD32" s="220" t="n"/>
      <c r="AE32" s="220" t="n"/>
      <c r="AF32" s="220" t="n"/>
      <c r="AG32" s="220" t="n"/>
      <c r="AH32" s="220" t="n"/>
      <c r="AI32" s="220" t="n"/>
      <c r="AJ32" s="220" t="n"/>
      <c r="AK32" s="188">
        <f>AB24/1.17*0.17+AC24/1.16*0.16+AD24/1.11*0.11+AE24/1.1*0.1+AF24/1.09*0.09+AI24/1.03*0.03</f>
        <v/>
      </c>
      <c r="AL32" s="221" t="n"/>
    </row>
    <row r="33" ht="14" customFormat="1" customHeight="1" s="180">
      <c r="A33" s="33" t="n"/>
      <c r="B33" s="199" t="n"/>
      <c r="C33" s="199" t="n"/>
      <c r="D33" s="189" t="inlineStr">
        <is>
          <t>（1）集中采购</t>
        </is>
      </c>
      <c r="E33" s="199" t="n"/>
      <c r="F33" s="199" t="n"/>
      <c r="G33" s="199" t="n"/>
      <c r="H33" s="189" t="n"/>
      <c r="I33" s="189" t="n"/>
      <c r="J33" s="189" t="n"/>
      <c r="K33" s="201" t="n"/>
      <c r="L33" s="202" t="n"/>
      <c r="M33" s="189" t="n"/>
      <c r="N33" s="189" t="n"/>
      <c r="O33" s="189">
        <f>L33-M33</f>
        <v/>
      </c>
      <c r="P33" s="189">
        <f>K33-N33</f>
        <v/>
      </c>
      <c r="Q33" s="189">
        <f>M33+O33</f>
        <v/>
      </c>
      <c r="R33" s="189">
        <f>M33+N33+O33+P33</f>
        <v/>
      </c>
      <c r="S33" s="203">
        <f>SUM(T33:V33)</f>
        <v/>
      </c>
      <c r="T33" s="203" t="n"/>
      <c r="U33" s="203" t="n"/>
      <c r="V33" s="203" t="n"/>
      <c r="W33" s="203" t="n"/>
      <c r="X33" s="203" t="n"/>
      <c r="Y33" s="203" t="n"/>
      <c r="Z33" s="203" t="n"/>
      <c r="AA33" s="203" t="n"/>
      <c r="AB33" s="220" t="n"/>
      <c r="AC33" s="220" t="n"/>
      <c r="AD33" s="220" t="n"/>
      <c r="AE33" s="220" t="n"/>
      <c r="AF33" s="220" t="n"/>
      <c r="AG33" s="220" t="n"/>
      <c r="AH33" s="220" t="n"/>
      <c r="AI33" s="220" t="n"/>
      <c r="AJ33" s="220" t="n"/>
      <c r="AK33" s="188">
        <f>AB25/1.17*0.17+AC25/1.16*0.16+AD25/1.11*0.11+AE25/1.1*0.1+AF25/1.09*0.09+AI25/1.03*0.03</f>
        <v/>
      </c>
      <c r="AL33" s="221" t="n"/>
    </row>
    <row r="34" ht="14" customFormat="1" customHeight="1" s="180">
      <c r="A34" s="33" t="n"/>
      <c r="B34" s="199" t="n"/>
      <c r="C34" s="199" t="n"/>
      <c r="D34" s="189" t="inlineStr">
        <is>
          <t>（2）自行采购</t>
        </is>
      </c>
      <c r="E34" s="219" t="n"/>
      <c r="F34" s="219" t="n"/>
      <c r="G34" s="219" t="n"/>
      <c r="H34" s="189" t="n"/>
      <c r="I34" s="189" t="n"/>
      <c r="J34" s="189" t="n"/>
      <c r="K34" s="201" t="n"/>
      <c r="L34" s="202" t="n"/>
      <c r="M34" s="189" t="n"/>
      <c r="N34" s="189" t="n"/>
      <c r="O34" s="189">
        <f>L34-M34</f>
        <v/>
      </c>
      <c r="P34" s="189">
        <f>K34-N34</f>
        <v/>
      </c>
      <c r="Q34" s="189">
        <f>M34+O34</f>
        <v/>
      </c>
      <c r="R34" s="189">
        <f>M34+N34+O34+P34</f>
        <v/>
      </c>
      <c r="S34" s="203">
        <f>SUM(T34:V34)</f>
        <v/>
      </c>
      <c r="T34" s="203" t="n"/>
      <c r="U34" s="203" t="n"/>
      <c r="V34" s="203" t="n"/>
      <c r="W34" s="203" t="n"/>
      <c r="X34" s="203" t="n"/>
      <c r="Y34" s="203" t="n"/>
      <c r="Z34" s="189">
        <f>SUM(AA29:AJ29)</f>
        <v/>
      </c>
      <c r="AA34" s="203" t="n"/>
      <c r="AB34" s="220" t="n"/>
      <c r="AC34" s="220" t="n"/>
      <c r="AD34" s="220" t="n"/>
      <c r="AE34" s="220" t="n"/>
      <c r="AF34" s="220" t="n"/>
      <c r="AG34" s="220" t="n"/>
      <c r="AH34" s="220" t="n"/>
      <c r="AI34" s="220" t="n"/>
      <c r="AJ34" s="220" t="n"/>
      <c r="AK34" s="188">
        <f>AB29/1.17*0.17+AC29/1.16*0.16+AD29/1.11*0.11+AE29/1.1*0.1+AF29/1.09*0.09+AI29/1.03*0.03</f>
        <v/>
      </c>
      <c r="AL34" s="221" t="n"/>
    </row>
    <row r="35" ht="14" customFormat="1" customHeight="1" s="180">
      <c r="A35" s="33" t="n">
        <v>1</v>
      </c>
      <c r="B35" s="199" t="n"/>
      <c r="C35" s="199" t="n"/>
      <c r="D35" s="218" t="inlineStr">
        <is>
          <t>材料调入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222" t="n">
        <v>7208164.12</v>
      </c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189">
        <f>SUM(AA30:AJ30)</f>
        <v/>
      </c>
      <c r="AA35" s="203" t="n"/>
      <c r="AB35" s="220" t="n"/>
      <c r="AC35" s="220" t="n"/>
      <c r="AD35" s="220" t="n"/>
      <c r="AE35" s="220" t="n"/>
      <c r="AF35" s="220" t="n"/>
      <c r="AG35" s="220" t="n"/>
      <c r="AH35" s="220" t="n"/>
      <c r="AI35" s="220" t="n"/>
      <c r="AJ35" s="220" t="n"/>
      <c r="AK35" s="188">
        <f>AB30/1.17*0.17+AC30/1.16*0.16+AD30/1.11*0.11+AE30/1.1*0.1+AF30/1.09*0.09+AI30/1.03*0.03</f>
        <v/>
      </c>
      <c r="AL35" s="221" t="n"/>
    </row>
    <row r="36" ht="14" customFormat="1" customHeight="1" s="180">
      <c r="A36" s="33" t="n">
        <v>2</v>
      </c>
      <c r="B36" s="199" t="n"/>
      <c r="C36" s="199" t="n"/>
      <c r="D36" s="218" t="inlineStr">
        <is>
          <t>材料调出（注：负数填报）</t>
        </is>
      </c>
      <c r="E36" s="223" t="n"/>
      <c r="F36" s="223" t="n"/>
      <c r="G36" s="223" t="n"/>
      <c r="H36" s="224" t="n"/>
      <c r="I36" s="224" t="n"/>
      <c r="J36" s="189" t="n"/>
      <c r="K36" s="201" t="n"/>
      <c r="L36" s="202" t="n"/>
      <c r="M36" s="225" t="n">
        <v>-2516875.22</v>
      </c>
      <c r="N36" s="224" t="n"/>
      <c r="O36" s="189">
        <f>L36-M36</f>
        <v/>
      </c>
      <c r="P36" s="189">
        <f>K36-N36</f>
        <v/>
      </c>
      <c r="Q36" s="189">
        <f>M36+O36</f>
        <v/>
      </c>
      <c r="R36" s="189">
        <f>M36+N36+O36+P36</f>
        <v/>
      </c>
      <c r="S36" s="203">
        <f>SUM(T36:V36)</f>
        <v/>
      </c>
      <c r="T36" s="224" t="n"/>
      <c r="U36" s="224" t="n"/>
      <c r="V36" s="224" t="n"/>
      <c r="W36" s="224" t="n"/>
      <c r="X36" s="224" t="n"/>
      <c r="Y36" s="224" t="n"/>
      <c r="Z36" s="189">
        <f>SUM(AA31:AJ31)</f>
        <v/>
      </c>
      <c r="AA36" s="224" t="n"/>
      <c r="AB36" s="226" t="n"/>
      <c r="AC36" s="226" t="n"/>
      <c r="AD36" s="226" t="n"/>
      <c r="AE36" s="226" t="n"/>
      <c r="AF36" s="226" t="n"/>
      <c r="AG36" s="226" t="n"/>
      <c r="AH36" s="226" t="n"/>
      <c r="AI36" s="226" t="n"/>
      <c r="AJ36" s="226" t="n"/>
      <c r="AK36" s="188">
        <f>AB31/1.17*0.17+AC31/1.16*0.16+AD31/1.11*0.11+AE31/1.1*0.1+AF31/1.09*0.09+AI31/1.03*0.03</f>
        <v/>
      </c>
      <c r="AL36" s="227" t="n"/>
    </row>
    <row r="37" ht="14" customFormat="1" customHeight="1" s="180">
      <c r="A37" s="33" t="n"/>
      <c r="B37" s="199" t="n"/>
      <c r="C37" s="199" t="n"/>
      <c r="D37" s="218" t="inlineStr">
        <is>
          <t>材料库存（注：项目已结算未使用材料冲减项目成本，负数填报）</t>
        </is>
      </c>
      <c r="E37" s="223" t="n"/>
      <c r="F37" s="223" t="n"/>
      <c r="G37" s="223" t="n"/>
      <c r="H37" s="224" t="n"/>
      <c r="I37" s="224" t="n"/>
      <c r="J37" s="189" t="n"/>
      <c r="K37" s="201" t="n"/>
      <c r="L37" s="202" t="n"/>
      <c r="M37" s="224" t="n"/>
      <c r="N37" s="224" t="n"/>
      <c r="O37" s="189" t="n"/>
      <c r="P37" s="189" t="n"/>
      <c r="Q37" s="189" t="n"/>
      <c r="R37" s="189" t="n"/>
      <c r="S37" s="203" t="n"/>
      <c r="T37" s="224" t="n"/>
      <c r="U37" s="224" t="n"/>
      <c r="V37" s="224" t="n"/>
      <c r="W37" s="224" t="n"/>
      <c r="X37" s="224" t="n"/>
      <c r="Y37" s="224" t="n"/>
      <c r="Z37" s="189" t="n"/>
      <c r="AA37" s="224" t="n"/>
      <c r="AB37" s="226" t="n"/>
      <c r="AC37" s="226" t="n"/>
      <c r="AD37" s="226" t="n"/>
      <c r="AE37" s="226" t="n"/>
      <c r="AF37" s="226" t="n"/>
      <c r="AG37" s="226" t="n"/>
      <c r="AH37" s="226" t="n"/>
      <c r="AI37" s="226" t="n"/>
      <c r="AJ37" s="226" t="n"/>
      <c r="AK37" s="188" t="n"/>
      <c r="AL37" s="227" t="n"/>
    </row>
    <row r="38" ht="14" customFormat="1" customHeight="1" s="180">
      <c r="A38" s="206" t="n">
        <v>3</v>
      </c>
      <c r="B38" s="206" t="inlineStr">
        <is>
          <t>100237790</t>
        </is>
      </c>
      <c r="C38" s="207" t="inlineStr">
        <is>
          <t>中建四局0200202104506006</t>
        </is>
      </c>
      <c r="D38" s="207" t="inlineStr">
        <is>
          <t>佛山唐贵五金电器有限公司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36234</v>
      </c>
      <c r="N38" s="210" t="n">
        <v>4710.42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40944.42</v>
      </c>
      <c r="U38" s="206" t="n"/>
      <c r="V38" s="206" t="n"/>
    </row>
    <row r="39" ht="14" customFormat="1" customHeight="1" s="180">
      <c r="A39" s="206" t="n">
        <v>4</v>
      </c>
      <c r="B39" s="206" t="inlineStr">
        <is>
          <t>100082646</t>
        </is>
      </c>
      <c r="C39" s="207" t="inlineStr">
        <is>
          <t>中建四局0200202104506020</t>
        </is>
      </c>
      <c r="D39" s="207" t="inlineStr">
        <is>
          <t>佛山市南海升辉水泥预制件厂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88252.49000000001</v>
      </c>
      <c r="N39" s="210" t="n">
        <v>11472.83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20000</v>
      </c>
      <c r="U39" s="206" t="n"/>
      <c r="V39" s="206" t="n"/>
    </row>
    <row r="40" ht="14" customFormat="1" customHeight="1" s="180">
      <c r="A40" s="206" t="n">
        <v>5</v>
      </c>
      <c r="B40" s="206" t="inlineStr">
        <is>
          <t>200086855</t>
        </is>
      </c>
      <c r="C40" s="207" t="inlineStr">
        <is>
          <t>中建四局0200202104506011</t>
        </is>
      </c>
      <c r="D40" s="207" t="inlineStr">
        <is>
          <t>佛山市拓海电气设备有限公司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52325.54</v>
      </c>
      <c r="N40" s="210" t="n">
        <v>6802.32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20000</v>
      </c>
      <c r="U40" s="206" t="n"/>
      <c r="V40" s="206" t="n"/>
    </row>
    <row r="41" ht="14" customFormat="1" customHeight="1" s="180">
      <c r="A41" s="206" t="n">
        <v>6</v>
      </c>
      <c r="B41" s="206" t="inlineStr">
        <is>
          <t>200571072</t>
        </is>
      </c>
      <c r="C41" s="207" t="inlineStr">
        <is>
          <t>中建四局0200202104506023</t>
        </is>
      </c>
      <c r="D41" s="207" t="inlineStr">
        <is>
          <t>佛山市益晋建筑材料销售有限公司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32235427.77</v>
      </c>
      <c r="N41" s="210" t="n">
        <v>4190605.59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21170000</v>
      </c>
      <c r="U41" s="206" t="n"/>
      <c r="V41" s="206" t="n"/>
    </row>
    <row r="42" ht="14" customFormat="1" customHeight="1" s="180">
      <c r="A42" s="206" t="n">
        <v>7</v>
      </c>
      <c r="B42" s="206" t="inlineStr">
        <is>
          <t>200162951</t>
        </is>
      </c>
      <c r="C42" s="207" t="inlineStr">
        <is>
          <t>中建四局0200202104506004</t>
        </is>
      </c>
      <c r="D42" s="207" t="inlineStr">
        <is>
          <t>佛山市翊德通新型环保科技建材有限公司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500281.97</v>
      </c>
      <c r="N42" s="210" t="n">
        <v>65036.66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470000</v>
      </c>
      <c r="U42" s="206" t="n"/>
      <c r="V42" s="206" t="n"/>
    </row>
    <row r="43" ht="14" customFormat="1" customHeight="1" s="180">
      <c r="A43" s="206" t="n">
        <v>8</v>
      </c>
      <c r="B43" s="206" t="inlineStr">
        <is>
          <t>100217517</t>
        </is>
      </c>
      <c r="C43" s="207" t="inlineStr">
        <is>
          <t>中建四局020020210045060001</t>
        </is>
      </c>
      <c r="D43" s="207" t="inlineStr">
        <is>
          <t>佛山市顺德区恒锦源贸易有限公司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203010</v>
      </c>
      <c r="N43" s="210" t="n">
        <v>26391.3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</row>
    <row r="44" ht="14" customFormat="1" customHeight="1" s="180">
      <c r="A44" s="206" t="n">
        <v>9</v>
      </c>
      <c r="B44" s="206" t="inlineStr">
        <is>
          <t>100217517</t>
        </is>
      </c>
      <c r="C44" s="207" t="inlineStr">
        <is>
          <t>中建四局0200202104506005</t>
        </is>
      </c>
      <c r="D44" s="207" t="inlineStr">
        <is>
          <t>佛山市顺德区恒锦源贸易有限公司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776841.17</v>
      </c>
      <c r="N44" s="210" t="n">
        <v>100989.34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646000</v>
      </c>
      <c r="U44" s="206" t="n"/>
      <c r="V44" s="206" t="n"/>
    </row>
    <row r="45" ht="14" customFormat="1" customHeight="1" s="180">
      <c r="A45" s="206" t="n">
        <v>10</v>
      </c>
      <c r="B45" s="206" t="inlineStr">
        <is>
          <t>100217517</t>
        </is>
      </c>
      <c r="C45" s="207" t="inlineStr">
        <is>
          <t>中建四局0200202104506009</t>
        </is>
      </c>
      <c r="D45" s="207" t="inlineStr">
        <is>
          <t>佛山市顺德区恒锦源贸易有限公司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361593.1</v>
      </c>
      <c r="N45" s="210" t="n">
        <v>47007.09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140000</v>
      </c>
      <c r="U45" s="206" t="n"/>
      <c r="V45" s="206" t="n"/>
    </row>
    <row r="46" ht="14" customFormat="1" customHeight="1" s="180">
      <c r="A46" s="206" t="n">
        <v>11</v>
      </c>
      <c r="B46" s="206" t="inlineStr">
        <is>
          <t>200417828</t>
        </is>
      </c>
      <c r="C46" s="207" t="inlineStr">
        <is>
          <t>中建四局0200202104506015</t>
        </is>
      </c>
      <c r="D46" s="207" t="inlineStr">
        <is>
          <t>佛山市顺德区联皓科技开发有限公司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2661431.4</v>
      </c>
      <c r="N46" s="210" t="n">
        <v>345986.09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2100000</v>
      </c>
      <c r="U46" s="206" t="n"/>
      <c r="V46" s="206" t="n"/>
    </row>
    <row r="47" ht="14" customFormat="1" customHeight="1" s="180">
      <c r="A47" s="206" t="n">
        <v>12</v>
      </c>
      <c r="B47" s="206" t="inlineStr">
        <is>
          <t>100006706</t>
        </is>
      </c>
      <c r="C47" s="207" t="inlineStr">
        <is>
          <t>中建四局0200202104506025</t>
        </is>
      </c>
      <c r="D47" s="207" t="inlineStr">
        <is>
          <t>品茗科技股份有限公司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38641.38</v>
      </c>
      <c r="N47" s="210" t="n">
        <v>5023.38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39000</v>
      </c>
      <c r="U47" s="206" t="n"/>
      <c r="V47" s="206" t="n"/>
    </row>
    <row r="48" ht="14" customFormat="1" customHeight="1" s="180">
      <c r="A48" s="206" t="n">
        <v>13</v>
      </c>
      <c r="B48" s="206" t="inlineStr">
        <is>
          <t>200228960</t>
        </is>
      </c>
      <c r="C48" s="207" t="inlineStr">
        <is>
          <t>中建四局0200202104506010</t>
        </is>
      </c>
      <c r="D48" s="207" t="inlineStr">
        <is>
          <t>地兴实业（广州）有限公司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152645.27</v>
      </c>
      <c r="N48" s="210" t="n">
        <v>19843.86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120000</v>
      </c>
      <c r="U48" s="206" t="n"/>
      <c r="V48" s="206" t="n"/>
    </row>
    <row r="49" ht="14" customFormat="1" customHeight="1" s="180">
      <c r="A49" s="206" t="n">
        <v>14</v>
      </c>
      <c r="B49" s="206" t="inlineStr">
        <is>
          <t>200563704</t>
        </is>
      </c>
      <c r="C49" s="207" t="inlineStr">
        <is>
          <t>中建四局0200202104506022</t>
        </is>
      </c>
      <c r="D49" s="207" t="inlineStr">
        <is>
          <t>山东晟初供应链管理有限责任公司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5302261.73</v>
      </c>
      <c r="N49" s="210" t="n">
        <v>689294.02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4743834.61</v>
      </c>
      <c r="U49" s="206" t="n"/>
      <c r="V49" s="206" t="n"/>
    </row>
    <row r="50" ht="14" customFormat="1" customHeight="1" s="180">
      <c r="A50" s="206" t="n">
        <v>15</v>
      </c>
      <c r="B50" s="206" t="inlineStr">
        <is>
          <t>200486755</t>
        </is>
      </c>
      <c r="C50" s="207" t="inlineStr">
        <is>
          <t>中建四局0200202104506024</t>
        </is>
      </c>
      <c r="D50" s="207" t="inlineStr">
        <is>
          <t>广东冠祥新型建材有限公司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608304.67</v>
      </c>
      <c r="N50" s="210" t="n">
        <v>79079.60000000001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374000</v>
      </c>
      <c r="U50" s="206" t="n"/>
      <c r="V50" s="206" t="n"/>
    </row>
    <row r="51" ht="14" customFormat="1" customHeight="1" s="180">
      <c r="A51" s="206" t="n">
        <v>16</v>
      </c>
      <c r="B51" s="206" t="inlineStr">
        <is>
          <t>100217564</t>
        </is>
      </c>
      <c r="C51" s="207" t="inlineStr">
        <is>
          <t>中建四局0200202104506002</t>
        </is>
      </c>
      <c r="D51" s="207" t="inlineStr">
        <is>
          <t>广东顺德雍强贸易有限公司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475239.69</v>
      </c>
      <c r="N51" s="210" t="n">
        <v>61781.16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120000</v>
      </c>
      <c r="U51" s="206" t="n"/>
      <c r="V51" s="206" t="n"/>
    </row>
    <row r="52" ht="14" customFormat="1" customHeight="1" s="180">
      <c r="A52" s="206" t="n">
        <v>17</v>
      </c>
      <c r="B52" s="206" t="inlineStr">
        <is>
          <t>100217350</t>
        </is>
      </c>
      <c r="C52" s="207" t="inlineStr">
        <is>
          <t>中建四局0200202104506003</t>
        </is>
      </c>
      <c r="D52" s="207" t="inlineStr">
        <is>
          <t>广州市嘉宇金属制品有限公司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5220</v>
      </c>
      <c r="N52" s="210" t="n">
        <v>678.6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5898.6</v>
      </c>
      <c r="U52" s="206" t="n"/>
      <c r="V52" s="206" t="n"/>
    </row>
    <row r="53" ht="14" customFormat="1" customHeight="1" s="180">
      <c r="A53" s="206" t="n">
        <v>18</v>
      </c>
      <c r="B53" s="206" t="inlineStr">
        <is>
          <t>100006014</t>
        </is>
      </c>
      <c r="C53" s="207" t="inlineStr">
        <is>
          <t>中建四局0200202104506013</t>
        </is>
      </c>
      <c r="D53" s="207" t="inlineStr">
        <is>
          <t>广州市番禺区石楼镇沙南建材二厂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1393544.89</v>
      </c>
      <c r="N53" s="210" t="n">
        <v>181160.83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1031000</v>
      </c>
      <c r="U53" s="206" t="n"/>
      <c r="V53" s="206" t="n"/>
    </row>
    <row r="54" ht="14" customFormat="1" customHeight="1" s="180">
      <c r="A54" s="206" t="n">
        <v>19</v>
      </c>
      <c r="B54" s="206" t="inlineStr">
        <is>
          <t>100119801</t>
        </is>
      </c>
      <c r="C54" s="207" t="inlineStr">
        <is>
          <t>中建四局0200202104506014</t>
        </is>
      </c>
      <c r="D54" s="207" t="inlineStr">
        <is>
          <t>广州禄臻贸易有限公司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64927.94</v>
      </c>
      <c r="N54" s="210" t="n">
        <v>8440.610000000001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54000</v>
      </c>
      <c r="U54" s="206" t="n"/>
      <c r="V54" s="206" t="n"/>
    </row>
    <row r="55" ht="14" customFormat="1" customHeight="1" s="180">
      <c r="A55" s="206" t="n">
        <v>20</v>
      </c>
      <c r="B55" s="206" t="inlineStr">
        <is>
          <t>100237088</t>
        </is>
      </c>
      <c r="C55" s="207" t="inlineStr">
        <is>
          <t>中建四局0200202104506021</t>
        </is>
      </c>
      <c r="D55" s="207" t="inlineStr">
        <is>
          <t>无锡市恒顺金属材料有限公司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18441166.94</v>
      </c>
      <c r="N55" s="210" t="n">
        <v>2397351.73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9585000</v>
      </c>
      <c r="U55" s="206" t="n"/>
      <c r="V55" s="206" t="n"/>
    </row>
    <row r="56" ht="14" customFormat="1" customHeight="1" s="180">
      <c r="A56" s="206" t="n">
        <v>21</v>
      </c>
      <c r="B56" s="206" t="inlineStr">
        <is>
          <t>200132050</t>
        </is>
      </c>
      <c r="C56" s="207" t="inlineStr">
        <is>
          <t>中建四局0200202104506019</t>
        </is>
      </c>
      <c r="D56" s="207" t="inlineStr">
        <is>
          <t>江门市擎宏科技实业有限公司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513151.15</v>
      </c>
      <c r="N56" s="210" t="n">
        <v>66709.64999999999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396000</v>
      </c>
      <c r="U56" s="206" t="n"/>
      <c r="V56" s="206" t="n"/>
    </row>
    <row r="57" ht="14" customFormat="1" customHeight="1" s="180">
      <c r="A57" s="206" t="n">
        <v>22</v>
      </c>
      <c r="B57" s="206" t="inlineStr">
        <is>
          <t>100022585</t>
        </is>
      </c>
      <c r="C57" s="207" t="inlineStr">
        <is>
          <t>中建四局0200202104506001</t>
        </is>
      </c>
      <c r="D57" s="207" t="inlineStr">
        <is>
          <t>漳州路桥物资发展有限公司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4104767.08</v>
      </c>
      <c r="N57" s="210" t="n">
        <v>533619.72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3321130.53</v>
      </c>
      <c r="U57" s="206" t="n"/>
      <c r="V57" s="206" t="n"/>
    </row>
    <row r="58" ht="14" customFormat="1" customHeight="1" s="180">
      <c r="A58" s="206" t="n">
        <v>23</v>
      </c>
      <c r="B58" s="206" t="inlineStr">
        <is>
          <t>100199057</t>
        </is>
      </c>
      <c r="C58" s="207" t="inlineStr">
        <is>
          <t>中建四局0200202104506007</t>
        </is>
      </c>
      <c r="D58" s="207" t="inlineStr">
        <is>
          <t>福建省莆田市龙兴劳保用品有限公司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96272</v>
      </c>
      <c r="N58" s="210" t="n">
        <v>12515.36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06" t="n"/>
      <c r="U58" s="206" t="n"/>
      <c r="V58" s="206" t="n"/>
    </row>
    <row r="59" ht="14" customFormat="1" customHeight="1" s="180">
      <c r="A59" s="206" t="n">
        <v>24</v>
      </c>
      <c r="B59" s="206" t="inlineStr">
        <is>
          <t>100199057</t>
        </is>
      </c>
      <c r="C59" s="207" t="inlineStr">
        <is>
          <t>中建四局0200202104506008</t>
        </is>
      </c>
      <c r="D59" s="207" t="inlineStr">
        <is>
          <t>福建省莆田市龙兴劳保用品有限公司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87520</v>
      </c>
      <c r="N59" s="210" t="n">
        <v>11377.6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</row>
    <row r="60" ht="14" customFormat="1" customHeight="1" s="180">
      <c r="A60" s="206" t="n">
        <v>25</v>
      </c>
      <c r="B60" s="206" t="n"/>
      <c r="C60" s="207" t="n"/>
      <c r="D60" s="207" t="inlineStr">
        <is>
          <t>减：研发费用-材料费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-8056947.95</v>
      </c>
      <c r="N60" s="206" t="n"/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06" t="n"/>
      <c r="U60" s="206" t="n"/>
      <c r="V60" s="206" t="n"/>
    </row>
    <row r="61" ht="14" customFormat="1" customHeight="1" s="180">
      <c r="A61" s="206" t="n"/>
      <c r="B61" s="206" t="n"/>
      <c r="C61" s="207" t="n"/>
      <c r="D61" s="207" t="inlineStr">
        <is>
          <t>材料调入+CFK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06" t="n"/>
      <c r="N61" s="206" t="n"/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06" t="n"/>
      <c r="U61" s="206" t="n"/>
      <c r="V61" s="206" t="n"/>
    </row>
    <row r="62" ht="14" customFormat="1" customHeight="1" s="180">
      <c r="A62" s="206" t="n"/>
      <c r="B62" s="206" t="n"/>
      <c r="C62" s="207" t="n"/>
      <c r="D62" s="207" t="inlineStr">
        <is>
          <t>材料调出+XSD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06" t="n"/>
      <c r="N62" s="206" t="n"/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06" t="n"/>
      <c r="U62" s="206" t="n"/>
      <c r="V62" s="206" t="n"/>
    </row>
    <row r="63" ht="14" customFormat="1" customHeight="1" s="180">
      <c r="A63" s="206" t="n"/>
      <c r="B63" s="206" t="n"/>
      <c r="C63" s="207" t="n"/>
      <c r="D63" s="207" t="inlineStr">
        <is>
          <t>材料调出+SQD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06" t="n"/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</row>
    <row r="64" ht="14" customFormat="1" customHeight="1" s="180">
      <c r="A64" s="206" t="n">
        <v>26</v>
      </c>
      <c r="B64" s="206" t="n"/>
      <c r="C64" s="207" t="n"/>
      <c r="D64" s="207" t="inlineStr">
        <is>
          <t>废旧物资消耗</t>
        </is>
      </c>
      <c r="E64" s="206" t="n"/>
      <c r="F64" s="206" t="n"/>
      <c r="G64" s="206" t="n"/>
      <c r="H64" s="206" t="n"/>
      <c r="I64" s="206" t="n"/>
      <c r="J64" s="206" t="n"/>
      <c r="K64" s="208" t="n"/>
      <c r="L64" s="209" t="n"/>
      <c r="M64" s="210" t="n">
        <v>-202535.6</v>
      </c>
      <c r="N64" s="206" t="n"/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06" t="n"/>
      <c r="U64" s="206" t="n"/>
      <c r="V64" s="206" t="n"/>
    </row>
    <row r="65" ht="14" customFormat="1" customHeight="1" s="180">
      <c r="A65" s="206" t="n"/>
      <c r="B65" s="206" t="n"/>
      <c r="C65" s="207" t="n"/>
      <c r="D65" s="207" t="inlineStr">
        <is>
          <t>废旧物资消耗（SQD）</t>
        </is>
      </c>
      <c r="E65" s="206" t="n"/>
      <c r="F65" s="206" t="n"/>
      <c r="G65" s="206" t="n"/>
      <c r="H65" s="206" t="n"/>
      <c r="I65" s="206" t="n"/>
      <c r="J65" s="206" t="n"/>
      <c r="K65" s="208" t="n"/>
      <c r="L65" s="209" t="n"/>
      <c r="M65" s="206" t="n"/>
      <c r="N65" s="206" t="n"/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06" t="n"/>
      <c r="U65" s="206" t="n"/>
      <c r="V65" s="206" t="n"/>
    </row>
    <row r="66" ht="14" customFormat="1" customHeight="1" s="180">
      <c r="A66" s="33" t="n"/>
      <c r="B66" s="199" t="n"/>
      <c r="C66" s="199" t="n"/>
      <c r="D66" s="211" t="inlineStr">
        <is>
          <t>**财务未列部分需增列***</t>
        </is>
      </c>
      <c r="E66" s="219" t="n"/>
      <c r="F66" s="219" t="n"/>
      <c r="G66" s="219" t="n"/>
      <c r="H66" s="189" t="n"/>
      <c r="I66" s="189" t="n"/>
      <c r="J66" s="189" t="n"/>
      <c r="K66" s="201" t="n"/>
      <c r="L66" s="202" t="n"/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203" t="n"/>
      <c r="U66" s="203" t="n"/>
      <c r="V66" s="203" t="n"/>
      <c r="W66" s="203" t="n"/>
      <c r="X66" s="203" t="n"/>
      <c r="Y66" s="203" t="n"/>
      <c r="Z66" s="203" t="n"/>
      <c r="AA66" s="203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188">
        <f>AB33/1.17*0.17+AC33/1.16*0.16+AD33/1.11*0.11+AE33/1.1*0.1+AF33/1.09*0.09+AI33/1.03*0.03</f>
        <v/>
      </c>
      <c r="AL66" s="221" t="n"/>
    </row>
    <row r="67" ht="14" customFormat="1" customHeight="1" s="180">
      <c r="A67" s="41" t="n"/>
      <c r="B67" s="215" t="n"/>
      <c r="C67" s="215" t="n"/>
      <c r="D67" s="216" t="inlineStr">
        <is>
          <t>材料费小计：</t>
        </is>
      </c>
      <c r="E67" s="217">
        <f>SUM(E32:E66)</f>
        <v/>
      </c>
      <c r="F67" s="217">
        <f>SUM(F32:F66)</f>
        <v/>
      </c>
      <c r="G67" s="217">
        <f>SUM(G32:G66)</f>
        <v/>
      </c>
      <c r="H67" s="217">
        <f>SUM(H32:H66)</f>
        <v/>
      </c>
      <c r="I67" s="217">
        <f>SUM(I32:I66)</f>
        <v/>
      </c>
      <c r="J67" s="217">
        <f>SUM(J32:J66)</f>
        <v/>
      </c>
      <c r="K67" s="217">
        <f>SUM(K32:K66)</f>
        <v/>
      </c>
      <c r="L67" s="217">
        <f>SUM(L32:L66)</f>
        <v/>
      </c>
      <c r="M67" s="217">
        <f>SUM(M32:M66)</f>
        <v/>
      </c>
      <c r="N67" s="217">
        <f>SUM(N32:N66)</f>
        <v/>
      </c>
      <c r="O67" s="217">
        <f>SUM(O32:O66)</f>
        <v/>
      </c>
      <c r="P67" s="217">
        <f>SUM(P32:P66)</f>
        <v/>
      </c>
      <c r="Q67" s="217">
        <f>SUM(Q32:Q66)</f>
        <v/>
      </c>
      <c r="R67" s="217">
        <f>SUM(R32:R66)</f>
        <v/>
      </c>
      <c r="S67" s="217">
        <f>SUM(S32:S66)</f>
        <v/>
      </c>
      <c r="T67" s="217">
        <f>SUM(T32:T66)</f>
        <v/>
      </c>
      <c r="U67" s="217">
        <f>SUM(U32:U66)</f>
        <v/>
      </c>
      <c r="V67" s="217">
        <f>SUM(V32:V66)</f>
        <v/>
      </c>
      <c r="W67" s="217">
        <f>SUM(W32:W66)</f>
        <v/>
      </c>
      <c r="X67" s="217">
        <f>SUM(X32:X66)</f>
        <v/>
      </c>
      <c r="Y67" s="217">
        <f>SUM(Y32:Y66)</f>
        <v/>
      </c>
      <c r="Z67" s="217">
        <f>SUM(Z32:Z66)</f>
        <v/>
      </c>
      <c r="AA67" s="217">
        <f>SUM(AA32:AA66)</f>
        <v/>
      </c>
      <c r="AB67" s="217">
        <f>SUM(AB32:AB66)</f>
        <v/>
      </c>
      <c r="AC67" s="217">
        <f>SUM(AC32:AC66)</f>
        <v/>
      </c>
      <c r="AD67" s="217">
        <f>SUM(AD32:AD66)</f>
        <v/>
      </c>
      <c r="AE67" s="217">
        <f>SUM(AE32:AE66)</f>
        <v/>
      </c>
      <c r="AF67" s="217">
        <f>SUM(AF32:AF66)</f>
        <v/>
      </c>
      <c r="AG67" s="217">
        <f>SUM(AG32:AG66)</f>
        <v/>
      </c>
      <c r="AH67" s="217">
        <f>SUM(AH32:AH66)</f>
        <v/>
      </c>
      <c r="AI67" s="217">
        <f>SUM(AI32:AI66)</f>
        <v/>
      </c>
      <c r="AJ67" s="217">
        <f>SUM(AJ32:AJ66)</f>
        <v/>
      </c>
      <c r="AK67" s="217">
        <f>SUM(AK32:AK66)</f>
        <v/>
      </c>
      <c r="AL67" s="204" t="n"/>
    </row>
    <row r="68" ht="14" customFormat="1" customHeight="1" s="180">
      <c r="A68" s="33" t="n"/>
      <c r="B68" s="199" t="n"/>
      <c r="C68" s="199" t="n"/>
      <c r="D68" s="218" t="inlineStr">
        <is>
          <t>(四）机械租赁费</t>
        </is>
      </c>
      <c r="E68" s="212" t="n"/>
      <c r="F68" s="212" t="n"/>
      <c r="G68" s="212" t="n"/>
      <c r="H68" s="189" t="n"/>
      <c r="I68" s="189" t="n"/>
      <c r="J68" s="189" t="n"/>
      <c r="K68" s="201" t="n">
        <v>0</v>
      </c>
      <c r="L68" s="202">
        <f>J68-K68</f>
        <v/>
      </c>
      <c r="M68" s="184" t="n"/>
      <c r="N68" s="184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203" t="n"/>
      <c r="AA68" s="203" t="n"/>
      <c r="AB68" s="203" t="n"/>
      <c r="AC68" s="203" t="n"/>
      <c r="AD68" s="203" t="n"/>
      <c r="AE68" s="203" t="n"/>
      <c r="AF68" s="203" t="n"/>
      <c r="AG68" s="203" t="n"/>
      <c r="AH68" s="203" t="n"/>
      <c r="AI68" s="203" t="n"/>
      <c r="AJ68" s="203" t="n"/>
      <c r="AK68" s="188">
        <f>AB35/1.17*0.17+AC35/1.16*0.16+AD35/1.11*0.11+AE35/1.1*0.1+AF35/1.09*0.09+AI35/1.03*0.03</f>
        <v/>
      </c>
      <c r="AL68" s="204" t="n"/>
    </row>
    <row r="69" ht="39" customFormat="1" customHeight="1" s="180">
      <c r="A69" s="206" t="n">
        <v>1</v>
      </c>
      <c r="B69" s="206" t="inlineStr">
        <is>
          <t>200210767</t>
        </is>
      </c>
      <c r="C69" s="207" t="inlineStr">
        <is>
          <t>中建四局0200202104505005</t>
        </is>
      </c>
      <c r="D69" s="207" t="inlineStr">
        <is>
          <t>佛山市格瑞卡工程机械有限公司</t>
        </is>
      </c>
      <c r="E69" s="206" t="n"/>
      <c r="F69" s="206" t="n"/>
      <c r="G69" s="206" t="n"/>
      <c r="H69" s="206" t="n"/>
      <c r="I69" s="206" t="n"/>
      <c r="J69" s="206">
        <f>H69+I69</f>
        <v/>
      </c>
      <c r="K69" s="208" t="n"/>
      <c r="L69" s="209">
        <f>J69-K69</f>
        <v/>
      </c>
      <c r="M69" s="210" t="n">
        <v>525678.79</v>
      </c>
      <c r="N69" s="210" t="n">
        <v>68338.25</v>
      </c>
      <c r="O69" s="206">
        <f>L69-M69</f>
        <v/>
      </c>
      <c r="P69" s="206">
        <f>K69-N69</f>
        <v/>
      </c>
      <c r="Q69" s="206">
        <f>M69+O69</f>
        <v/>
      </c>
      <c r="R69" s="206">
        <f>M69+N69+O69+P69</f>
        <v/>
      </c>
      <c r="S69" s="206" t="n"/>
      <c r="T69" s="210" t="n">
        <v>500000</v>
      </c>
      <c r="U69" s="206" t="n"/>
      <c r="V69" s="206" t="n"/>
    </row>
    <row r="70" ht="14" customFormat="1" customHeight="1" s="180">
      <c r="A70" s="206" t="n">
        <v>2</v>
      </c>
      <c r="B70" s="206" t="inlineStr">
        <is>
          <t>100051486</t>
        </is>
      </c>
      <c r="C70" s="207" t="inlineStr">
        <is>
          <t>中建四局0200202104505001</t>
        </is>
      </c>
      <c r="D70" s="207" t="inlineStr">
        <is>
          <t>佛山市赢鑫建筑机械租赁有限公司</t>
        </is>
      </c>
      <c r="E70" s="206" t="n"/>
      <c r="F70" s="206" t="n"/>
      <c r="G70" s="206" t="n"/>
      <c r="H70" s="206" t="n"/>
      <c r="I70" s="206" t="n"/>
      <c r="J70" s="206">
        <f>H70+I70</f>
        <v/>
      </c>
      <c r="K70" s="208" t="n"/>
      <c r="L70" s="209">
        <f>J70-K70</f>
        <v/>
      </c>
      <c r="M70" s="210" t="n">
        <v>2664395.77</v>
      </c>
      <c r="N70" s="210" t="n">
        <v>384884.26</v>
      </c>
      <c r="O70" s="206">
        <f>L70-M70</f>
        <v/>
      </c>
      <c r="P70" s="206">
        <f>K70-N70</f>
        <v/>
      </c>
      <c r="Q70" s="206">
        <f>M70+O70</f>
        <v/>
      </c>
      <c r="R70" s="206">
        <f>M70+N70+O70+P70</f>
        <v/>
      </c>
      <c r="S70" s="206" t="n"/>
      <c r="T70" s="210" t="n">
        <v>2589487</v>
      </c>
      <c r="U70" s="206" t="n"/>
      <c r="V70" s="206" t="n"/>
    </row>
    <row r="71" ht="14" customFormat="1" customHeight="1" s="180">
      <c r="A71" s="206" t="n">
        <v>3</v>
      </c>
      <c r="B71" s="206" t="inlineStr">
        <is>
          <t>100051486</t>
        </is>
      </c>
      <c r="C71" s="207" t="inlineStr">
        <is>
          <t>中建四局0200202104505006</t>
        </is>
      </c>
      <c r="D71" s="207" t="inlineStr">
        <is>
          <t>佛山市赢鑫建筑机械租赁有限公司</t>
        </is>
      </c>
      <c r="E71" s="206" t="n"/>
      <c r="F71" s="206" t="n"/>
      <c r="G71" s="206" t="n"/>
      <c r="H71" s="206" t="n"/>
      <c r="I71" s="206" t="n"/>
      <c r="J71" s="206">
        <f>H71+I71</f>
        <v/>
      </c>
      <c r="K71" s="208" t="n"/>
      <c r="L71" s="209">
        <f>J71-K71</f>
        <v/>
      </c>
      <c r="M71" s="210" t="n">
        <v>1649466.49</v>
      </c>
      <c r="N71" s="210" t="n">
        <v>209938.79</v>
      </c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10" t="n">
        <v>1200000</v>
      </c>
      <c r="U71" s="206" t="n"/>
      <c r="V71" s="206" t="n"/>
    </row>
    <row r="72" ht="14" customFormat="1" customHeight="1" s="180">
      <c r="A72" s="206" t="n">
        <v>4</v>
      </c>
      <c r="B72" s="206" t="inlineStr">
        <is>
          <t>100117504</t>
        </is>
      </c>
      <c r="C72" s="207" t="inlineStr">
        <is>
          <t>中建四局0200202104505003</t>
        </is>
      </c>
      <c r="D72" s="207" t="inlineStr">
        <is>
          <t>广州大丰工程机械设备有限公司</t>
        </is>
      </c>
      <c r="E72" s="206" t="n"/>
      <c r="F72" s="206" t="n"/>
      <c r="G72" s="206" t="n"/>
      <c r="H72" s="206" t="n"/>
      <c r="I72" s="206" t="n"/>
      <c r="J72" s="206">
        <f>H72+I72</f>
        <v/>
      </c>
      <c r="K72" s="208" t="n"/>
      <c r="L72" s="209">
        <f>J72-K72</f>
        <v/>
      </c>
      <c r="M72" s="210" t="n">
        <v>74299.99000000001</v>
      </c>
      <c r="N72" s="210" t="n">
        <v>9659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83958.99000000001</v>
      </c>
      <c r="U72" s="206" t="n"/>
      <c r="V72" s="206" t="n"/>
    </row>
    <row r="73" ht="14" customFormat="1" customHeight="1" s="180">
      <c r="A73" s="206" t="n">
        <v>5</v>
      </c>
      <c r="B73" s="206" t="inlineStr">
        <is>
          <t>100217502</t>
        </is>
      </c>
      <c r="C73" s="207" t="inlineStr">
        <is>
          <t>中建四局0200202104505004</t>
        </is>
      </c>
      <c r="D73" s="207" t="inlineStr">
        <is>
          <t>广州湘亿货运代理有限公司</t>
        </is>
      </c>
      <c r="E73" s="206" t="n"/>
      <c r="F73" s="206" t="n"/>
      <c r="G73" s="206" t="n"/>
      <c r="H73" s="206" t="n"/>
      <c r="I73" s="206" t="n"/>
      <c r="J73" s="206">
        <f>H73+I73</f>
        <v/>
      </c>
      <c r="K73" s="208" t="n"/>
      <c r="L73" s="209">
        <f>J73-K73</f>
        <v/>
      </c>
      <c r="M73" s="210" t="n">
        <v>14793</v>
      </c>
      <c r="N73" s="210" t="n">
        <v>1331.37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16124.37</v>
      </c>
      <c r="U73" s="206" t="n"/>
      <c r="V73" s="206" t="n"/>
    </row>
    <row r="74" ht="14" customFormat="1" customHeight="1" s="180">
      <c r="A74" s="33" t="n"/>
      <c r="B74" s="199" t="n"/>
      <c r="C74" s="199" t="n"/>
      <c r="D74" s="211" t="inlineStr">
        <is>
          <t>**财务未列部分需增列***</t>
        </is>
      </c>
      <c r="E74" s="228" t="n"/>
      <c r="F74" s="228" t="n"/>
      <c r="G74" s="228" t="n"/>
      <c r="H74" s="189" t="n"/>
      <c r="I74" s="189" t="n"/>
      <c r="J74" s="189" t="n"/>
      <c r="K74" s="201" t="n">
        <v>0</v>
      </c>
      <c r="L74" s="202">
        <f>J74-K74</f>
        <v/>
      </c>
      <c r="M74" s="229" t="n"/>
      <c r="N74" s="229" t="n"/>
      <c r="O74" s="189">
        <f>L74-M74</f>
        <v/>
      </c>
      <c r="P74" s="189">
        <f>K74-N74</f>
        <v/>
      </c>
      <c r="Q74" s="189">
        <f>M74+O74</f>
        <v/>
      </c>
      <c r="R74" s="189">
        <f>M74+N74+O74+P74</f>
        <v/>
      </c>
      <c r="S74" s="203">
        <f>SUM(T74:V74)</f>
        <v/>
      </c>
      <c r="T74" s="229" t="n"/>
      <c r="U74" s="229" t="n"/>
      <c r="V74" s="229" t="n"/>
      <c r="W74" s="229" t="n"/>
      <c r="X74" s="229" t="n"/>
      <c r="Y74" s="229" t="n"/>
      <c r="Z74" s="229" t="n"/>
      <c r="AA74" s="203" t="n"/>
      <c r="AB74" s="188" t="n"/>
      <c r="AC74" s="188" t="n"/>
      <c r="AD74" s="188" t="n"/>
      <c r="AE74" s="188" t="n"/>
      <c r="AF74" s="188" t="n"/>
      <c r="AG74" s="188" t="n"/>
      <c r="AH74" s="188" t="n"/>
      <c r="AI74" s="188" t="n"/>
      <c r="AJ74" s="188" t="n"/>
      <c r="AK74" s="188">
        <f>AB37/1.17*0.17+AC37/1.16*0.16+AD37/1.11*0.11+AE37/1.1*0.1+AF37/1.09*0.09+AI37/1.03*0.03</f>
        <v/>
      </c>
      <c r="AL74" s="214" t="n"/>
    </row>
    <row r="75" ht="14" customFormat="1" customHeight="1" s="180">
      <c r="A75" s="41" t="n"/>
      <c r="B75" s="215" t="n"/>
      <c r="C75" s="215" t="n"/>
      <c r="D75" s="230" t="inlineStr">
        <is>
          <t>机械费小计：</t>
        </is>
      </c>
      <c r="E75" s="231" t="n"/>
      <c r="F75" s="231" t="n"/>
      <c r="G75" s="231" t="n"/>
      <c r="H75" s="217">
        <f>SUM(H68:H74)</f>
        <v/>
      </c>
      <c r="I75" s="217">
        <f>SUM(I68:I74)</f>
        <v/>
      </c>
      <c r="J75" s="217">
        <f>SUM(J68:J74)</f>
        <v/>
      </c>
      <c r="K75" s="217">
        <f>SUM(K68:K74)</f>
        <v/>
      </c>
      <c r="L75" s="232">
        <f>SUM(L68:L74)</f>
        <v/>
      </c>
      <c r="M75" s="217">
        <f>SUM(M68:M74)</f>
        <v/>
      </c>
      <c r="N75" s="217">
        <f>SUM(N68:N74)</f>
        <v/>
      </c>
      <c r="O75" s="217">
        <f>SUM(O68:O74)</f>
        <v/>
      </c>
      <c r="P75" s="217">
        <f>SUM(P68:P74)</f>
        <v/>
      </c>
      <c r="Q75" s="217">
        <f>SUM(Q68:Q74)</f>
        <v/>
      </c>
      <c r="R75" s="217">
        <f>SUM(R68:R74)</f>
        <v/>
      </c>
      <c r="S75" s="217">
        <f>SUM(S68:S74)</f>
        <v/>
      </c>
      <c r="T75" s="217" t="n"/>
      <c r="U75" s="217" t="n"/>
      <c r="V75" s="217" t="n"/>
      <c r="W75" s="217" t="n"/>
      <c r="X75" s="217" t="n"/>
      <c r="Y75" s="217" t="n"/>
      <c r="Z75" s="217">
        <f>SUM(Z68:Z74)</f>
        <v/>
      </c>
      <c r="AA75" s="217">
        <f>SUM(AA68:AA74)</f>
        <v/>
      </c>
      <c r="AB75" s="217" t="n"/>
      <c r="AC75" s="217" t="n"/>
      <c r="AD75" s="217" t="n"/>
      <c r="AE75" s="217" t="n"/>
      <c r="AF75" s="217" t="n"/>
      <c r="AG75" s="217" t="n"/>
      <c r="AH75" s="217" t="n"/>
      <c r="AI75" s="217" t="n"/>
      <c r="AJ75" s="217" t="n"/>
      <c r="AK75" s="217" t="n"/>
      <c r="AL75" s="204" t="n"/>
    </row>
    <row r="76" ht="14" customFormat="1" customHeight="1" s="180">
      <c r="A76" s="33" t="n"/>
      <c r="B76" s="199" t="n"/>
      <c r="C76" s="199" t="n"/>
      <c r="D76" s="218" t="inlineStr">
        <is>
          <t>（五）其他直接费</t>
        </is>
      </c>
      <c r="E76" s="212" t="n"/>
      <c r="F76" s="212" t="n"/>
      <c r="G76" s="212" t="n"/>
      <c r="H76" s="189" t="n"/>
      <c r="I76" s="189" t="n"/>
      <c r="J76" s="184" t="n">
        <v>0</v>
      </c>
      <c r="K76" s="201" t="n">
        <v>0</v>
      </c>
      <c r="L76" s="202">
        <f>J76-N76-P76</f>
        <v/>
      </c>
      <c r="M76" s="233" t="n">
        <v>1769.91</v>
      </c>
      <c r="N76" s="184" t="n"/>
      <c r="O76" s="189">
        <f>L76-M76</f>
        <v/>
      </c>
      <c r="P76" s="189">
        <f>K76-N76</f>
        <v/>
      </c>
      <c r="Q76" s="189">
        <f>M76+O76</f>
        <v/>
      </c>
      <c r="R76" s="189">
        <f>M76+N76+O76+P76</f>
        <v/>
      </c>
      <c r="S76" s="203">
        <f>SUM(T76:V76)</f>
        <v/>
      </c>
      <c r="T76" s="203" t="n"/>
      <c r="U76" s="203" t="n"/>
      <c r="V76" s="203" t="n"/>
      <c r="W76" s="203" t="n"/>
      <c r="X76" s="203" t="n"/>
      <c r="Y76" s="203" t="n"/>
      <c r="Z76" s="203" t="n"/>
      <c r="AA76" s="203" t="n"/>
      <c r="AB76" s="203" t="n"/>
      <c r="AC76" s="203" t="n"/>
      <c r="AD76" s="203" t="n"/>
      <c r="AE76" s="203" t="n"/>
      <c r="AF76" s="203" t="n"/>
      <c r="AG76" s="203" t="n"/>
      <c r="AH76" s="203" t="n"/>
      <c r="AI76" s="203" t="n"/>
      <c r="AJ76" s="203" t="n"/>
      <c r="AK76" s="188" t="n"/>
      <c r="AL76" s="204" t="n"/>
    </row>
    <row r="77" ht="14" customFormat="1" customHeight="1" s="180">
      <c r="A77" s="206" t="n"/>
      <c r="B77" s="206" t="n"/>
      <c r="C77" s="207" t="n"/>
      <c r="D77" s="207" t="inlineStr">
        <is>
          <t>保险费</t>
        </is>
      </c>
      <c r="E77" s="206" t="n"/>
      <c r="F77" s="206" t="n"/>
      <c r="G77" s="206" t="n"/>
      <c r="H77" s="206" t="n"/>
      <c r="I77" s="206" t="n"/>
      <c r="J77" s="206">
        <f>H77+I77</f>
        <v/>
      </c>
      <c r="K77" s="208" t="n"/>
      <c r="L77" s="209">
        <f>J77-K77</f>
        <v/>
      </c>
      <c r="M77" s="210" t="n">
        <v>724899.0600000001</v>
      </c>
      <c r="N77" s="206" t="n"/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06" t="n"/>
      <c r="U77" s="206" t="n"/>
      <c r="V77" s="206" t="n"/>
    </row>
    <row r="78" ht="26" customFormat="1" customHeight="1" s="180">
      <c r="A78" s="206" t="n"/>
      <c r="B78" s="206" t="n"/>
      <c r="C78" s="207" t="n"/>
      <c r="D78" s="207" t="inlineStr">
        <is>
          <t>其他</t>
        </is>
      </c>
      <c r="E78" s="206" t="n"/>
      <c r="F78" s="206" t="n"/>
      <c r="G78" s="206" t="n"/>
      <c r="H78" s="206" t="n"/>
      <c r="I78" s="206" t="n"/>
      <c r="J78" s="206">
        <f>H78+I78</f>
        <v/>
      </c>
      <c r="K78" s="208" t="n"/>
      <c r="L78" s="209">
        <f>J78-K78</f>
        <v/>
      </c>
      <c r="M78" s="210" t="n">
        <v>79235.21000000001</v>
      </c>
      <c r="N78" s="206" t="n"/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06" t="n"/>
      <c r="U78" s="206" t="n"/>
      <c r="V78" s="206" t="n"/>
    </row>
    <row r="79" ht="26" customFormat="1" customHeight="1" s="180">
      <c r="A79" s="206" t="n"/>
      <c r="B79" s="206" t="n"/>
      <c r="C79" s="207" t="n"/>
      <c r="D79" s="207" t="inlineStr">
        <is>
          <t>咨询费</t>
        </is>
      </c>
      <c r="E79" s="206" t="n"/>
      <c r="F79" s="206" t="n"/>
      <c r="G79" s="206" t="n"/>
      <c r="H79" s="206" t="n"/>
      <c r="I79" s="206" t="n"/>
      <c r="J79" s="206">
        <f>H79+I79</f>
        <v/>
      </c>
      <c r="K79" s="208" t="n"/>
      <c r="L79" s="209">
        <f>J79-K79</f>
        <v/>
      </c>
      <c r="M79" s="210" t="n">
        <v>39798</v>
      </c>
      <c r="N79" s="206" t="n"/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06" t="n"/>
      <c r="U79" s="206" t="n"/>
      <c r="V79" s="206" t="n"/>
    </row>
    <row r="80" ht="14" customFormat="1" customHeight="1" s="180">
      <c r="A80" s="206" t="n"/>
      <c r="B80" s="206" t="n"/>
      <c r="C80" s="207" t="n"/>
      <c r="D80" s="207" t="inlineStr">
        <is>
          <t>检验试验费</t>
        </is>
      </c>
      <c r="E80" s="206" t="n"/>
      <c r="F80" s="206" t="n"/>
      <c r="G80" s="206" t="n"/>
      <c r="H80" s="206" t="n"/>
      <c r="I80" s="206" t="n"/>
      <c r="J80" s="206">
        <f>H80+I80</f>
        <v/>
      </c>
      <c r="K80" s="208" t="n"/>
      <c r="L80" s="209">
        <f>J80-K80</f>
        <v/>
      </c>
      <c r="M80" s="210" t="n">
        <v>811573.96</v>
      </c>
      <c r="N80" s="206" t="n"/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06" t="n"/>
      <c r="U80" s="206" t="n"/>
      <c r="V80" s="206" t="n"/>
    </row>
    <row r="81" ht="14" customFormat="1" customHeight="1" s="3">
      <c r="A81" s="206" t="n"/>
      <c r="B81" s="206" t="n"/>
      <c r="C81" s="207" t="n"/>
      <c r="D81" s="207" t="inlineStr">
        <is>
          <t>水电费</t>
        </is>
      </c>
      <c r="E81" s="206" t="n"/>
      <c r="F81" s="206" t="n"/>
      <c r="G81" s="206" t="n"/>
      <c r="H81" s="206" t="n"/>
      <c r="I81" s="206" t="n"/>
      <c r="J81" s="206">
        <f>H81+I81</f>
        <v/>
      </c>
      <c r="K81" s="208" t="n"/>
      <c r="L81" s="209">
        <f>J81-K81</f>
        <v/>
      </c>
      <c r="M81" s="210" t="n">
        <v>1550912.85</v>
      </c>
      <c r="N81" s="206" t="n"/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06" t="n"/>
      <c r="U81" s="206" t="n"/>
      <c r="V81" s="206" t="n"/>
    </row>
    <row r="82" ht="14" customHeight="1" s="159">
      <c r="A82" s="206" t="n"/>
      <c r="B82" s="206" t="n"/>
      <c r="C82" s="207" t="n"/>
      <c r="D82" s="207" t="inlineStr">
        <is>
          <t>测量费</t>
        </is>
      </c>
      <c r="E82" s="206" t="n"/>
      <c r="F82" s="206" t="n"/>
      <c r="G82" s="206" t="n"/>
      <c r="H82" s="206" t="n"/>
      <c r="I82" s="206" t="n"/>
      <c r="J82" s="206">
        <f>H82+I82</f>
        <v/>
      </c>
      <c r="K82" s="208" t="n"/>
      <c r="L82" s="209">
        <f>J82-K82</f>
        <v/>
      </c>
      <c r="M82" s="210" t="n">
        <v>12460.82</v>
      </c>
      <c r="N82" s="206" t="n"/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06" t="n"/>
      <c r="U82" s="206" t="n"/>
      <c r="V82" s="206" t="n"/>
    </row>
    <row r="83" ht="14" customHeight="1" s="159">
      <c r="A83" s="33" t="n"/>
      <c r="B83" s="199" t="n"/>
      <c r="C83" s="199" t="n"/>
      <c r="D83" s="211" t="inlineStr">
        <is>
          <t>**财务未列部分需增列***</t>
        </is>
      </c>
      <c r="E83" s="212" t="n"/>
      <c r="F83" s="212" t="n"/>
      <c r="G83" s="212" t="n"/>
      <c r="H83" s="189" t="n"/>
      <c r="I83" s="189" t="n"/>
      <c r="J83" s="184" t="n"/>
      <c r="K83" s="201" t="n"/>
      <c r="L83" s="202">
        <f>J83-K83</f>
        <v/>
      </c>
      <c r="M83" s="234" t="n"/>
      <c r="N83" s="234" t="n"/>
      <c r="O83" s="189">
        <f>L83-M83</f>
        <v/>
      </c>
      <c r="P83" s="189">
        <f>K83-N83</f>
        <v/>
      </c>
      <c r="Q83" s="189">
        <f>M83+O83</f>
        <v/>
      </c>
      <c r="R83" s="189">
        <f>M83+N83+O83+P83</f>
        <v/>
      </c>
      <c r="S83" s="203">
        <f>SUM(T83:V83)</f>
        <v/>
      </c>
      <c r="T83" s="234" t="n"/>
      <c r="U83" s="234" t="n"/>
      <c r="V83" s="234" t="n"/>
      <c r="W83" s="234" t="n"/>
      <c r="X83" s="234" t="n"/>
      <c r="Y83" s="234" t="n"/>
      <c r="Z83" s="189">
        <f>SUM(AA45:AJ45)</f>
        <v/>
      </c>
      <c r="AA83" s="203" t="n"/>
      <c r="AB83" s="203" t="n"/>
      <c r="AC83" s="203" t="n"/>
      <c r="AD83" s="203" t="n"/>
      <c r="AE83" s="203" t="n"/>
      <c r="AF83" s="203" t="n"/>
      <c r="AG83" s="203" t="n"/>
      <c r="AH83" s="203" t="n"/>
      <c r="AI83" s="203" t="n"/>
      <c r="AJ83" s="203" t="n"/>
      <c r="AK83" s="188" t="n"/>
      <c r="AL83" s="204" t="n"/>
    </row>
    <row r="84">
      <c r="A84" s="55" t="n"/>
      <c r="B84" s="235" t="n"/>
      <c r="C84" s="235" t="n"/>
      <c r="D84" s="230" t="inlineStr">
        <is>
          <t>其他直接费小计：</t>
        </is>
      </c>
      <c r="E84" s="236" t="n"/>
      <c r="F84" s="236" t="n"/>
      <c r="G84" s="236" t="n"/>
      <c r="H84" s="217">
        <f>SUM(H76:H83)</f>
        <v/>
      </c>
      <c r="I84" s="217">
        <f>SUM(I76:I83)</f>
        <v/>
      </c>
      <c r="J84" s="217">
        <f>SUM(J76:J83)</f>
        <v/>
      </c>
      <c r="K84" s="217">
        <f>SUM(K76:K83)</f>
        <v/>
      </c>
      <c r="L84" s="232">
        <f>SUM(L76:L83)</f>
        <v/>
      </c>
      <c r="M84" s="217">
        <f>SUM(M76:M83)</f>
        <v/>
      </c>
      <c r="N84" s="217">
        <f>SUM(N76:N83)</f>
        <v/>
      </c>
      <c r="O84" s="217">
        <f>L84-M84</f>
        <v/>
      </c>
      <c r="P84" s="217">
        <f>SUM(P76:P83)</f>
        <v/>
      </c>
      <c r="Q84" s="217">
        <f>M84+O84</f>
        <v/>
      </c>
      <c r="R84" s="217">
        <f>SUM(R76:R83)</f>
        <v/>
      </c>
      <c r="S84" s="217">
        <f>SUM(S76:S83)</f>
        <v/>
      </c>
      <c r="T84" s="217" t="n"/>
      <c r="U84" s="217" t="n"/>
      <c r="V84" s="217" t="n"/>
      <c r="W84" s="217" t="n"/>
      <c r="X84" s="217" t="n"/>
      <c r="Y84" s="217" t="n"/>
      <c r="Z84" s="217">
        <f>SUM(Z76:Z83)</f>
        <v/>
      </c>
      <c r="AA84" s="217">
        <f>SUM(AA76:AA83)</f>
        <v/>
      </c>
      <c r="AB84" s="217">
        <f>SUM(AB76:AB83)</f>
        <v/>
      </c>
      <c r="AC84" s="217">
        <f>SUM(AC76:AC83)</f>
        <v/>
      </c>
      <c r="AD84" s="217">
        <f>SUM(AD76:AD83)</f>
        <v/>
      </c>
      <c r="AE84" s="217">
        <f>SUM(AE76:AE83)</f>
        <v/>
      </c>
      <c r="AF84" s="217">
        <f>SUM(AF76:AF83)</f>
        <v/>
      </c>
      <c r="AG84" s="217" t="n"/>
      <c r="AH84" s="217" t="n"/>
      <c r="AI84" s="217">
        <f>SUM(AI76:AI83)</f>
        <v/>
      </c>
      <c r="AJ84" s="217">
        <f>SUM(AJ76:AJ83)</f>
        <v/>
      </c>
      <c r="AK84" s="217">
        <f>SUM(AK76:AK83)</f>
        <v/>
      </c>
      <c r="AL84" s="204" t="n"/>
    </row>
    <row r="85">
      <c r="A85" s="33" t="n"/>
      <c r="B85" s="199" t="n"/>
      <c r="C85" s="199" t="n"/>
      <c r="D85" s="218" t="inlineStr">
        <is>
          <t>（六）间接费</t>
        </is>
      </c>
      <c r="E85" s="212" t="n"/>
      <c r="F85" s="212" t="n"/>
      <c r="G85" s="212" t="n"/>
      <c r="H85" s="184" t="n"/>
      <c r="I85" s="189" t="n"/>
      <c r="J85" s="189" t="n">
        <v>0</v>
      </c>
      <c r="K85" s="201" t="n">
        <v>0</v>
      </c>
      <c r="L85" s="202">
        <f>J85-N85-P85</f>
        <v/>
      </c>
      <c r="M85" s="184" t="n"/>
      <c r="N85" s="184" t="n"/>
      <c r="O85" s="189">
        <f>L85-M85</f>
        <v/>
      </c>
      <c r="P85" s="189">
        <f>K85-N85</f>
        <v/>
      </c>
      <c r="Q85" s="189">
        <f>M85+O85</f>
        <v/>
      </c>
      <c r="R85" s="189">
        <f>M85+N85+O85+P85</f>
        <v/>
      </c>
      <c r="S85" s="203">
        <f>SUM(T85:V85)</f>
        <v/>
      </c>
      <c r="T85" s="203" t="n"/>
      <c r="U85" s="203" t="n"/>
      <c r="V85" s="203" t="n"/>
      <c r="W85" s="203" t="n"/>
      <c r="X85" s="203" t="n"/>
      <c r="Y85" s="203" t="n"/>
      <c r="Z85" s="203" t="n"/>
      <c r="AA85" s="203" t="n"/>
      <c r="AB85" s="203" t="n"/>
      <c r="AC85" s="203" t="n"/>
      <c r="AD85" s="203" t="n"/>
      <c r="AE85" s="203" t="n"/>
      <c r="AF85" s="203" t="n"/>
      <c r="AG85" s="203" t="n"/>
      <c r="AH85" s="203" t="n"/>
      <c r="AI85" s="203" t="n"/>
      <c r="AJ85" s="203" t="n"/>
      <c r="AK85" s="188" t="n"/>
      <c r="AL85" s="204" t="n"/>
    </row>
    <row r="86">
      <c r="A86" s="206" t="n"/>
      <c r="B86" s="206" t="n"/>
      <c r="C86" s="207" t="n"/>
      <c r="D86" s="207" t="inlineStr">
        <is>
          <t>ZGD-住房公积金</t>
        </is>
      </c>
      <c r="E86" s="206" t="n"/>
      <c r="F86" s="206" t="n"/>
      <c r="G86" s="206" t="n"/>
      <c r="H86" s="206" t="n"/>
      <c r="I86" s="206" t="n"/>
      <c r="J86" s="206">
        <f>H86+I86</f>
        <v/>
      </c>
      <c r="K86" s="208" t="n"/>
      <c r="L86" s="209">
        <f>J86-K86</f>
        <v/>
      </c>
      <c r="M86" s="210" t="n">
        <v>7962.92</v>
      </c>
      <c r="N86" s="206" t="n"/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06" t="n"/>
      <c r="U86" s="206" t="n"/>
      <c r="V86" s="206" t="n"/>
    </row>
    <row r="87">
      <c r="A87" s="206" t="n"/>
      <c r="B87" s="206" t="n"/>
      <c r="C87" s="207" t="n"/>
      <c r="D87" s="207" t="inlineStr">
        <is>
          <t>ZGD-医疗保险</t>
        </is>
      </c>
      <c r="E87" s="206" t="n"/>
      <c r="F87" s="206" t="n"/>
      <c r="G87" s="206" t="n"/>
      <c r="H87" s="206" t="n"/>
      <c r="I87" s="206" t="n"/>
      <c r="J87" s="206">
        <f>H87+I87</f>
        <v/>
      </c>
      <c r="K87" s="208" t="n"/>
      <c r="L87" s="209">
        <f>J87-K87</f>
        <v/>
      </c>
      <c r="M87" s="210" t="n">
        <v>7050.57</v>
      </c>
      <c r="N87" s="206" t="n"/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06" t="n"/>
      <c r="U87" s="206" t="n"/>
      <c r="V87" s="206" t="n"/>
    </row>
    <row r="88">
      <c r="A88" s="206" t="n"/>
      <c r="B88" s="206" t="n"/>
      <c r="C88" s="207" t="n"/>
      <c r="D88" s="207" t="inlineStr">
        <is>
          <t>ZGD-基本养老保险</t>
        </is>
      </c>
      <c r="E88" s="206" t="n"/>
      <c r="F88" s="206" t="n"/>
      <c r="G88" s="206" t="n"/>
      <c r="H88" s="206" t="n"/>
      <c r="I88" s="206" t="n"/>
      <c r="J88" s="206">
        <f>H88+I88</f>
        <v/>
      </c>
      <c r="K88" s="208" t="n"/>
      <c r="L88" s="209">
        <f>J88-K88</f>
        <v/>
      </c>
      <c r="M88" s="210" t="n">
        <v>12783.57</v>
      </c>
      <c r="N88" s="206" t="n"/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</row>
    <row r="89">
      <c r="A89" s="206" t="n"/>
      <c r="B89" s="206" t="n"/>
      <c r="C89" s="207" t="n"/>
      <c r="D89" s="207" t="inlineStr">
        <is>
          <t>ZGD-失业保险</t>
        </is>
      </c>
      <c r="E89" s="206" t="n"/>
      <c r="F89" s="206" t="n"/>
      <c r="G89" s="206" t="n"/>
      <c r="H89" s="206" t="n"/>
      <c r="I89" s="206" t="n"/>
      <c r="J89" s="206">
        <f>H89+I89</f>
        <v/>
      </c>
      <c r="K89" s="208" t="n"/>
      <c r="L89" s="209">
        <f>J89-K89</f>
        <v/>
      </c>
      <c r="M89" s="210" t="n">
        <v>504.89</v>
      </c>
      <c r="N89" s="206" t="n"/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</row>
    <row r="90">
      <c r="A90" s="206" t="n"/>
      <c r="B90" s="206" t="n"/>
      <c r="C90" s="207" t="n"/>
      <c r="D90" s="207" t="inlineStr">
        <is>
          <t>ZGD-工伤保险</t>
        </is>
      </c>
      <c r="E90" s="206" t="n"/>
      <c r="F90" s="206" t="n"/>
      <c r="G90" s="206" t="n"/>
      <c r="H90" s="206" t="n"/>
      <c r="I90" s="206" t="n"/>
      <c r="J90" s="206">
        <f>H90+I90</f>
        <v/>
      </c>
      <c r="K90" s="208" t="n"/>
      <c r="L90" s="209">
        <f>J90-K90</f>
        <v/>
      </c>
      <c r="M90" s="210" t="n">
        <v>288.53</v>
      </c>
      <c r="N90" s="206" t="n"/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06" t="n"/>
      <c r="U90" s="206" t="n"/>
      <c r="V90" s="206" t="n"/>
    </row>
    <row r="91">
      <c r="A91" s="206" t="n"/>
      <c r="B91" s="206" t="n"/>
      <c r="C91" s="207" t="n"/>
      <c r="D91" s="207" t="inlineStr">
        <is>
          <t>ZGD-工资</t>
        </is>
      </c>
      <c r="E91" s="206" t="n"/>
      <c r="F91" s="206" t="n"/>
      <c r="G91" s="206" t="n"/>
      <c r="H91" s="206" t="n"/>
      <c r="I91" s="206" t="n"/>
      <c r="J91" s="206">
        <f>H91+I91</f>
        <v/>
      </c>
      <c r="K91" s="208" t="n"/>
      <c r="L91" s="209">
        <f>J91-K91</f>
        <v/>
      </c>
      <c r="M91" s="210" t="n">
        <v>40337.07</v>
      </c>
      <c r="N91" s="206" t="n"/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06" t="n"/>
      <c r="U91" s="206" t="n"/>
      <c r="V91" s="206" t="n"/>
    </row>
    <row r="92">
      <c r="A92" s="206" t="n"/>
      <c r="B92" s="206" t="n"/>
      <c r="C92" s="207" t="n"/>
      <c r="D92" s="207" t="inlineStr">
        <is>
          <t>ZGD-社保及公积金</t>
        </is>
      </c>
      <c r="E92" s="206" t="n"/>
      <c r="F92" s="206" t="n"/>
      <c r="G92" s="206" t="n"/>
      <c r="H92" s="206" t="n"/>
      <c r="I92" s="206" t="n"/>
      <c r="J92" s="206">
        <f>H92+I92</f>
        <v/>
      </c>
      <c r="K92" s="208" t="n"/>
      <c r="L92" s="209">
        <f>J92-K92</f>
        <v/>
      </c>
      <c r="M92" s="210" t="n">
        <v>-19577.68</v>
      </c>
      <c r="N92" s="206" t="n"/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</row>
    <row r="93">
      <c r="A93" s="206" t="n"/>
      <c r="B93" s="206" t="n"/>
      <c r="C93" s="207" t="n"/>
      <c r="D93" s="207" t="inlineStr">
        <is>
          <t>企业年金</t>
        </is>
      </c>
      <c r="E93" s="206" t="n"/>
      <c r="F93" s="206" t="n"/>
      <c r="G93" s="206" t="n"/>
      <c r="H93" s="206" t="n"/>
      <c r="I93" s="206" t="n"/>
      <c r="J93" s="206">
        <f>H93+I93</f>
        <v/>
      </c>
      <c r="K93" s="208" t="n"/>
      <c r="L93" s="209">
        <f>J93-K93</f>
        <v/>
      </c>
      <c r="M93" s="210" t="n">
        <v>74494.24000000001</v>
      </c>
      <c r="N93" s="206" t="n"/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06" t="n"/>
      <c r="U93" s="206" t="n"/>
      <c r="V93" s="206" t="n"/>
    </row>
    <row r="94">
      <c r="A94" s="206" t="n"/>
      <c r="B94" s="206" t="n"/>
      <c r="C94" s="207" t="n"/>
      <c r="D94" s="207" t="inlineStr">
        <is>
          <t>住房公积金</t>
        </is>
      </c>
      <c r="E94" s="206" t="n"/>
      <c r="F94" s="206" t="n"/>
      <c r="G94" s="206" t="n"/>
      <c r="H94" s="206" t="n"/>
      <c r="I94" s="206" t="n"/>
      <c r="J94" s="206">
        <f>H94+I94</f>
        <v/>
      </c>
      <c r="K94" s="208" t="n"/>
      <c r="L94" s="209">
        <f>J94-K94</f>
        <v/>
      </c>
      <c r="M94" s="210" t="n">
        <v>221838.06</v>
      </c>
      <c r="N94" s="206" t="n"/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06" t="n"/>
      <c r="U94" s="206" t="n"/>
      <c r="V94" s="206" t="n"/>
    </row>
    <row r="95">
      <c r="A95" s="206" t="n"/>
      <c r="B95" s="206" t="n"/>
      <c r="C95" s="207" t="n"/>
      <c r="D95" s="207" t="inlineStr">
        <is>
          <t>保安保洁费</t>
        </is>
      </c>
      <c r="E95" s="206" t="n"/>
      <c r="F95" s="206" t="n"/>
      <c r="G95" s="206" t="n"/>
      <c r="H95" s="206" t="n"/>
      <c r="I95" s="206" t="n"/>
      <c r="J95" s="206">
        <f>H95+I95</f>
        <v/>
      </c>
      <c r="K95" s="208" t="n"/>
      <c r="L95" s="209">
        <f>J95-K95</f>
        <v/>
      </c>
      <c r="M95" s="210" t="n">
        <v>9375.23</v>
      </c>
      <c r="N95" s="206" t="n"/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06" t="n"/>
      <c r="U95" s="206" t="n"/>
      <c r="V95" s="206" t="n"/>
    </row>
    <row r="96">
      <c r="A96" s="206" t="n"/>
      <c r="B96" s="206" t="n"/>
      <c r="C96" s="207" t="n"/>
      <c r="D96" s="207" t="inlineStr">
        <is>
          <t>修理费</t>
        </is>
      </c>
      <c r="E96" s="206" t="n"/>
      <c r="F96" s="206" t="n"/>
      <c r="G96" s="206" t="n"/>
      <c r="H96" s="206" t="n"/>
      <c r="I96" s="206" t="n"/>
      <c r="J96" s="206">
        <f>H96+I96</f>
        <v/>
      </c>
      <c r="K96" s="208" t="n"/>
      <c r="L96" s="209">
        <f>J96-K96</f>
        <v/>
      </c>
      <c r="M96" s="210" t="n">
        <v>35150</v>
      </c>
      <c r="N96" s="206" t="n"/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06" t="n"/>
      <c r="U96" s="206" t="n"/>
      <c r="V96" s="206" t="n"/>
    </row>
    <row r="97">
      <c r="A97" s="206" t="n"/>
      <c r="B97" s="206" t="n"/>
      <c r="C97" s="207" t="n"/>
      <c r="D97" s="207" t="inlineStr">
        <is>
          <t>其他</t>
        </is>
      </c>
      <c r="E97" s="206" t="n"/>
      <c r="F97" s="206" t="n"/>
      <c r="G97" s="206" t="n"/>
      <c r="H97" s="206" t="n"/>
      <c r="I97" s="206" t="n"/>
      <c r="J97" s="206">
        <f>H97+I97</f>
        <v/>
      </c>
      <c r="K97" s="208" t="n"/>
      <c r="L97" s="209">
        <f>J97-K97</f>
        <v/>
      </c>
      <c r="M97" s="210" t="n">
        <v>154505.75</v>
      </c>
      <c r="N97" s="206" t="n"/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06" t="n"/>
      <c r="U97" s="206" t="n"/>
      <c r="V97" s="206" t="n"/>
    </row>
    <row r="98">
      <c r="A98" s="206" t="n"/>
      <c r="B98" s="206" t="n"/>
      <c r="C98" s="207" t="n"/>
      <c r="D98" s="207" t="inlineStr">
        <is>
          <t>冲晒印刷费</t>
        </is>
      </c>
      <c r="E98" s="206" t="n"/>
      <c r="F98" s="206" t="n"/>
      <c r="G98" s="206" t="n"/>
      <c r="H98" s="206" t="n"/>
      <c r="I98" s="206" t="n"/>
      <c r="J98" s="206">
        <f>H98+I98</f>
        <v/>
      </c>
      <c r="K98" s="208" t="n"/>
      <c r="L98" s="209">
        <f>J98-K98</f>
        <v/>
      </c>
      <c r="M98" s="210" t="n">
        <v>27505.96</v>
      </c>
      <c r="N98" s="206" t="n"/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06" t="n"/>
      <c r="U98" s="206" t="n"/>
      <c r="V98" s="206" t="n"/>
    </row>
    <row r="99">
      <c r="A99" s="206" t="n"/>
      <c r="B99" s="206" t="n"/>
      <c r="C99" s="207" t="n"/>
      <c r="D99" s="207" t="inlineStr">
        <is>
          <t>办公用品费</t>
        </is>
      </c>
      <c r="E99" s="206" t="n"/>
      <c r="F99" s="206" t="n"/>
      <c r="G99" s="206" t="n"/>
      <c r="H99" s="206" t="n"/>
      <c r="I99" s="206" t="n"/>
      <c r="J99" s="206">
        <f>H99+I99</f>
        <v/>
      </c>
      <c r="K99" s="208" t="n"/>
      <c r="L99" s="209">
        <f>J99-K99</f>
        <v/>
      </c>
      <c r="M99" s="210" t="n">
        <v>136910.72</v>
      </c>
      <c r="N99" s="206" t="n"/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06" t="n"/>
      <c r="U99" s="206" t="n"/>
      <c r="V99" s="206" t="n"/>
    </row>
    <row r="100">
      <c r="A100" s="206" t="n"/>
      <c r="B100" s="206" t="n"/>
      <c r="C100" s="207" t="n"/>
      <c r="D100" s="207" t="inlineStr">
        <is>
          <t>医疗保险</t>
        </is>
      </c>
      <c r="E100" s="206" t="n"/>
      <c r="F100" s="206" t="n"/>
      <c r="G100" s="206" t="n"/>
      <c r="H100" s="206" t="n"/>
      <c r="I100" s="206" t="n"/>
      <c r="J100" s="206">
        <f>H100+I100</f>
        <v/>
      </c>
      <c r="K100" s="208" t="n"/>
      <c r="L100" s="209">
        <f>J100-K100</f>
        <v/>
      </c>
      <c r="M100" s="210" t="n">
        <v>141031.37</v>
      </c>
      <c r="N100" s="206" t="n"/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06" t="n"/>
      <c r="U100" s="206" t="n"/>
      <c r="V100" s="206" t="n"/>
    </row>
    <row r="101">
      <c r="A101" s="206" t="n"/>
      <c r="B101" s="206" t="n"/>
      <c r="C101" s="207" t="n"/>
      <c r="D101" s="207" t="inlineStr">
        <is>
          <t>咨询认证费</t>
        </is>
      </c>
      <c r="E101" s="206" t="n"/>
      <c r="F101" s="206" t="n"/>
      <c r="G101" s="206" t="n"/>
      <c r="H101" s="206" t="n"/>
      <c r="I101" s="206" t="n"/>
      <c r="J101" s="206">
        <f>H101+I101</f>
        <v/>
      </c>
      <c r="K101" s="208" t="n"/>
      <c r="L101" s="209">
        <f>J101-K101</f>
        <v/>
      </c>
      <c r="M101" s="210" t="n">
        <v>6886.8</v>
      </c>
      <c r="N101" s="206" t="n"/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06" t="n"/>
      <c r="U101" s="206" t="n"/>
      <c r="V101" s="206" t="n"/>
    </row>
    <row r="102">
      <c r="A102" s="206" t="n"/>
      <c r="B102" s="206" t="n"/>
      <c r="C102" s="207" t="n"/>
      <c r="D102" s="207" t="inlineStr">
        <is>
          <t>基本养老保险</t>
        </is>
      </c>
      <c r="E102" s="206" t="n"/>
      <c r="F102" s="206" t="n"/>
      <c r="G102" s="206" t="n"/>
      <c r="H102" s="206" t="n"/>
      <c r="I102" s="206" t="n"/>
      <c r="J102" s="206">
        <f>H102+I102</f>
        <v/>
      </c>
      <c r="K102" s="208" t="n"/>
      <c r="L102" s="209">
        <f>J102-K102</f>
        <v/>
      </c>
      <c r="M102" s="210" t="n">
        <v>278130.95</v>
      </c>
      <c r="N102" s="206" t="n"/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06" t="n"/>
      <c r="U102" s="206" t="n"/>
      <c r="V102" s="206" t="n"/>
    </row>
    <row r="103">
      <c r="A103" s="206" t="n"/>
      <c r="B103" s="206" t="n"/>
      <c r="C103" s="207" t="n"/>
      <c r="D103" s="207" t="inlineStr">
        <is>
          <t>境内差旅费</t>
        </is>
      </c>
      <c r="E103" s="206" t="n"/>
      <c r="F103" s="206" t="n"/>
      <c r="G103" s="206" t="n"/>
      <c r="H103" s="206" t="n"/>
      <c r="I103" s="206" t="n"/>
      <c r="J103" s="206">
        <f>H103+I103</f>
        <v/>
      </c>
      <c r="K103" s="208" t="n"/>
      <c r="L103" s="209">
        <f>J103-K103</f>
        <v/>
      </c>
      <c r="M103" s="210" t="n">
        <v>19963.39</v>
      </c>
      <c r="N103" s="206" t="n"/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</row>
    <row r="104">
      <c r="A104" s="206" t="n"/>
      <c r="B104" s="206" t="n"/>
      <c r="C104" s="207" t="n"/>
      <c r="D104" s="207" t="inlineStr">
        <is>
          <t>失业保险</t>
        </is>
      </c>
      <c r="E104" s="206" t="n"/>
      <c r="F104" s="206" t="n"/>
      <c r="G104" s="206" t="n"/>
      <c r="H104" s="206" t="n"/>
      <c r="I104" s="206" t="n"/>
      <c r="J104" s="206">
        <f>H104+I104</f>
        <v/>
      </c>
      <c r="K104" s="208" t="n"/>
      <c r="L104" s="209">
        <f>J104-K104</f>
        <v/>
      </c>
      <c r="M104" s="210" t="n">
        <v>12392.32</v>
      </c>
      <c r="N104" s="206" t="n"/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</row>
    <row r="105">
      <c r="A105" s="206" t="n"/>
      <c r="B105" s="206" t="n"/>
      <c r="C105" s="207" t="n"/>
      <c r="D105" s="207" t="inlineStr">
        <is>
          <t>工伤保险</t>
        </is>
      </c>
      <c r="E105" s="206" t="n"/>
      <c r="F105" s="206" t="n"/>
      <c r="G105" s="206" t="n"/>
      <c r="H105" s="206" t="n"/>
      <c r="I105" s="206" t="n"/>
      <c r="J105" s="206">
        <f>H105+I105</f>
        <v/>
      </c>
      <c r="K105" s="208" t="n"/>
      <c r="L105" s="209">
        <f>J105-K105</f>
        <v/>
      </c>
      <c r="M105" s="210" t="n">
        <v>7990.81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</row>
    <row r="106">
      <c r="A106" s="206" t="n"/>
      <c r="B106" s="206" t="n"/>
      <c r="C106" s="207" t="n"/>
      <c r="D106" s="207" t="inlineStr">
        <is>
          <t>工资</t>
        </is>
      </c>
      <c r="E106" s="206" t="n"/>
      <c r="F106" s="206" t="n"/>
      <c r="G106" s="206" t="n"/>
      <c r="H106" s="206" t="n"/>
      <c r="I106" s="206" t="n"/>
      <c r="J106" s="206">
        <f>H106+I106</f>
        <v/>
      </c>
      <c r="K106" s="208" t="n"/>
      <c r="L106" s="209">
        <f>J106-K106</f>
        <v/>
      </c>
      <c r="M106" s="210" t="n">
        <v>3449526.47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</row>
    <row r="107">
      <c r="A107" s="206" t="n"/>
      <c r="B107" s="206" t="n"/>
      <c r="C107" s="207" t="n"/>
      <c r="D107" s="207" t="inlineStr">
        <is>
          <t>市内交通费</t>
        </is>
      </c>
      <c r="E107" s="206" t="n"/>
      <c r="F107" s="206" t="n"/>
      <c r="G107" s="206" t="n"/>
      <c r="H107" s="206" t="n"/>
      <c r="I107" s="206" t="n"/>
      <c r="J107" s="206">
        <f>H107+I107</f>
        <v/>
      </c>
      <c r="K107" s="208" t="n"/>
      <c r="L107" s="209">
        <f>J107-K107</f>
        <v/>
      </c>
      <c r="M107" s="210" t="n">
        <v>1605.51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</row>
    <row r="108">
      <c r="A108" s="206" t="n"/>
      <c r="B108" s="206" t="n"/>
      <c r="C108" s="207" t="n"/>
      <c r="D108" s="207" t="inlineStr">
        <is>
          <t>排污费</t>
        </is>
      </c>
      <c r="E108" s="206" t="n"/>
      <c r="F108" s="206" t="n"/>
      <c r="G108" s="206" t="n"/>
      <c r="H108" s="206" t="n"/>
      <c r="I108" s="206" t="n"/>
      <c r="J108" s="206">
        <f>H108+I108</f>
        <v/>
      </c>
      <c r="K108" s="208" t="n"/>
      <c r="L108" s="209">
        <f>J108-K108</f>
        <v/>
      </c>
      <c r="M108" s="210" t="n">
        <v>1700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</row>
    <row r="109">
      <c r="A109" s="206" t="n"/>
      <c r="B109" s="206" t="n"/>
      <c r="C109" s="207" t="n"/>
      <c r="D109" s="207" t="inlineStr">
        <is>
          <t>水电费</t>
        </is>
      </c>
      <c r="E109" s="206" t="n"/>
      <c r="F109" s="206" t="n"/>
      <c r="G109" s="206" t="n"/>
      <c r="H109" s="206" t="n"/>
      <c r="I109" s="206" t="n"/>
      <c r="J109" s="206">
        <f>H109+I109</f>
        <v/>
      </c>
      <c r="K109" s="208" t="n"/>
      <c r="L109" s="209">
        <f>J109-K109</f>
        <v/>
      </c>
      <c r="M109" s="210" t="n">
        <v>47486.27</v>
      </c>
      <c r="N109" s="206" t="n"/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06" t="n"/>
      <c r="U109" s="206" t="n"/>
      <c r="V109" s="206" t="n"/>
    </row>
    <row r="110">
      <c r="A110" s="206" t="n"/>
      <c r="B110" s="206" t="n"/>
      <c r="C110" s="207" t="n"/>
      <c r="D110" s="207" t="inlineStr">
        <is>
          <t>燃油费</t>
        </is>
      </c>
      <c r="E110" s="206" t="n"/>
      <c r="F110" s="206" t="n"/>
      <c r="G110" s="206" t="n"/>
      <c r="H110" s="206" t="n"/>
      <c r="I110" s="206" t="n"/>
      <c r="J110" s="206">
        <f>H110+I110</f>
        <v/>
      </c>
      <c r="K110" s="208" t="n"/>
      <c r="L110" s="209">
        <f>J110-K110</f>
        <v/>
      </c>
      <c r="M110" s="210" t="n">
        <v>13463.44</v>
      </c>
      <c r="N110" s="206" t="n"/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06" t="n"/>
      <c r="U110" s="206" t="n"/>
      <c r="V110" s="206" t="n"/>
    </row>
    <row r="111">
      <c r="A111" s="206" t="n"/>
      <c r="B111" s="206" t="n"/>
      <c r="C111" s="207" t="n"/>
      <c r="D111" s="207" t="inlineStr">
        <is>
          <t>物业租赁费</t>
        </is>
      </c>
      <c r="E111" s="206" t="n"/>
      <c r="F111" s="206" t="n"/>
      <c r="G111" s="206" t="n"/>
      <c r="H111" s="206" t="n"/>
      <c r="I111" s="206" t="n"/>
      <c r="J111" s="206">
        <f>H111+I111</f>
        <v/>
      </c>
      <c r="K111" s="208" t="n"/>
      <c r="L111" s="209">
        <f>J111-K111</f>
        <v/>
      </c>
      <c r="M111" s="210" t="n">
        <v>107763.8</v>
      </c>
      <c r="N111" s="206" t="n"/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06" t="n"/>
      <c r="U111" s="206" t="n"/>
      <c r="V111" s="206" t="n"/>
    </row>
    <row r="112">
      <c r="A112" s="206" t="n"/>
      <c r="B112" s="206" t="n"/>
      <c r="C112" s="207" t="n"/>
      <c r="D112" s="207" t="inlineStr">
        <is>
          <t>物业管理费</t>
        </is>
      </c>
      <c r="E112" s="206" t="n"/>
      <c r="F112" s="206" t="n"/>
      <c r="G112" s="206" t="n"/>
      <c r="H112" s="206" t="n"/>
      <c r="I112" s="206" t="n"/>
      <c r="J112" s="206">
        <f>H112+I112</f>
        <v/>
      </c>
      <c r="K112" s="208" t="n"/>
      <c r="L112" s="209">
        <f>J112-K112</f>
        <v/>
      </c>
      <c r="M112" s="210" t="n">
        <v>233637.28</v>
      </c>
      <c r="N112" s="206" t="n"/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06" t="n"/>
      <c r="U112" s="206" t="n"/>
      <c r="V112" s="206" t="n"/>
    </row>
    <row r="113">
      <c r="A113" s="206" t="n"/>
      <c r="B113" s="206" t="n"/>
      <c r="C113" s="207" t="n"/>
      <c r="D113" s="207" t="inlineStr">
        <is>
          <t>社保及公积金</t>
        </is>
      </c>
      <c r="E113" s="206" t="n"/>
      <c r="F113" s="206" t="n"/>
      <c r="G113" s="206" t="n"/>
      <c r="H113" s="206" t="n"/>
      <c r="I113" s="206" t="n"/>
      <c r="J113" s="206">
        <f>H113+I113</f>
        <v/>
      </c>
      <c r="K113" s="208" t="n"/>
      <c r="L113" s="209">
        <f>J113-K113</f>
        <v/>
      </c>
      <c r="M113" s="210" t="n">
        <v>126801.25</v>
      </c>
      <c r="N113" s="206" t="n"/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06" t="n"/>
      <c r="U113" s="206" t="n"/>
      <c r="V113" s="206" t="n"/>
    </row>
    <row r="114">
      <c r="A114" s="206" t="n"/>
      <c r="B114" s="206" t="n"/>
      <c r="C114" s="207" t="n"/>
      <c r="D114" s="207" t="inlineStr">
        <is>
          <t>租车费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9">
        <f>J114-K114</f>
        <v/>
      </c>
      <c r="M114" s="210" t="n">
        <v>87891.39999999999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206" t="n"/>
      <c r="B115" s="206" t="n"/>
      <c r="C115" s="207" t="n"/>
      <c r="D115" s="207" t="inlineStr">
        <is>
          <t>绿化绿植费</t>
        </is>
      </c>
      <c r="E115" s="206" t="n"/>
      <c r="F115" s="206" t="n"/>
      <c r="G115" s="206" t="n"/>
      <c r="H115" s="206" t="n"/>
      <c r="I115" s="206" t="n"/>
      <c r="J115" s="206">
        <f>H115+I115</f>
        <v/>
      </c>
      <c r="K115" s="208" t="n"/>
      <c r="L115" s="209">
        <f>J115-K115</f>
        <v/>
      </c>
      <c r="M115" s="210" t="n">
        <v>33744.04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</row>
    <row r="116">
      <c r="A116" s="206" t="n"/>
      <c r="B116" s="206" t="n"/>
      <c r="C116" s="207" t="n"/>
      <c r="D116" s="207" t="inlineStr">
        <is>
          <t>网络使用费</t>
        </is>
      </c>
      <c r="E116" s="206" t="n"/>
      <c r="F116" s="206" t="n"/>
      <c r="G116" s="206" t="n"/>
      <c r="H116" s="206" t="n"/>
      <c r="I116" s="206" t="n"/>
      <c r="J116" s="206">
        <f>H116+I116</f>
        <v/>
      </c>
      <c r="K116" s="208" t="n"/>
      <c r="L116" s="209">
        <f>J116-K116</f>
        <v/>
      </c>
      <c r="M116" s="210" t="n">
        <v>40931.39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</row>
    <row r="117">
      <c r="A117" s="206" t="n"/>
      <c r="B117" s="206" t="n"/>
      <c r="C117" s="207" t="n"/>
      <c r="D117" s="207" t="inlineStr">
        <is>
          <t>职工教育经费</t>
        </is>
      </c>
      <c r="E117" s="206" t="n"/>
      <c r="F117" s="206" t="n"/>
      <c r="G117" s="206" t="n"/>
      <c r="H117" s="206" t="n"/>
      <c r="I117" s="206" t="n"/>
      <c r="J117" s="206">
        <f>H117+I117</f>
        <v/>
      </c>
      <c r="K117" s="208" t="n"/>
      <c r="L117" s="209">
        <f>J117-K117</f>
        <v/>
      </c>
      <c r="M117" s="210" t="n">
        <v>10809.19</v>
      </c>
      <c r="N117" s="206" t="n"/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06" t="n"/>
      <c r="U117" s="206" t="n"/>
      <c r="V117" s="206" t="n"/>
    </row>
    <row r="118">
      <c r="A118" s="206" t="n"/>
      <c r="B118" s="206" t="n"/>
      <c r="C118" s="207" t="n"/>
      <c r="D118" s="207" t="inlineStr">
        <is>
          <t>职工福利费</t>
        </is>
      </c>
      <c r="E118" s="206" t="n"/>
      <c r="F118" s="206" t="n"/>
      <c r="G118" s="206" t="n"/>
      <c r="H118" s="206" t="n"/>
      <c r="I118" s="206" t="n"/>
      <c r="J118" s="206">
        <f>H118+I118</f>
        <v/>
      </c>
      <c r="K118" s="208" t="n"/>
      <c r="L118" s="209">
        <f>J118-K118</f>
        <v/>
      </c>
      <c r="M118" s="210" t="n">
        <v>654227.63</v>
      </c>
      <c r="N118" s="206" t="n"/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06" t="n"/>
      <c r="U118" s="206" t="n"/>
      <c r="V118" s="206" t="n"/>
    </row>
    <row r="119">
      <c r="A119" s="206" t="n"/>
      <c r="B119" s="206" t="n"/>
      <c r="C119" s="207" t="n"/>
      <c r="D119" s="207" t="inlineStr">
        <is>
          <t>补充医疗保险</t>
        </is>
      </c>
      <c r="E119" s="206" t="n"/>
      <c r="F119" s="206" t="n"/>
      <c r="G119" s="206" t="n"/>
      <c r="H119" s="206" t="n"/>
      <c r="I119" s="206" t="n"/>
      <c r="J119" s="206">
        <f>H119+I119</f>
        <v/>
      </c>
      <c r="K119" s="208" t="n"/>
      <c r="L119" s="209">
        <f>J119-K119</f>
        <v/>
      </c>
      <c r="M119" s="210" t="n">
        <v>1688.96</v>
      </c>
      <c r="N119" s="206" t="n"/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06" t="n"/>
      <c r="U119" s="206" t="n"/>
      <c r="V119" s="206" t="n"/>
    </row>
    <row r="120">
      <c r="A120" s="206" t="n"/>
      <c r="B120" s="206" t="n"/>
      <c r="C120" s="207" t="n"/>
      <c r="D120" s="207" t="inlineStr">
        <is>
          <t>路桥及停车费</t>
        </is>
      </c>
      <c r="E120" s="206" t="n"/>
      <c r="F120" s="206" t="n"/>
      <c r="G120" s="206" t="n"/>
      <c r="H120" s="206" t="n"/>
      <c r="I120" s="206" t="n"/>
      <c r="J120" s="206">
        <f>H120+I120</f>
        <v/>
      </c>
      <c r="K120" s="208" t="n"/>
      <c r="L120" s="209">
        <f>J120-K120</f>
        <v/>
      </c>
      <c r="M120" s="210" t="n">
        <v>22274.68</v>
      </c>
      <c r="N120" s="206" t="n"/>
      <c r="O120" s="206">
        <f>L120-M120</f>
        <v/>
      </c>
      <c r="P120" s="206">
        <f>K120-N120</f>
        <v/>
      </c>
      <c r="Q120" s="206">
        <f>M120+O120</f>
        <v/>
      </c>
      <c r="R120" s="206">
        <f>M120+N120+O120+P120</f>
        <v/>
      </c>
      <c r="S120" s="206" t="n"/>
      <c r="T120" s="206" t="n"/>
      <c r="U120" s="206" t="n"/>
      <c r="V120" s="206" t="n"/>
    </row>
    <row r="121">
      <c r="A121" s="206" t="n"/>
      <c r="B121" s="206" t="n"/>
      <c r="C121" s="207" t="n"/>
      <c r="D121" s="207" t="inlineStr">
        <is>
          <t>软件费</t>
        </is>
      </c>
      <c r="E121" s="206" t="n"/>
      <c r="F121" s="206" t="n"/>
      <c r="G121" s="206" t="n"/>
      <c r="H121" s="206" t="n"/>
      <c r="I121" s="206" t="n"/>
      <c r="J121" s="206">
        <f>H121+I121</f>
        <v/>
      </c>
      <c r="K121" s="208" t="n"/>
      <c r="L121" s="209">
        <f>J121-K121</f>
        <v/>
      </c>
      <c r="M121" s="210" t="n">
        <v>2089</v>
      </c>
      <c r="N121" s="206" t="n"/>
      <c r="O121" s="206">
        <f>L121-M121</f>
        <v/>
      </c>
      <c r="P121" s="206">
        <f>K121-N121</f>
        <v/>
      </c>
      <c r="Q121" s="206">
        <f>M121+O121</f>
        <v/>
      </c>
      <c r="R121" s="206">
        <f>M121+N121+O121+P121</f>
        <v/>
      </c>
      <c r="S121" s="206" t="n"/>
      <c r="T121" s="206" t="n"/>
      <c r="U121" s="206" t="n"/>
      <c r="V121" s="206" t="n"/>
    </row>
    <row r="122">
      <c r="A122" s="206" t="n"/>
      <c r="B122" s="206" t="n"/>
      <c r="C122" s="207" t="n"/>
      <c r="D122" s="207" t="inlineStr">
        <is>
          <t>通信费</t>
        </is>
      </c>
      <c r="E122" s="206" t="n"/>
      <c r="F122" s="206" t="n"/>
      <c r="G122" s="206" t="n"/>
      <c r="H122" s="206" t="n"/>
      <c r="I122" s="206" t="n"/>
      <c r="J122" s="206">
        <f>H122+I122</f>
        <v/>
      </c>
      <c r="K122" s="208" t="n"/>
      <c r="L122" s="209">
        <f>J122-K122</f>
        <v/>
      </c>
      <c r="M122" s="210" t="n">
        <v>9800</v>
      </c>
      <c r="N122" s="206" t="n"/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06" t="n"/>
      <c r="U122" s="206" t="n"/>
      <c r="V122" s="206" t="n"/>
    </row>
    <row r="123">
      <c r="A123" s="206" t="n"/>
      <c r="B123" s="206" t="n"/>
      <c r="C123" s="207" t="n"/>
      <c r="D123" s="207" t="inlineStr">
        <is>
          <t>邮寄费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3306.35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</row>
    <row r="124">
      <c r="A124" s="33" t="n"/>
      <c r="B124" s="199" t="n"/>
      <c r="C124" s="199" t="n"/>
      <c r="D124" s="211" t="inlineStr">
        <is>
          <t>**财务未列部分需增列***</t>
        </is>
      </c>
      <c r="E124" s="212" t="n"/>
      <c r="F124" s="212" t="n"/>
      <c r="G124" s="212" t="n"/>
      <c r="H124" s="234" t="n"/>
      <c r="I124" s="189" t="n"/>
      <c r="J124" s="234" t="n"/>
      <c r="K124" s="201" t="n"/>
      <c r="L124" s="202" t="n"/>
      <c r="M124" s="234" t="n"/>
      <c r="N124" s="189" t="n"/>
      <c r="O124" s="189">
        <f>L124-M124</f>
        <v/>
      </c>
      <c r="P124" s="189">
        <f>K124-N124</f>
        <v/>
      </c>
      <c r="Q124" s="189">
        <f>M124+O124</f>
        <v/>
      </c>
      <c r="R124" s="189">
        <f>M124+N124+O124+P124</f>
        <v/>
      </c>
      <c r="S124" s="203">
        <f>SUM(T124:V124)</f>
        <v/>
      </c>
      <c r="T124" s="234" t="n"/>
      <c r="U124" s="234" t="n"/>
      <c r="V124" s="234" t="n"/>
      <c r="W124" s="234" t="n"/>
      <c r="X124" s="234" t="n"/>
      <c r="Y124" s="234" t="n"/>
      <c r="Z124" s="234" t="n"/>
      <c r="AA124" s="203" t="n"/>
      <c r="AB124" s="188" t="n"/>
      <c r="AC124" s="188" t="n"/>
      <c r="AD124" s="188" t="n"/>
      <c r="AE124" s="188" t="n"/>
      <c r="AF124" s="188" t="n"/>
      <c r="AG124" s="188" t="n"/>
      <c r="AH124" s="188" t="n"/>
      <c r="AI124" s="188" t="n"/>
      <c r="AJ124" s="188" t="n"/>
      <c r="AK124" s="188" t="n"/>
      <c r="AL124" s="214" t="n"/>
    </row>
    <row r="125">
      <c r="A125" s="55" t="n"/>
      <c r="B125" s="235" t="n"/>
      <c r="C125" s="235" t="n"/>
      <c r="D125" s="230" t="inlineStr">
        <is>
          <t>间接费小计：</t>
        </is>
      </c>
      <c r="E125" s="236" t="n"/>
      <c r="F125" s="236" t="n"/>
      <c r="G125" s="236" t="n"/>
      <c r="H125" s="217">
        <f>SUM(H85:H124)</f>
        <v/>
      </c>
      <c r="I125" s="217">
        <f>SUM(I85:I124)</f>
        <v/>
      </c>
      <c r="J125" s="217">
        <f>SUM(J85:J124)</f>
        <v/>
      </c>
      <c r="K125" s="217">
        <f>SUM(K85:K124)</f>
        <v/>
      </c>
      <c r="L125" s="232">
        <f>SUM(L85:L124)</f>
        <v/>
      </c>
      <c r="M125" s="232">
        <f>SUM(M85:M124)</f>
        <v/>
      </c>
      <c r="N125" s="232">
        <f>SUM(N85:N124)</f>
        <v/>
      </c>
      <c r="O125" s="232">
        <f>SUM(O85:O124)</f>
        <v/>
      </c>
      <c r="P125" s="232">
        <f>SUM(P85:P124)</f>
        <v/>
      </c>
      <c r="Q125" s="232">
        <f>SUM(Q85:Q124)</f>
        <v/>
      </c>
      <c r="R125" s="232">
        <f>SUM(R85:R124)</f>
        <v/>
      </c>
      <c r="S125" s="232">
        <f>SUM(S85:S124)</f>
        <v/>
      </c>
      <c r="T125" s="232" t="n"/>
      <c r="U125" s="232" t="n"/>
      <c r="V125" s="232" t="n"/>
      <c r="W125" s="232" t="n"/>
      <c r="X125" s="232" t="n"/>
      <c r="Y125" s="232" t="n"/>
      <c r="Z125" s="232">
        <f>SUM(Z85:Z124)</f>
        <v/>
      </c>
      <c r="AA125" s="232">
        <f>SUM(AA85:AA124)</f>
        <v/>
      </c>
      <c r="AB125" s="232">
        <f>SUM(AB85:AB124)</f>
        <v/>
      </c>
      <c r="AC125" s="232">
        <f>SUM(AC85:AC124)</f>
        <v/>
      </c>
      <c r="AD125" s="232">
        <f>SUM(AD85:AD124)</f>
        <v/>
      </c>
      <c r="AE125" s="232">
        <f>SUM(AE85:AE124)</f>
        <v/>
      </c>
      <c r="AF125" s="232">
        <f>SUM(AF85:AF124)</f>
        <v/>
      </c>
      <c r="AG125" s="232" t="n"/>
      <c r="AH125" s="232" t="n"/>
      <c r="AI125" s="232">
        <f>SUM(AI85:AI124)</f>
        <v/>
      </c>
      <c r="AJ125" s="232">
        <f>SUM(AJ85:AJ124)</f>
        <v/>
      </c>
      <c r="AK125" s="232">
        <f>SUM(AK85:AK124)</f>
        <v/>
      </c>
      <c r="AL125" s="214" t="n"/>
    </row>
    <row r="126">
      <c r="A126" s="33" t="n"/>
      <c r="B126" s="199" t="n"/>
      <c r="C126" s="199" t="n"/>
      <c r="D126" s="218" t="inlineStr">
        <is>
          <t>（七）安全费</t>
        </is>
      </c>
      <c r="E126" s="212" t="n"/>
      <c r="F126" s="212" t="n"/>
      <c r="G126" s="212" t="n"/>
      <c r="H126" s="189" t="n"/>
      <c r="I126" s="189" t="n"/>
      <c r="J126" s="184" t="n">
        <v>0</v>
      </c>
      <c r="K126" s="237" t="n"/>
      <c r="L126" s="202">
        <f>J126-N126-P126</f>
        <v/>
      </c>
      <c r="M126" s="189" t="n"/>
      <c r="N126" s="189" t="n"/>
      <c r="O126" s="189">
        <f>L126-M126</f>
        <v/>
      </c>
      <c r="P126" s="189">
        <f>K126-N126</f>
        <v/>
      </c>
      <c r="Q126" s="189">
        <f>M126+O126</f>
        <v/>
      </c>
      <c r="R126" s="189">
        <f>M126+N126+O126+P126</f>
        <v/>
      </c>
      <c r="S126" s="203">
        <f>SUM(T126:V126)</f>
        <v/>
      </c>
      <c r="T126" s="234" t="n"/>
      <c r="U126" s="234" t="n"/>
      <c r="V126" s="234" t="n"/>
      <c r="W126" s="234" t="n"/>
      <c r="X126" s="234" t="n"/>
      <c r="Y126" s="234" t="n"/>
      <c r="Z126" s="229" t="n"/>
      <c r="AA126" s="203" t="n"/>
      <c r="AB126" s="188" t="n"/>
      <c r="AC126" s="188" t="n"/>
      <c r="AD126" s="188" t="n"/>
      <c r="AE126" s="188" t="n"/>
      <c r="AF126" s="188" t="n"/>
      <c r="AG126" s="188" t="n"/>
      <c r="AH126" s="188" t="n"/>
      <c r="AI126" s="188" t="n"/>
      <c r="AJ126" s="188" t="n"/>
      <c r="AK126" s="188" t="n"/>
      <c r="AL126" s="214" t="n"/>
    </row>
    <row r="127">
      <c r="A127" s="206" t="n"/>
      <c r="B127" s="206" t="n"/>
      <c r="C127" s="207" t="n"/>
      <c r="D127" s="207" t="inlineStr">
        <is>
          <t>安全生产-人工费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90683.96000000001</v>
      </c>
      <c r="N127" s="206" t="n"/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06" t="n"/>
      <c r="U127" s="206" t="n"/>
      <c r="V127" s="206" t="n"/>
    </row>
    <row r="128">
      <c r="A128" s="206" t="n"/>
      <c r="B128" s="206" t="n"/>
      <c r="C128" s="207" t="n"/>
      <c r="D128" s="207" t="inlineStr">
        <is>
          <t>安全生产-分包工程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1576764.52</v>
      </c>
      <c r="N128" s="206" t="n"/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06" t="n"/>
      <c r="U128" s="206" t="n"/>
      <c r="V128" s="206" t="n"/>
    </row>
    <row r="129">
      <c r="A129" s="206" t="n"/>
      <c r="B129" s="206" t="n"/>
      <c r="C129" s="207" t="n"/>
      <c r="D129" s="207" t="inlineStr">
        <is>
          <t>安全生产-机械使用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81500.96000000001</v>
      </c>
      <c r="N129" s="206" t="n"/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06" t="n"/>
      <c r="U129" s="206" t="n"/>
      <c r="V129" s="206" t="n"/>
    </row>
    <row r="130">
      <c r="A130" s="206" t="n"/>
      <c r="B130" s="206" t="n"/>
      <c r="C130" s="207" t="n"/>
      <c r="D130" s="207" t="inlineStr">
        <is>
          <t>安全生产费-报销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33278.8</v>
      </c>
      <c r="N130" s="206" t="n"/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06" t="n"/>
      <c r="U130" s="206" t="n"/>
      <c r="V130" s="206" t="n"/>
    </row>
    <row r="131">
      <c r="A131" s="55" t="n"/>
      <c r="B131" s="235" t="n"/>
      <c r="C131" s="235" t="n"/>
      <c r="D131" s="230" t="inlineStr">
        <is>
          <t>安全费小计：</t>
        </is>
      </c>
      <c r="E131" s="230" t="n"/>
      <c r="F131" s="230" t="n"/>
      <c r="G131" s="230" t="n"/>
      <c r="H131" s="217">
        <f>SUM(H126:H130)</f>
        <v/>
      </c>
      <c r="I131" s="217">
        <f>SUM(I126:I130)</f>
        <v/>
      </c>
      <c r="J131" s="217" t="n">
        <v>0</v>
      </c>
      <c r="K131" s="217" t="n">
        <v>0</v>
      </c>
      <c r="L131" s="202">
        <f>J131-K131</f>
        <v/>
      </c>
      <c r="M131" s="232">
        <f>SUM(M126:M130)</f>
        <v/>
      </c>
      <c r="N131" s="232">
        <f>SUM(N126:N130)</f>
        <v/>
      </c>
      <c r="O131" s="232">
        <f>SUM(O126:O130)</f>
        <v/>
      </c>
      <c r="P131" s="232">
        <f>SUM(P126:P130)</f>
        <v/>
      </c>
      <c r="Q131" s="232">
        <f>SUM(Q126:Q130)</f>
        <v/>
      </c>
      <c r="R131" s="232">
        <f>SUM(R126:R130)</f>
        <v/>
      </c>
      <c r="S131" s="232">
        <f>SUM(S126:S130)</f>
        <v/>
      </c>
      <c r="T131" s="238" t="n"/>
      <c r="U131" s="238" t="n"/>
      <c r="V131" s="238" t="n"/>
      <c r="W131" s="238" t="n"/>
      <c r="X131" s="238" t="n"/>
      <c r="Y131" s="238" t="n"/>
      <c r="Z131" s="238" t="n"/>
      <c r="AA131" s="238">
        <f>SUM(AA126:AA130)</f>
        <v/>
      </c>
      <c r="AB131" s="238">
        <f>SUM(AB126:AB130)</f>
        <v/>
      </c>
      <c r="AC131" s="238">
        <f>SUM(AC126:AC130)</f>
        <v/>
      </c>
      <c r="AD131" s="238">
        <f>SUM(AD126:AD130)</f>
        <v/>
      </c>
      <c r="AE131" s="238">
        <f>SUM(AE126:AE130)</f>
        <v/>
      </c>
      <c r="AF131" s="238">
        <f>SUM(AF126:AF130)</f>
        <v/>
      </c>
      <c r="AG131" s="238" t="n"/>
      <c r="AH131" s="238" t="n"/>
      <c r="AI131" s="238">
        <f>SUM(AI126:AI130)</f>
        <v/>
      </c>
      <c r="AJ131" s="238">
        <f>SUM(AJ126:AJ130)</f>
        <v/>
      </c>
      <c r="AK131" s="238">
        <f>SUM(AK126:AK130)</f>
        <v/>
      </c>
      <c r="AL131" s="239" t="n"/>
    </row>
    <row r="132">
      <c r="A132" s="55" t="n"/>
      <c r="B132" s="235" t="n"/>
      <c r="C132" s="235" t="n"/>
      <c r="D132" s="230" t="inlineStr">
        <is>
          <t>三、成本合计：</t>
        </is>
      </c>
      <c r="E132" s="236" t="n"/>
      <c r="F132" s="236" t="n"/>
      <c r="G132" s="236" t="n"/>
      <c r="H132" s="217">
        <f>H18+H31+H67+H75+H84+H125+H131</f>
        <v/>
      </c>
      <c r="I132" s="217">
        <f>I18+I31+I67+I75+I84+I125+I131</f>
        <v/>
      </c>
      <c r="J132" s="217">
        <f>J18+J31+J67+J75+J84+J125+J131</f>
        <v/>
      </c>
      <c r="K132" s="217">
        <f>K18+K31+K67+K75+K84+K125+K131</f>
        <v/>
      </c>
      <c r="L132" s="232">
        <f>L18+L31+L67+L75+L84+L125+L131</f>
        <v/>
      </c>
      <c r="M132" s="238">
        <f>M18+M31+M67+M75+M84+M125+M131</f>
        <v/>
      </c>
      <c r="N132" s="238">
        <f>N18+N31+N67+N75+N84+N125+N131</f>
        <v/>
      </c>
      <c r="O132" s="238">
        <f>O18+O31+O67+O75+O84+O125+O131</f>
        <v/>
      </c>
      <c r="P132" s="238">
        <f>P18+P31+P67+P75+P84+P125+P131</f>
        <v/>
      </c>
      <c r="Q132" s="238">
        <f>Q18+Q31+Q67+Q75+Q84+Q125+Q131</f>
        <v/>
      </c>
      <c r="R132" s="238">
        <f>R18+R31+R67+R75+R84+R125+R131</f>
        <v/>
      </c>
      <c r="S132" s="238">
        <f>S18+S31+S67+S75+S84+S125+S131</f>
        <v/>
      </c>
      <c r="T132" s="238" t="n"/>
      <c r="U132" s="238" t="n"/>
      <c r="V132" s="238" t="n"/>
      <c r="W132" s="238" t="n"/>
      <c r="X132" s="238" t="n"/>
      <c r="Y132" s="238" t="n"/>
      <c r="Z132" s="238">
        <f>Z18+Z31+Z67+Z75+Z84+Z125+Z131</f>
        <v/>
      </c>
      <c r="AA132" s="238">
        <f>AA18+AA31+AA67+AA75+AA84+AA125+AA131</f>
        <v/>
      </c>
      <c r="AB132" s="238">
        <f>AB18+AB31+AB67+AB75+AB84+AB125+AB131</f>
        <v/>
      </c>
      <c r="AC132" s="238">
        <f>AC18+AC31+AC67+AC75+AC84+AC125+AC131</f>
        <v/>
      </c>
      <c r="AD132" s="238">
        <f>AD18+AD31+AD67+AD75+AD84+AD125+AD131</f>
        <v/>
      </c>
      <c r="AE132" s="238">
        <f>AE18+AE31+AE67+AE75+AE84+AE125+AE131</f>
        <v/>
      </c>
      <c r="AF132" s="238">
        <f>AF18+AF31+AF67+AF75+AF84+AF125+AF131</f>
        <v/>
      </c>
      <c r="AG132" s="238" t="n"/>
      <c r="AH132" s="238" t="n"/>
      <c r="AI132" s="238">
        <f>AI18+AI31+AI67+AI75+AI84+AI125+AI131</f>
        <v/>
      </c>
      <c r="AJ132" s="238">
        <f>AJ18+AJ31+AJ67+AJ75+AJ84+AJ125+AJ131</f>
        <v/>
      </c>
      <c r="AK132" s="238">
        <f>AK18+AK31+AK67+AK75+AK84+AK125+AK131</f>
        <v/>
      </c>
      <c r="AL132" s="239" t="n"/>
    </row>
    <row r="133">
      <c r="A133" s="33" t="n"/>
      <c r="B133" s="199" t="n"/>
      <c r="C133" s="199" t="n"/>
      <c r="D133" s="218" t="inlineStr">
        <is>
          <t>四、计提保修金</t>
        </is>
      </c>
      <c r="E133" s="240" t="inlineStr">
        <is>
          <t>（在建：房建0.6%，其它0.4%；在保修期间的按0.3~0.5%自行确定;保修期结束为0）</t>
        </is>
      </c>
      <c r="F133" s="240" t="n"/>
      <c r="G133" s="240" t="n"/>
      <c r="H133" s="184" t="n"/>
      <c r="I133" s="184" t="n"/>
      <c r="J133" s="184">
        <f>H133+I133</f>
        <v/>
      </c>
      <c r="K133" s="184" t="n"/>
      <c r="L133" s="202">
        <f>J133-K133</f>
        <v/>
      </c>
      <c r="M133" s="189" t="n"/>
      <c r="N133" s="189" t="n"/>
      <c r="O133" s="189">
        <f>L133-M133</f>
        <v/>
      </c>
      <c r="P133" s="189">
        <f>K133-N133</f>
        <v/>
      </c>
      <c r="Q133" s="189">
        <f>M133+O133</f>
        <v/>
      </c>
      <c r="R133" s="189">
        <f>M133+N133+O133+P133</f>
        <v/>
      </c>
      <c r="S133" s="203">
        <f>SUM(T133:V133)</f>
        <v/>
      </c>
      <c r="T133" s="203" t="n"/>
      <c r="U133" s="203" t="n"/>
      <c r="V133" s="203" t="n"/>
      <c r="W133" s="203" t="n"/>
      <c r="X133" s="203" t="n"/>
      <c r="Y133" s="203" t="n"/>
      <c r="Z133" s="203" t="n"/>
      <c r="AA133" s="203">
        <f>Q69-S69</f>
        <v/>
      </c>
      <c r="AB133" s="241" t="n"/>
      <c r="AC133" s="241" t="n"/>
      <c r="AD133" s="241" t="n"/>
      <c r="AE133" s="241" t="n"/>
      <c r="AF133" s="241" t="n"/>
      <c r="AG133" s="241" t="n"/>
      <c r="AH133" s="241" t="n"/>
      <c r="AI133" s="241" t="n"/>
      <c r="AJ133" s="241" t="n"/>
      <c r="AK133" s="188" t="n"/>
      <c r="AL133" s="239" t="n"/>
    </row>
    <row r="134">
      <c r="A134" s="33" t="n"/>
      <c r="B134" s="199" t="n"/>
      <c r="C134" s="199" t="n"/>
      <c r="D134" s="218" t="inlineStr">
        <is>
          <t>五、过程节点奖金</t>
        </is>
      </c>
      <c r="E134" s="212" t="n"/>
      <c r="F134" s="212" t="n"/>
      <c r="G134" s="212" t="n"/>
      <c r="H134" s="184" t="n"/>
      <c r="I134" s="184" t="n"/>
      <c r="J134" s="184">
        <f>H134+I134</f>
        <v/>
      </c>
      <c r="K134" s="184" t="n"/>
      <c r="L134" s="202">
        <f>J134-K134</f>
        <v/>
      </c>
      <c r="M134" s="189" t="n"/>
      <c r="N134" s="189" t="n"/>
      <c r="O134" s="189">
        <f>L134-M134</f>
        <v/>
      </c>
      <c r="P134" s="189">
        <f>K134-N134</f>
        <v/>
      </c>
      <c r="Q134" s="189">
        <f>M134+O134</f>
        <v/>
      </c>
      <c r="R134" s="189">
        <f>M134+N134+O134+P134</f>
        <v/>
      </c>
      <c r="S134" s="203">
        <f>SUM(T134:V134)</f>
        <v/>
      </c>
      <c r="T134" s="203" t="n"/>
      <c r="U134" s="203" t="n"/>
      <c r="V134" s="203" t="n"/>
      <c r="W134" s="203" t="n"/>
      <c r="X134" s="203" t="n"/>
      <c r="Y134" s="203" t="n"/>
      <c r="Z134" s="203" t="n"/>
      <c r="AA134" s="203" t="n"/>
      <c r="AB134" s="188" t="n"/>
      <c r="AC134" s="188" t="n"/>
      <c r="AD134" s="188" t="n"/>
      <c r="AE134" s="188" t="n"/>
      <c r="AF134" s="188" t="n"/>
      <c r="AG134" s="188" t="n"/>
      <c r="AH134" s="188" t="n"/>
      <c r="AI134" s="188" t="n"/>
      <c r="AJ134" s="188" t="n"/>
      <c r="AK134" s="188" t="n"/>
      <c r="AL134" s="214" t="n"/>
    </row>
    <row r="135">
      <c r="A135" s="33" t="n"/>
      <c r="B135" s="199" t="n"/>
      <c r="C135" s="199" t="n"/>
      <c r="D135" s="218" t="inlineStr">
        <is>
          <t>六、资金占用费用</t>
        </is>
      </c>
      <c r="E135" s="212" t="n"/>
      <c r="F135" s="212" t="n"/>
      <c r="G135" s="212" t="n"/>
      <c r="H135" s="189" t="n"/>
      <c r="I135" s="189" t="n"/>
      <c r="J135" s="184">
        <f>H135+I135</f>
        <v/>
      </c>
      <c r="K135" s="189" t="n"/>
      <c r="L135" s="202">
        <f>J135-K135</f>
        <v/>
      </c>
      <c r="M135" s="222" t="n">
        <v>1942071.27</v>
      </c>
      <c r="N135" s="189" t="n"/>
      <c r="O135" s="189">
        <f>L135-M135</f>
        <v/>
      </c>
      <c r="P135" s="189">
        <f>K135-N135</f>
        <v/>
      </c>
      <c r="Q135" s="189">
        <f>M135+O135</f>
        <v/>
      </c>
      <c r="R135" s="189">
        <f>M135+N135+O135+P135</f>
        <v/>
      </c>
      <c r="S135" s="203">
        <f>SUM(T135:V135)</f>
        <v/>
      </c>
      <c r="T135" s="203" t="n"/>
      <c r="U135" s="203" t="n"/>
      <c r="V135" s="203" t="n"/>
      <c r="W135" s="203" t="n"/>
      <c r="X135" s="203" t="n"/>
      <c r="Y135" s="203" t="n"/>
      <c r="Z135" s="203" t="n"/>
      <c r="AA135" s="203" t="n"/>
      <c r="AB135" s="188" t="n"/>
      <c r="AC135" s="188" t="n"/>
      <c r="AD135" s="188" t="n"/>
      <c r="AE135" s="188" t="n"/>
      <c r="AF135" s="188" t="n"/>
      <c r="AG135" s="188" t="n"/>
      <c r="AH135" s="188" t="n"/>
      <c r="AI135" s="188" t="n"/>
      <c r="AJ135" s="188" t="n"/>
      <c r="AK135" s="188" t="n"/>
      <c r="AL135" s="214" t="n"/>
    </row>
    <row r="136">
      <c r="A136" s="33" t="n"/>
      <c r="B136" s="199" t="n"/>
      <c r="C136" s="199" t="n"/>
      <c r="D136" s="218" t="inlineStr">
        <is>
          <t>七、局投资收益（局投资项目选填）</t>
        </is>
      </c>
      <c r="E136" s="212" t="n"/>
      <c r="F136" s="212" t="n"/>
      <c r="G136" s="212" t="n"/>
      <c r="H136" s="189" t="n"/>
      <c r="I136" s="189" t="n"/>
      <c r="J136" s="184">
        <f>H136+I136</f>
        <v/>
      </c>
      <c r="K136" s="189" t="n"/>
      <c r="L136" s="202">
        <f>J136-K136</f>
        <v/>
      </c>
      <c r="M136" s="189" t="n"/>
      <c r="N136" s="189" t="n"/>
      <c r="O136" s="189">
        <f>L136-M136</f>
        <v/>
      </c>
      <c r="P136" s="189">
        <f>K136-N136</f>
        <v/>
      </c>
      <c r="Q136" s="189">
        <f>M136+O136</f>
        <v/>
      </c>
      <c r="R136" s="189">
        <f>M136+N136+O136+P136</f>
        <v/>
      </c>
      <c r="S136" s="203">
        <f>SUM(T136:V136)</f>
        <v/>
      </c>
      <c r="T136" s="203" t="n"/>
      <c r="U136" s="203" t="n"/>
      <c r="V136" s="203" t="n"/>
      <c r="W136" s="203" t="n"/>
      <c r="X136" s="203" t="n"/>
      <c r="Y136" s="203" t="n"/>
      <c r="Z136" s="203" t="n"/>
      <c r="AA136" s="203" t="n"/>
      <c r="AB136" s="188" t="n"/>
      <c r="AC136" s="188" t="n"/>
      <c r="AD136" s="188" t="n"/>
      <c r="AE136" s="188" t="n"/>
      <c r="AF136" s="188" t="n"/>
      <c r="AG136" s="188" t="n"/>
      <c r="AH136" s="188" t="n"/>
      <c r="AI136" s="188" t="n"/>
      <c r="AJ136" s="188" t="n"/>
      <c r="AK136" s="188" t="n"/>
      <c r="AL136" s="214" t="n"/>
    </row>
    <row r="137">
      <c r="A137" s="55" t="n"/>
      <c r="B137" s="235" t="n"/>
      <c r="C137" s="235" t="n"/>
      <c r="D137" s="230" t="inlineStr">
        <is>
          <t>八、研发费用</t>
        </is>
      </c>
      <c r="E137" s="236" t="n"/>
      <c r="F137" s="236" t="n"/>
      <c r="G137" s="236" t="n"/>
      <c r="H137" s="217" t="n"/>
      <c r="I137" s="217" t="n"/>
      <c r="J137" s="217">
        <f>H137+I137</f>
        <v/>
      </c>
      <c r="K137" s="217" t="n"/>
      <c r="L137" s="232">
        <f>J137-K137</f>
        <v/>
      </c>
      <c r="M137" s="238">
        <f>SUM(M74:M76)</f>
        <v/>
      </c>
      <c r="N137" s="238">
        <f>SUM(N74:N76)</f>
        <v/>
      </c>
      <c r="O137" s="238">
        <f>SUM(O74:O76)</f>
        <v/>
      </c>
      <c r="P137" s="238">
        <f>SUM(P74:P76)</f>
        <v/>
      </c>
      <c r="Q137" s="238">
        <f>SUM(Q74:Q76)</f>
        <v/>
      </c>
      <c r="R137" s="238">
        <f>SUM(R74:R76)</f>
        <v/>
      </c>
      <c r="S137" s="238">
        <f>SUM(S74:S76)</f>
        <v/>
      </c>
      <c r="T137" s="238">
        <f>SUM(T74:T76)</f>
        <v/>
      </c>
      <c r="U137" s="238">
        <f>SUM(U74:U76)</f>
        <v/>
      </c>
      <c r="V137" s="238">
        <f>SUM(V74:V76)</f>
        <v/>
      </c>
      <c r="W137" s="238">
        <f>SUM(W74:W76)</f>
        <v/>
      </c>
      <c r="X137" s="238">
        <f>SUM(X74:X76)</f>
        <v/>
      </c>
      <c r="Y137" s="238">
        <f>SUM(Y74:Y76)</f>
        <v/>
      </c>
      <c r="Z137" s="238">
        <f>SUM(Z74:Z76)</f>
        <v/>
      </c>
      <c r="AA137" s="238">
        <f>SUM(AA74:AA76)</f>
        <v/>
      </c>
      <c r="AB137" s="238">
        <f>SUM(AB74:AB76)</f>
        <v/>
      </c>
      <c r="AC137" s="238">
        <f>SUM(AC74:AC76)</f>
        <v/>
      </c>
      <c r="AD137" s="238">
        <f>SUM(AD74:AD76)</f>
        <v/>
      </c>
      <c r="AE137" s="238">
        <f>SUM(AE74:AE76)</f>
        <v/>
      </c>
      <c r="AF137" s="238">
        <f>SUM(AF74:AF76)</f>
        <v/>
      </c>
      <c r="AG137" s="238">
        <f>SUM(AG74:AG76)</f>
        <v/>
      </c>
      <c r="AH137" s="238">
        <f>SUM(AH74:AH76)</f>
        <v/>
      </c>
      <c r="AI137" s="238">
        <f>SUM(AI74:AI76)</f>
        <v/>
      </c>
      <c r="AJ137" s="238">
        <f>SUM(AJ74:AJ76)</f>
        <v/>
      </c>
      <c r="AK137" s="238">
        <f>SUM(AK74:AK76)</f>
        <v/>
      </c>
      <c r="AL137" s="239" t="n"/>
    </row>
    <row r="138">
      <c r="A138" s="206" t="n"/>
      <c r="B138" s="206" t="n"/>
      <c r="C138" s="207" t="n"/>
      <c r="D138" s="207" t="inlineStr">
        <is>
          <t>ZGD-研发费用-人工成本</t>
        </is>
      </c>
      <c r="E138" s="206" t="n"/>
      <c r="F138" s="206" t="n"/>
      <c r="G138" s="206" t="n"/>
      <c r="H138" s="206" t="n"/>
      <c r="I138" s="206" t="n"/>
      <c r="J138" s="206" t="n"/>
      <c r="K138" s="206" t="n"/>
      <c r="L138" s="206" t="n"/>
      <c r="M138" s="210" t="n">
        <v>-129908.09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</row>
    <row r="139">
      <c r="A139" s="206" t="n"/>
      <c r="B139" s="206" t="n"/>
      <c r="C139" s="207" t="n"/>
      <c r="D139" s="207" t="inlineStr">
        <is>
          <t>ZGD-研发费用-材料费</t>
        </is>
      </c>
      <c r="E139" s="206" t="n"/>
      <c r="F139" s="206" t="n"/>
      <c r="G139" s="206" t="n"/>
      <c r="H139" s="206" t="n"/>
      <c r="I139" s="206" t="n"/>
      <c r="J139" s="206" t="n"/>
      <c r="K139" s="206" t="n"/>
      <c r="L139" s="206" t="n"/>
      <c r="M139" s="210" t="n">
        <v>-4282417.22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</row>
    <row r="140">
      <c r="A140" s="206" t="n"/>
      <c r="B140" s="206" t="n"/>
      <c r="C140" s="207" t="n"/>
      <c r="D140" s="207" t="inlineStr">
        <is>
          <t>研发费用-人工成本</t>
        </is>
      </c>
      <c r="E140" s="206" t="n"/>
      <c r="F140" s="206" t="n"/>
      <c r="G140" s="206" t="n"/>
      <c r="H140" s="206" t="n"/>
      <c r="I140" s="206" t="n"/>
      <c r="J140" s="206" t="n"/>
      <c r="K140" s="206" t="n"/>
      <c r="L140" s="206" t="n"/>
      <c r="M140" s="210" t="n">
        <v>687440.63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研发费用-机械租赁</t>
        </is>
      </c>
      <c r="E141" s="206" t="n"/>
      <c r="F141" s="206" t="n"/>
      <c r="G141" s="206" t="n"/>
      <c r="H141" s="206" t="n"/>
      <c r="I141" s="206" t="n"/>
      <c r="J141" s="206" t="n"/>
      <c r="K141" s="206" t="n"/>
      <c r="L141" s="206" t="n"/>
      <c r="M141" s="210" t="n">
        <v>284623.4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206" t="n"/>
      <c r="B142" s="206" t="n"/>
      <c r="C142" s="207" t="n"/>
      <c r="D142" s="207" t="inlineStr">
        <is>
          <t>研发费用-材料费</t>
        </is>
      </c>
      <c r="E142" s="206" t="n"/>
      <c r="F142" s="206" t="n"/>
      <c r="G142" s="206" t="n"/>
      <c r="H142" s="206" t="n"/>
      <c r="I142" s="206" t="n"/>
      <c r="J142" s="206" t="n"/>
      <c r="K142" s="206" t="n"/>
      <c r="L142" s="206" t="n"/>
      <c r="M142" s="210" t="n">
        <v>12339365.17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33" t="n">
        <v>1</v>
      </c>
      <c r="B143" s="199" t="n"/>
      <c r="C143" s="199" t="n"/>
      <c r="D143" s="218" t="n"/>
      <c r="E143" s="212" t="n"/>
      <c r="F143" s="212" t="n"/>
      <c r="G143" s="212" t="n"/>
      <c r="H143" s="189" t="n"/>
      <c r="I143" s="189" t="n"/>
      <c r="J143" s="184">
        <f>H143+I143</f>
        <v/>
      </c>
      <c r="K143" s="189" t="n"/>
      <c r="L143" s="202">
        <f>J143-K143</f>
        <v/>
      </c>
      <c r="M143" s="189" t="n"/>
      <c r="N143" s="189" t="n"/>
      <c r="O143" s="189">
        <f>L143-M143</f>
        <v/>
      </c>
      <c r="P143" s="189">
        <f>K143-N143</f>
        <v/>
      </c>
      <c r="Q143" s="189">
        <f>M143+O143</f>
        <v/>
      </c>
      <c r="R143" s="189">
        <f>M143+N143+O143+P143</f>
        <v/>
      </c>
      <c r="S143" s="203">
        <f>SUM(T143:V143)</f>
        <v/>
      </c>
      <c r="T143" s="203" t="n"/>
      <c r="U143" s="203" t="n"/>
      <c r="V143" s="203" t="n"/>
      <c r="W143" s="203" t="n"/>
      <c r="X143" s="203" t="n"/>
      <c r="Y143" s="203" t="n"/>
      <c r="Z143" s="203" t="n"/>
      <c r="AA143" s="203" t="n"/>
      <c r="AB143" s="188" t="n"/>
      <c r="AC143" s="188" t="n"/>
      <c r="AD143" s="188" t="n"/>
      <c r="AE143" s="188" t="n"/>
      <c r="AF143" s="188" t="n"/>
      <c r="AG143" s="188" t="n"/>
      <c r="AH143" s="188" t="n"/>
      <c r="AI143" s="188" t="n"/>
      <c r="AJ143" s="188" t="n"/>
      <c r="AK143" s="188" t="n"/>
      <c r="AL143" s="214" t="n"/>
    </row>
    <row r="144">
      <c r="A144" s="33" t="n">
        <v>2</v>
      </c>
      <c r="B144" s="199" t="n"/>
      <c r="C144" s="199" t="n"/>
      <c r="D144" s="218" t="n"/>
      <c r="E144" s="212" t="n"/>
      <c r="F144" s="212" t="n"/>
      <c r="G144" s="212" t="n"/>
      <c r="H144" s="189" t="n"/>
      <c r="I144" s="189" t="n"/>
      <c r="J144" s="184" t="n"/>
      <c r="K144" s="189" t="n"/>
      <c r="L144" s="202" t="n"/>
      <c r="M144" s="189" t="n"/>
      <c r="N144" s="189" t="n"/>
      <c r="O144" s="189">
        <f>L144-M144</f>
        <v/>
      </c>
      <c r="P144" s="189">
        <f>K144-N144</f>
        <v/>
      </c>
      <c r="Q144" s="189">
        <f>M144+O144</f>
        <v/>
      </c>
      <c r="R144" s="189">
        <f>M144+N144+O144+P144</f>
        <v/>
      </c>
      <c r="S144" s="203">
        <f>SUM(T144:V144)</f>
        <v/>
      </c>
      <c r="T144" s="203" t="n"/>
      <c r="U144" s="203" t="n"/>
      <c r="V144" s="203" t="n"/>
      <c r="W144" s="203" t="n"/>
      <c r="X144" s="203" t="n"/>
      <c r="Y144" s="203" t="n"/>
      <c r="Z144" s="203" t="n"/>
      <c r="AA144" s="203" t="n"/>
      <c r="AB144" s="188" t="n"/>
      <c r="AC144" s="188" t="n"/>
      <c r="AD144" s="188" t="n"/>
      <c r="AE144" s="188" t="n"/>
      <c r="AF144" s="188" t="n"/>
      <c r="AG144" s="188" t="n"/>
      <c r="AH144" s="188" t="n"/>
      <c r="AI144" s="188" t="n"/>
      <c r="AJ144" s="188" t="n"/>
      <c r="AK144" s="188" t="n"/>
      <c r="AL144" s="214" t="n"/>
    </row>
    <row r="145">
      <c r="A145" s="33" t="n">
        <v>3</v>
      </c>
      <c r="B145" s="199" t="n"/>
      <c r="C145" s="199" t="n"/>
      <c r="D145" s="218" t="n"/>
      <c r="E145" s="212" t="n"/>
      <c r="F145" s="212" t="n"/>
      <c r="G145" s="212" t="n"/>
      <c r="H145" s="189" t="n"/>
      <c r="I145" s="189" t="n"/>
      <c r="J145" s="184" t="n"/>
      <c r="K145" s="189" t="n"/>
      <c r="L145" s="202" t="n"/>
      <c r="M145" s="189" t="n"/>
      <c r="N145" s="189" t="n"/>
      <c r="O145" s="189">
        <f>L145-M145</f>
        <v/>
      </c>
      <c r="P145" s="189">
        <f>K145-N145</f>
        <v/>
      </c>
      <c r="Q145" s="189">
        <f>M145+O145</f>
        <v/>
      </c>
      <c r="R145" s="189">
        <f>M145+N145+O145+P145</f>
        <v/>
      </c>
      <c r="S145" s="203">
        <f>SUM(T145:V145)</f>
        <v/>
      </c>
      <c r="T145" s="203" t="n"/>
      <c r="U145" s="203" t="n"/>
      <c r="V145" s="203" t="n"/>
      <c r="W145" s="203" t="n"/>
      <c r="X145" s="203" t="n"/>
      <c r="Y145" s="203" t="n"/>
      <c r="Z145" s="203" t="n"/>
      <c r="AA145" s="203" t="n"/>
      <c r="AB145" s="188" t="n"/>
      <c r="AC145" s="188" t="n"/>
      <c r="AD145" s="188" t="n"/>
      <c r="AE145" s="188" t="n"/>
      <c r="AF145" s="188" t="n"/>
      <c r="AG145" s="188" t="n"/>
      <c r="AH145" s="188" t="n"/>
      <c r="AI145" s="188" t="n"/>
      <c r="AJ145" s="188" t="n"/>
      <c r="AK145" s="188" t="n"/>
      <c r="AL145" s="214" t="n"/>
    </row>
    <row r="146">
      <c r="A146" s="41" t="n"/>
      <c r="B146" s="215" t="n"/>
      <c r="C146" s="215" t="n"/>
      <c r="D146" s="230" t="inlineStr">
        <is>
          <t>九、成本及费用合计（三+四+五+六+七）</t>
        </is>
      </c>
      <c r="E146" s="231" t="n"/>
      <c r="F146" s="231" t="n"/>
      <c r="G146" s="231" t="n"/>
      <c r="H146" s="217">
        <f>H68+H69+H70+H71+#REF!</f>
        <v/>
      </c>
      <c r="I146" s="217">
        <f>I68+I69+I70+I71+#REF!</f>
        <v/>
      </c>
      <c r="J146" s="242">
        <f>J68+J69+J70+J71+#REF!</f>
        <v/>
      </c>
      <c r="K146" s="217">
        <f>K68+K69+K70+K71+#REF!</f>
        <v/>
      </c>
      <c r="L146" s="243">
        <f>L68+L69+L70+L71+#REF!</f>
        <v/>
      </c>
      <c r="M146" s="243">
        <f>M68+M69+M70+M71</f>
        <v/>
      </c>
      <c r="N146" s="243">
        <f>N68+N69+N70+N71</f>
        <v/>
      </c>
      <c r="O146" s="243">
        <f>O68+O69+O70+O71</f>
        <v/>
      </c>
      <c r="P146" s="243">
        <f>P68+P69+P70+P71</f>
        <v/>
      </c>
      <c r="Q146" s="243">
        <f>Q68+Q69+Q70+Q71</f>
        <v/>
      </c>
      <c r="R146" s="243">
        <f>R68+R69+R70+R71</f>
        <v/>
      </c>
      <c r="S146" s="238">
        <f>S68+S69+S70+S71</f>
        <v/>
      </c>
      <c r="T146" s="238" t="n"/>
      <c r="U146" s="238" t="n"/>
      <c r="V146" s="238" t="n"/>
      <c r="W146" s="238" t="n"/>
      <c r="X146" s="238" t="n"/>
      <c r="Y146" s="238" t="n"/>
      <c r="Z146" s="238">
        <f>Z68+Z69+Z70+Z71</f>
        <v/>
      </c>
      <c r="AA146" s="238">
        <f>AA68+AA69+AA70+AA71</f>
        <v/>
      </c>
      <c r="AB146" s="244" t="n"/>
      <c r="AC146" s="244" t="n"/>
      <c r="AD146" s="244" t="n"/>
      <c r="AE146" s="244" t="n"/>
      <c r="AF146" s="244" t="n"/>
      <c r="AG146" s="244" t="n"/>
      <c r="AH146" s="244" t="n"/>
      <c r="AI146" s="244" t="n"/>
      <c r="AJ146" s="244" t="n"/>
      <c r="AK146" s="245" t="n"/>
      <c r="AL146" s="246" t="n"/>
    </row>
    <row r="147">
      <c r="A147" s="41" t="n"/>
      <c r="B147" s="215" t="n"/>
      <c r="C147" s="215" t="n"/>
      <c r="D147" s="230" t="inlineStr">
        <is>
          <t>十、增值税实际税负（按财务数据）</t>
        </is>
      </c>
      <c r="E147" s="231" t="inlineStr">
        <is>
          <t>根据财务账面实际已缴纳增值税额+尚需缴纳的增值税额</t>
        </is>
      </c>
      <c r="F147" s="231" t="n"/>
      <c r="G147" s="231" t="n"/>
      <c r="H147" s="217" t="n"/>
      <c r="I147" s="217" t="n"/>
      <c r="J147" s="242">
        <f>H78+I78</f>
        <v/>
      </c>
      <c r="K147" s="217" t="inlineStr">
        <is>
          <t>/</t>
        </is>
      </c>
      <c r="L147" s="243" t="inlineStr">
        <is>
          <t>/</t>
        </is>
      </c>
      <c r="M147" s="243" t="n"/>
      <c r="N147" s="243">
        <f>N6-N77</f>
        <v/>
      </c>
      <c r="O147" s="243" t="n"/>
      <c r="P147" s="243" t="n"/>
      <c r="Q147" s="243" t="inlineStr">
        <is>
          <t>/</t>
        </is>
      </c>
      <c r="R147" s="243">
        <f>N78+P78</f>
        <v/>
      </c>
      <c r="S147" s="238" t="n"/>
      <c r="T147" s="238" t="n"/>
      <c r="U147" s="238" t="n"/>
      <c r="V147" s="238" t="n"/>
      <c r="W147" s="238" t="n"/>
      <c r="X147" s="238" t="n"/>
      <c r="Y147" s="238" t="n"/>
      <c r="Z147" s="238" t="n"/>
      <c r="AA147" s="238" t="n"/>
      <c r="AB147" s="244" t="n"/>
      <c r="AC147" s="244" t="n"/>
      <c r="AD147" s="244" t="n"/>
      <c r="AE147" s="244" t="n"/>
      <c r="AF147" s="244" t="n"/>
      <c r="AG147" s="244" t="n"/>
      <c r="AH147" s="244" t="n"/>
      <c r="AI147" s="244" t="n"/>
      <c r="AJ147" s="244" t="n"/>
      <c r="AK147" s="245" t="n"/>
      <c r="AL147" s="246" t="n"/>
    </row>
    <row r="148">
      <c r="A148" s="41" t="n"/>
      <c r="B148" s="215" t="n"/>
      <c r="C148" s="215" t="n"/>
      <c r="D148" s="230" t="inlineStr">
        <is>
          <t>十一、税金及附加（按财务数据）</t>
        </is>
      </c>
      <c r="E148" s="231" t="inlineStr">
        <is>
          <t>根据财务账面实际已缴纳税金及附加+尚需缴纳的税金及附加</t>
        </is>
      </c>
      <c r="F148" s="231" t="n"/>
      <c r="G148" s="231" t="n"/>
      <c r="H148" s="217" t="n"/>
      <c r="I148" s="217" t="n"/>
      <c r="J148" s="242">
        <f>H79+I79</f>
        <v/>
      </c>
      <c r="K148" s="217" t="n"/>
      <c r="L148" s="243">
        <f>J79</f>
        <v/>
      </c>
      <c r="M148" s="247" t="n">
        <v>385874.26</v>
      </c>
      <c r="N148" s="243" t="n"/>
      <c r="O148" s="243">
        <f>L79-M79</f>
        <v/>
      </c>
      <c r="P148" s="243" t="n"/>
      <c r="Q148" s="243">
        <f>M79+O79</f>
        <v/>
      </c>
      <c r="R148" s="243">
        <f>Q79</f>
        <v/>
      </c>
      <c r="S148" s="238" t="n"/>
      <c r="T148" s="238" t="n"/>
      <c r="U148" s="238" t="n"/>
      <c r="V148" s="238" t="n"/>
      <c r="W148" s="238" t="n"/>
      <c r="X148" s="238" t="n"/>
      <c r="Y148" s="238" t="n"/>
      <c r="Z148" s="238" t="n"/>
      <c r="AA148" s="238" t="n"/>
      <c r="AB148" s="244" t="n"/>
      <c r="AC148" s="244" t="n"/>
      <c r="AD148" s="244" t="n"/>
      <c r="AE148" s="244" t="n"/>
      <c r="AF148" s="244" t="n"/>
      <c r="AG148" s="244" t="n"/>
      <c r="AH148" s="244" t="n"/>
      <c r="AI148" s="244" t="n"/>
      <c r="AJ148" s="244" t="n"/>
      <c r="AK148" s="245" t="n"/>
      <c r="AL148" s="246" t="n"/>
    </row>
    <row r="149">
      <c r="A149" s="41" t="n"/>
      <c r="B149" s="215" t="n"/>
      <c r="C149" s="215" t="n"/>
      <c r="D149" s="230" t="inlineStr">
        <is>
          <t>十二、利润</t>
        </is>
      </c>
      <c r="E149" s="231" t="n"/>
      <c r="F149" s="231" t="n"/>
      <c r="G149" s="231" t="n"/>
      <c r="H149" s="217" t="n"/>
      <c r="I149" s="217" t="n"/>
      <c r="J149" s="242">
        <f>J6-J77-J78-J79</f>
        <v/>
      </c>
      <c r="K149" s="217" t="n"/>
      <c r="L149" s="243" t="n"/>
      <c r="M149" s="243" t="n"/>
      <c r="N149" s="243" t="n"/>
      <c r="O149" s="243" t="n"/>
      <c r="P149" s="243" t="n"/>
      <c r="Q149" s="243" t="n"/>
      <c r="R149" s="243" t="n"/>
      <c r="S149" s="238" t="n"/>
      <c r="T149" s="238" t="n"/>
      <c r="U149" s="238" t="n"/>
      <c r="V149" s="238" t="n"/>
      <c r="W149" s="238" t="n"/>
      <c r="X149" s="238" t="n"/>
      <c r="Y149" s="238" t="n"/>
      <c r="Z149" s="238" t="n"/>
      <c r="AA149" s="238" t="n"/>
      <c r="AB149" s="244" t="n"/>
      <c r="AC149" s="244" t="n"/>
      <c r="AD149" s="244" t="n"/>
      <c r="AE149" s="244" t="n"/>
      <c r="AF149" s="244" t="n"/>
      <c r="AG149" s="244" t="n"/>
      <c r="AH149" s="244" t="n"/>
      <c r="AI149" s="244" t="n"/>
      <c r="AJ149" s="244" t="n"/>
      <c r="AK149" s="245" t="n"/>
      <c r="AL149" s="246" t="n"/>
    </row>
    <row r="150">
      <c r="A150" s="105" t="n"/>
      <c r="B150" s="106" t="n"/>
      <c r="C150" s="106" t="n"/>
      <c r="D150" s="107" t="inlineStr">
        <is>
          <t>十三、利润率</t>
        </is>
      </c>
      <c r="E150" s="108" t="n"/>
      <c r="F150" s="108" t="n"/>
      <c r="G150" s="108" t="n"/>
      <c r="H150" s="109" t="n"/>
      <c r="I150" s="109" t="n"/>
      <c r="J150" s="109">
        <f>J80/J6</f>
        <v/>
      </c>
      <c r="K150" s="109" t="n"/>
      <c r="L150" s="127">
        <f>L80/L6</f>
        <v/>
      </c>
      <c r="M150" s="127">
        <f>M80/M6</f>
        <v/>
      </c>
      <c r="N150" s="127" t="n"/>
      <c r="O150" s="127" t="n"/>
      <c r="P150" s="127" t="n"/>
      <c r="Q150" s="127">
        <f>Q80/Q6</f>
        <v/>
      </c>
      <c r="R150" s="127">
        <f>R80/R6</f>
        <v/>
      </c>
      <c r="S150" s="142" t="n"/>
      <c r="T150" s="142" t="n"/>
      <c r="U150" s="142" t="n"/>
      <c r="V150" s="142" t="n"/>
      <c r="W150" s="142" t="n"/>
      <c r="X150" s="142" t="n"/>
      <c r="Y150" s="142" t="n"/>
      <c r="Z150" s="142" t="n"/>
      <c r="AA150" s="142" t="n"/>
      <c r="AB150" s="146" t="n"/>
      <c r="AC150" s="146" t="n"/>
      <c r="AD150" s="146" t="n"/>
      <c r="AE150" s="146" t="n"/>
      <c r="AF150" s="146" t="n"/>
      <c r="AG150" s="146" t="n"/>
      <c r="AH150" s="146" t="n"/>
      <c r="AI150" s="146" t="n"/>
      <c r="AJ150" s="146" t="n"/>
      <c r="AK150" s="154" t="n"/>
      <c r="AL150" s="155" t="n"/>
    </row>
    <row r="151">
      <c r="A151" s="111" t="n"/>
      <c r="B151" s="111" t="n"/>
      <c r="C151" s="111" t="n"/>
      <c r="D151" s="112" t="n"/>
      <c r="E151" s="113" t="n"/>
      <c r="F151" s="113" t="n"/>
      <c r="G151" s="113" t="n"/>
      <c r="H151" s="248" t="n"/>
      <c r="I151" s="248" t="n"/>
      <c r="J151" s="249" t="inlineStr">
        <is>
          <t>含税利润率</t>
        </is>
      </c>
      <c r="K151" s="250" t="n"/>
      <c r="L151" s="251" t="inlineStr">
        <is>
          <t>不含税利润率</t>
        </is>
      </c>
      <c r="M151" s="252" t="n"/>
      <c r="N151" s="252" t="n"/>
      <c r="O151" s="252" t="n"/>
      <c r="P151" s="252" t="n"/>
      <c r="Q151" s="252" t="n"/>
      <c r="R151" s="252" t="n"/>
      <c r="S151" s="252" t="n"/>
      <c r="T151" s="252" t="n"/>
      <c r="U151" s="252" t="n"/>
      <c r="V151" s="252" t="n"/>
      <c r="W151" s="252" t="n"/>
      <c r="X151" s="252" t="n"/>
      <c r="Y151" s="252" t="n"/>
      <c r="Z151" s="253" t="n"/>
      <c r="AA151" s="162" t="n"/>
      <c r="AB151" s="254" t="n"/>
      <c r="AC151" s="254" t="n"/>
      <c r="AD151" s="254" t="n"/>
      <c r="AE151" s="254" t="n"/>
      <c r="AF151" s="254" t="n"/>
      <c r="AG151" s="254" t="n"/>
      <c r="AH151" s="254" t="n"/>
      <c r="AI151" s="254" t="n"/>
      <c r="AJ151" s="254" t="n"/>
      <c r="AK151" s="254" t="n"/>
      <c r="AL151" s="156" t="n"/>
    </row>
    <row r="152">
      <c r="A152" s="111" t="n"/>
      <c r="B152" s="111" t="n"/>
      <c r="C152" s="111" t="n"/>
      <c r="D152" s="112" t="n"/>
      <c r="E152" s="113" t="n"/>
      <c r="F152" s="113" t="n"/>
      <c r="G152" s="113" t="n"/>
      <c r="H152" s="248" t="n"/>
      <c r="I152" s="248" t="n"/>
      <c r="J152" s="255" t="n"/>
      <c r="K152" s="248" t="n"/>
      <c r="L152" s="256" t="n"/>
      <c r="M152" s="252" t="n"/>
      <c r="N152" s="252" t="n"/>
      <c r="O152" s="252" t="n"/>
      <c r="P152" s="252" t="n"/>
      <c r="Q152" s="252" t="n"/>
      <c r="R152" s="252" t="n"/>
      <c r="S152" s="252" t="n"/>
      <c r="T152" s="252" t="n"/>
      <c r="U152" s="252" t="n"/>
      <c r="V152" s="252" t="n"/>
      <c r="W152" s="252" t="n"/>
      <c r="X152" s="252" t="n"/>
      <c r="Y152" s="252" t="n"/>
      <c r="Z152" s="253" t="n"/>
      <c r="AA152" s="162" t="n"/>
      <c r="AB152" s="254" t="n"/>
      <c r="AC152" s="254" t="n"/>
      <c r="AD152" s="254" t="n"/>
      <c r="AE152" s="254" t="n"/>
      <c r="AF152" s="254" t="n"/>
      <c r="AG152" s="254" t="n"/>
      <c r="AH152" s="254" t="n"/>
      <c r="AI152" s="254" t="n"/>
      <c r="AJ152" s="254" t="n"/>
      <c r="AK152" s="254" t="n"/>
      <c r="AL152" s="156" t="n"/>
    </row>
    <row r="153">
      <c r="A153" s="116" t="n"/>
      <c r="B153" s="116" t="n"/>
      <c r="C153" s="116" t="n"/>
      <c r="D153" s="117" t="n"/>
      <c r="E153" s="118" t="n"/>
      <c r="F153" s="118" t="n"/>
      <c r="G153" s="118" t="n"/>
      <c r="H153" s="119" t="n"/>
      <c r="I153" s="119" t="n"/>
      <c r="J153" s="134" t="n"/>
      <c r="K153" s="257" t="n"/>
      <c r="L153" s="257" t="n"/>
      <c r="M153" s="258" t="n"/>
      <c r="N153" s="257" t="n"/>
      <c r="O153" s="257" t="n"/>
      <c r="P153" s="259" t="n"/>
      <c r="Q153" s="259" t="n"/>
      <c r="R153" s="257" t="n"/>
      <c r="S153" s="260" t="n"/>
      <c r="T153" s="260" t="n"/>
      <c r="U153" s="260" t="n"/>
      <c r="V153" s="260" t="n"/>
      <c r="W153" s="260" t="n"/>
      <c r="X153" s="260" t="n"/>
      <c r="Y153" s="260" t="n"/>
      <c r="Z153" s="261" t="n"/>
      <c r="AA153" s="262" t="n"/>
      <c r="AD153" s="263" t="n"/>
      <c r="AE153" s="263" t="n"/>
      <c r="AF153" s="263" t="n"/>
      <c r="AG153" s="263" t="n"/>
      <c r="AH153" s="263" t="n"/>
      <c r="AI153" s="263" t="n"/>
      <c r="AJ153" s="263" t="n"/>
      <c r="AK153" s="263" t="n"/>
      <c r="AL153" s="121" t="n"/>
    </row>
    <row r="154">
      <c r="A154" s="121" t="n"/>
      <c r="B154" s="121" t="n"/>
      <c r="C154" s="121" t="n"/>
      <c r="D154" s="121" t="n"/>
      <c r="E154" s="122" t="n"/>
      <c r="F154" s="122" t="n"/>
      <c r="G154" s="122" t="n"/>
      <c r="H154" s="122" t="n"/>
      <c r="I154" s="122" t="n"/>
      <c r="J154" s="122" t="n"/>
      <c r="K154" s="264" t="n"/>
      <c r="L154" s="122" t="n"/>
      <c r="M154" s="265" t="n"/>
      <c r="N154" s="265" t="n"/>
      <c r="O154" s="265" t="n"/>
      <c r="P154" s="265" t="n"/>
      <c r="Q154" s="265" t="n"/>
      <c r="R154" s="265" t="n"/>
      <c r="S154" s="260" t="n"/>
      <c r="T154" s="260" t="n"/>
      <c r="U154" s="260" t="n"/>
      <c r="V154" s="260" t="n"/>
      <c r="W154" s="260" t="n"/>
      <c r="X154" s="260" t="n"/>
      <c r="Y154" s="260" t="n"/>
      <c r="Z154" s="265" t="n"/>
      <c r="AA154" s="263" t="n"/>
      <c r="AB154" s="263" t="n"/>
      <c r="AC154" s="263" t="n"/>
      <c r="AD154" s="263" t="n"/>
      <c r="AE154" s="263" t="n"/>
      <c r="AF154" s="263" t="n"/>
      <c r="AG154" s="263" t="n"/>
      <c r="AH154" s="263" t="n"/>
      <c r="AI154" s="263" t="n"/>
      <c r="AJ154" s="263" t="n"/>
      <c r="AK154" s="263" t="n"/>
      <c r="AL154" s="121" t="n"/>
    </row>
    <row r="155">
      <c r="A155" s="121" t="n"/>
      <c r="B155" s="121" t="n"/>
      <c r="C155" s="121" t="n"/>
      <c r="D155" s="121" t="n"/>
      <c r="E155" s="122" t="n"/>
      <c r="F155" s="122" t="n"/>
      <c r="G155" s="122" t="n"/>
      <c r="H155" s="122" t="n"/>
      <c r="I155" s="122" t="n"/>
      <c r="J155" s="122" t="n"/>
      <c r="K155" s="264" t="n"/>
      <c r="L155" s="122" t="n"/>
      <c r="M155" s="265" t="n"/>
      <c r="N155" s="265" t="n"/>
      <c r="O155" s="265" t="n"/>
      <c r="P155" s="265" t="n"/>
      <c r="Q155" s="265" t="n"/>
      <c r="R155" s="265" t="n"/>
      <c r="S155" s="260" t="n"/>
      <c r="T155" s="260" t="n"/>
      <c r="U155" s="260" t="n"/>
      <c r="V155" s="260" t="n"/>
      <c r="W155" s="260" t="n"/>
      <c r="X155" s="260" t="n"/>
      <c r="Y155" s="260" t="n"/>
      <c r="Z155" s="265" t="n"/>
      <c r="AA155" s="263" t="n"/>
      <c r="AB155" s="263" t="n"/>
      <c r="AC155" s="263" t="n"/>
      <c r="AD155" s="263" t="n"/>
      <c r="AE155" s="263" t="n"/>
      <c r="AF155" s="263" t="n"/>
      <c r="AG155" s="263" t="n"/>
      <c r="AH155" s="263" t="n"/>
      <c r="AI155" s="263" t="n"/>
      <c r="AJ155" s="263" t="n"/>
      <c r="AK155" s="263" t="n"/>
      <c r="AL155" s="121" t="n"/>
    </row>
    <row r="156">
      <c r="A156" s="121" t="n"/>
      <c r="B156" s="121" t="n"/>
      <c r="C156" s="121" t="n"/>
      <c r="D156" s="121" t="n"/>
      <c r="E156" s="123" t="n"/>
      <c r="F156" s="123" t="n"/>
      <c r="G156" s="123" t="n"/>
      <c r="H156" s="122" t="n"/>
      <c r="I156" s="122" t="n"/>
      <c r="J156" s="122" t="n"/>
      <c r="K156" s="123" t="n"/>
      <c r="L156" s="122" t="n"/>
      <c r="M156" s="265" t="n"/>
      <c r="N156" s="261" t="n"/>
      <c r="O156" s="265" t="n"/>
      <c r="P156" s="265" t="n"/>
      <c r="Q156" s="265" t="n"/>
      <c r="R156" s="257" t="n"/>
      <c r="S156" s="260" t="n"/>
      <c r="T156" s="260" t="n"/>
      <c r="U156" s="260" t="n"/>
      <c r="V156" s="260" t="n"/>
      <c r="W156" s="260" t="n"/>
      <c r="X156" s="260" t="n"/>
      <c r="Y156" s="260" t="n"/>
      <c r="Z156" s="265" t="n"/>
      <c r="AA156" s="263" t="n"/>
      <c r="AB156" s="263" t="n"/>
      <c r="AC156" s="263" t="n"/>
      <c r="AD156" s="263" t="n"/>
      <c r="AE156" s="263" t="n"/>
      <c r="AF156" s="263" t="n"/>
      <c r="AG156" s="263" t="n"/>
      <c r="AH156" s="263" t="n"/>
      <c r="AI156" s="263" t="n"/>
      <c r="AJ156" s="263" t="n"/>
      <c r="AK156" s="263" t="n"/>
      <c r="AL156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2026-04-25T02:03:15Z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