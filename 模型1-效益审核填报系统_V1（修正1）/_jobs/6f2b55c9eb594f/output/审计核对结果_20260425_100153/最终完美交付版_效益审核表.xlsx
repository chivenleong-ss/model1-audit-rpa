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68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8" authorId="1" shapeId="0">
      <text>
        <t>**同财务账面合同履约成本/工程施工成本/间接费数据一致**</t>
      </text>
    </comment>
    <comment ref="D126" authorId="2" shapeId="0">
      <text>
        <t>（在建：房建0.6%，其它0.4%；在保修期间的按0.3~0.5%自行确定;保修期结束为0）</t>
      </text>
    </comment>
    <comment ref="E13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79" t="n"/>
      <c r="B17" s="280" t="n"/>
      <c r="C17" s="280" t="n"/>
      <c r="D17" s="291" t="inlineStr">
        <is>
          <t>**财务未列部分需增列***</t>
        </is>
      </c>
      <c r="E17" s="292" t="n"/>
      <c r="F17" s="292" t="n"/>
      <c r="G17" s="292" t="n"/>
      <c r="H17" s="282" t="n"/>
      <c r="I17" s="282" t="n"/>
      <c r="J17" s="282" t="n"/>
      <c r="K17" s="283" t="n"/>
      <c r="L17" s="284" t="n"/>
      <c r="M17" s="282" t="n"/>
      <c r="N17" s="282" t="n"/>
      <c r="O17" s="282">
        <f>L17-M17</f>
        <v/>
      </c>
      <c r="P17" s="282">
        <f>K17-N17</f>
        <v/>
      </c>
      <c r="Q17" s="282">
        <f>M17+O17</f>
        <v/>
      </c>
      <c r="R17" s="282">
        <f>M17+N17+O17+P17</f>
        <v/>
      </c>
      <c r="S17" s="286">
        <f>SUM(T17:V17)</f>
        <v/>
      </c>
      <c r="T17" s="282" t="n"/>
      <c r="U17" s="282" t="n"/>
      <c r="V17" s="282" t="n"/>
      <c r="W17" s="282" t="n"/>
      <c r="X17" s="282" t="n"/>
      <c r="Y17" s="282" t="n"/>
      <c r="Z17" s="282">
        <f>SUM(AA16:AJ16)</f>
        <v/>
      </c>
      <c r="AA17" s="293" t="n"/>
      <c r="AB17" s="287" t="n"/>
      <c r="AC17" s="287" t="n"/>
      <c r="AD17" s="287" t="n"/>
      <c r="AE17" s="287" t="n"/>
      <c r="AF17" s="287" t="n"/>
      <c r="AG17" s="287" t="n"/>
      <c r="AH17" s="287" t="n"/>
      <c r="AI17" s="287" t="n"/>
      <c r="AJ17" s="287" t="n"/>
      <c r="AK17" s="287">
        <f>AB16/1.17*0.17+AC16/1.16*0.16+AD16/1.11*0.11+AE16/1.1*0.1+AF16/1.09*0.09+AI16/1.03*0.03</f>
        <v/>
      </c>
      <c r="AL17" s="294" t="n"/>
    </row>
    <row r="18" ht="14" customFormat="1" customHeight="1" s="180">
      <c r="A18" s="295" t="n"/>
      <c r="B18" s="296" t="n"/>
      <c r="C18" s="296" t="n"/>
      <c r="D18" s="297" t="inlineStr">
        <is>
          <t>人工费小计：</t>
        </is>
      </c>
      <c r="E18" s="298">
        <f>SUM(E12:E17)</f>
        <v/>
      </c>
      <c r="F18" s="298">
        <f>SUM(F12:F17)</f>
        <v/>
      </c>
      <c r="G18" s="298">
        <f>SUM(G12:G17)</f>
        <v/>
      </c>
      <c r="H18" s="298">
        <f>SUM(H12:H17)</f>
        <v/>
      </c>
      <c r="I18" s="298">
        <f>SUM(I12:I17)</f>
        <v/>
      </c>
      <c r="J18" s="298">
        <f>SUM(J12:J17)</f>
        <v/>
      </c>
      <c r="K18" s="298">
        <f>SUM(K12:K17)</f>
        <v/>
      </c>
      <c r="L18" s="298">
        <f>SUM(L12:L17)</f>
        <v/>
      </c>
      <c r="M18" s="298">
        <f>SUM(M12:M17)</f>
        <v/>
      </c>
      <c r="N18" s="298">
        <f>SUM(N12:N17)</f>
        <v/>
      </c>
      <c r="O18" s="298">
        <f>SUM(O12:O17)</f>
        <v/>
      </c>
      <c r="P18" s="298">
        <f>SUM(P12:P17)</f>
        <v/>
      </c>
      <c r="Q18" s="298">
        <f>SUM(Q12:Q17)</f>
        <v/>
      </c>
      <c r="R18" s="298">
        <f>SUM(R12:R17)</f>
        <v/>
      </c>
      <c r="S18" s="298">
        <f>SUM(S12:S17)</f>
        <v/>
      </c>
      <c r="T18" s="298">
        <f>SUM(T12:T17)</f>
        <v/>
      </c>
      <c r="U18" s="298">
        <f>SUM(U12:U17)</f>
        <v/>
      </c>
      <c r="V18" s="298">
        <f>SUM(V12:V17)</f>
        <v/>
      </c>
      <c r="W18" s="298">
        <f>SUM(W12:W17)</f>
        <v/>
      </c>
      <c r="X18" s="298">
        <f>SUM(X12:X17)</f>
        <v/>
      </c>
      <c r="Y18" s="298">
        <f>SUM(Y12:Y17)</f>
        <v/>
      </c>
      <c r="Z18" s="298">
        <f>SUM(Z12:Z17)</f>
        <v/>
      </c>
      <c r="AA18" s="298">
        <f>SUM(AA12:AA17)</f>
        <v/>
      </c>
      <c r="AB18" s="298">
        <f>SUM(AB12:AB17)</f>
        <v/>
      </c>
      <c r="AC18" s="298">
        <f>SUM(AC12:AC17)</f>
        <v/>
      </c>
      <c r="AD18" s="298">
        <f>SUM(AD12:AD17)</f>
        <v/>
      </c>
      <c r="AE18" s="298">
        <f>SUM(AE12:AE17)</f>
        <v/>
      </c>
      <c r="AF18" s="298">
        <f>SUM(AF12:AF17)</f>
        <v/>
      </c>
      <c r="AG18" s="298">
        <f>SUM(AG12:AG17)</f>
        <v/>
      </c>
      <c r="AH18" s="298">
        <f>SUM(AH12:AH17)</f>
        <v/>
      </c>
      <c r="AI18" s="298">
        <f>SUM(AI12:AI17)</f>
        <v/>
      </c>
      <c r="AJ18" s="298">
        <f>SUM(AJ12:AJ17)</f>
        <v/>
      </c>
      <c r="AK18" s="298">
        <f>SUM(AK12:AK17)</f>
        <v/>
      </c>
      <c r="AL18" s="288" t="n"/>
    </row>
    <row r="19" ht="14" customFormat="1" customHeight="1" s="180">
      <c r="A19" s="279" t="n"/>
      <c r="B19" s="280" t="n"/>
      <c r="C19" s="280" t="n"/>
      <c r="D19" s="299" t="inlineStr">
        <is>
          <t>（二）分包工程</t>
        </is>
      </c>
      <c r="E19" s="280" t="n"/>
      <c r="F19" s="280" t="n"/>
      <c r="G19" s="280" t="n"/>
      <c r="H19" s="282" t="n"/>
      <c r="I19" s="282" t="n"/>
      <c r="J19" s="282" t="n"/>
      <c r="K19" s="283" t="n"/>
      <c r="L19" s="284" t="n"/>
      <c r="M19" s="282" t="n"/>
      <c r="N19" s="282" t="n"/>
      <c r="O19" s="282">
        <f>L19-M19</f>
        <v/>
      </c>
      <c r="P19" s="282">
        <f>K19-N19</f>
        <v/>
      </c>
      <c r="Q19" s="282">
        <f>M19+O19</f>
        <v/>
      </c>
      <c r="R19" s="282">
        <f>M19+N19+O19+P19</f>
        <v/>
      </c>
      <c r="S19" s="286">
        <f>SUM(T19:V19)</f>
        <v/>
      </c>
      <c r="T19" s="286" t="n"/>
      <c r="U19" s="286" t="n"/>
      <c r="V19" s="286" t="n"/>
      <c r="W19" s="286" t="n"/>
      <c r="X19" s="286" t="n"/>
      <c r="Y19" s="286" t="n"/>
      <c r="Z19" s="286" t="n"/>
      <c r="AA19" s="286" t="n"/>
      <c r="AB19" s="286" t="n"/>
      <c r="AC19" s="286" t="n"/>
      <c r="AD19" s="286" t="n"/>
      <c r="AE19" s="286" t="n"/>
      <c r="AF19" s="286" t="n"/>
      <c r="AG19" s="286" t="n"/>
      <c r="AH19" s="286" t="n"/>
      <c r="AI19" s="286" t="n"/>
      <c r="AJ19" s="286" t="n"/>
      <c r="AK19" s="287">
        <f>AB18/1.17*0.17+AC18/1.16*0.16+AD18/1.11*0.11+AE18/1.1*0.1+AF18/1.09*0.09+AI18/1.03*0.03</f>
        <v/>
      </c>
      <c r="AL19" s="288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79" t="n"/>
      <c r="B30" s="280" t="n"/>
      <c r="C30" s="280" t="n"/>
      <c r="D30" s="291" t="inlineStr">
        <is>
          <t>**财务未列部分需增列***</t>
        </is>
      </c>
      <c r="E30" s="300" t="n"/>
      <c r="F30" s="300" t="n"/>
      <c r="G30" s="300" t="n"/>
      <c r="H30" s="282" t="n"/>
      <c r="I30" s="282" t="n"/>
      <c r="J30" s="282" t="n"/>
      <c r="K30" s="283" t="n"/>
      <c r="L30" s="284" t="n"/>
      <c r="M30" s="282" t="n"/>
      <c r="N30" s="282" t="n"/>
      <c r="O30" s="282">
        <f>L30-M30</f>
        <v/>
      </c>
      <c r="P30" s="282">
        <f>K30-N30</f>
        <v/>
      </c>
      <c r="Q30" s="282">
        <f>M30+O30</f>
        <v/>
      </c>
      <c r="R30" s="282">
        <f>M30+N30+O30+P30</f>
        <v/>
      </c>
      <c r="S30" s="286">
        <f>SUM(T30:V30)</f>
        <v/>
      </c>
      <c r="T30" s="282" t="n"/>
      <c r="U30" s="282" t="n"/>
      <c r="V30" s="282" t="n"/>
      <c r="W30" s="282" t="n"/>
      <c r="X30" s="282" t="n"/>
      <c r="Y30" s="282" t="n"/>
      <c r="Z30" s="286" t="n"/>
      <c r="AA30" s="286" t="n"/>
      <c r="AB30" s="287" t="n"/>
      <c r="AC30" s="287" t="n"/>
      <c r="AD30" s="287" t="n"/>
      <c r="AE30" s="287" t="n"/>
      <c r="AF30" s="287" t="n"/>
      <c r="AG30" s="287" t="n"/>
      <c r="AH30" s="287" t="n"/>
      <c r="AI30" s="287" t="n"/>
      <c r="AJ30" s="287" t="n"/>
      <c r="AK30" s="287">
        <f>AB22/1.17*0.17+AC22/1.16*0.16+AD22/1.11*0.11+AE22/1.1*0.1+AF22/1.09*0.09+AI22/1.03*0.03</f>
        <v/>
      </c>
      <c r="AL30" s="294" t="n"/>
    </row>
    <row r="31" ht="14" customFormat="1" customHeight="1" s="180">
      <c r="A31" s="295" t="n"/>
      <c r="B31" s="296" t="n"/>
      <c r="C31" s="296" t="n"/>
      <c r="D31" s="297" t="inlineStr">
        <is>
          <t>分包工程小计：</t>
        </is>
      </c>
      <c r="E31" s="298">
        <f>SUM(E19:E30)</f>
        <v/>
      </c>
      <c r="F31" s="298">
        <f>SUM(F19:F30)</f>
        <v/>
      </c>
      <c r="G31" s="298">
        <f>SUM(G19:G30)</f>
        <v/>
      </c>
      <c r="H31" s="298">
        <f>SUM(H19:H30)</f>
        <v/>
      </c>
      <c r="I31" s="298">
        <f>SUM(I19:I30)</f>
        <v/>
      </c>
      <c r="J31" s="298">
        <f>SUM(J19:J30)</f>
        <v/>
      </c>
      <c r="K31" s="298">
        <f>SUM(K19:K30)</f>
        <v/>
      </c>
      <c r="L31" s="298">
        <f>SUM(L19:L30)</f>
        <v/>
      </c>
      <c r="M31" s="298">
        <f>SUM(M19:M30)</f>
        <v/>
      </c>
      <c r="N31" s="298">
        <f>SUM(N19:N30)</f>
        <v/>
      </c>
      <c r="O31" s="298">
        <f>SUM(O19:O30)</f>
        <v/>
      </c>
      <c r="P31" s="298">
        <f>SUM(P19:P30)</f>
        <v/>
      </c>
      <c r="Q31" s="298">
        <f>SUM(Q19:Q30)</f>
        <v/>
      </c>
      <c r="R31" s="298">
        <f>SUM(R19:R30)</f>
        <v/>
      </c>
      <c r="S31" s="298">
        <f>SUM(S19:S30)</f>
        <v/>
      </c>
      <c r="T31" s="298">
        <f>SUM(T19:T30)</f>
        <v/>
      </c>
      <c r="U31" s="298">
        <f>SUM(U19:U30)</f>
        <v/>
      </c>
      <c r="V31" s="298">
        <f>SUM(V19:V30)</f>
        <v/>
      </c>
      <c r="W31" s="298">
        <f>SUM(W19:W30)</f>
        <v/>
      </c>
      <c r="X31" s="298">
        <f>SUM(X19:X30)</f>
        <v/>
      </c>
      <c r="Y31" s="298">
        <f>SUM(Y19:Y30)</f>
        <v/>
      </c>
      <c r="Z31" s="298">
        <f>SUM(Z19:Z30)</f>
        <v/>
      </c>
      <c r="AA31" s="298">
        <f>SUM(AA19:AA30)</f>
        <v/>
      </c>
      <c r="AB31" s="298">
        <f>SUM(AB19:AB30)</f>
        <v/>
      </c>
      <c r="AC31" s="298">
        <f>SUM(AC19:AC30)</f>
        <v/>
      </c>
      <c r="AD31" s="298">
        <f>SUM(AD19:AD30)</f>
        <v/>
      </c>
      <c r="AE31" s="298">
        <f>SUM(AE19:AE30)</f>
        <v/>
      </c>
      <c r="AF31" s="298">
        <f>SUM(AF19:AF30)</f>
        <v/>
      </c>
      <c r="AG31" s="298">
        <f>SUM(AG19:AG30)</f>
        <v/>
      </c>
      <c r="AH31" s="298">
        <f>SUM(AH19:AH30)</f>
        <v/>
      </c>
      <c r="AI31" s="298">
        <f>SUM(AI19:AI30)</f>
        <v/>
      </c>
      <c r="AJ31" s="298">
        <f>SUM(AJ19:AJ30)</f>
        <v/>
      </c>
      <c r="AK31" s="298">
        <f>SUM(AK19:AK30)</f>
        <v/>
      </c>
      <c r="AL31" s="288" t="n"/>
    </row>
    <row r="32" ht="26" customFormat="1" customHeight="1" s="180">
      <c r="A32" s="279" t="n"/>
      <c r="B32" s="280" t="n"/>
      <c r="C32" s="280" t="n"/>
      <c r="D32" s="299" t="inlineStr">
        <is>
          <t>(三)材料费</t>
        </is>
      </c>
      <c r="E32" s="280" t="n"/>
      <c r="F32" s="280" t="n"/>
      <c r="G32" s="280" t="n"/>
      <c r="H32" s="282" t="n"/>
      <c r="I32" s="282" t="n"/>
      <c r="J32" s="282" t="n"/>
      <c r="K32" s="283" t="n"/>
      <c r="L32" s="284" t="n"/>
      <c r="M32" s="282" t="n"/>
      <c r="N32" s="282" t="n"/>
      <c r="O32" s="282">
        <f>L32-M32</f>
        <v/>
      </c>
      <c r="P32" s="282">
        <f>K32-N32</f>
        <v/>
      </c>
      <c r="Q32" s="282">
        <f>M32+O32</f>
        <v/>
      </c>
      <c r="R32" s="282">
        <f>M32+N32+O32+P32</f>
        <v/>
      </c>
      <c r="S32" s="286">
        <f>SUM(T32:V32)</f>
        <v/>
      </c>
      <c r="T32" s="286" t="n"/>
      <c r="U32" s="286" t="n"/>
      <c r="V32" s="286" t="n"/>
      <c r="W32" s="286" t="n"/>
      <c r="X32" s="286" t="n"/>
      <c r="Y32" s="286" t="n"/>
      <c r="Z32" s="286" t="n"/>
      <c r="AA32" s="286" t="n"/>
      <c r="AB32" s="301" t="n"/>
      <c r="AC32" s="301" t="n"/>
      <c r="AD32" s="301" t="n"/>
      <c r="AE32" s="301" t="n"/>
      <c r="AF32" s="301" t="n"/>
      <c r="AG32" s="301" t="n"/>
      <c r="AH32" s="301" t="n"/>
      <c r="AI32" s="301" t="n"/>
      <c r="AJ32" s="301" t="n"/>
      <c r="AK32" s="287">
        <f>AB24/1.17*0.17+AC24/1.16*0.16+AD24/1.11*0.11+AE24/1.1*0.1+AF24/1.09*0.09+AI24/1.03*0.03</f>
        <v/>
      </c>
      <c r="AL32" s="302" t="n"/>
    </row>
    <row r="33" ht="14" customFormat="1" customHeight="1" s="180">
      <c r="A33" s="279" t="n">
        <v>1</v>
      </c>
      <c r="B33" s="280" t="n"/>
      <c r="C33" s="280" t="n"/>
      <c r="D33" s="299" t="inlineStr">
        <is>
          <t>材料调入</t>
        </is>
      </c>
      <c r="E33" s="280" t="n"/>
      <c r="F33" s="280" t="n"/>
      <c r="G33" s="280" t="n"/>
      <c r="H33" s="282" t="n"/>
      <c r="I33" s="282" t="n"/>
      <c r="J33" s="282" t="n"/>
      <c r="K33" s="283" t="n"/>
      <c r="L33" s="284" t="n"/>
      <c r="M33" s="303" t="n">
        <v>7208164.12</v>
      </c>
      <c r="N33" s="282" t="n"/>
      <c r="O33" s="282">
        <f>L35-M35</f>
        <v/>
      </c>
      <c r="P33" s="282">
        <f>K35-N35</f>
        <v/>
      </c>
      <c r="Q33" s="282">
        <f>M35+O35</f>
        <v/>
      </c>
      <c r="R33" s="282">
        <f>M35+N35+O35+P35</f>
        <v/>
      </c>
      <c r="S33" s="286">
        <f>SUM(T35:V35)</f>
        <v/>
      </c>
      <c r="T33" s="286" t="n"/>
      <c r="U33" s="286" t="n"/>
      <c r="V33" s="286" t="n"/>
      <c r="W33" s="286" t="n"/>
      <c r="X33" s="286" t="n"/>
      <c r="Y33" s="286" t="n"/>
      <c r="Z33" s="282">
        <f>SUM(AA30:AJ30)</f>
        <v/>
      </c>
      <c r="AA33" s="286" t="n"/>
      <c r="AB33" s="301" t="n"/>
      <c r="AC33" s="301" t="n"/>
      <c r="AD33" s="301" t="n"/>
      <c r="AE33" s="301" t="n"/>
      <c r="AF33" s="301" t="n"/>
      <c r="AG33" s="301" t="n"/>
      <c r="AH33" s="301" t="n"/>
      <c r="AI33" s="301" t="n"/>
      <c r="AJ33" s="301" t="n"/>
      <c r="AK33" s="287">
        <f>AB30/1.17*0.17+AC30/1.16*0.16+AD30/1.11*0.11+AE30/1.1*0.1+AF30/1.09*0.09+AI30/1.03*0.03</f>
        <v/>
      </c>
      <c r="AL33" s="302" t="n"/>
    </row>
    <row r="34" ht="14" customFormat="1" customHeight="1" s="180">
      <c r="A34" s="279" t="n">
        <v>2</v>
      </c>
      <c r="B34" s="280" t="n"/>
      <c r="C34" s="280" t="n"/>
      <c r="D34" s="299" t="inlineStr">
        <is>
          <t>材料调出（注：负数填报）</t>
        </is>
      </c>
      <c r="E34" s="304" t="n"/>
      <c r="F34" s="304" t="n"/>
      <c r="G34" s="304" t="n"/>
      <c r="H34" s="305" t="n"/>
      <c r="I34" s="305" t="n"/>
      <c r="J34" s="282" t="n"/>
      <c r="K34" s="283" t="n"/>
      <c r="L34" s="284" t="n"/>
      <c r="M34" s="306" t="n">
        <v>-2516875.22</v>
      </c>
      <c r="N34" s="305" t="n"/>
      <c r="O34" s="282">
        <f>L36-M36</f>
        <v/>
      </c>
      <c r="P34" s="282">
        <f>K36-N36</f>
        <v/>
      </c>
      <c r="Q34" s="282">
        <f>M36+O36</f>
        <v/>
      </c>
      <c r="R34" s="282">
        <f>M36+N36+O36+P36</f>
        <v/>
      </c>
      <c r="S34" s="286">
        <f>SUM(T36:V36)</f>
        <v/>
      </c>
      <c r="T34" s="305" t="n"/>
      <c r="U34" s="305" t="n"/>
      <c r="V34" s="305" t="n"/>
      <c r="W34" s="305" t="n"/>
      <c r="X34" s="305" t="n"/>
      <c r="Y34" s="305" t="n"/>
      <c r="Z34" s="282">
        <f>SUM(AA31:AJ31)</f>
        <v/>
      </c>
      <c r="AA34" s="305" t="n"/>
      <c r="AB34" s="307" t="n"/>
      <c r="AC34" s="307" t="n"/>
      <c r="AD34" s="307" t="n"/>
      <c r="AE34" s="307" t="n"/>
      <c r="AF34" s="307" t="n"/>
      <c r="AG34" s="307" t="n"/>
      <c r="AH34" s="307" t="n"/>
      <c r="AI34" s="307" t="n"/>
      <c r="AJ34" s="307" t="n"/>
      <c r="AK34" s="287">
        <f>AB31/1.17*0.17+AC31/1.16*0.16+AD31/1.11*0.11+AE31/1.1*0.1+AF31/1.09*0.09+AI31/1.03*0.03</f>
        <v/>
      </c>
      <c r="AL34" s="308" t="n"/>
    </row>
    <row r="35" ht="14" customFormat="1" customHeight="1" s="180">
      <c r="A35" s="206" t="n">
        <v>3</v>
      </c>
      <c r="B35" s="206" t="inlineStr">
        <is>
          <t>100237790</t>
        </is>
      </c>
      <c r="C35" s="207" t="inlineStr">
        <is>
          <t>中建四局0200202104506006</t>
        </is>
      </c>
      <c r="D35" s="207" t="inlineStr">
        <is>
          <t>佛山唐贵五金电器有限公司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36234</v>
      </c>
      <c r="N35" s="210" t="n">
        <v>4710.42</v>
      </c>
      <c r="O35" s="206">
        <f>L38-M38</f>
        <v/>
      </c>
      <c r="P35" s="206">
        <f>K38-N38</f>
        <v/>
      </c>
      <c r="Q35" s="206">
        <f>M38+O38</f>
        <v/>
      </c>
      <c r="R35" s="206">
        <f>M38+N38+O38+P38</f>
        <v/>
      </c>
      <c r="S35" s="206" t="n"/>
      <c r="T35" s="210" t="n">
        <v>40944.42</v>
      </c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4</v>
      </c>
      <c r="B36" s="206" t="inlineStr">
        <is>
          <t>100082646</t>
        </is>
      </c>
      <c r="C36" s="207" t="inlineStr">
        <is>
          <t>中建四局0200202104506020</t>
        </is>
      </c>
      <c r="D36" s="207" t="inlineStr">
        <is>
          <t>佛山市南海升辉水泥预制件厂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88252.49000000001</v>
      </c>
      <c r="N36" s="210" t="n">
        <v>11472.83</v>
      </c>
      <c r="O36" s="206">
        <f>L39-M39</f>
        <v/>
      </c>
      <c r="P36" s="206">
        <f>K39-N39</f>
        <v/>
      </c>
      <c r="Q36" s="206">
        <f>M39+O39</f>
        <v/>
      </c>
      <c r="R36" s="206">
        <f>M39+N39+O39+P39</f>
        <v/>
      </c>
      <c r="S36" s="206" t="n"/>
      <c r="T36" s="210" t="n">
        <v>20000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5</v>
      </c>
      <c r="B37" s="206" t="inlineStr">
        <is>
          <t>200086855</t>
        </is>
      </c>
      <c r="C37" s="207" t="inlineStr">
        <is>
          <t>中建四局0200202104506011</t>
        </is>
      </c>
      <c r="D37" s="207" t="inlineStr">
        <is>
          <t>佛山市拓海电气设备有限公司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52325.54</v>
      </c>
      <c r="N37" s="210" t="n">
        <v>6802.32</v>
      </c>
      <c r="O37" s="206">
        <f>L40-M40</f>
        <v/>
      </c>
      <c r="P37" s="206">
        <f>K40-N40</f>
        <v/>
      </c>
      <c r="Q37" s="206">
        <f>M40+O40</f>
        <v/>
      </c>
      <c r="R37" s="206">
        <f>M40+N40+O40+P40</f>
        <v/>
      </c>
      <c r="S37" s="206" t="n"/>
      <c r="T37" s="210" t="n">
        <v>20000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6</v>
      </c>
      <c r="B38" s="206" t="inlineStr">
        <is>
          <t>200571072</t>
        </is>
      </c>
      <c r="C38" s="207" t="inlineStr">
        <is>
          <t>中建四局0200202104506023</t>
        </is>
      </c>
      <c r="D38" s="207" t="inlineStr">
        <is>
          <t>佛山市益晋建筑材料销售有限公司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32235427.77</v>
      </c>
      <c r="N38" s="210" t="n">
        <v>4190605.59</v>
      </c>
      <c r="O38" s="206">
        <f>L41-M41</f>
        <v/>
      </c>
      <c r="P38" s="206">
        <f>K41-N41</f>
        <v/>
      </c>
      <c r="Q38" s="206">
        <f>M41+O41</f>
        <v/>
      </c>
      <c r="R38" s="206">
        <f>M41+N41+O41+P41</f>
        <v/>
      </c>
      <c r="S38" s="206" t="n"/>
      <c r="T38" s="210" t="n">
        <v>21170000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7</v>
      </c>
      <c r="B39" s="206" t="inlineStr">
        <is>
          <t>200162951</t>
        </is>
      </c>
      <c r="C39" s="207" t="inlineStr">
        <is>
          <t>中建四局0200202104506004</t>
        </is>
      </c>
      <c r="D39" s="207" t="inlineStr">
        <is>
          <t>佛山市翊德通新型环保科技建材有限公司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500281.97</v>
      </c>
      <c r="N39" s="210" t="n">
        <v>65036.66</v>
      </c>
      <c r="O39" s="206">
        <f>L42-M42</f>
        <v/>
      </c>
      <c r="P39" s="206">
        <f>K42-N42</f>
        <v/>
      </c>
      <c r="Q39" s="206">
        <f>M42+O42</f>
        <v/>
      </c>
      <c r="R39" s="206">
        <f>M42+N42+O42+P42</f>
        <v/>
      </c>
      <c r="S39" s="206" t="n"/>
      <c r="T39" s="210" t="n">
        <v>470000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8</v>
      </c>
      <c r="B40" s="206" t="inlineStr">
        <is>
          <t>100217517</t>
        </is>
      </c>
      <c r="C40" s="207" t="inlineStr">
        <is>
          <t>中建四局020020210045060001</t>
        </is>
      </c>
      <c r="D40" s="207" t="inlineStr">
        <is>
          <t>佛山市顺德区恒锦源贸易有限公司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203010</v>
      </c>
      <c r="N40" s="210" t="n">
        <v>26391.3</v>
      </c>
      <c r="O40" s="206">
        <f>L43-M43</f>
        <v/>
      </c>
      <c r="P40" s="206">
        <f>K43-N43</f>
        <v/>
      </c>
      <c r="Q40" s="206">
        <f>M43+O43</f>
        <v/>
      </c>
      <c r="R40" s="206">
        <f>M43+N43+O43+P43</f>
        <v/>
      </c>
      <c r="S40" s="206" t="n"/>
      <c r="T40" s="206" t="n"/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9</v>
      </c>
      <c r="B41" s="206" t="inlineStr">
        <is>
          <t>100217517</t>
        </is>
      </c>
      <c r="C41" s="207" t="inlineStr">
        <is>
          <t>中建四局0200202104506005</t>
        </is>
      </c>
      <c r="D41" s="207" t="inlineStr">
        <is>
          <t>佛山市顺德区恒锦源贸易有限公司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776841.17</v>
      </c>
      <c r="N41" s="210" t="n">
        <v>100989.34</v>
      </c>
      <c r="O41" s="206">
        <f>L44-M44</f>
        <v/>
      </c>
      <c r="P41" s="206">
        <f>K44-N44</f>
        <v/>
      </c>
      <c r="Q41" s="206">
        <f>M44+O44</f>
        <v/>
      </c>
      <c r="R41" s="206">
        <f>M44+N44+O44+P44</f>
        <v/>
      </c>
      <c r="S41" s="206" t="n"/>
      <c r="T41" s="210" t="n">
        <v>646000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10</v>
      </c>
      <c r="B42" s="206" t="inlineStr">
        <is>
          <t>100217517</t>
        </is>
      </c>
      <c r="C42" s="207" t="inlineStr">
        <is>
          <t>中建四局0200202104506009</t>
        </is>
      </c>
      <c r="D42" s="207" t="inlineStr">
        <is>
          <t>佛山市顺德区恒锦源贸易有限公司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361593.1</v>
      </c>
      <c r="N42" s="210" t="n">
        <v>47007.09</v>
      </c>
      <c r="O42" s="206">
        <f>L45-M45</f>
        <v/>
      </c>
      <c r="P42" s="206">
        <f>K45-N45</f>
        <v/>
      </c>
      <c r="Q42" s="206">
        <f>M45+O45</f>
        <v/>
      </c>
      <c r="R42" s="206">
        <f>M45+N45+O45+P45</f>
        <v/>
      </c>
      <c r="S42" s="206" t="n"/>
      <c r="T42" s="210" t="n">
        <v>140000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11</v>
      </c>
      <c r="B43" s="206" t="inlineStr">
        <is>
          <t>200417828</t>
        </is>
      </c>
      <c r="C43" s="207" t="inlineStr">
        <is>
          <t>中建四局0200202104506015</t>
        </is>
      </c>
      <c r="D43" s="207" t="inlineStr">
        <is>
          <t>佛山市顺德区联皓科技开发有限公司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2661431.4</v>
      </c>
      <c r="N43" s="210" t="n">
        <v>345986.09</v>
      </c>
      <c r="O43" s="206">
        <f>L46-M46</f>
        <v/>
      </c>
      <c r="P43" s="206">
        <f>K46-N46</f>
        <v/>
      </c>
      <c r="Q43" s="206">
        <f>M46+O46</f>
        <v/>
      </c>
      <c r="R43" s="206">
        <f>M46+N46+O46+P46</f>
        <v/>
      </c>
      <c r="S43" s="206" t="n"/>
      <c r="T43" s="210" t="n">
        <v>2100000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12</v>
      </c>
      <c r="B44" s="206" t="inlineStr">
        <is>
          <t>100006706</t>
        </is>
      </c>
      <c r="C44" s="207" t="inlineStr">
        <is>
          <t>中建四局0200202104506025</t>
        </is>
      </c>
      <c r="D44" s="207" t="inlineStr">
        <is>
          <t>品茗科技股份有限公司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38641.38</v>
      </c>
      <c r="N44" s="210" t="n">
        <v>5023.38</v>
      </c>
      <c r="O44" s="206">
        <f>L47-M47</f>
        <v/>
      </c>
      <c r="P44" s="206">
        <f>K47-N47</f>
        <v/>
      </c>
      <c r="Q44" s="206">
        <f>M47+O47</f>
        <v/>
      </c>
      <c r="R44" s="206">
        <f>M47+N47+O47+P47</f>
        <v/>
      </c>
      <c r="S44" s="206" t="n"/>
      <c r="T44" s="210" t="n">
        <v>39000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13</v>
      </c>
      <c r="B45" s="206" t="inlineStr">
        <is>
          <t>200228960</t>
        </is>
      </c>
      <c r="C45" s="207" t="inlineStr">
        <is>
          <t>中建四局0200202104506010</t>
        </is>
      </c>
      <c r="D45" s="207" t="inlineStr">
        <is>
          <t>地兴实业（广州）有限公司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152645.27</v>
      </c>
      <c r="N45" s="210" t="n">
        <v>19843.86</v>
      </c>
      <c r="O45" s="206">
        <f>L48-M48</f>
        <v/>
      </c>
      <c r="P45" s="206">
        <f>K48-N48</f>
        <v/>
      </c>
      <c r="Q45" s="206">
        <f>M48+O48</f>
        <v/>
      </c>
      <c r="R45" s="206">
        <f>M48+N48+O48+P48</f>
        <v/>
      </c>
      <c r="S45" s="206" t="n"/>
      <c r="T45" s="210" t="n">
        <v>120000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14</v>
      </c>
      <c r="B46" s="206" t="inlineStr">
        <is>
          <t>200563704</t>
        </is>
      </c>
      <c r="C46" s="207" t="inlineStr">
        <is>
          <t>中建四局0200202104506022</t>
        </is>
      </c>
      <c r="D46" s="207" t="inlineStr">
        <is>
          <t>山东晟初供应链管理有限责任公司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5302261.73</v>
      </c>
      <c r="N46" s="210" t="n">
        <v>689294.02</v>
      </c>
      <c r="O46" s="206">
        <f>L49-M49</f>
        <v/>
      </c>
      <c r="P46" s="206">
        <f>K49-N49</f>
        <v/>
      </c>
      <c r="Q46" s="206">
        <f>M49+O49</f>
        <v/>
      </c>
      <c r="R46" s="206">
        <f>M49+N49+O49+P49</f>
        <v/>
      </c>
      <c r="S46" s="206" t="n"/>
      <c r="T46" s="210" t="n">
        <v>4743834.61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15</v>
      </c>
      <c r="B47" s="206" t="inlineStr">
        <is>
          <t>200486755</t>
        </is>
      </c>
      <c r="C47" s="207" t="inlineStr">
        <is>
          <t>中建四局0200202104506024</t>
        </is>
      </c>
      <c r="D47" s="207" t="inlineStr">
        <is>
          <t>广东冠祥新型建材有限公司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608304.67</v>
      </c>
      <c r="N47" s="210" t="n">
        <v>79079.60000000001</v>
      </c>
      <c r="O47" s="206">
        <f>L50-M50</f>
        <v/>
      </c>
      <c r="P47" s="206">
        <f>K50-N50</f>
        <v/>
      </c>
      <c r="Q47" s="206">
        <f>M50+O50</f>
        <v/>
      </c>
      <c r="R47" s="206">
        <f>M50+N50+O50+P50</f>
        <v/>
      </c>
      <c r="S47" s="206" t="n"/>
      <c r="T47" s="210" t="n">
        <v>374000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16</v>
      </c>
      <c r="B48" s="206" t="inlineStr">
        <is>
          <t>100217564</t>
        </is>
      </c>
      <c r="C48" s="207" t="inlineStr">
        <is>
          <t>中建四局0200202104506002</t>
        </is>
      </c>
      <c r="D48" s="207" t="inlineStr">
        <is>
          <t>广东顺德雍强贸易有限公司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475239.69</v>
      </c>
      <c r="N48" s="210" t="n">
        <v>61781.16</v>
      </c>
      <c r="O48" s="206">
        <f>L51-M51</f>
        <v/>
      </c>
      <c r="P48" s="206">
        <f>K51-N51</f>
        <v/>
      </c>
      <c r="Q48" s="206">
        <f>M51+O51</f>
        <v/>
      </c>
      <c r="R48" s="206">
        <f>M51+N51+O51+P51</f>
        <v/>
      </c>
      <c r="S48" s="206" t="n"/>
      <c r="T48" s="210" t="n">
        <v>120000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17</v>
      </c>
      <c r="B49" s="206" t="inlineStr">
        <is>
          <t>100217350</t>
        </is>
      </c>
      <c r="C49" s="207" t="inlineStr">
        <is>
          <t>中建四局0200202104506003</t>
        </is>
      </c>
      <c r="D49" s="207" t="inlineStr">
        <is>
          <t>广州市嘉宇金属制品有限公司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5220</v>
      </c>
      <c r="N49" s="210" t="n">
        <v>678.6</v>
      </c>
      <c r="O49" s="206">
        <f>L52-M52</f>
        <v/>
      </c>
      <c r="P49" s="206">
        <f>K52-N52</f>
        <v/>
      </c>
      <c r="Q49" s="206">
        <f>M52+O52</f>
        <v/>
      </c>
      <c r="R49" s="206">
        <f>M52+N52+O52+P52</f>
        <v/>
      </c>
      <c r="S49" s="206" t="n"/>
      <c r="T49" s="210" t="n">
        <v>5898.6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18</v>
      </c>
      <c r="B50" s="206" t="inlineStr">
        <is>
          <t>100006014</t>
        </is>
      </c>
      <c r="C50" s="207" t="inlineStr">
        <is>
          <t>中建四局0200202104506013</t>
        </is>
      </c>
      <c r="D50" s="207" t="inlineStr">
        <is>
          <t>广州市番禺区石楼镇沙南建材二厂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1393544.89</v>
      </c>
      <c r="N50" s="210" t="n">
        <v>181160.83</v>
      </c>
      <c r="O50" s="206">
        <f>L53-M53</f>
        <v/>
      </c>
      <c r="P50" s="206">
        <f>K53-N53</f>
        <v/>
      </c>
      <c r="Q50" s="206">
        <f>M53+O53</f>
        <v/>
      </c>
      <c r="R50" s="206">
        <f>M53+N53+O53+P53</f>
        <v/>
      </c>
      <c r="S50" s="206" t="n"/>
      <c r="T50" s="210" t="n">
        <v>1031000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19</v>
      </c>
      <c r="B51" s="206" t="inlineStr">
        <is>
          <t>100119801</t>
        </is>
      </c>
      <c r="C51" s="207" t="inlineStr">
        <is>
          <t>中建四局0200202104506014</t>
        </is>
      </c>
      <c r="D51" s="207" t="inlineStr">
        <is>
          <t>广州禄臻贸易有限公司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64927.94</v>
      </c>
      <c r="N51" s="210" t="n">
        <v>8440.610000000001</v>
      </c>
      <c r="O51" s="206">
        <f>L54-M54</f>
        <v/>
      </c>
      <c r="P51" s="206">
        <f>K54-N54</f>
        <v/>
      </c>
      <c r="Q51" s="206">
        <f>M54+O54</f>
        <v/>
      </c>
      <c r="R51" s="206">
        <f>M54+N54+O54+P54</f>
        <v/>
      </c>
      <c r="S51" s="206" t="n"/>
      <c r="T51" s="210" t="n">
        <v>54000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20</v>
      </c>
      <c r="B52" s="206" t="inlineStr">
        <is>
          <t>100237088</t>
        </is>
      </c>
      <c r="C52" s="207" t="inlineStr">
        <is>
          <t>中建四局0200202104506021</t>
        </is>
      </c>
      <c r="D52" s="207" t="inlineStr">
        <is>
          <t>无锡市恒顺金属材料有限公司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18441166.94</v>
      </c>
      <c r="N52" s="210" t="n">
        <v>2397351.73</v>
      </c>
      <c r="O52" s="206">
        <f>L55-M55</f>
        <v/>
      </c>
      <c r="P52" s="206">
        <f>K55-N55</f>
        <v/>
      </c>
      <c r="Q52" s="206">
        <f>M55+O55</f>
        <v/>
      </c>
      <c r="R52" s="206">
        <f>M55+N55+O55+P55</f>
        <v/>
      </c>
      <c r="S52" s="206" t="n"/>
      <c r="T52" s="210" t="n">
        <v>9585000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21</v>
      </c>
      <c r="B53" s="206" t="inlineStr">
        <is>
          <t>200132050</t>
        </is>
      </c>
      <c r="C53" s="207" t="inlineStr">
        <is>
          <t>中建四局0200202104506019</t>
        </is>
      </c>
      <c r="D53" s="207" t="inlineStr">
        <is>
          <t>江门市擎宏科技实业有限公司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513151.15</v>
      </c>
      <c r="N53" s="210" t="n">
        <v>66709.64999999999</v>
      </c>
      <c r="O53" s="206">
        <f>L56-M56</f>
        <v/>
      </c>
      <c r="P53" s="206">
        <f>K56-N56</f>
        <v/>
      </c>
      <c r="Q53" s="206">
        <f>M56+O56</f>
        <v/>
      </c>
      <c r="R53" s="206">
        <f>M56+N56+O56+P56</f>
        <v/>
      </c>
      <c r="S53" s="206" t="n"/>
      <c r="T53" s="210" t="n">
        <v>396000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22</v>
      </c>
      <c r="B54" s="206" t="inlineStr">
        <is>
          <t>100022585</t>
        </is>
      </c>
      <c r="C54" s="207" t="inlineStr">
        <is>
          <t>中建四局0200202104506001</t>
        </is>
      </c>
      <c r="D54" s="207" t="inlineStr">
        <is>
          <t>漳州路桥物资发展有限公司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4104767.08</v>
      </c>
      <c r="N54" s="210" t="n">
        <v>533619.72</v>
      </c>
      <c r="O54" s="206">
        <f>L57-M57</f>
        <v/>
      </c>
      <c r="P54" s="206">
        <f>K57-N57</f>
        <v/>
      </c>
      <c r="Q54" s="206">
        <f>M57+O57</f>
        <v/>
      </c>
      <c r="R54" s="206">
        <f>M57+N57+O57+P57</f>
        <v/>
      </c>
      <c r="S54" s="206" t="n"/>
      <c r="T54" s="210" t="n">
        <v>3321130.53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23</v>
      </c>
      <c r="B55" s="206" t="inlineStr">
        <is>
          <t>100199057</t>
        </is>
      </c>
      <c r="C55" s="207" t="inlineStr">
        <is>
          <t>中建四局0200202104506007</t>
        </is>
      </c>
      <c r="D55" s="207" t="inlineStr">
        <is>
          <t>福建省莆田市龙兴劳保用品有限公司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96272</v>
      </c>
      <c r="N55" s="210" t="n">
        <v>12515.36</v>
      </c>
      <c r="O55" s="206">
        <f>L58-M58</f>
        <v/>
      </c>
      <c r="P55" s="206">
        <f>K58-N58</f>
        <v/>
      </c>
      <c r="Q55" s="206">
        <f>M58+O58</f>
        <v/>
      </c>
      <c r="R55" s="206">
        <f>M58+N58+O58+P58</f>
        <v/>
      </c>
      <c r="S55" s="206" t="n"/>
      <c r="T55" s="206" t="n"/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24</v>
      </c>
      <c r="B56" s="206" t="inlineStr">
        <is>
          <t>100199057</t>
        </is>
      </c>
      <c r="C56" s="207" t="inlineStr">
        <is>
          <t>中建四局0200202104506008</t>
        </is>
      </c>
      <c r="D56" s="207" t="inlineStr">
        <is>
          <t>福建省莆田市龙兴劳保用品有限公司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87520</v>
      </c>
      <c r="N56" s="210" t="n">
        <v>11377.6</v>
      </c>
      <c r="O56" s="206">
        <f>L59-M59</f>
        <v/>
      </c>
      <c r="P56" s="206">
        <f>K59-N59</f>
        <v/>
      </c>
      <c r="Q56" s="206">
        <f>M59+O59</f>
        <v/>
      </c>
      <c r="R56" s="206">
        <f>M59+N59+O59+P59</f>
        <v/>
      </c>
      <c r="S56" s="206" t="n"/>
      <c r="T56" s="206" t="n"/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25</v>
      </c>
      <c r="B57" s="206" t="n"/>
      <c r="C57" s="207" t="n"/>
      <c r="D57" s="207" t="inlineStr">
        <is>
          <t>减：研发费用-材料费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-8056947.95</v>
      </c>
      <c r="N57" s="206" t="n"/>
      <c r="O57" s="206">
        <f>L60-M60</f>
        <v/>
      </c>
      <c r="P57" s="206">
        <f>K60-N60</f>
        <v/>
      </c>
      <c r="Q57" s="206">
        <f>M60+O60</f>
        <v/>
      </c>
      <c r="R57" s="206">
        <f>M60+N60+O60+P60</f>
        <v/>
      </c>
      <c r="S57" s="206" t="n"/>
      <c r="T57" s="206" t="n"/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26</v>
      </c>
      <c r="B58" s="206" t="n"/>
      <c r="C58" s="207" t="n"/>
      <c r="D58" s="207" t="inlineStr">
        <is>
          <t>废旧物资消耗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-202535.6</v>
      </c>
      <c r="N58" s="206" t="n"/>
      <c r="O58" s="206">
        <f>L64-M64</f>
        <v/>
      </c>
      <c r="P58" s="206">
        <f>K64-N64</f>
        <v/>
      </c>
      <c r="Q58" s="206">
        <f>M64+O64</f>
        <v/>
      </c>
      <c r="R58" s="206">
        <f>M64+N64+O64+P64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79" t="n"/>
      <c r="B59" s="280" t="n"/>
      <c r="C59" s="280" t="n"/>
      <c r="D59" s="291" t="inlineStr">
        <is>
          <t>**财务未列部分需增列***</t>
        </is>
      </c>
      <c r="E59" s="300" t="n"/>
      <c r="F59" s="300" t="n"/>
      <c r="G59" s="300" t="n"/>
      <c r="H59" s="282" t="n"/>
      <c r="I59" s="282" t="n"/>
      <c r="J59" s="282" t="n"/>
      <c r="K59" s="283" t="n"/>
      <c r="L59" s="284" t="n"/>
      <c r="M59" s="282" t="n"/>
      <c r="N59" s="282" t="n"/>
      <c r="O59" s="282">
        <f>L66-M66</f>
        <v/>
      </c>
      <c r="P59" s="282">
        <f>K66-N66</f>
        <v/>
      </c>
      <c r="Q59" s="282">
        <f>M66+O66</f>
        <v/>
      </c>
      <c r="R59" s="282">
        <f>M66+N66+O66+P66</f>
        <v/>
      </c>
      <c r="S59" s="286">
        <f>SUM(T66:V66)</f>
        <v/>
      </c>
      <c r="T59" s="286" t="n"/>
      <c r="U59" s="286" t="n"/>
      <c r="V59" s="286" t="n"/>
      <c r="W59" s="286" t="n"/>
      <c r="X59" s="286" t="n"/>
      <c r="Y59" s="286" t="n"/>
      <c r="Z59" s="286" t="n"/>
      <c r="AA59" s="286" t="n"/>
      <c r="AB59" s="301" t="n"/>
      <c r="AC59" s="301" t="n"/>
      <c r="AD59" s="301" t="n"/>
      <c r="AE59" s="301" t="n"/>
      <c r="AF59" s="301" t="n"/>
      <c r="AG59" s="301" t="n"/>
      <c r="AH59" s="301" t="n"/>
      <c r="AI59" s="301" t="n"/>
      <c r="AJ59" s="301" t="n"/>
      <c r="AK59" s="287">
        <f>AB33/1.17*0.17+AC33/1.16*0.16+AD33/1.11*0.11+AE33/1.1*0.1+AF33/1.09*0.09+AI33/1.03*0.03</f>
        <v/>
      </c>
      <c r="AL59" s="302" t="n"/>
    </row>
    <row r="60" ht="14" customFormat="1" customHeight="1" s="180">
      <c r="A60" s="295" t="n"/>
      <c r="B60" s="296" t="n"/>
      <c r="C60" s="296" t="n"/>
      <c r="D60" s="297" t="inlineStr">
        <is>
          <t>材料费小计：</t>
        </is>
      </c>
      <c r="E60" s="298">
        <f>SUM(E32:E66)</f>
        <v/>
      </c>
      <c r="F60" s="298">
        <f>SUM(F32:F66)</f>
        <v/>
      </c>
      <c r="G60" s="298">
        <f>SUM(G32:G66)</f>
        <v/>
      </c>
      <c r="H60" s="298">
        <f>SUM(H32:H66)</f>
        <v/>
      </c>
      <c r="I60" s="298">
        <f>SUM(I32:I66)</f>
        <v/>
      </c>
      <c r="J60" s="298">
        <f>SUM(J32:J66)</f>
        <v/>
      </c>
      <c r="K60" s="298">
        <f>SUM(K32:K66)</f>
        <v/>
      </c>
      <c r="L60" s="298">
        <f>SUM(L32:L66)</f>
        <v/>
      </c>
      <c r="M60" s="298">
        <f>SUM(M32:M66)</f>
        <v/>
      </c>
      <c r="N60" s="298">
        <f>SUM(N32:N66)</f>
        <v/>
      </c>
      <c r="O60" s="298">
        <f>SUM(O32:O66)</f>
        <v/>
      </c>
      <c r="P60" s="298">
        <f>SUM(P32:P66)</f>
        <v/>
      </c>
      <c r="Q60" s="298">
        <f>SUM(Q32:Q66)</f>
        <v/>
      </c>
      <c r="R60" s="298">
        <f>SUM(R32:R66)</f>
        <v/>
      </c>
      <c r="S60" s="298">
        <f>SUM(S32:S66)</f>
        <v/>
      </c>
      <c r="T60" s="298">
        <f>SUM(T32:T66)</f>
        <v/>
      </c>
      <c r="U60" s="298">
        <f>SUM(U32:U66)</f>
        <v/>
      </c>
      <c r="V60" s="298">
        <f>SUM(V32:V66)</f>
        <v/>
      </c>
      <c r="W60" s="298">
        <f>SUM(W32:W66)</f>
        <v/>
      </c>
      <c r="X60" s="298">
        <f>SUM(X32:X66)</f>
        <v/>
      </c>
      <c r="Y60" s="298">
        <f>SUM(Y32:Y66)</f>
        <v/>
      </c>
      <c r="Z60" s="298">
        <f>SUM(Z32:Z66)</f>
        <v/>
      </c>
      <c r="AA60" s="298">
        <f>SUM(AA32:AA66)</f>
        <v/>
      </c>
      <c r="AB60" s="298">
        <f>SUM(AB32:AB66)</f>
        <v/>
      </c>
      <c r="AC60" s="298">
        <f>SUM(AC32:AC66)</f>
        <v/>
      </c>
      <c r="AD60" s="298">
        <f>SUM(AD32:AD66)</f>
        <v/>
      </c>
      <c r="AE60" s="298">
        <f>SUM(AE32:AE66)</f>
        <v/>
      </c>
      <c r="AF60" s="298">
        <f>SUM(AF32:AF66)</f>
        <v/>
      </c>
      <c r="AG60" s="298">
        <f>SUM(AG32:AG66)</f>
        <v/>
      </c>
      <c r="AH60" s="298">
        <f>SUM(AH32:AH66)</f>
        <v/>
      </c>
      <c r="AI60" s="298">
        <f>SUM(AI32:AI66)</f>
        <v/>
      </c>
      <c r="AJ60" s="298">
        <f>SUM(AJ32:AJ66)</f>
        <v/>
      </c>
      <c r="AK60" s="298">
        <f>SUM(AK32:AK66)</f>
        <v/>
      </c>
      <c r="AL60" s="288" t="n"/>
    </row>
    <row r="61" ht="14" customFormat="1" customHeight="1" s="180">
      <c r="A61" s="279" t="n"/>
      <c r="B61" s="280" t="n"/>
      <c r="C61" s="280" t="n"/>
      <c r="D61" s="299" t="inlineStr">
        <is>
          <t>(四）机械租赁费</t>
        </is>
      </c>
      <c r="E61" s="292" t="n"/>
      <c r="F61" s="292" t="n"/>
      <c r="G61" s="292" t="n"/>
      <c r="H61" s="282" t="n"/>
      <c r="I61" s="282" t="n"/>
      <c r="J61" s="282" t="n"/>
      <c r="K61" s="283" t="n">
        <v>0</v>
      </c>
      <c r="L61" s="284">
        <f>J68-K68</f>
        <v/>
      </c>
      <c r="M61" s="285" t="n"/>
      <c r="N61" s="285" t="n"/>
      <c r="O61" s="282">
        <f>L68-M68</f>
        <v/>
      </c>
      <c r="P61" s="282">
        <f>K68-N68</f>
        <v/>
      </c>
      <c r="Q61" s="282">
        <f>M68+O68</f>
        <v/>
      </c>
      <c r="R61" s="282">
        <f>M68+N68+O68+P68</f>
        <v/>
      </c>
      <c r="S61" s="286">
        <f>SUM(T68:V68)</f>
        <v/>
      </c>
      <c r="T61" s="286" t="n"/>
      <c r="U61" s="286" t="n"/>
      <c r="V61" s="286" t="n"/>
      <c r="W61" s="286" t="n"/>
      <c r="X61" s="286" t="n"/>
      <c r="Y61" s="286" t="n"/>
      <c r="Z61" s="286" t="n"/>
      <c r="AA61" s="286" t="n"/>
      <c r="AB61" s="286" t="n"/>
      <c r="AC61" s="286" t="n"/>
      <c r="AD61" s="286" t="n"/>
      <c r="AE61" s="286" t="n"/>
      <c r="AF61" s="286" t="n"/>
      <c r="AG61" s="286" t="n"/>
      <c r="AH61" s="286" t="n"/>
      <c r="AI61" s="286" t="n"/>
      <c r="AJ61" s="286" t="n"/>
      <c r="AK61" s="287">
        <f>AB35/1.17*0.17+AC35/1.16*0.16+AD35/1.11*0.11+AE35/1.1*0.1+AF35/1.09*0.09+AI35/1.03*0.03</f>
        <v/>
      </c>
      <c r="AL61" s="288" t="n"/>
    </row>
    <row r="62" ht="14" customFormat="1" customHeight="1" s="180">
      <c r="A62" s="206" t="n">
        <v>1</v>
      </c>
      <c r="B62" s="206" t="inlineStr">
        <is>
          <t>200210767</t>
        </is>
      </c>
      <c r="C62" s="207" t="inlineStr">
        <is>
          <t>中建四局0200202104505005</t>
        </is>
      </c>
      <c r="D62" s="207" t="inlineStr">
        <is>
          <t>佛山市格瑞卡工程机械有限公司</t>
        </is>
      </c>
      <c r="E62" s="206" t="n"/>
      <c r="F62" s="206" t="n"/>
      <c r="G62" s="206" t="n"/>
      <c r="H62" s="206" t="n"/>
      <c r="I62" s="206" t="n"/>
      <c r="J62" s="206">
        <f>H69+I69</f>
        <v/>
      </c>
      <c r="K62" s="208" t="n"/>
      <c r="L62" s="206">
        <f>J69-K69</f>
        <v/>
      </c>
      <c r="M62" s="210" t="n">
        <v>525678.79</v>
      </c>
      <c r="N62" s="210" t="n">
        <v>68338.25</v>
      </c>
      <c r="O62" s="206">
        <f>L69-M69</f>
        <v/>
      </c>
      <c r="P62" s="206">
        <f>K69-N69</f>
        <v/>
      </c>
      <c r="Q62" s="206">
        <f>M69+O69</f>
        <v/>
      </c>
      <c r="R62" s="206">
        <f>M69+N69+O69+P69</f>
        <v/>
      </c>
      <c r="S62" s="206" t="n"/>
      <c r="T62" s="210" t="n">
        <v>500000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</v>
      </c>
      <c r="B63" s="206" t="inlineStr">
        <is>
          <t>100051486</t>
        </is>
      </c>
      <c r="C63" s="207" t="inlineStr">
        <is>
          <t>中建四局0200202104505001</t>
        </is>
      </c>
      <c r="D63" s="207" t="inlineStr">
        <is>
          <t>佛山市赢鑫建筑机械租赁有限公司</t>
        </is>
      </c>
      <c r="E63" s="206" t="n"/>
      <c r="F63" s="206" t="n"/>
      <c r="G63" s="206" t="n"/>
      <c r="H63" s="206" t="n"/>
      <c r="I63" s="206" t="n"/>
      <c r="J63" s="206">
        <f>H70+I70</f>
        <v/>
      </c>
      <c r="K63" s="208" t="n"/>
      <c r="L63" s="206">
        <f>J70-K70</f>
        <v/>
      </c>
      <c r="M63" s="210" t="n">
        <v>2664395.77</v>
      </c>
      <c r="N63" s="210" t="n">
        <v>384884.26</v>
      </c>
      <c r="O63" s="206">
        <f>L70-M70</f>
        <v/>
      </c>
      <c r="P63" s="206">
        <f>K70-N70</f>
        <v/>
      </c>
      <c r="Q63" s="206">
        <f>M70+O70</f>
        <v/>
      </c>
      <c r="R63" s="206">
        <f>M70+N70+O70+P70</f>
        <v/>
      </c>
      <c r="S63" s="206" t="n"/>
      <c r="T63" s="210" t="n">
        <v>2589487</v>
      </c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06" t="n">
        <v>3</v>
      </c>
      <c r="B64" s="206" t="inlineStr">
        <is>
          <t>100051486</t>
        </is>
      </c>
      <c r="C64" s="207" t="inlineStr">
        <is>
          <t>中建四局0200202104505006</t>
        </is>
      </c>
      <c r="D64" s="207" t="inlineStr">
        <is>
          <t>佛山市赢鑫建筑机械租赁有限公司</t>
        </is>
      </c>
      <c r="E64" s="206" t="n"/>
      <c r="F64" s="206" t="n"/>
      <c r="G64" s="206" t="n"/>
      <c r="H64" s="206" t="n"/>
      <c r="I64" s="206" t="n"/>
      <c r="J64" s="206">
        <f>H71+I71</f>
        <v/>
      </c>
      <c r="K64" s="208" t="n"/>
      <c r="L64" s="206">
        <f>J71-K71</f>
        <v/>
      </c>
      <c r="M64" s="210" t="n">
        <v>1649466.49</v>
      </c>
      <c r="N64" s="210" t="n">
        <v>209938.79</v>
      </c>
      <c r="O64" s="206">
        <f>L71-M71</f>
        <v/>
      </c>
      <c r="P64" s="206">
        <f>K71-N71</f>
        <v/>
      </c>
      <c r="Q64" s="206">
        <f>M71+O71</f>
        <v/>
      </c>
      <c r="R64" s="206">
        <f>M71+N71+O71+P71</f>
        <v/>
      </c>
      <c r="S64" s="206" t="n"/>
      <c r="T64" s="210" t="n">
        <v>1200000</v>
      </c>
      <c r="U64" s="206" t="n"/>
      <c r="V64" s="206" t="n"/>
      <c r="W64" s="290" t="n"/>
      <c r="X64" s="290" t="n"/>
      <c r="Y64" s="290" t="n"/>
      <c r="Z64" s="290" t="n"/>
      <c r="AA64" s="290" t="n"/>
      <c r="AB64" s="290" t="n"/>
      <c r="AC64" s="290" t="n"/>
      <c r="AD64" s="290" t="n"/>
      <c r="AE64" s="290" t="n"/>
      <c r="AF64" s="290" t="n"/>
      <c r="AG64" s="290" t="n"/>
      <c r="AH64" s="290" t="n"/>
      <c r="AI64" s="290" t="n"/>
      <c r="AJ64" s="290" t="n"/>
      <c r="AK64" s="290" t="n"/>
      <c r="AL64" s="290" t="n"/>
    </row>
    <row r="65" ht="14" customFormat="1" customHeight="1" s="180">
      <c r="A65" s="206" t="n">
        <v>4</v>
      </c>
      <c r="B65" s="206" t="inlineStr">
        <is>
          <t>100117504</t>
        </is>
      </c>
      <c r="C65" s="207" t="inlineStr">
        <is>
          <t>中建四局0200202104505003</t>
        </is>
      </c>
      <c r="D65" s="207" t="inlineStr">
        <is>
          <t>广州大丰工程机械设备有限公司</t>
        </is>
      </c>
      <c r="E65" s="206" t="n"/>
      <c r="F65" s="206" t="n"/>
      <c r="G65" s="206" t="n"/>
      <c r="H65" s="206" t="n"/>
      <c r="I65" s="206" t="n"/>
      <c r="J65" s="206">
        <f>H72+I72</f>
        <v/>
      </c>
      <c r="K65" s="208" t="n"/>
      <c r="L65" s="206">
        <f>J72-K72</f>
        <v/>
      </c>
      <c r="M65" s="210" t="n">
        <v>74299.99000000001</v>
      </c>
      <c r="N65" s="210" t="n">
        <v>9659</v>
      </c>
      <c r="O65" s="206">
        <f>L72-M72</f>
        <v/>
      </c>
      <c r="P65" s="206">
        <f>K72-N72</f>
        <v/>
      </c>
      <c r="Q65" s="206">
        <f>M72+O72</f>
        <v/>
      </c>
      <c r="R65" s="206">
        <f>M72+N72+O72+P72</f>
        <v/>
      </c>
      <c r="S65" s="206" t="n"/>
      <c r="T65" s="210" t="n">
        <v>83958.99000000001</v>
      </c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206" t="n">
        <v>5</v>
      </c>
      <c r="B66" s="206" t="inlineStr">
        <is>
          <t>100217502</t>
        </is>
      </c>
      <c r="C66" s="207" t="inlineStr">
        <is>
          <t>中建四局0200202104505004</t>
        </is>
      </c>
      <c r="D66" s="207" t="inlineStr">
        <is>
          <t>广州湘亿货运代理有限公司</t>
        </is>
      </c>
      <c r="E66" s="206" t="n"/>
      <c r="F66" s="206" t="n"/>
      <c r="G66" s="206" t="n"/>
      <c r="H66" s="206" t="n"/>
      <c r="I66" s="206" t="n"/>
      <c r="J66" s="206">
        <f>H73+I73</f>
        <v/>
      </c>
      <c r="K66" s="208" t="n"/>
      <c r="L66" s="206">
        <f>J73-K73</f>
        <v/>
      </c>
      <c r="M66" s="210" t="n">
        <v>14793</v>
      </c>
      <c r="N66" s="210" t="n">
        <v>1331.37</v>
      </c>
      <c r="O66" s="206">
        <f>L73-M73</f>
        <v/>
      </c>
      <c r="P66" s="206">
        <f>K73-N73</f>
        <v/>
      </c>
      <c r="Q66" s="206">
        <f>M73+O73</f>
        <v/>
      </c>
      <c r="R66" s="206">
        <f>M73+N73+O73+P73</f>
        <v/>
      </c>
      <c r="S66" s="206" t="n"/>
      <c r="T66" s="210" t="n">
        <v>16124.37</v>
      </c>
      <c r="U66" s="206" t="n"/>
      <c r="V66" s="206" t="n"/>
      <c r="W66" s="290" t="n"/>
      <c r="X66" s="290" t="n"/>
      <c r="Y66" s="290" t="n"/>
      <c r="Z66" s="290" t="n"/>
      <c r="AA66" s="290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 t="n"/>
      <c r="AL66" s="290" t="n"/>
    </row>
    <row r="67" ht="14" customFormat="1" customHeight="1" s="180">
      <c r="A67" s="279" t="n"/>
      <c r="B67" s="280" t="n"/>
      <c r="C67" s="280" t="n"/>
      <c r="D67" s="291" t="inlineStr">
        <is>
          <t>**财务未列部分需增列***</t>
        </is>
      </c>
      <c r="E67" s="309" t="n"/>
      <c r="F67" s="309" t="n"/>
      <c r="G67" s="309" t="n"/>
      <c r="H67" s="282" t="n"/>
      <c r="I67" s="282" t="n"/>
      <c r="J67" s="282" t="n"/>
      <c r="K67" s="283" t="n">
        <v>0</v>
      </c>
      <c r="L67" s="284">
        <f>J74-K74</f>
        <v/>
      </c>
      <c r="M67" s="310" t="n"/>
      <c r="N67" s="310" t="n"/>
      <c r="O67" s="282">
        <f>L74-M74</f>
        <v/>
      </c>
      <c r="P67" s="282">
        <f>K74-N74</f>
        <v/>
      </c>
      <c r="Q67" s="282">
        <f>M74+O74</f>
        <v/>
      </c>
      <c r="R67" s="282">
        <f>M74+N74+O74+P74</f>
        <v/>
      </c>
      <c r="S67" s="286">
        <f>SUM(T74:V74)</f>
        <v/>
      </c>
      <c r="T67" s="310" t="n"/>
      <c r="U67" s="310" t="n"/>
      <c r="V67" s="310" t="n"/>
      <c r="W67" s="310" t="n"/>
      <c r="X67" s="310" t="n"/>
      <c r="Y67" s="310" t="n"/>
      <c r="Z67" s="310" t="n"/>
      <c r="AA67" s="286" t="n"/>
      <c r="AB67" s="287" t="n"/>
      <c r="AC67" s="287" t="n"/>
      <c r="AD67" s="287" t="n"/>
      <c r="AE67" s="287" t="n"/>
      <c r="AF67" s="287" t="n"/>
      <c r="AG67" s="287" t="n"/>
      <c r="AH67" s="287" t="n"/>
      <c r="AI67" s="287" t="n"/>
      <c r="AJ67" s="287" t="n"/>
      <c r="AK67" s="287">
        <f>AB37/1.17*0.17+AC37/1.16*0.16+AD37/1.11*0.11+AE37/1.1*0.1+AF37/1.09*0.09+AI37/1.03*0.03</f>
        <v/>
      </c>
      <c r="AL67" s="294" t="n"/>
    </row>
    <row r="68" ht="14" customFormat="1" customHeight="1" s="180">
      <c r="A68" s="295" t="n"/>
      <c r="B68" s="296" t="n"/>
      <c r="C68" s="296" t="n"/>
      <c r="D68" s="311" t="inlineStr">
        <is>
          <t>机械费小计：</t>
        </is>
      </c>
      <c r="E68" s="312" t="n"/>
      <c r="F68" s="312" t="n"/>
      <c r="G68" s="312" t="n"/>
      <c r="H68" s="298">
        <f>SUM(H68:H74)</f>
        <v/>
      </c>
      <c r="I68" s="298">
        <f>SUM(I68:I74)</f>
        <v/>
      </c>
      <c r="J68" s="298">
        <f>SUM(J68:J74)</f>
        <v/>
      </c>
      <c r="K68" s="298">
        <f>SUM(K68:K74)</f>
        <v/>
      </c>
      <c r="L68" s="313">
        <f>SUM(L68:L74)</f>
        <v/>
      </c>
      <c r="M68" s="298">
        <f>SUM(M68:M74)</f>
        <v/>
      </c>
      <c r="N68" s="298">
        <f>SUM(N68:N74)</f>
        <v/>
      </c>
      <c r="O68" s="298">
        <f>SUM(O68:O74)</f>
        <v/>
      </c>
      <c r="P68" s="298">
        <f>SUM(P68:P74)</f>
        <v/>
      </c>
      <c r="Q68" s="298">
        <f>SUM(Q68:Q74)</f>
        <v/>
      </c>
      <c r="R68" s="298">
        <f>SUM(R68:R74)</f>
        <v/>
      </c>
      <c r="S68" s="298">
        <f>SUM(S68:S74)</f>
        <v/>
      </c>
      <c r="T68" s="298" t="n"/>
      <c r="U68" s="298" t="n"/>
      <c r="V68" s="298" t="n"/>
      <c r="W68" s="298" t="n"/>
      <c r="X68" s="298" t="n"/>
      <c r="Y68" s="298" t="n"/>
      <c r="Z68" s="298">
        <f>SUM(Z68:Z74)</f>
        <v/>
      </c>
      <c r="AA68" s="298">
        <f>SUM(AA68:AA74)</f>
        <v/>
      </c>
      <c r="AB68" s="298" t="n"/>
      <c r="AC68" s="298" t="n"/>
      <c r="AD68" s="298" t="n"/>
      <c r="AE68" s="298" t="n"/>
      <c r="AF68" s="298" t="n"/>
      <c r="AG68" s="298" t="n"/>
      <c r="AH68" s="298" t="n"/>
      <c r="AI68" s="298" t="n"/>
      <c r="AJ68" s="298" t="n"/>
      <c r="AK68" s="298" t="n"/>
      <c r="AL68" s="288" t="n"/>
    </row>
    <row r="69" ht="39" customFormat="1" customHeight="1" s="180">
      <c r="A69" s="279" t="n"/>
      <c r="B69" s="280" t="n"/>
      <c r="C69" s="280" t="n"/>
      <c r="D69" s="299" t="inlineStr">
        <is>
          <t>（五）其他直接费</t>
        </is>
      </c>
      <c r="E69" s="292" t="n"/>
      <c r="F69" s="292" t="n"/>
      <c r="G69" s="292" t="n"/>
      <c r="H69" s="282" t="n"/>
      <c r="I69" s="282" t="n"/>
      <c r="J69" s="285" t="n">
        <v>0</v>
      </c>
      <c r="K69" s="283" t="n">
        <v>0</v>
      </c>
      <c r="L69" s="284">
        <f>J76-N76-P76</f>
        <v/>
      </c>
      <c r="M69" s="314" t="n">
        <v>1769.91</v>
      </c>
      <c r="N69" s="285" t="n"/>
      <c r="O69" s="282">
        <f>L76-M76</f>
        <v/>
      </c>
      <c r="P69" s="282">
        <f>K76-N76</f>
        <v/>
      </c>
      <c r="Q69" s="282">
        <f>M76+O76</f>
        <v/>
      </c>
      <c r="R69" s="282">
        <f>M76+N76+O76+P76</f>
        <v/>
      </c>
      <c r="S69" s="286">
        <f>SUM(T76:V76)</f>
        <v/>
      </c>
      <c r="T69" s="286" t="n"/>
      <c r="U69" s="286" t="n"/>
      <c r="V69" s="286" t="n"/>
      <c r="W69" s="286" t="n"/>
      <c r="X69" s="286" t="n"/>
      <c r="Y69" s="286" t="n"/>
      <c r="Z69" s="286" t="n"/>
      <c r="AA69" s="286" t="n"/>
      <c r="AB69" s="286" t="n"/>
      <c r="AC69" s="286" t="n"/>
      <c r="AD69" s="286" t="n"/>
      <c r="AE69" s="286" t="n"/>
      <c r="AF69" s="286" t="n"/>
      <c r="AG69" s="286" t="n"/>
      <c r="AH69" s="286" t="n"/>
      <c r="AI69" s="286" t="n"/>
      <c r="AJ69" s="286" t="n"/>
      <c r="AK69" s="287" t="n"/>
      <c r="AL69" s="288" t="n"/>
    </row>
    <row r="70" ht="14" customFormat="1" customHeight="1" s="180">
      <c r="A70" s="206" t="n">
        <v>1</v>
      </c>
      <c r="B70" s="206" t="n"/>
      <c r="C70" s="207" t="n"/>
      <c r="D70" s="207" t="inlineStr">
        <is>
          <t>保险费</t>
        </is>
      </c>
      <c r="E70" s="206" t="n"/>
      <c r="F70" s="206" t="n"/>
      <c r="G70" s="206" t="n"/>
      <c r="H70" s="206" t="n"/>
      <c r="I70" s="206" t="n"/>
      <c r="J70" s="206">
        <f>H77+I77</f>
        <v/>
      </c>
      <c r="K70" s="208" t="n"/>
      <c r="L70" s="206">
        <f>J77-K77</f>
        <v/>
      </c>
      <c r="M70" s="210" t="n">
        <v>724899.0600000001</v>
      </c>
      <c r="N70" s="206" t="n"/>
      <c r="O70" s="206">
        <f>L77-M77</f>
        <v/>
      </c>
      <c r="P70" s="206">
        <f>K77-N77</f>
        <v/>
      </c>
      <c r="Q70" s="206">
        <f>M77+O77</f>
        <v/>
      </c>
      <c r="R70" s="206">
        <f>M77+N77+O77+P77</f>
        <v/>
      </c>
      <c r="S70" s="206" t="n"/>
      <c r="T70" s="206" t="n"/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2</v>
      </c>
      <c r="B71" s="206" t="n"/>
      <c r="C71" s="207" t="n"/>
      <c r="D71" s="207" t="inlineStr">
        <is>
          <t>其他</t>
        </is>
      </c>
      <c r="E71" s="206" t="n"/>
      <c r="F71" s="206" t="n"/>
      <c r="G71" s="206" t="n"/>
      <c r="H71" s="206" t="n"/>
      <c r="I71" s="206" t="n"/>
      <c r="J71" s="206">
        <f>H78+I78</f>
        <v/>
      </c>
      <c r="K71" s="208" t="n"/>
      <c r="L71" s="206">
        <f>J78-K78</f>
        <v/>
      </c>
      <c r="M71" s="210" t="n">
        <v>79235.21000000001</v>
      </c>
      <c r="N71" s="206" t="n"/>
      <c r="O71" s="206">
        <f>L78-M78</f>
        <v/>
      </c>
      <c r="P71" s="206">
        <f>K78-N78</f>
        <v/>
      </c>
      <c r="Q71" s="206">
        <f>M78+O78</f>
        <v/>
      </c>
      <c r="R71" s="206">
        <f>M78+N78+O78+P78</f>
        <v/>
      </c>
      <c r="S71" s="206" t="n"/>
      <c r="T71" s="206" t="n"/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3</v>
      </c>
      <c r="B72" s="206" t="n"/>
      <c r="C72" s="207" t="n"/>
      <c r="D72" s="207" t="inlineStr">
        <is>
          <t>咨询费</t>
        </is>
      </c>
      <c r="E72" s="206" t="n"/>
      <c r="F72" s="206" t="n"/>
      <c r="G72" s="206" t="n"/>
      <c r="H72" s="206" t="n"/>
      <c r="I72" s="206" t="n"/>
      <c r="J72" s="206">
        <f>H79+I79</f>
        <v/>
      </c>
      <c r="K72" s="208" t="n"/>
      <c r="L72" s="206">
        <f>J79-K79</f>
        <v/>
      </c>
      <c r="M72" s="210" t="n">
        <v>39798</v>
      </c>
      <c r="N72" s="206" t="n"/>
      <c r="O72" s="206">
        <f>L79-M79</f>
        <v/>
      </c>
      <c r="P72" s="206">
        <f>K79-N79</f>
        <v/>
      </c>
      <c r="Q72" s="206">
        <f>M79+O79</f>
        <v/>
      </c>
      <c r="R72" s="206">
        <f>M79+N79+O79+P79</f>
        <v/>
      </c>
      <c r="S72" s="206" t="n"/>
      <c r="T72" s="206" t="n"/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4</v>
      </c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H80+I80</f>
        <v/>
      </c>
      <c r="K73" s="208" t="n"/>
      <c r="L73" s="206">
        <f>J80-K80</f>
        <v/>
      </c>
      <c r="M73" s="210" t="n">
        <v>811573.96</v>
      </c>
      <c r="N73" s="206" t="n"/>
      <c r="O73" s="206">
        <f>L80-M80</f>
        <v/>
      </c>
      <c r="P73" s="206">
        <f>K80-N80</f>
        <v/>
      </c>
      <c r="Q73" s="206">
        <f>M80+O80</f>
        <v/>
      </c>
      <c r="R73" s="206">
        <f>M80+N80+O80+P80</f>
        <v/>
      </c>
      <c r="S73" s="206" t="n"/>
      <c r="T73" s="206" t="n"/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5</v>
      </c>
      <c r="B74" s="206" t="n"/>
      <c r="C74" s="207" t="n"/>
      <c r="D74" s="207" t="inlineStr">
        <is>
          <t>水电费</t>
        </is>
      </c>
      <c r="E74" s="206" t="n"/>
      <c r="F74" s="206" t="n"/>
      <c r="G74" s="206" t="n"/>
      <c r="H74" s="206" t="n"/>
      <c r="I74" s="206" t="n"/>
      <c r="J74" s="206">
        <f>H81+I81</f>
        <v/>
      </c>
      <c r="K74" s="208" t="n"/>
      <c r="L74" s="206">
        <f>J81-K81</f>
        <v/>
      </c>
      <c r="M74" s="210" t="n">
        <v>1550912.85</v>
      </c>
      <c r="N74" s="206" t="n"/>
      <c r="O74" s="206">
        <f>L81-M81</f>
        <v/>
      </c>
      <c r="P74" s="206">
        <f>K81-N81</f>
        <v/>
      </c>
      <c r="Q74" s="206">
        <f>M81+O81</f>
        <v/>
      </c>
      <c r="R74" s="206">
        <f>M81+N81+O81+P81</f>
        <v/>
      </c>
      <c r="S74" s="206" t="n"/>
      <c r="T74" s="206" t="n"/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6</v>
      </c>
      <c r="B75" s="206" t="n"/>
      <c r="C75" s="207" t="n"/>
      <c r="D75" s="207" t="inlineStr">
        <is>
          <t>测量费</t>
        </is>
      </c>
      <c r="E75" s="206" t="n"/>
      <c r="F75" s="206" t="n"/>
      <c r="G75" s="206" t="n"/>
      <c r="H75" s="206" t="n"/>
      <c r="I75" s="206" t="n"/>
      <c r="J75" s="206">
        <f>H82+I82</f>
        <v/>
      </c>
      <c r="K75" s="208" t="n"/>
      <c r="L75" s="206">
        <f>J82-K82</f>
        <v/>
      </c>
      <c r="M75" s="210" t="n">
        <v>12460.82</v>
      </c>
      <c r="N75" s="206" t="n"/>
      <c r="O75" s="206">
        <f>L82-M82</f>
        <v/>
      </c>
      <c r="P75" s="206">
        <f>K82-N82</f>
        <v/>
      </c>
      <c r="Q75" s="206">
        <f>M82+O82</f>
        <v/>
      </c>
      <c r="R75" s="206">
        <f>M82+N82+O82+P82</f>
        <v/>
      </c>
      <c r="S75" s="206" t="n"/>
      <c r="T75" s="206" t="n"/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79" t="n"/>
      <c r="B76" s="280" t="n"/>
      <c r="C76" s="280" t="n"/>
      <c r="D76" s="291" t="inlineStr">
        <is>
          <t>**财务未列部分需增列***</t>
        </is>
      </c>
      <c r="E76" s="292" t="n"/>
      <c r="F76" s="292" t="n"/>
      <c r="G76" s="292" t="n"/>
      <c r="H76" s="282" t="n"/>
      <c r="I76" s="282" t="n"/>
      <c r="J76" s="285" t="n"/>
      <c r="K76" s="283" t="n"/>
      <c r="L76" s="284">
        <f>J83-K83</f>
        <v/>
      </c>
      <c r="M76" s="315" t="n"/>
      <c r="N76" s="315" t="n"/>
      <c r="O76" s="282">
        <f>L83-M83</f>
        <v/>
      </c>
      <c r="P76" s="282">
        <f>K83-N83</f>
        <v/>
      </c>
      <c r="Q76" s="282">
        <f>M83+O83</f>
        <v/>
      </c>
      <c r="R76" s="282">
        <f>M83+N83+O83+P83</f>
        <v/>
      </c>
      <c r="S76" s="286">
        <f>SUM(T83:V83)</f>
        <v/>
      </c>
      <c r="T76" s="315" t="n"/>
      <c r="U76" s="315" t="n"/>
      <c r="V76" s="315" t="n"/>
      <c r="W76" s="315" t="n"/>
      <c r="X76" s="315" t="n"/>
      <c r="Y76" s="315" t="n"/>
      <c r="Z76" s="282">
        <f>SUM(AA45:AJ45)</f>
        <v/>
      </c>
      <c r="AA76" s="286" t="n"/>
      <c r="AB76" s="286" t="n"/>
      <c r="AC76" s="286" t="n"/>
      <c r="AD76" s="286" t="n"/>
      <c r="AE76" s="286" t="n"/>
      <c r="AF76" s="286" t="n"/>
      <c r="AG76" s="286" t="n"/>
      <c r="AH76" s="286" t="n"/>
      <c r="AI76" s="286" t="n"/>
      <c r="AJ76" s="286" t="n"/>
      <c r="AK76" s="287" t="n"/>
      <c r="AL76" s="288" t="n"/>
    </row>
    <row r="77" ht="14" customFormat="1" customHeight="1" s="180">
      <c r="A77" s="316" t="n"/>
      <c r="B77" s="317" t="n"/>
      <c r="C77" s="317" t="n"/>
      <c r="D77" s="311" t="inlineStr">
        <is>
          <t>其他直接费小计：</t>
        </is>
      </c>
      <c r="E77" s="318" t="n"/>
      <c r="F77" s="318" t="n"/>
      <c r="G77" s="318" t="n"/>
      <c r="H77" s="298">
        <f>SUM(H76:H83)</f>
        <v/>
      </c>
      <c r="I77" s="298">
        <f>SUM(I76:I83)</f>
        <v/>
      </c>
      <c r="J77" s="298">
        <f>SUM(J76:J83)</f>
        <v/>
      </c>
      <c r="K77" s="298">
        <f>SUM(K76:K83)</f>
        <v/>
      </c>
      <c r="L77" s="313">
        <f>SUM(L76:L83)</f>
        <v/>
      </c>
      <c r="M77" s="298">
        <f>SUM(M76:M83)</f>
        <v/>
      </c>
      <c r="N77" s="298">
        <f>SUM(N76:N83)</f>
        <v/>
      </c>
      <c r="O77" s="298">
        <f>L84-M84</f>
        <v/>
      </c>
      <c r="P77" s="298">
        <f>SUM(P76:P83)</f>
        <v/>
      </c>
      <c r="Q77" s="298">
        <f>M84+O84</f>
        <v/>
      </c>
      <c r="R77" s="298">
        <f>SUM(R76:R83)</f>
        <v/>
      </c>
      <c r="S77" s="298">
        <f>SUM(S76:S83)</f>
        <v/>
      </c>
      <c r="T77" s="298" t="n"/>
      <c r="U77" s="298" t="n"/>
      <c r="V77" s="298" t="n"/>
      <c r="W77" s="298" t="n"/>
      <c r="X77" s="298" t="n"/>
      <c r="Y77" s="298" t="n"/>
      <c r="Z77" s="298">
        <f>SUM(Z76:Z83)</f>
        <v/>
      </c>
      <c r="AA77" s="298">
        <f>SUM(AA76:AA83)</f>
        <v/>
      </c>
      <c r="AB77" s="298">
        <f>SUM(AB76:AB83)</f>
        <v/>
      </c>
      <c r="AC77" s="298">
        <f>SUM(AC76:AC83)</f>
        <v/>
      </c>
      <c r="AD77" s="298">
        <f>SUM(AD76:AD83)</f>
        <v/>
      </c>
      <c r="AE77" s="298">
        <f>SUM(AE76:AE83)</f>
        <v/>
      </c>
      <c r="AF77" s="298">
        <f>SUM(AF76:AF83)</f>
        <v/>
      </c>
      <c r="AG77" s="298" t="n"/>
      <c r="AH77" s="298" t="n"/>
      <c r="AI77" s="298">
        <f>SUM(AI76:AI83)</f>
        <v/>
      </c>
      <c r="AJ77" s="298">
        <f>SUM(AJ76:AJ83)</f>
        <v/>
      </c>
      <c r="AK77" s="298">
        <f>SUM(AK76:AK83)</f>
        <v/>
      </c>
      <c r="AL77" s="288" t="n"/>
    </row>
    <row r="78" ht="26" customFormat="1" customHeight="1" s="180">
      <c r="A78" s="279" t="n"/>
      <c r="B78" s="280" t="n"/>
      <c r="C78" s="280" t="n"/>
      <c r="D78" s="299" t="inlineStr">
        <is>
          <t>（六）间接费</t>
        </is>
      </c>
      <c r="E78" s="292" t="n"/>
      <c r="F78" s="292" t="n"/>
      <c r="G78" s="292" t="n"/>
      <c r="H78" s="285" t="n"/>
      <c r="I78" s="282" t="n"/>
      <c r="J78" s="282" t="n">
        <v>0</v>
      </c>
      <c r="K78" s="283" t="n">
        <v>0</v>
      </c>
      <c r="L78" s="284">
        <f>J85-N85-P85</f>
        <v/>
      </c>
      <c r="M78" s="285" t="n"/>
      <c r="N78" s="285" t="n"/>
      <c r="O78" s="282">
        <f>L85-M85</f>
        <v/>
      </c>
      <c r="P78" s="282">
        <f>K85-N85</f>
        <v/>
      </c>
      <c r="Q78" s="282">
        <f>M85+O85</f>
        <v/>
      </c>
      <c r="R78" s="282">
        <f>M85+N85+O85+P85</f>
        <v/>
      </c>
      <c r="S78" s="286">
        <f>SUM(T85:V85)</f>
        <v/>
      </c>
      <c r="T78" s="286" t="n"/>
      <c r="U78" s="286" t="n"/>
      <c r="V78" s="286" t="n"/>
      <c r="W78" s="286" t="n"/>
      <c r="X78" s="286" t="n"/>
      <c r="Y78" s="286" t="n"/>
      <c r="Z78" s="286" t="n"/>
      <c r="AA78" s="286" t="n"/>
      <c r="AB78" s="286" t="n"/>
      <c r="AC78" s="286" t="n"/>
      <c r="AD78" s="286" t="n"/>
      <c r="AE78" s="286" t="n"/>
      <c r="AF78" s="286" t="n"/>
      <c r="AG78" s="286" t="n"/>
      <c r="AH78" s="286" t="n"/>
      <c r="AI78" s="286" t="n"/>
      <c r="AJ78" s="286" t="n"/>
      <c r="AK78" s="287" t="n"/>
      <c r="AL78" s="288" t="n"/>
    </row>
    <row r="79" ht="26" customFormat="1" customHeight="1" s="180">
      <c r="A79" s="206" t="n">
        <v>1</v>
      </c>
      <c r="B79" s="206" t="n"/>
      <c r="C79" s="207" t="n"/>
      <c r="D79" s="207" t="inlineStr">
        <is>
          <t>ZGD-住房公积金</t>
        </is>
      </c>
      <c r="E79" s="206" t="n"/>
      <c r="F79" s="206" t="n"/>
      <c r="G79" s="206" t="n"/>
      <c r="H79" s="206" t="n"/>
      <c r="I79" s="206" t="n"/>
      <c r="J79" s="206">
        <f>H86+I86</f>
        <v/>
      </c>
      <c r="K79" s="208" t="n"/>
      <c r="L79" s="206">
        <f>J86-K86</f>
        <v/>
      </c>
      <c r="M79" s="210" t="n">
        <v>7962.92</v>
      </c>
      <c r="N79" s="206" t="n"/>
      <c r="O79" s="206">
        <f>L86-M86</f>
        <v/>
      </c>
      <c r="P79" s="206">
        <f>K86-N86</f>
        <v/>
      </c>
      <c r="Q79" s="206">
        <f>M86+O86</f>
        <v/>
      </c>
      <c r="R79" s="206">
        <f>M86+N86+O86+P86</f>
        <v/>
      </c>
      <c r="S79" s="206" t="n"/>
      <c r="T79" s="206" t="n"/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2</v>
      </c>
      <c r="B80" s="206" t="n"/>
      <c r="C80" s="207" t="n"/>
      <c r="D80" s="207" t="inlineStr">
        <is>
          <t>ZGD-医疗保险</t>
        </is>
      </c>
      <c r="E80" s="206" t="n"/>
      <c r="F80" s="206" t="n"/>
      <c r="G80" s="206" t="n"/>
      <c r="H80" s="206" t="n"/>
      <c r="I80" s="206" t="n"/>
      <c r="J80" s="206">
        <f>H87+I87</f>
        <v/>
      </c>
      <c r="K80" s="208" t="n"/>
      <c r="L80" s="206">
        <f>J87-K87</f>
        <v/>
      </c>
      <c r="M80" s="210" t="n">
        <v>7050.57</v>
      </c>
      <c r="N80" s="206" t="n"/>
      <c r="O80" s="206">
        <f>L87-M87</f>
        <v/>
      </c>
      <c r="P80" s="206">
        <f>K87-N87</f>
        <v/>
      </c>
      <c r="Q80" s="206">
        <f>M87+O87</f>
        <v/>
      </c>
      <c r="R80" s="206">
        <f>M87+N87+O87+P87</f>
        <v/>
      </c>
      <c r="S80" s="206" t="n"/>
      <c r="T80" s="206" t="n"/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3</v>
      </c>
      <c r="B81" s="206" t="n"/>
      <c r="C81" s="207" t="n"/>
      <c r="D81" s="207" t="inlineStr">
        <is>
          <t>ZGD-基本养老保险</t>
        </is>
      </c>
      <c r="E81" s="206" t="n"/>
      <c r="F81" s="206" t="n"/>
      <c r="G81" s="206" t="n"/>
      <c r="H81" s="206" t="n"/>
      <c r="I81" s="206" t="n"/>
      <c r="J81" s="206">
        <f>H88+I88</f>
        <v/>
      </c>
      <c r="K81" s="208" t="n"/>
      <c r="L81" s="206">
        <f>J88-K88</f>
        <v/>
      </c>
      <c r="M81" s="210" t="n">
        <v>12783.57</v>
      </c>
      <c r="N81" s="206" t="n"/>
      <c r="O81" s="206">
        <f>L88-M88</f>
        <v/>
      </c>
      <c r="P81" s="206">
        <f>K88-N88</f>
        <v/>
      </c>
      <c r="Q81" s="206">
        <f>M88+O88</f>
        <v/>
      </c>
      <c r="R81" s="206">
        <f>M88+N88+O88+P88</f>
        <v/>
      </c>
      <c r="S81" s="206" t="n"/>
      <c r="T81" s="206" t="n"/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4</v>
      </c>
      <c r="B82" s="206" t="n"/>
      <c r="C82" s="207" t="n"/>
      <c r="D82" s="207" t="inlineStr">
        <is>
          <t>ZGD-失业保险</t>
        </is>
      </c>
      <c r="E82" s="206" t="n"/>
      <c r="F82" s="206" t="n"/>
      <c r="G82" s="206" t="n"/>
      <c r="H82" s="206" t="n"/>
      <c r="I82" s="206" t="n"/>
      <c r="J82" s="206">
        <f>H89+I89</f>
        <v/>
      </c>
      <c r="K82" s="208" t="n"/>
      <c r="L82" s="206">
        <f>J89-K89</f>
        <v/>
      </c>
      <c r="M82" s="210" t="n">
        <v>504.89</v>
      </c>
      <c r="N82" s="206" t="n"/>
      <c r="O82" s="206">
        <f>L89-M89</f>
        <v/>
      </c>
      <c r="P82" s="206">
        <f>K89-N89</f>
        <v/>
      </c>
      <c r="Q82" s="206">
        <f>M89+O89</f>
        <v/>
      </c>
      <c r="R82" s="206">
        <f>M89+N89+O89+P89</f>
        <v/>
      </c>
      <c r="S82" s="206" t="n"/>
      <c r="T82" s="206" t="n"/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5</v>
      </c>
      <c r="B83" s="206" t="n"/>
      <c r="C83" s="207" t="n"/>
      <c r="D83" s="207" t="inlineStr">
        <is>
          <t>ZGD-工伤保险</t>
        </is>
      </c>
      <c r="E83" s="206" t="n"/>
      <c r="F83" s="206" t="n"/>
      <c r="G83" s="206" t="n"/>
      <c r="H83" s="206" t="n"/>
      <c r="I83" s="206" t="n"/>
      <c r="J83" s="206">
        <f>H90+I90</f>
        <v/>
      </c>
      <c r="K83" s="208" t="n"/>
      <c r="L83" s="206">
        <f>J90-K90</f>
        <v/>
      </c>
      <c r="M83" s="210" t="n">
        <v>288.53</v>
      </c>
      <c r="N83" s="206" t="n"/>
      <c r="O83" s="206">
        <f>L90-M90</f>
        <v/>
      </c>
      <c r="P83" s="206">
        <f>K90-N90</f>
        <v/>
      </c>
      <c r="Q83" s="206">
        <f>M90+O90</f>
        <v/>
      </c>
      <c r="R83" s="206">
        <f>M90+N90+O90+P90</f>
        <v/>
      </c>
      <c r="S83" s="206" t="n"/>
      <c r="T83" s="206" t="n"/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6</v>
      </c>
      <c r="B84" s="206" t="n"/>
      <c r="C84" s="207" t="n"/>
      <c r="D84" s="207" t="inlineStr">
        <is>
          <t>ZGD-工资</t>
        </is>
      </c>
      <c r="E84" s="206" t="n"/>
      <c r="F84" s="206" t="n"/>
      <c r="G84" s="206" t="n"/>
      <c r="H84" s="206" t="n"/>
      <c r="I84" s="206" t="n"/>
      <c r="J84" s="206">
        <f>H91+I91</f>
        <v/>
      </c>
      <c r="K84" s="208" t="n"/>
      <c r="L84" s="206">
        <f>J91-K91</f>
        <v/>
      </c>
      <c r="M84" s="210" t="n">
        <v>40337.07</v>
      </c>
      <c r="N84" s="206" t="n"/>
      <c r="O84" s="206">
        <f>L91-M91</f>
        <v/>
      </c>
      <c r="P84" s="206">
        <f>K91-N91</f>
        <v/>
      </c>
      <c r="Q84" s="206">
        <f>M91+O91</f>
        <v/>
      </c>
      <c r="R84" s="206">
        <f>M91+N91+O91+P91</f>
        <v/>
      </c>
      <c r="S84" s="206" t="n"/>
      <c r="T84" s="206" t="n"/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7</v>
      </c>
      <c r="B85" s="206" t="n"/>
      <c r="C85" s="207" t="n"/>
      <c r="D85" s="207" t="inlineStr">
        <is>
          <t>ZGD-社保及公积金</t>
        </is>
      </c>
      <c r="E85" s="206" t="n"/>
      <c r="F85" s="206" t="n"/>
      <c r="G85" s="206" t="n"/>
      <c r="H85" s="206" t="n"/>
      <c r="I85" s="206" t="n"/>
      <c r="J85" s="206">
        <f>H92+I92</f>
        <v/>
      </c>
      <c r="K85" s="208" t="n"/>
      <c r="L85" s="206">
        <f>J92-K92</f>
        <v/>
      </c>
      <c r="M85" s="210" t="n">
        <v>-19577.68</v>
      </c>
      <c r="N85" s="206" t="n"/>
      <c r="O85" s="206">
        <f>L92-M92</f>
        <v/>
      </c>
      <c r="P85" s="206">
        <f>K92-N92</f>
        <v/>
      </c>
      <c r="Q85" s="206">
        <f>M92+O92</f>
        <v/>
      </c>
      <c r="R85" s="206">
        <f>M92+N92+O92+P92</f>
        <v/>
      </c>
      <c r="S85" s="206" t="n"/>
      <c r="T85" s="206" t="n"/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8</v>
      </c>
      <c r="B86" s="206" t="n"/>
      <c r="C86" s="207" t="n"/>
      <c r="D86" s="207" t="inlineStr">
        <is>
          <t>企业年金</t>
        </is>
      </c>
      <c r="E86" s="206" t="n"/>
      <c r="F86" s="206" t="n"/>
      <c r="G86" s="206" t="n"/>
      <c r="H86" s="206" t="n"/>
      <c r="I86" s="206" t="n"/>
      <c r="J86" s="206">
        <f>H93+I93</f>
        <v/>
      </c>
      <c r="K86" s="208" t="n"/>
      <c r="L86" s="206">
        <f>J93-K93</f>
        <v/>
      </c>
      <c r="M86" s="210" t="n">
        <v>74494.24000000001</v>
      </c>
      <c r="N86" s="206" t="n"/>
      <c r="O86" s="206">
        <f>L93-M93</f>
        <v/>
      </c>
      <c r="P86" s="206">
        <f>K93-N93</f>
        <v/>
      </c>
      <c r="Q86" s="206">
        <f>M93+O93</f>
        <v/>
      </c>
      <c r="R86" s="206">
        <f>M93+N93+O93+P93</f>
        <v/>
      </c>
      <c r="S86" s="206" t="n"/>
      <c r="T86" s="206" t="n"/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9</v>
      </c>
      <c r="B87" s="206" t="n"/>
      <c r="C87" s="207" t="n"/>
      <c r="D87" s="207" t="inlineStr">
        <is>
          <t>住房公积金</t>
        </is>
      </c>
      <c r="E87" s="206" t="n"/>
      <c r="F87" s="206" t="n"/>
      <c r="G87" s="206" t="n"/>
      <c r="H87" s="206" t="n"/>
      <c r="I87" s="206" t="n"/>
      <c r="J87" s="206">
        <f>H94+I94</f>
        <v/>
      </c>
      <c r="K87" s="208" t="n"/>
      <c r="L87" s="206">
        <f>J94-K94</f>
        <v/>
      </c>
      <c r="M87" s="210" t="n">
        <v>221838.06</v>
      </c>
      <c r="N87" s="206" t="n"/>
      <c r="O87" s="206">
        <f>L94-M94</f>
        <v/>
      </c>
      <c r="P87" s="206">
        <f>K94-N94</f>
        <v/>
      </c>
      <c r="Q87" s="206">
        <f>M94+O94</f>
        <v/>
      </c>
      <c r="R87" s="206">
        <f>M94+N94+O94+P94</f>
        <v/>
      </c>
      <c r="S87" s="206" t="n"/>
      <c r="T87" s="206" t="n"/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10</v>
      </c>
      <c r="B88" s="206" t="n"/>
      <c r="C88" s="207" t="n"/>
      <c r="D88" s="207" t="inlineStr">
        <is>
          <t>保安保洁费</t>
        </is>
      </c>
      <c r="E88" s="206" t="n"/>
      <c r="F88" s="206" t="n"/>
      <c r="G88" s="206" t="n"/>
      <c r="H88" s="206" t="n"/>
      <c r="I88" s="206" t="n"/>
      <c r="J88" s="206">
        <f>H95+I95</f>
        <v/>
      </c>
      <c r="K88" s="208" t="n"/>
      <c r="L88" s="206">
        <f>J95-K95</f>
        <v/>
      </c>
      <c r="M88" s="210" t="n">
        <v>9375.23</v>
      </c>
      <c r="N88" s="206" t="n"/>
      <c r="O88" s="206">
        <f>L95-M95</f>
        <v/>
      </c>
      <c r="P88" s="206">
        <f>K95-N95</f>
        <v/>
      </c>
      <c r="Q88" s="206">
        <f>M95+O95</f>
        <v/>
      </c>
      <c r="R88" s="206">
        <f>M95+N95+O95+P95</f>
        <v/>
      </c>
      <c r="S88" s="206" t="n"/>
      <c r="T88" s="206" t="n"/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11</v>
      </c>
      <c r="B89" s="206" t="n"/>
      <c r="C89" s="207" t="n"/>
      <c r="D89" s="207" t="inlineStr">
        <is>
          <t>修理费</t>
        </is>
      </c>
      <c r="E89" s="206" t="n"/>
      <c r="F89" s="206" t="n"/>
      <c r="G89" s="206" t="n"/>
      <c r="H89" s="206" t="n"/>
      <c r="I89" s="206" t="n"/>
      <c r="J89" s="206">
        <f>H96+I96</f>
        <v/>
      </c>
      <c r="K89" s="208" t="n"/>
      <c r="L89" s="206">
        <f>J96-K96</f>
        <v/>
      </c>
      <c r="M89" s="210" t="n">
        <v>35150</v>
      </c>
      <c r="N89" s="206" t="n"/>
      <c r="O89" s="206">
        <f>L96-M96</f>
        <v/>
      </c>
      <c r="P89" s="206">
        <f>K96-N96</f>
        <v/>
      </c>
      <c r="Q89" s="206">
        <f>M96+O96</f>
        <v/>
      </c>
      <c r="R89" s="206">
        <f>M96+N96+O96+P96</f>
        <v/>
      </c>
      <c r="S89" s="206" t="n"/>
      <c r="T89" s="206" t="n"/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12</v>
      </c>
      <c r="B90" s="206" t="n"/>
      <c r="C90" s="207" t="n"/>
      <c r="D90" s="207" t="inlineStr">
        <is>
          <t>其他</t>
        </is>
      </c>
      <c r="E90" s="206" t="n"/>
      <c r="F90" s="206" t="n"/>
      <c r="G90" s="206" t="n"/>
      <c r="H90" s="206" t="n"/>
      <c r="I90" s="206" t="n"/>
      <c r="J90" s="206">
        <f>H97+I97</f>
        <v/>
      </c>
      <c r="K90" s="208" t="n"/>
      <c r="L90" s="206">
        <f>J97-K97</f>
        <v/>
      </c>
      <c r="M90" s="210" t="n">
        <v>154505.75</v>
      </c>
      <c r="N90" s="206" t="n"/>
      <c r="O90" s="206">
        <f>L97-M97</f>
        <v/>
      </c>
      <c r="P90" s="206">
        <f>K97-N97</f>
        <v/>
      </c>
      <c r="Q90" s="206">
        <f>M97+O97</f>
        <v/>
      </c>
      <c r="R90" s="206">
        <f>M97+N97+O97+P97</f>
        <v/>
      </c>
      <c r="S90" s="206" t="n"/>
      <c r="T90" s="206" t="n"/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13</v>
      </c>
      <c r="B91" s="206" t="n"/>
      <c r="C91" s="207" t="n"/>
      <c r="D91" s="207" t="inlineStr">
        <is>
          <t>冲晒印刷费</t>
        </is>
      </c>
      <c r="E91" s="206" t="n"/>
      <c r="F91" s="206" t="n"/>
      <c r="G91" s="206" t="n"/>
      <c r="H91" s="206" t="n"/>
      <c r="I91" s="206" t="n"/>
      <c r="J91" s="206">
        <f>H98+I98</f>
        <v/>
      </c>
      <c r="K91" s="208" t="n"/>
      <c r="L91" s="206">
        <f>J98-K98</f>
        <v/>
      </c>
      <c r="M91" s="210" t="n">
        <v>27505.96</v>
      </c>
      <c r="N91" s="206" t="n"/>
      <c r="O91" s="206">
        <f>L98-M98</f>
        <v/>
      </c>
      <c r="P91" s="206">
        <f>K98-N98</f>
        <v/>
      </c>
      <c r="Q91" s="206">
        <f>M98+O98</f>
        <v/>
      </c>
      <c r="R91" s="206">
        <f>M98+N98+O98+P98</f>
        <v/>
      </c>
      <c r="S91" s="206" t="n"/>
      <c r="T91" s="206" t="n"/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14</v>
      </c>
      <c r="B92" s="206" t="n"/>
      <c r="C92" s="207" t="n"/>
      <c r="D92" s="207" t="inlineStr">
        <is>
          <t>办公用品费</t>
        </is>
      </c>
      <c r="E92" s="206" t="n"/>
      <c r="F92" s="206" t="n"/>
      <c r="G92" s="206" t="n"/>
      <c r="H92" s="206" t="n"/>
      <c r="I92" s="206" t="n"/>
      <c r="J92" s="206">
        <f>H99+I99</f>
        <v/>
      </c>
      <c r="K92" s="208" t="n"/>
      <c r="L92" s="206">
        <f>J99-K99</f>
        <v/>
      </c>
      <c r="M92" s="210" t="n">
        <v>136910.72</v>
      </c>
      <c r="N92" s="206" t="n"/>
      <c r="O92" s="206">
        <f>L99-M99</f>
        <v/>
      </c>
      <c r="P92" s="206">
        <f>K99-N99</f>
        <v/>
      </c>
      <c r="Q92" s="206">
        <f>M99+O99</f>
        <v/>
      </c>
      <c r="R92" s="206">
        <f>M99+N99+O99+P99</f>
        <v/>
      </c>
      <c r="S92" s="206" t="n"/>
      <c r="T92" s="206" t="n"/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15</v>
      </c>
      <c r="B93" s="206" t="n"/>
      <c r="C93" s="207" t="n"/>
      <c r="D93" s="207" t="inlineStr">
        <is>
          <t>医疗保险</t>
        </is>
      </c>
      <c r="E93" s="206" t="n"/>
      <c r="F93" s="206" t="n"/>
      <c r="G93" s="206" t="n"/>
      <c r="H93" s="206" t="n"/>
      <c r="I93" s="206" t="n"/>
      <c r="J93" s="206">
        <f>H100+I100</f>
        <v/>
      </c>
      <c r="K93" s="208" t="n"/>
      <c r="L93" s="206">
        <f>J100-K100</f>
        <v/>
      </c>
      <c r="M93" s="210" t="n">
        <v>141031.37</v>
      </c>
      <c r="N93" s="206" t="n"/>
      <c r="O93" s="206">
        <f>L100-M100</f>
        <v/>
      </c>
      <c r="P93" s="206">
        <f>K100-N100</f>
        <v/>
      </c>
      <c r="Q93" s="206">
        <f>M100+O100</f>
        <v/>
      </c>
      <c r="R93" s="206">
        <f>M100+N100+O100+P100</f>
        <v/>
      </c>
      <c r="S93" s="206" t="n"/>
      <c r="T93" s="206" t="n"/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16</v>
      </c>
      <c r="B94" s="206" t="n"/>
      <c r="C94" s="207" t="n"/>
      <c r="D94" s="207" t="inlineStr">
        <is>
          <t>咨询认证费</t>
        </is>
      </c>
      <c r="E94" s="206" t="n"/>
      <c r="F94" s="206" t="n"/>
      <c r="G94" s="206" t="n"/>
      <c r="H94" s="206" t="n"/>
      <c r="I94" s="206" t="n"/>
      <c r="J94" s="206">
        <f>H101+I101</f>
        <v/>
      </c>
      <c r="K94" s="208" t="n"/>
      <c r="L94" s="206">
        <f>J101-K101</f>
        <v/>
      </c>
      <c r="M94" s="210" t="n">
        <v>6886.8</v>
      </c>
      <c r="N94" s="206" t="n"/>
      <c r="O94" s="206">
        <f>L101-M101</f>
        <v/>
      </c>
      <c r="P94" s="206">
        <f>K101-N101</f>
        <v/>
      </c>
      <c r="Q94" s="206">
        <f>M101+O101</f>
        <v/>
      </c>
      <c r="R94" s="206">
        <f>M101+N101+O101+P101</f>
        <v/>
      </c>
      <c r="S94" s="206" t="n"/>
      <c r="T94" s="206" t="n"/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17</v>
      </c>
      <c r="B95" s="206" t="n"/>
      <c r="C95" s="207" t="n"/>
      <c r="D95" s="207" t="inlineStr">
        <is>
          <t>基本养老保险</t>
        </is>
      </c>
      <c r="E95" s="206" t="n"/>
      <c r="F95" s="206" t="n"/>
      <c r="G95" s="206" t="n"/>
      <c r="H95" s="206" t="n"/>
      <c r="I95" s="206" t="n"/>
      <c r="J95" s="206">
        <f>H102+I102</f>
        <v/>
      </c>
      <c r="K95" s="208" t="n"/>
      <c r="L95" s="206">
        <f>J102-K102</f>
        <v/>
      </c>
      <c r="M95" s="210" t="n">
        <v>278130.95</v>
      </c>
      <c r="N95" s="206" t="n"/>
      <c r="O95" s="206">
        <f>L102-M102</f>
        <v/>
      </c>
      <c r="P95" s="206">
        <f>K102-N102</f>
        <v/>
      </c>
      <c r="Q95" s="206">
        <f>M102+O102</f>
        <v/>
      </c>
      <c r="R95" s="206">
        <f>M102+N102+O102+P102</f>
        <v/>
      </c>
      <c r="S95" s="206" t="n"/>
      <c r="T95" s="206" t="n"/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18</v>
      </c>
      <c r="B96" s="206" t="n"/>
      <c r="C96" s="207" t="n"/>
      <c r="D96" s="207" t="inlineStr">
        <is>
          <t>境内差旅费</t>
        </is>
      </c>
      <c r="E96" s="206" t="n"/>
      <c r="F96" s="206" t="n"/>
      <c r="G96" s="206" t="n"/>
      <c r="H96" s="206" t="n"/>
      <c r="I96" s="206" t="n"/>
      <c r="J96" s="206">
        <f>H103+I103</f>
        <v/>
      </c>
      <c r="K96" s="208" t="n"/>
      <c r="L96" s="206">
        <f>J103-K103</f>
        <v/>
      </c>
      <c r="M96" s="210" t="n">
        <v>19963.39</v>
      </c>
      <c r="N96" s="206" t="n"/>
      <c r="O96" s="206">
        <f>L103-M103</f>
        <v/>
      </c>
      <c r="P96" s="206">
        <f>K103-N103</f>
        <v/>
      </c>
      <c r="Q96" s="206">
        <f>M103+O103</f>
        <v/>
      </c>
      <c r="R96" s="206">
        <f>M103+N103+O103+P103</f>
        <v/>
      </c>
      <c r="S96" s="206" t="n"/>
      <c r="T96" s="206" t="n"/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19</v>
      </c>
      <c r="B97" s="206" t="n"/>
      <c r="C97" s="207" t="n"/>
      <c r="D97" s="207" t="inlineStr">
        <is>
          <t>失业保险</t>
        </is>
      </c>
      <c r="E97" s="206" t="n"/>
      <c r="F97" s="206" t="n"/>
      <c r="G97" s="206" t="n"/>
      <c r="H97" s="206" t="n"/>
      <c r="I97" s="206" t="n"/>
      <c r="J97" s="206">
        <f>H104+I104</f>
        <v/>
      </c>
      <c r="K97" s="208" t="n"/>
      <c r="L97" s="206">
        <f>J104-K104</f>
        <v/>
      </c>
      <c r="M97" s="210" t="n">
        <v>12392.32</v>
      </c>
      <c r="N97" s="206" t="n"/>
      <c r="O97" s="206">
        <f>L104-M104</f>
        <v/>
      </c>
      <c r="P97" s="206">
        <f>K104-N104</f>
        <v/>
      </c>
      <c r="Q97" s="206">
        <f>M104+O104</f>
        <v/>
      </c>
      <c r="R97" s="206">
        <f>M104+N104+O104+P104</f>
        <v/>
      </c>
      <c r="S97" s="206" t="n"/>
      <c r="T97" s="206" t="n"/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20</v>
      </c>
      <c r="B98" s="206" t="n"/>
      <c r="C98" s="207" t="n"/>
      <c r="D98" s="207" t="inlineStr">
        <is>
          <t>工伤保险</t>
        </is>
      </c>
      <c r="E98" s="206" t="n"/>
      <c r="F98" s="206" t="n"/>
      <c r="G98" s="206" t="n"/>
      <c r="H98" s="206" t="n"/>
      <c r="I98" s="206" t="n"/>
      <c r="J98" s="206">
        <f>H105+I105</f>
        <v/>
      </c>
      <c r="K98" s="208" t="n"/>
      <c r="L98" s="206">
        <f>J105-K105</f>
        <v/>
      </c>
      <c r="M98" s="210" t="n">
        <v>7990.81</v>
      </c>
      <c r="N98" s="206" t="n"/>
      <c r="O98" s="206">
        <f>L105-M105</f>
        <v/>
      </c>
      <c r="P98" s="206">
        <f>K105-N105</f>
        <v/>
      </c>
      <c r="Q98" s="206">
        <f>M105+O105</f>
        <v/>
      </c>
      <c r="R98" s="206">
        <f>M105+N105+O105+P105</f>
        <v/>
      </c>
      <c r="S98" s="206" t="n"/>
      <c r="T98" s="206" t="n"/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21</v>
      </c>
      <c r="B99" s="206" t="n"/>
      <c r="C99" s="207" t="n"/>
      <c r="D99" s="207" t="inlineStr">
        <is>
          <t>工资</t>
        </is>
      </c>
      <c r="E99" s="206" t="n"/>
      <c r="F99" s="206" t="n"/>
      <c r="G99" s="206" t="n"/>
      <c r="H99" s="206" t="n"/>
      <c r="I99" s="206" t="n"/>
      <c r="J99" s="206">
        <f>H106+I106</f>
        <v/>
      </c>
      <c r="K99" s="208" t="n"/>
      <c r="L99" s="206">
        <f>J106-K106</f>
        <v/>
      </c>
      <c r="M99" s="210" t="n">
        <v>3449526.47</v>
      </c>
      <c r="N99" s="206" t="n"/>
      <c r="O99" s="206">
        <f>L106-M106</f>
        <v/>
      </c>
      <c r="P99" s="206">
        <f>K106-N106</f>
        <v/>
      </c>
      <c r="Q99" s="206">
        <f>M106+O106</f>
        <v/>
      </c>
      <c r="R99" s="206">
        <f>M106+N106+O106+P106</f>
        <v/>
      </c>
      <c r="S99" s="206" t="n"/>
      <c r="T99" s="206" t="n"/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22</v>
      </c>
      <c r="B100" s="206" t="n"/>
      <c r="C100" s="207" t="n"/>
      <c r="D100" s="207" t="inlineStr">
        <is>
          <t>市内交通费</t>
        </is>
      </c>
      <c r="E100" s="206" t="n"/>
      <c r="F100" s="206" t="n"/>
      <c r="G100" s="206" t="n"/>
      <c r="H100" s="206" t="n"/>
      <c r="I100" s="206" t="n"/>
      <c r="J100" s="206">
        <f>H107+I107</f>
        <v/>
      </c>
      <c r="K100" s="208" t="n"/>
      <c r="L100" s="206">
        <f>J107-K107</f>
        <v/>
      </c>
      <c r="M100" s="210" t="n">
        <v>1605.51</v>
      </c>
      <c r="N100" s="206" t="n"/>
      <c r="O100" s="206">
        <f>L107-M107</f>
        <v/>
      </c>
      <c r="P100" s="206">
        <f>K107-N107</f>
        <v/>
      </c>
      <c r="Q100" s="206">
        <f>M107+O107</f>
        <v/>
      </c>
      <c r="R100" s="206">
        <f>M107+N107+O107+P107</f>
        <v/>
      </c>
      <c r="S100" s="206" t="n"/>
      <c r="T100" s="206" t="n"/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23</v>
      </c>
      <c r="B101" s="206" t="n"/>
      <c r="C101" s="207" t="n"/>
      <c r="D101" s="207" t="inlineStr">
        <is>
          <t>排污费</t>
        </is>
      </c>
      <c r="E101" s="206" t="n"/>
      <c r="F101" s="206" t="n"/>
      <c r="G101" s="206" t="n"/>
      <c r="H101" s="206" t="n"/>
      <c r="I101" s="206" t="n"/>
      <c r="J101" s="206">
        <f>H108+I108</f>
        <v/>
      </c>
      <c r="K101" s="208" t="n"/>
      <c r="L101" s="206">
        <f>J108-K108</f>
        <v/>
      </c>
      <c r="M101" s="210" t="n">
        <v>1700</v>
      </c>
      <c r="N101" s="206" t="n"/>
      <c r="O101" s="206">
        <f>L108-M108</f>
        <v/>
      </c>
      <c r="P101" s="206">
        <f>K108-N108</f>
        <v/>
      </c>
      <c r="Q101" s="206">
        <f>M108+O108</f>
        <v/>
      </c>
      <c r="R101" s="206">
        <f>M108+N108+O108+P108</f>
        <v/>
      </c>
      <c r="S101" s="206" t="n"/>
      <c r="T101" s="206" t="n"/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24</v>
      </c>
      <c r="B102" s="206" t="n"/>
      <c r="C102" s="207" t="n"/>
      <c r="D102" s="207" t="inlineStr">
        <is>
          <t>水电费</t>
        </is>
      </c>
      <c r="E102" s="206" t="n"/>
      <c r="F102" s="206" t="n"/>
      <c r="G102" s="206" t="n"/>
      <c r="H102" s="206" t="n"/>
      <c r="I102" s="206" t="n"/>
      <c r="J102" s="206">
        <f>H109+I109</f>
        <v/>
      </c>
      <c r="K102" s="208" t="n"/>
      <c r="L102" s="206">
        <f>J109-K109</f>
        <v/>
      </c>
      <c r="M102" s="210" t="n">
        <v>47486.27</v>
      </c>
      <c r="N102" s="206" t="n"/>
      <c r="O102" s="206">
        <f>L109-M109</f>
        <v/>
      </c>
      <c r="P102" s="206">
        <f>K109-N109</f>
        <v/>
      </c>
      <c r="Q102" s="206">
        <f>M109+O109</f>
        <v/>
      </c>
      <c r="R102" s="206">
        <f>M109+N109+O109+P109</f>
        <v/>
      </c>
      <c r="S102" s="206" t="n"/>
      <c r="T102" s="206" t="n"/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25</v>
      </c>
      <c r="B103" s="206" t="n"/>
      <c r="C103" s="207" t="n"/>
      <c r="D103" s="207" t="inlineStr">
        <is>
          <t>燃油费</t>
        </is>
      </c>
      <c r="E103" s="206" t="n"/>
      <c r="F103" s="206" t="n"/>
      <c r="G103" s="206" t="n"/>
      <c r="H103" s="206" t="n"/>
      <c r="I103" s="206" t="n"/>
      <c r="J103" s="206">
        <f>H110+I110</f>
        <v/>
      </c>
      <c r="K103" s="208" t="n"/>
      <c r="L103" s="206">
        <f>J110-K110</f>
        <v/>
      </c>
      <c r="M103" s="210" t="n">
        <v>13463.44</v>
      </c>
      <c r="N103" s="206" t="n"/>
      <c r="O103" s="206">
        <f>L110-M110</f>
        <v/>
      </c>
      <c r="P103" s="206">
        <f>K110-N110</f>
        <v/>
      </c>
      <c r="Q103" s="206">
        <f>M110+O110</f>
        <v/>
      </c>
      <c r="R103" s="206">
        <f>M110+N110+O110+P110</f>
        <v/>
      </c>
      <c r="S103" s="206" t="n"/>
      <c r="T103" s="206" t="n"/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26</v>
      </c>
      <c r="B104" s="206" t="n"/>
      <c r="C104" s="207" t="n"/>
      <c r="D104" s="207" t="inlineStr">
        <is>
          <t>物业租赁费</t>
        </is>
      </c>
      <c r="E104" s="206" t="n"/>
      <c r="F104" s="206" t="n"/>
      <c r="G104" s="206" t="n"/>
      <c r="H104" s="206" t="n"/>
      <c r="I104" s="206" t="n"/>
      <c r="J104" s="206">
        <f>H111+I111</f>
        <v/>
      </c>
      <c r="K104" s="208" t="n"/>
      <c r="L104" s="206">
        <f>J111-K111</f>
        <v/>
      </c>
      <c r="M104" s="210" t="n">
        <v>107763.8</v>
      </c>
      <c r="N104" s="206" t="n"/>
      <c r="O104" s="206">
        <f>L111-M111</f>
        <v/>
      </c>
      <c r="P104" s="206">
        <f>K111-N111</f>
        <v/>
      </c>
      <c r="Q104" s="206">
        <f>M111+O111</f>
        <v/>
      </c>
      <c r="R104" s="206">
        <f>M111+N111+O111+P111</f>
        <v/>
      </c>
      <c r="S104" s="206" t="n"/>
      <c r="T104" s="206" t="n"/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27</v>
      </c>
      <c r="B105" s="206" t="n"/>
      <c r="C105" s="207" t="n"/>
      <c r="D105" s="207" t="inlineStr">
        <is>
          <t>物业管理费</t>
        </is>
      </c>
      <c r="E105" s="206" t="n"/>
      <c r="F105" s="206" t="n"/>
      <c r="G105" s="206" t="n"/>
      <c r="H105" s="206" t="n"/>
      <c r="I105" s="206" t="n"/>
      <c r="J105" s="206">
        <f>H112+I112</f>
        <v/>
      </c>
      <c r="K105" s="208" t="n"/>
      <c r="L105" s="206">
        <f>J112-K112</f>
        <v/>
      </c>
      <c r="M105" s="210" t="n">
        <v>233637.28</v>
      </c>
      <c r="N105" s="206" t="n"/>
      <c r="O105" s="206">
        <f>L112-M112</f>
        <v/>
      </c>
      <c r="P105" s="206">
        <f>K112-N112</f>
        <v/>
      </c>
      <c r="Q105" s="206">
        <f>M112+O112</f>
        <v/>
      </c>
      <c r="R105" s="206">
        <f>M112+N112+O112+P112</f>
        <v/>
      </c>
      <c r="S105" s="206" t="n"/>
      <c r="T105" s="206" t="n"/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28</v>
      </c>
      <c r="B106" s="206" t="n"/>
      <c r="C106" s="207" t="n"/>
      <c r="D106" s="207" t="inlineStr">
        <is>
          <t>社保及公积金</t>
        </is>
      </c>
      <c r="E106" s="206" t="n"/>
      <c r="F106" s="206" t="n"/>
      <c r="G106" s="206" t="n"/>
      <c r="H106" s="206" t="n"/>
      <c r="I106" s="206" t="n"/>
      <c r="J106" s="206">
        <f>H113+I113</f>
        <v/>
      </c>
      <c r="K106" s="208" t="n"/>
      <c r="L106" s="206">
        <f>J113-K113</f>
        <v/>
      </c>
      <c r="M106" s="210" t="n">
        <v>126801.25</v>
      </c>
      <c r="N106" s="206" t="n"/>
      <c r="O106" s="206">
        <f>L113-M113</f>
        <v/>
      </c>
      <c r="P106" s="206">
        <f>K113-N113</f>
        <v/>
      </c>
      <c r="Q106" s="206">
        <f>M113+O113</f>
        <v/>
      </c>
      <c r="R106" s="206">
        <f>M113+N113+O113+P113</f>
        <v/>
      </c>
      <c r="S106" s="206" t="n"/>
      <c r="T106" s="206" t="n"/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29</v>
      </c>
      <c r="B107" s="206" t="n"/>
      <c r="C107" s="207" t="n"/>
      <c r="D107" s="207" t="inlineStr">
        <is>
          <t>租车费</t>
        </is>
      </c>
      <c r="E107" s="206" t="n"/>
      <c r="F107" s="206" t="n"/>
      <c r="G107" s="206" t="n"/>
      <c r="H107" s="206" t="n"/>
      <c r="I107" s="206" t="n"/>
      <c r="J107" s="206">
        <f>H114+I114</f>
        <v/>
      </c>
      <c r="K107" s="208" t="n"/>
      <c r="L107" s="206">
        <f>J114-K114</f>
        <v/>
      </c>
      <c r="M107" s="210" t="n">
        <v>87891.39999999999</v>
      </c>
      <c r="N107" s="206" t="n"/>
      <c r="O107" s="206">
        <f>L114-M114</f>
        <v/>
      </c>
      <c r="P107" s="206">
        <f>K114-N114</f>
        <v/>
      </c>
      <c r="Q107" s="206">
        <f>M114+O114</f>
        <v/>
      </c>
      <c r="R107" s="206">
        <f>M114+N114+O114+P114</f>
        <v/>
      </c>
      <c r="S107" s="206" t="n"/>
      <c r="T107" s="206" t="n"/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30</v>
      </c>
      <c r="B108" s="206" t="n"/>
      <c r="C108" s="207" t="n"/>
      <c r="D108" s="207" t="inlineStr">
        <is>
          <t>绿化绿植费</t>
        </is>
      </c>
      <c r="E108" s="206" t="n"/>
      <c r="F108" s="206" t="n"/>
      <c r="G108" s="206" t="n"/>
      <c r="H108" s="206" t="n"/>
      <c r="I108" s="206" t="n"/>
      <c r="J108" s="206">
        <f>H115+I115</f>
        <v/>
      </c>
      <c r="K108" s="208" t="n"/>
      <c r="L108" s="206">
        <f>J115-K115</f>
        <v/>
      </c>
      <c r="M108" s="210" t="n">
        <v>33744.04</v>
      </c>
      <c r="N108" s="206" t="n"/>
      <c r="O108" s="206">
        <f>L115-M115</f>
        <v/>
      </c>
      <c r="P108" s="206">
        <f>K115-N115</f>
        <v/>
      </c>
      <c r="Q108" s="206">
        <f>M115+O115</f>
        <v/>
      </c>
      <c r="R108" s="206">
        <f>M115+N115+O115+P115</f>
        <v/>
      </c>
      <c r="S108" s="206" t="n"/>
      <c r="T108" s="206" t="n"/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31</v>
      </c>
      <c r="B109" s="206" t="n"/>
      <c r="C109" s="207" t="n"/>
      <c r="D109" s="207" t="inlineStr">
        <is>
          <t>网络使用费</t>
        </is>
      </c>
      <c r="E109" s="206" t="n"/>
      <c r="F109" s="206" t="n"/>
      <c r="G109" s="206" t="n"/>
      <c r="H109" s="206" t="n"/>
      <c r="I109" s="206" t="n"/>
      <c r="J109" s="206">
        <f>H116+I116</f>
        <v/>
      </c>
      <c r="K109" s="208" t="n"/>
      <c r="L109" s="206">
        <f>J116-K116</f>
        <v/>
      </c>
      <c r="M109" s="210" t="n">
        <v>40931.39</v>
      </c>
      <c r="N109" s="206" t="n"/>
      <c r="O109" s="206">
        <f>L116-M116</f>
        <v/>
      </c>
      <c r="P109" s="206">
        <f>K116-N116</f>
        <v/>
      </c>
      <c r="Q109" s="206">
        <f>M116+O116</f>
        <v/>
      </c>
      <c r="R109" s="206">
        <f>M116+N116+O116+P116</f>
        <v/>
      </c>
      <c r="S109" s="206" t="n"/>
      <c r="T109" s="206" t="n"/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32</v>
      </c>
      <c r="B110" s="206" t="n"/>
      <c r="C110" s="207" t="n"/>
      <c r="D110" s="207" t="inlineStr">
        <is>
          <t>职工教育经费</t>
        </is>
      </c>
      <c r="E110" s="206" t="n"/>
      <c r="F110" s="206" t="n"/>
      <c r="G110" s="206" t="n"/>
      <c r="H110" s="206" t="n"/>
      <c r="I110" s="206" t="n"/>
      <c r="J110" s="206">
        <f>H117+I117</f>
        <v/>
      </c>
      <c r="K110" s="208" t="n"/>
      <c r="L110" s="206">
        <f>J117-K117</f>
        <v/>
      </c>
      <c r="M110" s="210" t="n">
        <v>10809.19</v>
      </c>
      <c r="N110" s="206" t="n"/>
      <c r="O110" s="206">
        <f>L117-M117</f>
        <v/>
      </c>
      <c r="P110" s="206">
        <f>K117-N117</f>
        <v/>
      </c>
      <c r="Q110" s="206">
        <f>M117+O117</f>
        <v/>
      </c>
      <c r="R110" s="206">
        <f>M117+N117+O117+P117</f>
        <v/>
      </c>
      <c r="S110" s="206" t="n"/>
      <c r="T110" s="206" t="n"/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33</v>
      </c>
      <c r="B111" s="206" t="n"/>
      <c r="C111" s="207" t="n"/>
      <c r="D111" s="207" t="inlineStr">
        <is>
          <t>职工福利费</t>
        </is>
      </c>
      <c r="E111" s="206" t="n"/>
      <c r="F111" s="206" t="n"/>
      <c r="G111" s="206" t="n"/>
      <c r="H111" s="206" t="n"/>
      <c r="I111" s="206" t="n"/>
      <c r="J111" s="206">
        <f>H118+I118</f>
        <v/>
      </c>
      <c r="K111" s="208" t="n"/>
      <c r="L111" s="206">
        <f>J118-K118</f>
        <v/>
      </c>
      <c r="M111" s="210" t="n">
        <v>654227.63</v>
      </c>
      <c r="N111" s="206" t="n"/>
      <c r="O111" s="206">
        <f>L118-M118</f>
        <v/>
      </c>
      <c r="P111" s="206">
        <f>K118-N118</f>
        <v/>
      </c>
      <c r="Q111" s="206">
        <f>M118+O118</f>
        <v/>
      </c>
      <c r="R111" s="206">
        <f>M118+N118+O118+P118</f>
        <v/>
      </c>
      <c r="S111" s="206" t="n"/>
      <c r="T111" s="206" t="n"/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34</v>
      </c>
      <c r="B112" s="206" t="n"/>
      <c r="C112" s="207" t="n"/>
      <c r="D112" s="207" t="inlineStr">
        <is>
          <t>补充医疗保险</t>
        </is>
      </c>
      <c r="E112" s="206" t="n"/>
      <c r="F112" s="206" t="n"/>
      <c r="G112" s="206" t="n"/>
      <c r="H112" s="206" t="n"/>
      <c r="I112" s="206" t="n"/>
      <c r="J112" s="206">
        <f>H119+I119</f>
        <v/>
      </c>
      <c r="K112" s="208" t="n"/>
      <c r="L112" s="206">
        <f>J119-K119</f>
        <v/>
      </c>
      <c r="M112" s="210" t="n">
        <v>1688.96</v>
      </c>
      <c r="N112" s="206" t="n"/>
      <c r="O112" s="206">
        <f>L119-M119</f>
        <v/>
      </c>
      <c r="P112" s="206">
        <f>K119-N119</f>
        <v/>
      </c>
      <c r="Q112" s="206">
        <f>M119+O119</f>
        <v/>
      </c>
      <c r="R112" s="206">
        <f>M119+N119+O119+P119</f>
        <v/>
      </c>
      <c r="S112" s="206" t="n"/>
      <c r="T112" s="206" t="n"/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35</v>
      </c>
      <c r="B113" s="206" t="n"/>
      <c r="C113" s="207" t="n"/>
      <c r="D113" s="207" t="inlineStr">
        <is>
          <t>路桥及停车费</t>
        </is>
      </c>
      <c r="E113" s="206" t="n"/>
      <c r="F113" s="206" t="n"/>
      <c r="G113" s="206" t="n"/>
      <c r="H113" s="206" t="n"/>
      <c r="I113" s="206" t="n"/>
      <c r="J113" s="206">
        <f>H120+I120</f>
        <v/>
      </c>
      <c r="K113" s="208" t="n"/>
      <c r="L113" s="206">
        <f>J120-K120</f>
        <v/>
      </c>
      <c r="M113" s="210" t="n">
        <v>22274.68</v>
      </c>
      <c r="N113" s="206" t="n"/>
      <c r="O113" s="206">
        <f>L120-M120</f>
        <v/>
      </c>
      <c r="P113" s="206">
        <f>K120-N120</f>
        <v/>
      </c>
      <c r="Q113" s="206">
        <f>M120+O120</f>
        <v/>
      </c>
      <c r="R113" s="206">
        <f>M120+N120+O120+P120</f>
        <v/>
      </c>
      <c r="S113" s="206" t="n"/>
      <c r="T113" s="206" t="n"/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36</v>
      </c>
      <c r="B114" s="206" t="n"/>
      <c r="C114" s="207" t="n"/>
      <c r="D114" s="207" t="inlineStr">
        <is>
          <t>软件费</t>
        </is>
      </c>
      <c r="E114" s="206" t="n"/>
      <c r="F114" s="206" t="n"/>
      <c r="G114" s="206" t="n"/>
      <c r="H114" s="206" t="n"/>
      <c r="I114" s="206" t="n"/>
      <c r="J114" s="206">
        <f>H121+I121</f>
        <v/>
      </c>
      <c r="K114" s="208" t="n"/>
      <c r="L114" s="206">
        <f>J121-K121</f>
        <v/>
      </c>
      <c r="M114" s="210" t="n">
        <v>2089</v>
      </c>
      <c r="N114" s="206" t="n"/>
      <c r="O114" s="206">
        <f>L121-M121</f>
        <v/>
      </c>
      <c r="P114" s="206">
        <f>K121-N121</f>
        <v/>
      </c>
      <c r="Q114" s="206">
        <f>M121+O121</f>
        <v/>
      </c>
      <c r="R114" s="206">
        <f>M121+N121+O121+P121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37</v>
      </c>
      <c r="B115" s="206" t="n"/>
      <c r="C115" s="207" t="n"/>
      <c r="D115" s="207" t="inlineStr">
        <is>
          <t>通信费</t>
        </is>
      </c>
      <c r="E115" s="206" t="n"/>
      <c r="F115" s="206" t="n"/>
      <c r="G115" s="206" t="n"/>
      <c r="H115" s="206" t="n"/>
      <c r="I115" s="206" t="n"/>
      <c r="J115" s="206">
        <f>H122+I122</f>
        <v/>
      </c>
      <c r="K115" s="208" t="n"/>
      <c r="L115" s="206">
        <f>J122-K122</f>
        <v/>
      </c>
      <c r="M115" s="210" t="n">
        <v>9800</v>
      </c>
      <c r="N115" s="206" t="n"/>
      <c r="O115" s="206">
        <f>L122-M122</f>
        <v/>
      </c>
      <c r="P115" s="206">
        <f>K122-N122</f>
        <v/>
      </c>
      <c r="Q115" s="206">
        <f>M122+O122</f>
        <v/>
      </c>
      <c r="R115" s="206">
        <f>M122+N122+O122+P122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38</v>
      </c>
      <c r="B116" s="206" t="n"/>
      <c r="C116" s="207" t="n"/>
      <c r="D116" s="207" t="inlineStr">
        <is>
          <t>邮寄费</t>
        </is>
      </c>
      <c r="E116" s="206" t="n"/>
      <c r="F116" s="206" t="n"/>
      <c r="G116" s="206" t="n"/>
      <c r="H116" s="206" t="n"/>
      <c r="I116" s="206" t="n"/>
      <c r="J116" s="206">
        <f>H123+I123</f>
        <v/>
      </c>
      <c r="K116" s="208" t="n"/>
      <c r="L116" s="206">
        <f>J123-K123</f>
        <v/>
      </c>
      <c r="M116" s="210" t="n">
        <v>3306.35</v>
      </c>
      <c r="N116" s="206" t="n"/>
      <c r="O116" s="206">
        <f>L123-M123</f>
        <v/>
      </c>
      <c r="P116" s="206">
        <f>K123-N123</f>
        <v/>
      </c>
      <c r="Q116" s="206">
        <f>M123+O123</f>
        <v/>
      </c>
      <c r="R116" s="206">
        <f>M123+N123+O123+P123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1" t="inlineStr">
        <is>
          <t>**财务未列部分需增列***</t>
        </is>
      </c>
      <c r="E117" s="292" t="n"/>
      <c r="F117" s="292" t="n"/>
      <c r="G117" s="292" t="n"/>
      <c r="H117" s="315" t="n"/>
      <c r="I117" s="282" t="n"/>
      <c r="J117" s="315" t="n"/>
      <c r="K117" s="283" t="n"/>
      <c r="L117" s="284" t="n"/>
      <c r="M117" s="315" t="n"/>
      <c r="N117" s="282" t="n"/>
      <c r="O117" s="282">
        <f>L124-M124</f>
        <v/>
      </c>
      <c r="P117" s="282">
        <f>K124-N124</f>
        <v/>
      </c>
      <c r="Q117" s="282">
        <f>M124+O124</f>
        <v/>
      </c>
      <c r="R117" s="282">
        <f>M124+N124+O124+P124</f>
        <v/>
      </c>
      <c r="S117" s="286">
        <f>SUM(T124:V124)</f>
        <v/>
      </c>
      <c r="T117" s="315" t="n"/>
      <c r="U117" s="315" t="n"/>
      <c r="V117" s="315" t="n"/>
      <c r="W117" s="315" t="n"/>
      <c r="X117" s="315" t="n"/>
      <c r="Y117" s="315" t="n"/>
      <c r="Z117" s="315" t="n"/>
      <c r="AA117" s="286" t="n"/>
      <c r="AB117" s="287" t="n"/>
      <c r="AC117" s="287" t="n"/>
      <c r="AD117" s="287" t="n"/>
      <c r="AE117" s="287" t="n"/>
      <c r="AF117" s="287" t="n"/>
      <c r="AG117" s="287" t="n"/>
      <c r="AH117" s="287" t="n"/>
      <c r="AI117" s="287" t="n"/>
      <c r="AJ117" s="287" t="n"/>
      <c r="AK117" s="287" t="n"/>
      <c r="AL117" s="294" t="n"/>
    </row>
    <row r="118">
      <c r="A118" s="316" t="n"/>
      <c r="B118" s="317" t="n"/>
      <c r="C118" s="317" t="n"/>
      <c r="D118" s="311" t="inlineStr">
        <is>
          <t>间接费小计：</t>
        </is>
      </c>
      <c r="E118" s="318" t="n"/>
      <c r="F118" s="318" t="n"/>
      <c r="G118" s="318" t="n"/>
      <c r="H118" s="298">
        <f>SUM(H85:H124)</f>
        <v/>
      </c>
      <c r="I118" s="298">
        <f>SUM(I85:I124)</f>
        <v/>
      </c>
      <c r="J118" s="298">
        <f>SUM(J85:J124)</f>
        <v/>
      </c>
      <c r="K118" s="298">
        <f>SUM(K85:K124)</f>
        <v/>
      </c>
      <c r="L118" s="313">
        <f>SUM(L85:L124)</f>
        <v/>
      </c>
      <c r="M118" s="313">
        <f>SUM(M85:M124)</f>
        <v/>
      </c>
      <c r="N118" s="313">
        <f>SUM(N85:N124)</f>
        <v/>
      </c>
      <c r="O118" s="313">
        <f>SUM(O85:O124)</f>
        <v/>
      </c>
      <c r="P118" s="313">
        <f>SUM(P85:P124)</f>
        <v/>
      </c>
      <c r="Q118" s="313">
        <f>SUM(Q85:Q124)</f>
        <v/>
      </c>
      <c r="R118" s="313">
        <f>SUM(R85:R124)</f>
        <v/>
      </c>
      <c r="S118" s="313">
        <f>SUM(S85:S124)</f>
        <v/>
      </c>
      <c r="T118" s="313" t="n"/>
      <c r="U118" s="313" t="n"/>
      <c r="V118" s="313" t="n"/>
      <c r="W118" s="313" t="n"/>
      <c r="X118" s="313" t="n"/>
      <c r="Y118" s="313" t="n"/>
      <c r="Z118" s="313">
        <f>SUM(Z85:Z124)</f>
        <v/>
      </c>
      <c r="AA118" s="313">
        <f>SUM(AA85:AA124)</f>
        <v/>
      </c>
      <c r="AB118" s="313">
        <f>SUM(AB85:AB124)</f>
        <v/>
      </c>
      <c r="AC118" s="313">
        <f>SUM(AC85:AC124)</f>
        <v/>
      </c>
      <c r="AD118" s="313">
        <f>SUM(AD85:AD124)</f>
        <v/>
      </c>
      <c r="AE118" s="313">
        <f>SUM(AE85:AE124)</f>
        <v/>
      </c>
      <c r="AF118" s="313">
        <f>SUM(AF85:AF124)</f>
        <v/>
      </c>
      <c r="AG118" s="313" t="n"/>
      <c r="AH118" s="313" t="n"/>
      <c r="AI118" s="313">
        <f>SUM(AI85:AI124)</f>
        <v/>
      </c>
      <c r="AJ118" s="313">
        <f>SUM(AJ85:AJ124)</f>
        <v/>
      </c>
      <c r="AK118" s="313">
        <f>SUM(AK85:AK124)</f>
        <v/>
      </c>
      <c r="AL118" s="294" t="n"/>
    </row>
    <row r="119">
      <c r="A119" s="279" t="n"/>
      <c r="B119" s="280" t="n"/>
      <c r="C119" s="280" t="n"/>
      <c r="D119" s="299" t="inlineStr">
        <is>
          <t>（七）安全费</t>
        </is>
      </c>
      <c r="E119" s="292" t="n"/>
      <c r="F119" s="292" t="n"/>
      <c r="G119" s="292" t="n"/>
      <c r="H119" s="282" t="n"/>
      <c r="I119" s="282" t="n"/>
      <c r="J119" s="285" t="n">
        <v>0</v>
      </c>
      <c r="K119" s="319" t="n"/>
      <c r="L119" s="284">
        <f>J126-N126-P126</f>
        <v/>
      </c>
      <c r="M119" s="282" t="n"/>
      <c r="N119" s="282" t="n"/>
      <c r="O119" s="282">
        <f>L126-M126</f>
        <v/>
      </c>
      <c r="P119" s="282">
        <f>K126-N126</f>
        <v/>
      </c>
      <c r="Q119" s="282">
        <f>M126+O126</f>
        <v/>
      </c>
      <c r="R119" s="282">
        <f>M126+N126+O126+P126</f>
        <v/>
      </c>
      <c r="S119" s="286">
        <f>SUM(T126:V126)</f>
        <v/>
      </c>
      <c r="T119" s="315" t="n"/>
      <c r="U119" s="315" t="n"/>
      <c r="V119" s="315" t="n"/>
      <c r="W119" s="315" t="n"/>
      <c r="X119" s="315" t="n"/>
      <c r="Y119" s="315" t="n"/>
      <c r="Z119" s="310" t="n"/>
      <c r="AA119" s="286" t="n"/>
      <c r="AB119" s="287" t="n"/>
      <c r="AC119" s="287" t="n"/>
      <c r="AD119" s="287" t="n"/>
      <c r="AE119" s="287" t="n"/>
      <c r="AF119" s="287" t="n"/>
      <c r="AG119" s="287" t="n"/>
      <c r="AH119" s="287" t="n"/>
      <c r="AI119" s="287" t="n"/>
      <c r="AJ119" s="287" t="n"/>
      <c r="AK119" s="287" t="n"/>
      <c r="AL119" s="294" t="n"/>
    </row>
    <row r="120">
      <c r="A120" s="206" t="n">
        <v>1</v>
      </c>
      <c r="B120" s="206" t="n"/>
      <c r="C120" s="207" t="n"/>
      <c r="D120" s="207" t="inlineStr">
        <is>
          <t>安全生产-人工费</t>
        </is>
      </c>
      <c r="E120" s="206" t="n"/>
      <c r="F120" s="206" t="n"/>
      <c r="G120" s="206" t="n"/>
      <c r="H120" s="206" t="n"/>
      <c r="I120" s="206" t="n"/>
      <c r="J120" s="206">
        <f>H127+I127</f>
        <v/>
      </c>
      <c r="K120" s="208" t="n"/>
      <c r="L120" s="206">
        <f>J127-K127</f>
        <v/>
      </c>
      <c r="M120" s="210" t="n">
        <v>90683.96000000001</v>
      </c>
      <c r="N120" s="206" t="n"/>
      <c r="O120" s="206">
        <f>L127-M127</f>
        <v/>
      </c>
      <c r="P120" s="206">
        <f>K127-N127</f>
        <v/>
      </c>
      <c r="Q120" s="206">
        <f>M127+O127</f>
        <v/>
      </c>
      <c r="R120" s="206">
        <f>M127+N127+O127+P127</f>
        <v/>
      </c>
      <c r="S120" s="206" t="n"/>
      <c r="T120" s="206" t="n"/>
      <c r="U120" s="206" t="n"/>
      <c r="V120" s="206" t="n"/>
      <c r="W120" s="290" t="n"/>
      <c r="X120" s="290" t="n"/>
      <c r="Y120" s="290" t="n"/>
      <c r="Z120" s="290" t="n"/>
      <c r="AA120" s="290" t="n"/>
      <c r="AB120" s="290" t="n"/>
      <c r="AC120" s="290" t="n"/>
      <c r="AD120" s="290" t="n"/>
      <c r="AE120" s="290" t="n"/>
      <c r="AF120" s="290" t="n"/>
      <c r="AG120" s="290" t="n"/>
      <c r="AH120" s="290" t="n"/>
      <c r="AI120" s="290" t="n"/>
      <c r="AJ120" s="290" t="n"/>
      <c r="AK120" s="290" t="n"/>
      <c r="AL120" s="290" t="n"/>
    </row>
    <row r="121">
      <c r="A121" s="206" t="n">
        <v>2</v>
      </c>
      <c r="B121" s="206" t="n"/>
      <c r="C121" s="207" t="n"/>
      <c r="D121" s="207" t="inlineStr">
        <is>
          <t>安全生产-分包工程</t>
        </is>
      </c>
      <c r="E121" s="206" t="n"/>
      <c r="F121" s="206" t="n"/>
      <c r="G121" s="206" t="n"/>
      <c r="H121" s="206" t="n"/>
      <c r="I121" s="206" t="n"/>
      <c r="J121" s="206">
        <f>H128+I128</f>
        <v/>
      </c>
      <c r="K121" s="208" t="n"/>
      <c r="L121" s="206">
        <f>J128-K128</f>
        <v/>
      </c>
      <c r="M121" s="210" t="n">
        <v>1576764.52</v>
      </c>
      <c r="N121" s="206" t="n"/>
      <c r="O121" s="206">
        <f>L128-M128</f>
        <v/>
      </c>
      <c r="P121" s="206">
        <f>K128-N128</f>
        <v/>
      </c>
      <c r="Q121" s="206">
        <f>M128+O128</f>
        <v/>
      </c>
      <c r="R121" s="206">
        <f>M128+N128+O128+P128</f>
        <v/>
      </c>
      <c r="S121" s="206" t="n"/>
      <c r="T121" s="206" t="n"/>
      <c r="U121" s="206" t="n"/>
      <c r="V121" s="206" t="n"/>
      <c r="W121" s="290" t="n"/>
      <c r="X121" s="290" t="n"/>
      <c r="Y121" s="290" t="n"/>
      <c r="Z121" s="290" t="n"/>
      <c r="AA121" s="290" t="n"/>
      <c r="AB121" s="290" t="n"/>
      <c r="AC121" s="290" t="n"/>
      <c r="AD121" s="290" t="n"/>
      <c r="AE121" s="290" t="n"/>
      <c r="AF121" s="290" t="n"/>
      <c r="AG121" s="290" t="n"/>
      <c r="AH121" s="290" t="n"/>
      <c r="AI121" s="290" t="n"/>
      <c r="AJ121" s="290" t="n"/>
      <c r="AK121" s="290" t="n"/>
      <c r="AL121" s="290" t="n"/>
    </row>
    <row r="122">
      <c r="A122" s="206" t="n">
        <v>3</v>
      </c>
      <c r="B122" s="206" t="n"/>
      <c r="C122" s="207" t="n"/>
      <c r="D122" s="207" t="inlineStr">
        <is>
          <t>安全生产-机械使用</t>
        </is>
      </c>
      <c r="E122" s="206" t="n"/>
      <c r="F122" s="206" t="n"/>
      <c r="G122" s="206" t="n"/>
      <c r="H122" s="206" t="n"/>
      <c r="I122" s="206" t="n"/>
      <c r="J122" s="206">
        <f>H129+I129</f>
        <v/>
      </c>
      <c r="K122" s="208" t="n"/>
      <c r="L122" s="206">
        <f>J129-K129</f>
        <v/>
      </c>
      <c r="M122" s="210" t="n">
        <v>81500.96000000001</v>
      </c>
      <c r="N122" s="206" t="n"/>
      <c r="O122" s="206">
        <f>L129-M129</f>
        <v/>
      </c>
      <c r="P122" s="206">
        <f>K129-N129</f>
        <v/>
      </c>
      <c r="Q122" s="206">
        <f>M129+O129</f>
        <v/>
      </c>
      <c r="R122" s="206">
        <f>M129+N129+O129+P129</f>
        <v/>
      </c>
      <c r="S122" s="206" t="n"/>
      <c r="T122" s="206" t="n"/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4</v>
      </c>
      <c r="B123" s="206" t="n"/>
      <c r="C123" s="207" t="n"/>
      <c r="D123" s="207" t="inlineStr">
        <is>
          <t>安全生产费-报销</t>
        </is>
      </c>
      <c r="E123" s="206" t="n"/>
      <c r="F123" s="206" t="n"/>
      <c r="G123" s="206" t="n"/>
      <c r="H123" s="206" t="n"/>
      <c r="I123" s="206" t="n"/>
      <c r="J123" s="206">
        <f>H130+I130</f>
        <v/>
      </c>
      <c r="K123" s="208" t="n"/>
      <c r="L123" s="206">
        <f>J130-K130</f>
        <v/>
      </c>
      <c r="M123" s="210" t="n">
        <v>33278.8</v>
      </c>
      <c r="N123" s="206" t="n"/>
      <c r="O123" s="206">
        <f>L130-M130</f>
        <v/>
      </c>
      <c r="P123" s="206">
        <f>K130-N130</f>
        <v/>
      </c>
      <c r="Q123" s="206">
        <f>M130+O130</f>
        <v/>
      </c>
      <c r="R123" s="206">
        <f>M130+N130+O130+P130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316" t="n"/>
      <c r="B124" s="317" t="n"/>
      <c r="C124" s="317" t="n"/>
      <c r="D124" s="311" t="inlineStr">
        <is>
          <t>安全费小计：</t>
        </is>
      </c>
      <c r="E124" s="311" t="n"/>
      <c r="F124" s="311" t="n"/>
      <c r="G124" s="311" t="n"/>
      <c r="H124" s="298">
        <f>SUM(H126:H130)</f>
        <v/>
      </c>
      <c r="I124" s="298">
        <f>SUM(I126:I130)</f>
        <v/>
      </c>
      <c r="J124" s="298" t="n">
        <v>0</v>
      </c>
      <c r="K124" s="298" t="n">
        <v>0</v>
      </c>
      <c r="L124" s="320">
        <f>J131-K131</f>
        <v/>
      </c>
      <c r="M124" s="313">
        <f>SUM(M126:M130)</f>
        <v/>
      </c>
      <c r="N124" s="313">
        <f>SUM(N126:N130)</f>
        <v/>
      </c>
      <c r="O124" s="313">
        <f>SUM(O126:O130)</f>
        <v/>
      </c>
      <c r="P124" s="313">
        <f>SUM(P126:P130)</f>
        <v/>
      </c>
      <c r="Q124" s="313">
        <f>SUM(Q126:Q130)</f>
        <v/>
      </c>
      <c r="R124" s="313">
        <f>SUM(R126:R130)</f>
        <v/>
      </c>
      <c r="S124" s="313">
        <f>SUM(S126:S130)</f>
        <v/>
      </c>
      <c r="T124" s="321" t="n"/>
      <c r="U124" s="321" t="n"/>
      <c r="V124" s="321" t="n"/>
      <c r="W124" s="321" t="n"/>
      <c r="X124" s="321" t="n"/>
      <c r="Y124" s="321" t="n"/>
      <c r="Z124" s="321" t="n"/>
      <c r="AA124" s="321">
        <f>SUM(AA126:AA130)</f>
        <v/>
      </c>
      <c r="AB124" s="321">
        <f>SUM(AB126:AB130)</f>
        <v/>
      </c>
      <c r="AC124" s="321">
        <f>SUM(AC126:AC130)</f>
        <v/>
      </c>
      <c r="AD124" s="321">
        <f>SUM(AD126:AD130)</f>
        <v/>
      </c>
      <c r="AE124" s="321">
        <f>SUM(AE126:AE130)</f>
        <v/>
      </c>
      <c r="AF124" s="321">
        <f>SUM(AF126:AF130)</f>
        <v/>
      </c>
      <c r="AG124" s="321" t="n"/>
      <c r="AH124" s="321" t="n"/>
      <c r="AI124" s="321">
        <f>SUM(AI126:AI130)</f>
        <v/>
      </c>
      <c r="AJ124" s="321">
        <f>SUM(AJ126:AJ130)</f>
        <v/>
      </c>
      <c r="AK124" s="321">
        <f>SUM(AK126:AK130)</f>
        <v/>
      </c>
      <c r="AL124" s="322" t="n"/>
    </row>
    <row r="125">
      <c r="A125" s="316" t="n"/>
      <c r="B125" s="317" t="n"/>
      <c r="C125" s="317" t="n"/>
      <c r="D125" s="311" t="inlineStr">
        <is>
          <t>三、成本合计：</t>
        </is>
      </c>
      <c r="E125" s="318" t="n"/>
      <c r="F125" s="318" t="n"/>
      <c r="G125" s="318" t="n"/>
      <c r="H125" s="298">
        <f>H18+H31+H67+H75+H84+H125+H131</f>
        <v/>
      </c>
      <c r="I125" s="298">
        <f>I18+I31+I67+I75+I84+I125+I131</f>
        <v/>
      </c>
      <c r="J125" s="298">
        <f>J18+J31+J67+J75+J84+J125+J131</f>
        <v/>
      </c>
      <c r="K125" s="298">
        <f>K18+K31+K67+K75+K84+K125+K131</f>
        <v/>
      </c>
      <c r="L125" s="313">
        <f>L18+L31+L67+L75+L84+L125+L131</f>
        <v/>
      </c>
      <c r="M125" s="321">
        <f>M18+M31+M67+M75+M84+M125+M131</f>
        <v/>
      </c>
      <c r="N125" s="321">
        <f>N18+N31+N67+N75+N84+N125+N131</f>
        <v/>
      </c>
      <c r="O125" s="321">
        <f>O18+O31+O67+O75+O84+O125+O131</f>
        <v/>
      </c>
      <c r="P125" s="321">
        <f>P18+P31+P67+P75+P84+P125+P131</f>
        <v/>
      </c>
      <c r="Q125" s="321">
        <f>Q18+Q31+Q67+Q75+Q84+Q125+Q131</f>
        <v/>
      </c>
      <c r="R125" s="321">
        <f>R18+R31+R67+R75+R84+R125+R131</f>
        <v/>
      </c>
      <c r="S125" s="321">
        <f>S18+S31+S67+S75+S84+S125+S131</f>
        <v/>
      </c>
      <c r="T125" s="321" t="n"/>
      <c r="U125" s="321" t="n"/>
      <c r="V125" s="321" t="n"/>
      <c r="W125" s="321" t="n"/>
      <c r="X125" s="321" t="n"/>
      <c r="Y125" s="321" t="n"/>
      <c r="Z125" s="321">
        <f>Z18+Z31+Z67+Z75+Z84+Z125+Z131</f>
        <v/>
      </c>
      <c r="AA125" s="321">
        <f>AA18+AA31+AA67+AA75+AA84+AA125+AA131</f>
        <v/>
      </c>
      <c r="AB125" s="321">
        <f>AB18+AB31+AB67+AB75+AB84+AB125+AB131</f>
        <v/>
      </c>
      <c r="AC125" s="321">
        <f>AC18+AC31+AC67+AC75+AC84+AC125+AC131</f>
        <v/>
      </c>
      <c r="AD125" s="321">
        <f>AD18+AD31+AD67+AD75+AD84+AD125+AD131</f>
        <v/>
      </c>
      <c r="AE125" s="321">
        <f>AE18+AE31+AE67+AE75+AE84+AE125+AE131</f>
        <v/>
      </c>
      <c r="AF125" s="321">
        <f>AF18+AF31+AF67+AF75+AF84+AF125+AF131</f>
        <v/>
      </c>
      <c r="AG125" s="321" t="n"/>
      <c r="AH125" s="321" t="n"/>
      <c r="AI125" s="321">
        <f>AI18+AI31+AI67+AI75+AI84+AI125+AI131</f>
        <v/>
      </c>
      <c r="AJ125" s="321">
        <f>AJ18+AJ31+AJ67+AJ75+AJ84+AJ125+AJ131</f>
        <v/>
      </c>
      <c r="AK125" s="321">
        <f>AK18+AK31+AK67+AK75+AK84+AK125+AK131</f>
        <v/>
      </c>
      <c r="AL125" s="322" t="n"/>
    </row>
    <row r="126">
      <c r="A126" s="316" t="n"/>
      <c r="B126" s="317" t="n"/>
      <c r="C126" s="317" t="n"/>
      <c r="D126" s="311" t="inlineStr">
        <is>
          <t>四、计提保修金</t>
        </is>
      </c>
      <c r="E126" s="318" t="inlineStr">
        <is>
          <t>（在建：房建0.6%，其它0.4%；在保修期间的按0.3~0.5%自行确定;保修期结束为0）</t>
        </is>
      </c>
      <c r="F126" s="318" t="n"/>
      <c r="G126" s="318" t="n"/>
      <c r="H126" s="298" t="n"/>
      <c r="I126" s="298" t="n"/>
      <c r="J126" s="298">
        <f>H133+I133</f>
        <v/>
      </c>
      <c r="K126" s="298" t="n"/>
      <c r="L126" s="313">
        <f>J133-K133</f>
        <v/>
      </c>
      <c r="M126" s="321" t="n"/>
      <c r="N126" s="321" t="n"/>
      <c r="O126" s="321">
        <f>L133-M133</f>
        <v/>
      </c>
      <c r="P126" s="321">
        <f>K133-N133</f>
        <v/>
      </c>
      <c r="Q126" s="321">
        <f>M133+O133</f>
        <v/>
      </c>
      <c r="R126" s="321">
        <f>M133+N133+O133+P133</f>
        <v/>
      </c>
      <c r="S126" s="321">
        <f>SUM(T133:V133)</f>
        <v/>
      </c>
      <c r="T126" s="321" t="n"/>
      <c r="U126" s="321" t="n"/>
      <c r="V126" s="321" t="n"/>
      <c r="W126" s="321" t="n"/>
      <c r="X126" s="321" t="n"/>
      <c r="Y126" s="321" t="n"/>
      <c r="Z126" s="321" t="n"/>
      <c r="AA126" s="321">
        <f>Q69-S69</f>
        <v/>
      </c>
      <c r="AB126" s="321" t="n"/>
      <c r="AC126" s="321" t="n"/>
      <c r="AD126" s="321" t="n"/>
      <c r="AE126" s="321" t="n"/>
      <c r="AF126" s="321" t="n"/>
      <c r="AG126" s="321" t="n"/>
      <c r="AH126" s="321" t="n"/>
      <c r="AI126" s="321" t="n"/>
      <c r="AJ126" s="321" t="n"/>
      <c r="AK126" s="321" t="n"/>
      <c r="AL126" s="322" t="n"/>
    </row>
    <row r="127">
      <c r="A127" s="316" t="n"/>
      <c r="B127" s="317" t="n"/>
      <c r="C127" s="317" t="n"/>
      <c r="D127" s="311" t="inlineStr">
        <is>
          <t>五、过程节点奖金</t>
        </is>
      </c>
      <c r="E127" s="318" t="n"/>
      <c r="F127" s="318" t="n"/>
      <c r="G127" s="318" t="n"/>
      <c r="H127" s="298" t="n"/>
      <c r="I127" s="298" t="n"/>
      <c r="J127" s="298">
        <f>H134+I134</f>
        <v/>
      </c>
      <c r="K127" s="298" t="n"/>
      <c r="L127" s="313">
        <f>J134-K134</f>
        <v/>
      </c>
      <c r="M127" s="321" t="n"/>
      <c r="N127" s="321" t="n"/>
      <c r="O127" s="321">
        <f>L134-M134</f>
        <v/>
      </c>
      <c r="P127" s="321">
        <f>K134-N134</f>
        <v/>
      </c>
      <c r="Q127" s="321">
        <f>M134+O134</f>
        <v/>
      </c>
      <c r="R127" s="321">
        <f>M134+N134+O134+P134</f>
        <v/>
      </c>
      <c r="S127" s="321">
        <f>SUM(T134:V134)</f>
        <v/>
      </c>
      <c r="T127" s="321" t="n"/>
      <c r="U127" s="321" t="n"/>
      <c r="V127" s="321" t="n"/>
      <c r="W127" s="321" t="n"/>
      <c r="X127" s="321" t="n"/>
      <c r="Y127" s="321" t="n"/>
      <c r="Z127" s="321" t="n"/>
      <c r="AA127" s="321" t="n"/>
      <c r="AB127" s="321" t="n"/>
      <c r="AC127" s="321" t="n"/>
      <c r="AD127" s="321" t="n"/>
      <c r="AE127" s="321" t="n"/>
      <c r="AF127" s="321" t="n"/>
      <c r="AG127" s="321" t="n"/>
      <c r="AH127" s="321" t="n"/>
      <c r="AI127" s="321" t="n"/>
      <c r="AJ127" s="321" t="n"/>
      <c r="AK127" s="321" t="n"/>
      <c r="AL127" s="322" t="n"/>
    </row>
    <row r="128">
      <c r="A128" s="316" t="n"/>
      <c r="B128" s="317" t="n"/>
      <c r="C128" s="317" t="n"/>
      <c r="D128" s="311" t="inlineStr">
        <is>
          <t>六、资金占用费用</t>
        </is>
      </c>
      <c r="E128" s="318" t="n"/>
      <c r="F128" s="318" t="n"/>
      <c r="G128" s="318" t="n"/>
      <c r="H128" s="298" t="n"/>
      <c r="I128" s="298" t="n"/>
      <c r="J128" s="298">
        <f>H135+I135</f>
        <v/>
      </c>
      <c r="K128" s="298" t="n"/>
      <c r="L128" s="313">
        <f>J135-K135</f>
        <v/>
      </c>
      <c r="M128" s="323" t="n">
        <v>1942071.27</v>
      </c>
      <c r="N128" s="321" t="n"/>
      <c r="O128" s="321">
        <f>L135-M135</f>
        <v/>
      </c>
      <c r="P128" s="321">
        <f>K135-N135</f>
        <v/>
      </c>
      <c r="Q128" s="321">
        <f>M135+O135</f>
        <v/>
      </c>
      <c r="R128" s="321">
        <f>M135+N135+O135+P135</f>
        <v/>
      </c>
      <c r="S128" s="321">
        <f>SUM(T135:V135)</f>
        <v/>
      </c>
      <c r="T128" s="321" t="n"/>
      <c r="U128" s="321" t="n"/>
      <c r="V128" s="321" t="n"/>
      <c r="W128" s="321" t="n"/>
      <c r="X128" s="321" t="n"/>
      <c r="Y128" s="321" t="n"/>
      <c r="Z128" s="321" t="n"/>
      <c r="AA128" s="321" t="n"/>
      <c r="AB128" s="321" t="n"/>
      <c r="AC128" s="321" t="n"/>
      <c r="AD128" s="321" t="n"/>
      <c r="AE128" s="321" t="n"/>
      <c r="AF128" s="321" t="n"/>
      <c r="AG128" s="321" t="n"/>
      <c r="AH128" s="321" t="n"/>
      <c r="AI128" s="321" t="n"/>
      <c r="AJ128" s="321" t="n"/>
      <c r="AK128" s="321" t="n"/>
      <c r="AL128" s="322" t="n"/>
    </row>
    <row r="129">
      <c r="A129" s="316" t="n"/>
      <c r="B129" s="317" t="n"/>
      <c r="C129" s="317" t="n"/>
      <c r="D129" s="311" t="inlineStr">
        <is>
          <t>七、局投资收益（局投资项目选填）</t>
        </is>
      </c>
      <c r="E129" s="318" t="n"/>
      <c r="F129" s="318" t="n"/>
      <c r="G129" s="318" t="n"/>
      <c r="H129" s="298" t="n"/>
      <c r="I129" s="298" t="n"/>
      <c r="J129" s="298">
        <f>H136+I136</f>
        <v/>
      </c>
      <c r="K129" s="298" t="n"/>
      <c r="L129" s="313">
        <f>J136-K136</f>
        <v/>
      </c>
      <c r="M129" s="321" t="n"/>
      <c r="N129" s="321" t="n"/>
      <c r="O129" s="321">
        <f>L136-M136</f>
        <v/>
      </c>
      <c r="P129" s="321">
        <f>K136-N136</f>
        <v/>
      </c>
      <c r="Q129" s="321">
        <f>M136+O136</f>
        <v/>
      </c>
      <c r="R129" s="321">
        <f>M136+N136+O136+P136</f>
        <v/>
      </c>
      <c r="S129" s="321">
        <f>SUM(T136:V136)</f>
        <v/>
      </c>
      <c r="T129" s="321" t="n"/>
      <c r="U129" s="321" t="n"/>
      <c r="V129" s="321" t="n"/>
      <c r="W129" s="321" t="n"/>
      <c r="X129" s="321" t="n"/>
      <c r="Y129" s="321" t="n"/>
      <c r="Z129" s="321" t="n"/>
      <c r="AA129" s="321" t="n"/>
      <c r="AB129" s="321" t="n"/>
      <c r="AC129" s="321" t="n"/>
      <c r="AD129" s="321" t="n"/>
      <c r="AE129" s="321" t="n"/>
      <c r="AF129" s="321" t="n"/>
      <c r="AG129" s="321" t="n"/>
      <c r="AH129" s="321" t="n"/>
      <c r="AI129" s="321" t="n"/>
      <c r="AJ129" s="321" t="n"/>
      <c r="AK129" s="321" t="n"/>
      <c r="AL129" s="322" t="n"/>
    </row>
    <row r="130">
      <c r="A130" s="316" t="n"/>
      <c r="B130" s="317" t="n"/>
      <c r="C130" s="317" t="n"/>
      <c r="D130" s="311" t="inlineStr">
        <is>
          <t>八、研发费用</t>
        </is>
      </c>
      <c r="E130" s="318" t="n"/>
      <c r="F130" s="318" t="n"/>
      <c r="G130" s="318" t="n"/>
      <c r="H130" s="298" t="n"/>
      <c r="I130" s="298" t="n"/>
      <c r="J130" s="298">
        <f>H137+I137</f>
        <v/>
      </c>
      <c r="K130" s="298" t="n"/>
      <c r="L130" s="313">
        <f>J137-K137</f>
        <v/>
      </c>
      <c r="M130" s="321">
        <f>SUM(M131:M135)</f>
        <v/>
      </c>
      <c r="N130" s="321">
        <f>SUM(N131:N135)</f>
        <v/>
      </c>
      <c r="O130" s="321">
        <f>SUM(O131:O135)</f>
        <v/>
      </c>
      <c r="P130" s="321">
        <f>SUM(P131:P135)</f>
        <v/>
      </c>
      <c r="Q130" s="321">
        <f>SUM(Q131:Q135)</f>
        <v/>
      </c>
      <c r="R130" s="321">
        <f>SUM(R131:R135)</f>
        <v/>
      </c>
      <c r="S130" s="321">
        <f>SUM(S131:S135)</f>
        <v/>
      </c>
      <c r="T130" s="321">
        <f>SUM(T131:T135)</f>
        <v/>
      </c>
      <c r="U130" s="321">
        <f>SUM(U131:U135)</f>
        <v/>
      </c>
      <c r="V130" s="321">
        <f>SUM(V131:V135)</f>
        <v/>
      </c>
      <c r="W130" s="321">
        <f>SUM(W131:W135)</f>
        <v/>
      </c>
      <c r="X130" s="321">
        <f>SUM(X131:X135)</f>
        <v/>
      </c>
      <c r="Y130" s="321">
        <f>SUM(Y131:Y135)</f>
        <v/>
      </c>
      <c r="Z130" s="321">
        <f>SUM(Z131:Z135)</f>
        <v/>
      </c>
      <c r="AA130" s="321">
        <f>SUM(AA131:AA135)</f>
        <v/>
      </c>
      <c r="AB130" s="321">
        <f>SUM(AB131:AB135)</f>
        <v/>
      </c>
      <c r="AC130" s="321">
        <f>SUM(AC131:AC135)</f>
        <v/>
      </c>
      <c r="AD130" s="321">
        <f>SUM(AD131:AD135)</f>
        <v/>
      </c>
      <c r="AE130" s="321">
        <f>SUM(AE131:AE135)</f>
        <v/>
      </c>
      <c r="AF130" s="321">
        <f>SUM(AF131:AF135)</f>
        <v/>
      </c>
      <c r="AG130" s="321">
        <f>SUM(AG131:AG135)</f>
        <v/>
      </c>
      <c r="AH130" s="321">
        <f>SUM(AH131:AH135)</f>
        <v/>
      </c>
      <c r="AI130" s="321">
        <f>SUM(AI131:AI135)</f>
        <v/>
      </c>
      <c r="AJ130" s="321">
        <f>SUM(AJ131:AJ135)</f>
        <v/>
      </c>
      <c r="AK130" s="321">
        <f>SUM(AK131:AK135)</f>
        <v/>
      </c>
      <c r="AL130" s="322" t="n"/>
    </row>
    <row r="131">
      <c r="A131" s="206" t="n">
        <v>1</v>
      </c>
      <c r="B131" s="206" t="n"/>
      <c r="C131" s="207" t="n"/>
      <c r="D131" s="207" t="inlineStr">
        <is>
          <t>ZGD-研发费用-人工成本</t>
        </is>
      </c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10" t="n">
        <v>-129908.09</v>
      </c>
      <c r="N131" s="206" t="n"/>
      <c r="O131" s="206">
        <f>L138-M138</f>
        <v/>
      </c>
      <c r="P131" s="206">
        <f>K138-N138</f>
        <v/>
      </c>
      <c r="Q131" s="206">
        <f>M138+O138</f>
        <v/>
      </c>
      <c r="R131" s="206">
        <f>M138+N138+O138+P138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2</v>
      </c>
      <c r="B132" s="206" t="n"/>
      <c r="C132" s="207" t="n"/>
      <c r="D132" s="207" t="inlineStr">
        <is>
          <t>ZGD-研发费用-材料费</t>
        </is>
      </c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10" t="n">
        <v>-4282417.22</v>
      </c>
      <c r="N132" s="206" t="n"/>
      <c r="O132" s="206">
        <f>L139-M139</f>
        <v/>
      </c>
      <c r="P132" s="206">
        <f>K139-N139</f>
        <v/>
      </c>
      <c r="Q132" s="206">
        <f>M139+O139</f>
        <v/>
      </c>
      <c r="R132" s="206">
        <f>M139+N139+O139+P139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3</v>
      </c>
      <c r="B133" s="206" t="n"/>
      <c r="C133" s="207" t="n"/>
      <c r="D133" s="207" t="inlineStr">
        <is>
          <t>研发费用-人工成本</t>
        </is>
      </c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10" t="n">
        <v>687440.63</v>
      </c>
      <c r="N133" s="206" t="n"/>
      <c r="O133" s="206">
        <f>L140-M140</f>
        <v/>
      </c>
      <c r="P133" s="206">
        <f>K140-N140</f>
        <v/>
      </c>
      <c r="Q133" s="206">
        <f>M140+O140</f>
        <v/>
      </c>
      <c r="R133" s="206">
        <f>M140+N140+O140+P140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4</v>
      </c>
      <c r="B134" s="206" t="n"/>
      <c r="C134" s="207" t="n"/>
      <c r="D134" s="207" t="inlineStr">
        <is>
          <t>研发费用-机械租赁</t>
        </is>
      </c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10" t="n">
        <v>284623.4</v>
      </c>
      <c r="N134" s="206" t="n"/>
      <c r="O134" s="206">
        <f>L141-M141</f>
        <v/>
      </c>
      <c r="P134" s="206">
        <f>K141-N141</f>
        <v/>
      </c>
      <c r="Q134" s="206">
        <f>M141+O141</f>
        <v/>
      </c>
      <c r="R134" s="206">
        <f>M141+N141+O141+P141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5</v>
      </c>
      <c r="B135" s="206" t="n"/>
      <c r="C135" s="207" t="n"/>
      <c r="D135" s="207" t="inlineStr">
        <is>
          <t>研发费用-材料费</t>
        </is>
      </c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10" t="n">
        <v>12339365.17</v>
      </c>
      <c r="N135" s="206" t="n"/>
      <c r="O135" s="206">
        <f>L142-M142</f>
        <v/>
      </c>
      <c r="P135" s="206">
        <f>K142-N142</f>
        <v/>
      </c>
      <c r="Q135" s="206">
        <f>M142+O142</f>
        <v/>
      </c>
      <c r="R135" s="206">
        <f>M142+N142+O142+P142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95" t="n"/>
      <c r="B136" s="296" t="n"/>
      <c r="C136" s="296" t="n"/>
      <c r="D136" s="311" t="inlineStr">
        <is>
          <t>九、成本及费用合计（三+四+五+六+七）</t>
        </is>
      </c>
      <c r="E136" s="312" t="n"/>
      <c r="F136" s="312" t="n"/>
      <c r="G136" s="312" t="n"/>
      <c r="H136" s="298">
        <f>H125+H126+H127+H128+H129+H130</f>
        <v/>
      </c>
      <c r="I136" s="298">
        <f>I125+I126+I127+I128+I129+I130</f>
        <v/>
      </c>
      <c r="J136" s="324">
        <f>J125+J126+J127+J128+J129+J130</f>
        <v/>
      </c>
      <c r="K136" s="298">
        <f>K125+K126+K127+K128+K129+K130</f>
        <v/>
      </c>
      <c r="L136" s="325">
        <f>L125+L126+L127+L128+L129+L130</f>
        <v/>
      </c>
      <c r="M136" s="325">
        <f>M125+M126+M127+M128+M129+M130</f>
        <v/>
      </c>
      <c r="N136" s="325">
        <f>N125+N126+N127+N128+N129+N130</f>
        <v/>
      </c>
      <c r="O136" s="325">
        <f>O125+O126+O127+O128+O129+O130</f>
        <v/>
      </c>
      <c r="P136" s="325">
        <f>P125+P126+P127+P128+P129+P130</f>
        <v/>
      </c>
      <c r="Q136" s="325">
        <f>Q125+Q126+Q127+Q128+Q129+Q130</f>
        <v/>
      </c>
      <c r="R136" s="325">
        <f>R125+R126+R127+R128+R129+R130</f>
        <v/>
      </c>
      <c r="S136" s="321">
        <f>S125+S126+S127+S128+S129+S130</f>
        <v/>
      </c>
      <c r="T136" s="321" t="n"/>
      <c r="U136" s="321" t="n"/>
      <c r="V136" s="321" t="n"/>
      <c r="W136" s="321" t="n"/>
      <c r="X136" s="321" t="n"/>
      <c r="Y136" s="321" t="n"/>
      <c r="Z136" s="321">
        <f>Z125+Z126+Z127+Z128+Z129+Z130</f>
        <v/>
      </c>
      <c r="AA136" s="321">
        <f>AA125+AA126+AA127+AA128+AA129+AA130</f>
        <v/>
      </c>
      <c r="AB136" s="326" t="n"/>
      <c r="AC136" s="326" t="n"/>
      <c r="AD136" s="326" t="n"/>
      <c r="AE136" s="326" t="n"/>
      <c r="AF136" s="326" t="n"/>
      <c r="AG136" s="326" t="n"/>
      <c r="AH136" s="326" t="n"/>
      <c r="AI136" s="326" t="n"/>
      <c r="AJ136" s="326" t="n"/>
      <c r="AK136" s="327" t="n"/>
      <c r="AL136" s="328" t="n"/>
    </row>
    <row r="137">
      <c r="A137" s="295" t="n"/>
      <c r="B137" s="296" t="n"/>
      <c r="C137" s="296" t="n"/>
      <c r="D137" s="311" t="inlineStr">
        <is>
          <t>十、增值税实际税负（按财务数据）</t>
        </is>
      </c>
      <c r="E137" s="312" t="inlineStr">
        <is>
          <t>根据财务账面实际已缴纳增值税额+尚需缴纳的增值税额</t>
        </is>
      </c>
      <c r="F137" s="312" t="n"/>
      <c r="G137" s="312" t="n"/>
      <c r="H137" s="298" t="n"/>
      <c r="I137" s="298" t="n"/>
      <c r="J137" s="324">
        <f>H78+I78</f>
        <v/>
      </c>
      <c r="K137" s="298" t="inlineStr">
        <is>
          <t>/</t>
        </is>
      </c>
      <c r="L137" s="325" t="inlineStr">
        <is>
          <t>/</t>
        </is>
      </c>
      <c r="M137" s="325" t="n"/>
      <c r="N137" s="325">
        <f>N6-N77</f>
        <v/>
      </c>
      <c r="O137" s="325" t="n"/>
      <c r="P137" s="325" t="n"/>
      <c r="Q137" s="325" t="inlineStr">
        <is>
          <t>/</t>
        </is>
      </c>
      <c r="R137" s="325">
        <f>N78+P78</f>
        <v/>
      </c>
      <c r="S137" s="321" t="n"/>
      <c r="T137" s="321" t="n"/>
      <c r="U137" s="321" t="n"/>
      <c r="V137" s="321" t="n"/>
      <c r="W137" s="321" t="n"/>
      <c r="X137" s="321" t="n"/>
      <c r="Y137" s="321" t="n"/>
      <c r="Z137" s="321" t="n"/>
      <c r="AA137" s="321" t="n"/>
      <c r="AB137" s="326" t="n"/>
      <c r="AC137" s="326" t="n"/>
      <c r="AD137" s="326" t="n"/>
      <c r="AE137" s="326" t="n"/>
      <c r="AF137" s="326" t="n"/>
      <c r="AG137" s="326" t="n"/>
      <c r="AH137" s="326" t="n"/>
      <c r="AI137" s="326" t="n"/>
      <c r="AJ137" s="326" t="n"/>
      <c r="AK137" s="327" t="n"/>
      <c r="AL137" s="328" t="n"/>
    </row>
    <row r="138">
      <c r="A138" s="295" t="n"/>
      <c r="B138" s="296" t="n"/>
      <c r="C138" s="296" t="n"/>
      <c r="D138" s="311" t="inlineStr">
        <is>
          <t>十一、税金及附加（按财务数据）</t>
        </is>
      </c>
      <c r="E138" s="312" t="inlineStr">
        <is>
          <t>根据财务账面实际已缴纳税金及附加+尚需缴纳的税金及附加</t>
        </is>
      </c>
      <c r="F138" s="312" t="n"/>
      <c r="G138" s="312" t="n"/>
      <c r="H138" s="298" t="n"/>
      <c r="I138" s="298" t="n"/>
      <c r="J138" s="324">
        <f>H79+I79</f>
        <v/>
      </c>
      <c r="K138" s="298" t="n"/>
      <c r="L138" s="325">
        <f>J79</f>
        <v/>
      </c>
      <c r="M138" s="329" t="n">
        <v>385874.26</v>
      </c>
      <c r="N138" s="325" t="n"/>
      <c r="O138" s="325">
        <f>L79-M79</f>
        <v/>
      </c>
      <c r="P138" s="325" t="n"/>
      <c r="Q138" s="325">
        <f>M79+O79</f>
        <v/>
      </c>
      <c r="R138" s="325">
        <f>Q79</f>
        <v/>
      </c>
      <c r="S138" s="321" t="n"/>
      <c r="T138" s="321" t="n"/>
      <c r="U138" s="321" t="n"/>
      <c r="V138" s="321" t="n"/>
      <c r="W138" s="321" t="n"/>
      <c r="X138" s="321" t="n"/>
      <c r="Y138" s="321" t="n"/>
      <c r="Z138" s="321" t="n"/>
      <c r="AA138" s="321" t="n"/>
      <c r="AB138" s="326" t="n"/>
      <c r="AC138" s="326" t="n"/>
      <c r="AD138" s="326" t="n"/>
      <c r="AE138" s="326" t="n"/>
      <c r="AF138" s="326" t="n"/>
      <c r="AG138" s="326" t="n"/>
      <c r="AH138" s="326" t="n"/>
      <c r="AI138" s="326" t="n"/>
      <c r="AJ138" s="326" t="n"/>
      <c r="AK138" s="327" t="n"/>
      <c r="AL138" s="328" t="n"/>
    </row>
    <row r="139">
      <c r="A139" s="295" t="n"/>
      <c r="B139" s="296" t="n"/>
      <c r="C139" s="296" t="n"/>
      <c r="D139" s="311" t="inlineStr">
        <is>
          <t>十二、利润</t>
        </is>
      </c>
      <c r="E139" s="312" t="n"/>
      <c r="F139" s="312" t="n"/>
      <c r="G139" s="312" t="n"/>
      <c r="H139" s="298" t="n"/>
      <c r="I139" s="298" t="n"/>
      <c r="J139" s="324">
        <f>J6-J136-J137-J138</f>
        <v/>
      </c>
      <c r="K139" s="298" t="n"/>
      <c r="L139" s="325" t="n"/>
      <c r="M139" s="325" t="n"/>
      <c r="N139" s="325" t="n"/>
      <c r="O139" s="325" t="n"/>
      <c r="P139" s="325" t="n"/>
      <c r="Q139" s="325" t="n"/>
      <c r="R139" s="325" t="n"/>
      <c r="S139" s="321" t="n"/>
      <c r="T139" s="321" t="n"/>
      <c r="U139" s="321" t="n"/>
      <c r="V139" s="321" t="n"/>
      <c r="W139" s="321" t="n"/>
      <c r="X139" s="321" t="n"/>
      <c r="Y139" s="321" t="n"/>
      <c r="Z139" s="321" t="n"/>
      <c r="AA139" s="321" t="n"/>
      <c r="AB139" s="326" t="n"/>
      <c r="AC139" s="326" t="n"/>
      <c r="AD139" s="326" t="n"/>
      <c r="AE139" s="326" t="n"/>
      <c r="AF139" s="326" t="n"/>
      <c r="AG139" s="326" t="n"/>
      <c r="AH139" s="326" t="n"/>
      <c r="AI139" s="326" t="n"/>
      <c r="AJ139" s="326" t="n"/>
      <c r="AK139" s="327" t="n"/>
      <c r="AL139" s="328" t="n"/>
    </row>
    <row r="140">
      <c r="A140" s="330" t="n"/>
      <c r="B140" s="331" t="n"/>
      <c r="C140" s="331" t="n"/>
      <c r="D140" s="332" t="inlineStr">
        <is>
          <t>十三、利润率</t>
        </is>
      </c>
      <c r="E140" s="333" t="n"/>
      <c r="F140" s="333" t="n"/>
      <c r="G140" s="333" t="n"/>
      <c r="H140" s="334" t="n"/>
      <c r="I140" s="334" t="n"/>
      <c r="J140" s="334">
        <f>J139/J6</f>
        <v/>
      </c>
      <c r="K140" s="334" t="n"/>
      <c r="L140" s="335">
        <f>L139/L6</f>
        <v/>
      </c>
      <c r="M140" s="335">
        <f>M139/M6</f>
        <v/>
      </c>
      <c r="N140" s="335" t="n"/>
      <c r="O140" s="335" t="n"/>
      <c r="P140" s="335" t="n"/>
      <c r="Q140" s="335">
        <f>Q139/Q6</f>
        <v/>
      </c>
      <c r="R140" s="335">
        <f>R139/R6</f>
        <v/>
      </c>
      <c r="S140" s="336" t="n"/>
      <c r="T140" s="336" t="n"/>
      <c r="U140" s="336" t="n"/>
      <c r="V140" s="336" t="n"/>
      <c r="W140" s="336" t="n"/>
      <c r="X140" s="336" t="n"/>
      <c r="Y140" s="336" t="n"/>
      <c r="Z140" s="336" t="n"/>
      <c r="AA140" s="336" t="n"/>
      <c r="AB140" s="337" t="n"/>
      <c r="AC140" s="337" t="n"/>
      <c r="AD140" s="337" t="n"/>
      <c r="AE140" s="337" t="n"/>
      <c r="AF140" s="337" t="n"/>
      <c r="AG140" s="337" t="n"/>
      <c r="AH140" s="337" t="n"/>
      <c r="AI140" s="337" t="n"/>
      <c r="AJ140" s="337" t="n"/>
      <c r="AK140" s="338" t="n"/>
      <c r="AL140" s="339" t="n"/>
    </row>
    <row r="141">
      <c r="A141" s="111" t="n"/>
      <c r="B141" s="111" t="n"/>
      <c r="C141" s="111" t="n"/>
      <c r="D141" s="112" t="n"/>
      <c r="E141" s="113" t="n"/>
      <c r="F141" s="113" t="n"/>
      <c r="G141" s="113" t="n"/>
      <c r="H141" s="248" t="n"/>
      <c r="I141" s="248" t="n"/>
      <c r="J141" s="249" t="inlineStr">
        <is>
          <t>含税利润率</t>
        </is>
      </c>
      <c r="K141" s="250" t="n"/>
      <c r="L141" s="251" t="inlineStr">
        <is>
          <t>不含税利润率</t>
        </is>
      </c>
      <c r="M141" s="252" t="n"/>
      <c r="N141" s="252" t="n"/>
      <c r="O141" s="252" t="n"/>
      <c r="P141" s="252" t="n"/>
      <c r="Q141" s="252" t="n"/>
      <c r="R141" s="252" t="n"/>
      <c r="S141" s="252" t="n"/>
      <c r="T141" s="252" t="n"/>
      <c r="U141" s="252" t="n"/>
      <c r="V141" s="252" t="n"/>
      <c r="W141" s="252" t="n"/>
      <c r="X141" s="252" t="n"/>
      <c r="Y141" s="252" t="n"/>
      <c r="Z141" s="253" t="n"/>
      <c r="AA141" s="162" t="n"/>
      <c r="AB141" s="254" t="n"/>
      <c r="AC141" s="254" t="n"/>
      <c r="AD141" s="254" t="n"/>
      <c r="AE141" s="254" t="n"/>
      <c r="AF141" s="254" t="n"/>
      <c r="AG141" s="254" t="n"/>
      <c r="AH141" s="254" t="n"/>
      <c r="AI141" s="254" t="n"/>
      <c r="AJ141" s="254" t="n"/>
      <c r="AK141" s="254" t="n"/>
      <c r="AL141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2026-04-25T02:03:18Z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