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4" fontId="0" fillId="0" borderId="0" pivotButton="0" quotePrefix="0" xfId="0"/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2" authorId="1" shapeId="0">
      <text>
        <t>**同财务账面合同履约成本/工程施工成本/间接费数据一致**</t>
      </text>
    </comment>
    <comment ref="D120" authorId="2" shapeId="0">
      <text>
        <t>（在建：房建0.6%，其它0.4%；在保修期间的按0.3~0.5%自行确定;保修期结束为0）</t>
      </text>
    </comment>
    <comment ref="E13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AB13" s="211" t="n">
        <v>38986256.75</v>
      </c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2" t="inlineStr">
        <is>
          <t>**财务未列部分需增列***</t>
        </is>
      </c>
      <c r="E20" s="213" t="n"/>
      <c r="F20" s="213" t="n"/>
      <c r="G20" s="213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4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5" t="n"/>
    </row>
    <row r="21" ht="14" customFormat="1" customHeight="1" s="180">
      <c r="A21" s="41" t="n"/>
      <c r="B21" s="216" t="n"/>
      <c r="C21" s="216" t="n"/>
      <c r="D21" s="217" t="inlineStr">
        <is>
          <t>人工费小计：</t>
        </is>
      </c>
      <c r="E21" s="218">
        <f>SUM(E12:E20)</f>
        <v/>
      </c>
      <c r="F21" s="218">
        <f>SUM(F12:F20)</f>
        <v/>
      </c>
      <c r="G21" s="218">
        <f>SUM(G12:G20)</f>
        <v/>
      </c>
      <c r="H21" s="218">
        <f>SUM(H12:H20)</f>
        <v/>
      </c>
      <c r="I21" s="218">
        <f>SUM(I12:I20)</f>
        <v/>
      </c>
      <c r="J21" s="218">
        <f>SUM(J12:J20)</f>
        <v/>
      </c>
      <c r="K21" s="218">
        <f>SUM(K12:K20)</f>
        <v/>
      </c>
      <c r="L21" s="218">
        <f>SUM(L12:L20)</f>
        <v/>
      </c>
      <c r="M21" s="218">
        <f>SUM(M12:M20)</f>
        <v/>
      </c>
      <c r="N21" s="218">
        <f>SUM(N12:N20)</f>
        <v/>
      </c>
      <c r="O21" s="218">
        <f>SUM(O12:O20)</f>
        <v/>
      </c>
      <c r="P21" s="218">
        <f>SUM(P12:P20)</f>
        <v/>
      </c>
      <c r="Q21" s="218">
        <f>SUM(Q12:Q20)</f>
        <v/>
      </c>
      <c r="R21" s="218">
        <f>SUM(R12:R20)</f>
        <v/>
      </c>
      <c r="S21" s="218">
        <f>SUM(S12:S20)</f>
        <v/>
      </c>
      <c r="T21" s="218">
        <f>SUM(T12:T20)</f>
        <v/>
      </c>
      <c r="U21" s="218">
        <f>SUM(U12:U20)</f>
        <v/>
      </c>
      <c r="V21" s="218">
        <f>SUM(V12:V20)</f>
        <v/>
      </c>
      <c r="W21" s="218">
        <f>SUM(W12:W20)</f>
        <v/>
      </c>
      <c r="X21" s="218">
        <f>SUM(X12:X20)</f>
        <v/>
      </c>
      <c r="Y21" s="218">
        <f>SUM(Y12:Y20)</f>
        <v/>
      </c>
      <c r="Z21" s="218">
        <f>SUM(Z12:Z20)</f>
        <v/>
      </c>
      <c r="AA21" s="218">
        <f>SUM(AA12:AA20)</f>
        <v/>
      </c>
      <c r="AB21" s="218">
        <f>SUM(AB12:AB20)</f>
        <v/>
      </c>
      <c r="AC21" s="218">
        <f>SUM(AC12:AC20)</f>
        <v/>
      </c>
      <c r="AD21" s="218">
        <f>SUM(AD12:AD20)</f>
        <v/>
      </c>
      <c r="AE21" s="218">
        <f>SUM(AE12:AE20)</f>
        <v/>
      </c>
      <c r="AF21" s="218">
        <f>SUM(AF12:AF20)</f>
        <v/>
      </c>
      <c r="AG21" s="218">
        <f>SUM(AG12:AG20)</f>
        <v/>
      </c>
      <c r="AH21" s="218">
        <f>SUM(AH12:AH20)</f>
        <v/>
      </c>
      <c r="AI21" s="218">
        <f>SUM(AI12:AI20)</f>
        <v/>
      </c>
      <c r="AJ21" s="218">
        <f>SUM(AJ12:AJ20)</f>
        <v/>
      </c>
      <c r="AK21" s="218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9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AB23" s="211" t="n">
        <v>5895004.43</v>
      </c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AB24" s="211" t="n">
        <v>1191083.4</v>
      </c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AB25" s="211" t="n">
        <v>1525464.01</v>
      </c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AB26" s="211" t="n">
        <v>7521387.51</v>
      </c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AB27" s="211" t="n">
        <v>12330383.03</v>
      </c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AB28" s="211" t="n">
        <v>2141530.08</v>
      </c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AB29" s="211" t="n">
        <v>38298398.63</v>
      </c>
    </row>
    <row r="30" ht="14" customFormat="1" customHeight="1" s="180">
      <c r="A30" s="206" t="n">
        <v>8</v>
      </c>
      <c r="B30" s="206" t="n"/>
      <c r="C30" s="207" t="n"/>
      <c r="D30" s="207" t="inlineStr">
        <is>
          <t>ZGD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-11619636.7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SQD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5809818.35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2" t="inlineStr">
        <is>
          <t>**财务未列部分需增列***</t>
        </is>
      </c>
      <c r="E32" s="220" t="n"/>
      <c r="F32" s="220" t="n"/>
      <c r="G32" s="220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5" t="n"/>
    </row>
    <row r="33" ht="14" customFormat="1" customHeight="1" s="180">
      <c r="A33" s="41" t="n"/>
      <c r="B33" s="216" t="n"/>
      <c r="C33" s="216" t="n"/>
      <c r="D33" s="217" t="inlineStr">
        <is>
          <t>分包工程小计：</t>
        </is>
      </c>
      <c r="E33" s="218">
        <f>SUM(E22:E32)</f>
        <v/>
      </c>
      <c r="F33" s="218">
        <f>SUM(F22:F32)</f>
        <v/>
      </c>
      <c r="G33" s="218">
        <f>SUM(G22:G32)</f>
        <v/>
      </c>
      <c r="H33" s="218">
        <f>SUM(H22:H32)</f>
        <v/>
      </c>
      <c r="I33" s="218">
        <f>SUM(I22:I32)</f>
        <v/>
      </c>
      <c r="J33" s="218">
        <f>SUM(J22:J32)</f>
        <v/>
      </c>
      <c r="K33" s="218">
        <f>SUM(K22:K32)</f>
        <v/>
      </c>
      <c r="L33" s="218">
        <f>SUM(L22:L32)</f>
        <v/>
      </c>
      <c r="M33" s="218">
        <f>SUM(M22:M32)</f>
        <v/>
      </c>
      <c r="N33" s="218">
        <f>SUM(N22:N32)</f>
        <v/>
      </c>
      <c r="O33" s="218">
        <f>SUM(O22:O32)</f>
        <v/>
      </c>
      <c r="P33" s="218">
        <f>SUM(P22:P32)</f>
        <v/>
      </c>
      <c r="Q33" s="218">
        <f>SUM(Q22:Q32)</f>
        <v/>
      </c>
      <c r="R33" s="218">
        <f>SUM(R22:R32)</f>
        <v/>
      </c>
      <c r="S33" s="218">
        <f>SUM(S22:S32)</f>
        <v/>
      </c>
      <c r="T33" s="218">
        <f>SUM(T22:T32)</f>
        <v/>
      </c>
      <c r="U33" s="218">
        <f>SUM(U22:U32)</f>
        <v/>
      </c>
      <c r="V33" s="218">
        <f>SUM(V22:V32)</f>
        <v/>
      </c>
      <c r="W33" s="218">
        <f>SUM(W22:W32)</f>
        <v/>
      </c>
      <c r="X33" s="218">
        <f>SUM(X22:X32)</f>
        <v/>
      </c>
      <c r="Y33" s="218">
        <f>SUM(Y22:Y32)</f>
        <v/>
      </c>
      <c r="Z33" s="218">
        <f>SUM(Z22:Z32)</f>
        <v/>
      </c>
      <c r="AA33" s="218">
        <f>SUM(AA22:AA32)</f>
        <v/>
      </c>
      <c r="AB33" s="218">
        <f>SUM(AB22:AB32)</f>
        <v/>
      </c>
      <c r="AC33" s="218">
        <f>SUM(AC22:AC32)</f>
        <v/>
      </c>
      <c r="AD33" s="218">
        <f>SUM(AD22:AD32)</f>
        <v/>
      </c>
      <c r="AE33" s="218">
        <f>SUM(AE22:AE32)</f>
        <v/>
      </c>
      <c r="AF33" s="218">
        <f>SUM(AF22:AF32)</f>
        <v/>
      </c>
      <c r="AG33" s="218">
        <f>SUM(AG22:AG32)</f>
        <v/>
      </c>
      <c r="AH33" s="218">
        <f>SUM(AH22:AH32)</f>
        <v/>
      </c>
      <c r="AI33" s="218">
        <f>SUM(AI22:AI32)</f>
        <v/>
      </c>
      <c r="AJ33" s="218">
        <f>SUM(AJ22:AJ32)</f>
        <v/>
      </c>
      <c r="AK33" s="218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9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188">
        <f>AB24/1.17*0.17+AC24/1.16*0.16+AD24/1.11*0.11+AE24/1.1*0.1+AF24/1.09*0.09+AI24/1.03*0.03</f>
        <v/>
      </c>
      <c r="AL34" s="222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188">
        <f>AB25/1.17*0.17+AC25/1.16*0.16+AD25/1.11*0.11+AE25/1.1*0.1+AF25/1.09*0.09+AI25/1.03*0.03</f>
        <v/>
      </c>
      <c r="AL35" s="222" t="n"/>
    </row>
    <row r="36" ht="14" customFormat="1" customHeight="1" s="180">
      <c r="A36" s="33" t="n"/>
      <c r="B36" s="199" t="n"/>
      <c r="C36" s="199" t="n"/>
      <c r="D36" s="189" t="inlineStr">
        <is>
          <t>（2）自行采购</t>
        </is>
      </c>
      <c r="E36" s="220" t="n"/>
      <c r="F36" s="220" t="n"/>
      <c r="G36" s="220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SUM(AA29:AJ29)</f>
        <v/>
      </c>
      <c r="AA36" s="203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8">
        <f>AB29/1.17*0.17+AC29/1.16*0.16+AD29/1.11*0.11+AE29/1.1*0.1+AF29/1.09*0.09+AI29/1.03*0.03</f>
        <v/>
      </c>
      <c r="AL36" s="222" t="n"/>
    </row>
    <row r="37" ht="14" customFormat="1" customHeight="1" s="180">
      <c r="A37" s="33" t="n">
        <v>1</v>
      </c>
      <c r="B37" s="199" t="n"/>
      <c r="C37" s="199" t="n"/>
      <c r="D37" s="219" t="inlineStr">
        <is>
          <t>材料调入</t>
        </is>
      </c>
      <c r="E37" s="199" t="n"/>
      <c r="F37" s="199" t="n"/>
      <c r="G37" s="199" t="n"/>
      <c r="H37" s="189" t="n"/>
      <c r="I37" s="189" t="n"/>
      <c r="J37" s="189" t="n"/>
      <c r="K37" s="201" t="n"/>
      <c r="L37" s="202" t="n"/>
      <c r="M37" s="223" t="n">
        <v>34020317.08</v>
      </c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SUM(AA30:AJ30)</f>
        <v/>
      </c>
      <c r="AA37" s="203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8">
        <f>AB30/1.17*0.17+AC30/1.16*0.16+AD30/1.11*0.11+AE30/1.1*0.1+AF30/1.09*0.09+AI30/1.03*0.03</f>
        <v/>
      </c>
      <c r="AL37" s="222" t="n"/>
    </row>
    <row r="38" ht="14" customFormat="1" customHeight="1" s="180">
      <c r="A38" s="33" t="n">
        <v>2</v>
      </c>
      <c r="B38" s="199" t="n"/>
      <c r="C38" s="199" t="n"/>
      <c r="D38" s="219" t="inlineStr">
        <is>
          <t>材料调出（注：负数填报）</t>
        </is>
      </c>
      <c r="E38" s="224" t="n"/>
      <c r="F38" s="224" t="n"/>
      <c r="G38" s="224" t="n"/>
      <c r="H38" s="225" t="n"/>
      <c r="I38" s="225" t="n"/>
      <c r="J38" s="189" t="n"/>
      <c r="K38" s="201" t="n"/>
      <c r="L38" s="202" t="n"/>
      <c r="M38" s="226" t="n">
        <v>-8241729.17</v>
      </c>
      <c r="N38" s="225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25" t="n"/>
      <c r="U38" s="225" t="n"/>
      <c r="V38" s="225" t="n"/>
      <c r="W38" s="225" t="n"/>
      <c r="X38" s="225" t="n"/>
      <c r="Y38" s="225" t="n"/>
      <c r="Z38" s="189">
        <f>SUM(AA31:AJ31)</f>
        <v/>
      </c>
      <c r="AA38" s="225" t="n"/>
      <c r="AB38" s="227" t="n"/>
      <c r="AC38" s="227" t="n"/>
      <c r="AD38" s="227" t="n"/>
      <c r="AE38" s="227" t="n"/>
      <c r="AF38" s="227" t="n"/>
      <c r="AG38" s="227" t="n"/>
      <c r="AH38" s="227" t="n"/>
      <c r="AI38" s="227" t="n"/>
      <c r="AJ38" s="227" t="n"/>
      <c r="AK38" s="188">
        <f>AB31/1.17*0.17+AC31/1.16*0.16+AD31/1.11*0.11+AE31/1.1*0.1+AF31/1.09*0.09+AI31/1.03*0.03</f>
        <v/>
      </c>
      <c r="AL38" s="228" t="n"/>
    </row>
    <row r="39" ht="14" customFormat="1" customHeight="1" s="180">
      <c r="A39" s="33" t="n"/>
      <c r="B39" s="199" t="n"/>
      <c r="C39" s="199" t="n"/>
      <c r="D39" s="219" t="inlineStr">
        <is>
          <t>材料库存（注：项目已结算未使用材料冲减项目成本，负数填报）</t>
        </is>
      </c>
      <c r="E39" s="224" t="n"/>
      <c r="F39" s="224" t="n"/>
      <c r="G39" s="224" t="n"/>
      <c r="H39" s="225" t="n"/>
      <c r="I39" s="225" t="n"/>
      <c r="J39" s="189" t="n"/>
      <c r="K39" s="201" t="n"/>
      <c r="L39" s="202" t="n"/>
      <c r="M39" s="225" t="n"/>
      <c r="N39" s="225" t="n"/>
      <c r="O39" s="189" t="n"/>
      <c r="P39" s="189" t="n"/>
      <c r="Q39" s="189" t="n"/>
      <c r="R39" s="189" t="n"/>
      <c r="S39" s="203" t="n"/>
      <c r="T39" s="225" t="n"/>
      <c r="U39" s="225" t="n"/>
      <c r="V39" s="225" t="n"/>
      <c r="W39" s="225" t="n"/>
      <c r="X39" s="225" t="n"/>
      <c r="Y39" s="225" t="n"/>
      <c r="Z39" s="189" t="n"/>
      <c r="AA39" s="225" t="n"/>
      <c r="AB39" s="227" t="n"/>
      <c r="AC39" s="227" t="n"/>
      <c r="AD39" s="227" t="n"/>
      <c r="AE39" s="227" t="n"/>
      <c r="AF39" s="227" t="n"/>
      <c r="AG39" s="227" t="n"/>
      <c r="AH39" s="227" t="n"/>
      <c r="AI39" s="227" t="n"/>
      <c r="AJ39" s="227" t="n"/>
      <c r="AK39" s="188" t="n"/>
      <c r="AL39" s="228" t="n"/>
    </row>
    <row r="40" ht="14" customFormat="1" customHeight="1" s="180">
      <c r="A40" s="206" t="n">
        <v>3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AB40" s="211" t="n">
        <v>2560973.41</v>
      </c>
    </row>
    <row r="41" ht="14" customFormat="1" customHeight="1" s="180">
      <c r="A41" s="206" t="n">
        <v>4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AB41" s="211" t="n">
        <v>26369931.95</v>
      </c>
    </row>
    <row r="42" ht="14" customFormat="1" customHeight="1" s="180">
      <c r="A42" s="206" t="n">
        <v>5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AB42" s="211" t="n">
        <v>1484268.59</v>
      </c>
    </row>
    <row r="43" ht="14" customFormat="1" customHeight="1" s="180">
      <c r="A43" s="206" t="n">
        <v>6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7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AB44" s="211" t="n">
        <v>180341.7</v>
      </c>
    </row>
    <row r="45" ht="14" customFormat="1" customHeight="1" s="180">
      <c r="A45" s="206" t="n">
        <v>8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AB45" s="211" t="n">
        <v>3900000</v>
      </c>
    </row>
    <row r="46" ht="14" customFormat="1" customHeight="1" s="180">
      <c r="A46" s="206" t="n">
        <v>9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AB46" s="211" t="n">
        <v>13686313.41</v>
      </c>
    </row>
    <row r="47" ht="14" customFormat="1" customHeight="1" s="180">
      <c r="A47" s="206" t="n">
        <v>10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AB47" s="211" t="n">
        <v>21109210.88</v>
      </c>
    </row>
    <row r="48" ht="14" customFormat="1" customHeight="1" s="180">
      <c r="A48" s="206" t="n">
        <v>11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AB48" s="211" t="n">
        <v>18656418.1</v>
      </c>
    </row>
    <row r="49" ht="14" customFormat="1" customHeight="1" s="180">
      <c r="A49" s="206" t="n">
        <v>12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AB49" s="211" t="n">
        <v>1380920.4</v>
      </c>
    </row>
    <row r="50" ht="14" customFormat="1" customHeight="1" s="180">
      <c r="A50" s="206" t="n">
        <v>13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AB50" s="211" t="n">
        <v>845103.8100000001</v>
      </c>
    </row>
    <row r="51" ht="14" customFormat="1" customHeight="1" s="180">
      <c r="A51" s="206" t="n">
        <v>14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AB51" s="211" t="n">
        <v>364831.8</v>
      </c>
    </row>
    <row r="52" ht="14" customFormat="1" customHeight="1" s="180">
      <c r="A52" s="206" t="n">
        <v>15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AB52" s="211" t="n">
        <v>1253725.47</v>
      </c>
    </row>
    <row r="53" ht="14" customFormat="1" customHeight="1" s="180">
      <c r="A53" s="206" t="n">
        <v>16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AB53" s="211" t="n">
        <v>32687020.31</v>
      </c>
    </row>
    <row r="54" ht="14" customFormat="1" customHeight="1" s="180">
      <c r="A54" s="206" t="n">
        <v>17</v>
      </c>
      <c r="B54" s="206" t="n"/>
      <c r="C54" s="207" t="n"/>
      <c r="D54" s="207" t="inlineStr">
        <is>
          <t>减：研发费用-材料费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-3926272.64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/>
      <c r="B55" s="206" t="n"/>
      <c r="C55" s="207" t="n"/>
      <c r="D55" s="207" t="inlineStr">
        <is>
          <t>材料调入+CFK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06" t="n"/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/>
      <c r="B56" s="206" t="n"/>
      <c r="C56" s="207" t="n"/>
      <c r="D56" s="207" t="inlineStr">
        <is>
          <t>材料调出+XSD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06" t="n"/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/>
      <c r="B57" s="206" t="n"/>
      <c r="C57" s="207" t="n"/>
      <c r="D57" s="207" t="inlineStr">
        <is>
          <t>材料调出+SQD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06" t="n"/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18</v>
      </c>
      <c r="B58" s="206" t="n"/>
      <c r="C58" s="207" t="n"/>
      <c r="D58" s="207" t="inlineStr">
        <is>
          <t>废旧物资消耗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-465452.87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/>
      <c r="B59" s="206" t="n"/>
      <c r="C59" s="207" t="n"/>
      <c r="D59" s="207" t="inlineStr">
        <is>
          <t>废旧物资消耗（SQD）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06" t="n"/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33" t="n"/>
      <c r="B60" s="199" t="n"/>
      <c r="C60" s="199" t="n"/>
      <c r="D60" s="212" t="inlineStr">
        <is>
          <t>**财务未列部分需增列***</t>
        </is>
      </c>
      <c r="E60" s="220" t="n"/>
      <c r="F60" s="220" t="n"/>
      <c r="G60" s="220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1" t="n"/>
      <c r="AC60" s="221" t="n"/>
      <c r="AD60" s="221" t="n"/>
      <c r="AE60" s="221" t="n"/>
      <c r="AF60" s="221" t="n"/>
      <c r="AG60" s="221" t="n"/>
      <c r="AH60" s="221" t="n"/>
      <c r="AI60" s="221" t="n"/>
      <c r="AJ60" s="221" t="n"/>
      <c r="AK60" s="188">
        <f>AB33/1.17*0.17+AC33/1.16*0.16+AD33/1.11*0.11+AE33/1.1*0.1+AF33/1.09*0.09+AI33/1.03*0.03</f>
        <v/>
      </c>
      <c r="AL60" s="222" t="n"/>
    </row>
    <row r="61" ht="14" customFormat="1" customHeight="1" s="180">
      <c r="A61" s="41" t="n"/>
      <c r="B61" s="216" t="n"/>
      <c r="C61" s="216" t="n"/>
      <c r="D61" s="217" t="inlineStr">
        <is>
          <t>材料费小计：</t>
        </is>
      </c>
      <c r="E61" s="218">
        <f>SUM(E34:E60)</f>
        <v/>
      </c>
      <c r="F61" s="218">
        <f>SUM(F34:F60)</f>
        <v/>
      </c>
      <c r="G61" s="218">
        <f>SUM(G34:G60)</f>
        <v/>
      </c>
      <c r="H61" s="218">
        <f>SUM(H34:H60)</f>
        <v/>
      </c>
      <c r="I61" s="218">
        <f>SUM(I34:I60)</f>
        <v/>
      </c>
      <c r="J61" s="218">
        <f>SUM(J34:J60)</f>
        <v/>
      </c>
      <c r="K61" s="218">
        <f>SUM(K34:K60)</f>
        <v/>
      </c>
      <c r="L61" s="218">
        <f>SUM(L34:L60)</f>
        <v/>
      </c>
      <c r="M61" s="218">
        <f>SUM(M34:M60)</f>
        <v/>
      </c>
      <c r="N61" s="218">
        <f>SUM(N34:N60)</f>
        <v/>
      </c>
      <c r="O61" s="218">
        <f>SUM(O34:O60)</f>
        <v/>
      </c>
      <c r="P61" s="218">
        <f>SUM(P34:P60)</f>
        <v/>
      </c>
      <c r="Q61" s="218">
        <f>SUM(Q34:Q60)</f>
        <v/>
      </c>
      <c r="R61" s="218">
        <f>SUM(R34:R60)</f>
        <v/>
      </c>
      <c r="S61" s="218">
        <f>SUM(S34:S60)</f>
        <v/>
      </c>
      <c r="T61" s="218">
        <f>SUM(T34:T60)</f>
        <v/>
      </c>
      <c r="U61" s="218">
        <f>SUM(U34:U60)</f>
        <v/>
      </c>
      <c r="V61" s="218">
        <f>SUM(V34:V60)</f>
        <v/>
      </c>
      <c r="W61" s="218">
        <f>SUM(W34:W60)</f>
        <v/>
      </c>
      <c r="X61" s="218">
        <f>SUM(X34:X60)</f>
        <v/>
      </c>
      <c r="Y61" s="218">
        <f>SUM(Y34:Y60)</f>
        <v/>
      </c>
      <c r="Z61" s="218">
        <f>SUM(Z34:Z60)</f>
        <v/>
      </c>
      <c r="AA61" s="218">
        <f>SUM(AA34:AA60)</f>
        <v/>
      </c>
      <c r="AB61" s="218">
        <f>SUM(AB34:AB60)</f>
        <v/>
      </c>
      <c r="AC61" s="218">
        <f>SUM(AC34:AC60)</f>
        <v/>
      </c>
      <c r="AD61" s="218">
        <f>SUM(AD34:AD60)</f>
        <v/>
      </c>
      <c r="AE61" s="218">
        <f>SUM(AE34:AE60)</f>
        <v/>
      </c>
      <c r="AF61" s="218">
        <f>SUM(AF34:AF60)</f>
        <v/>
      </c>
      <c r="AG61" s="218">
        <f>SUM(AG34:AG60)</f>
        <v/>
      </c>
      <c r="AH61" s="218">
        <f>SUM(AH34:AH60)</f>
        <v/>
      </c>
      <c r="AI61" s="218">
        <f>SUM(AI34:AI60)</f>
        <v/>
      </c>
      <c r="AJ61" s="218">
        <f>SUM(AJ34:AJ60)</f>
        <v/>
      </c>
      <c r="AK61" s="218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9" t="inlineStr">
        <is>
          <t>(四）机械租赁费</t>
        </is>
      </c>
      <c r="E62" s="213" t="n"/>
      <c r="F62" s="213" t="n"/>
      <c r="G62" s="213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AB63" s="211" t="n">
        <v>2450000</v>
      </c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AB64" s="211" t="n">
        <v>350000</v>
      </c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AB65" s="211" t="n">
        <v>8172087.28</v>
      </c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AB66" s="211" t="n">
        <v>60690</v>
      </c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AB67" s="211" t="n">
        <v>283868.7</v>
      </c>
    </row>
    <row r="68" ht="14" customFormat="1" customHeight="1" s="180">
      <c r="A68" s="33" t="n"/>
      <c r="B68" s="199" t="n"/>
      <c r="C68" s="199" t="n"/>
      <c r="D68" s="212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5" t="n"/>
    </row>
    <row r="69" ht="39" customFormat="1" customHeight="1" s="180">
      <c r="A69" s="41" t="n"/>
      <c r="B69" s="216" t="n"/>
      <c r="C69" s="216" t="n"/>
      <c r="D69" s="231" t="inlineStr">
        <is>
          <t>机械费小计：</t>
        </is>
      </c>
      <c r="E69" s="232" t="n"/>
      <c r="F69" s="232" t="n"/>
      <c r="G69" s="232" t="n"/>
      <c r="H69" s="218">
        <f>SUM(H62:H68)</f>
        <v/>
      </c>
      <c r="I69" s="218">
        <f>SUM(I62:I68)</f>
        <v/>
      </c>
      <c r="J69" s="218">
        <f>SUM(J62:J68)</f>
        <v/>
      </c>
      <c r="K69" s="218">
        <f>SUM(K62:K68)</f>
        <v/>
      </c>
      <c r="L69" s="233">
        <f>SUM(L62:L68)</f>
        <v/>
      </c>
      <c r="M69" s="218">
        <f>SUM(M62:M68)</f>
        <v/>
      </c>
      <c r="N69" s="218">
        <f>SUM(N62:N68)</f>
        <v/>
      </c>
      <c r="O69" s="218">
        <f>SUM(O62:O68)</f>
        <v/>
      </c>
      <c r="P69" s="218">
        <f>SUM(P62:P68)</f>
        <v/>
      </c>
      <c r="Q69" s="218">
        <f>SUM(Q62:Q68)</f>
        <v/>
      </c>
      <c r="R69" s="218">
        <f>SUM(R62:R68)</f>
        <v/>
      </c>
      <c r="S69" s="218">
        <f>SUM(S62:S68)</f>
        <v/>
      </c>
      <c r="T69" s="218" t="n"/>
      <c r="U69" s="218" t="n"/>
      <c r="V69" s="218" t="n"/>
      <c r="W69" s="218" t="n"/>
      <c r="X69" s="218" t="n"/>
      <c r="Y69" s="218" t="n"/>
      <c r="Z69" s="218">
        <f>SUM(Z62:Z68)</f>
        <v/>
      </c>
      <c r="AA69" s="218">
        <f>SUM(AA62:AA68)</f>
        <v/>
      </c>
      <c r="AB69" s="218" t="n"/>
      <c r="AC69" s="218" t="n"/>
      <c r="AD69" s="218" t="n"/>
      <c r="AE69" s="218" t="n"/>
      <c r="AF69" s="218" t="n"/>
      <c r="AG69" s="218" t="n"/>
      <c r="AH69" s="218" t="n"/>
      <c r="AI69" s="218" t="n"/>
      <c r="AJ69" s="218" t="n"/>
      <c r="AK69" s="218" t="n"/>
      <c r="AL69" s="204" t="n"/>
    </row>
    <row r="70" ht="14" customFormat="1" customHeight="1" s="180">
      <c r="A70" s="33" t="n"/>
      <c r="B70" s="199" t="n"/>
      <c r="C70" s="199" t="n"/>
      <c r="D70" s="219" t="inlineStr">
        <is>
          <t>（五）其他直接费</t>
        </is>
      </c>
      <c r="E70" s="213" t="n"/>
      <c r="F70" s="213" t="n"/>
      <c r="G70" s="213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234" t="n">
        <v>-127.2</v>
      </c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2" t="inlineStr">
        <is>
          <t>**财务未列部分需增列***</t>
        </is>
      </c>
      <c r="E74" s="213" t="n"/>
      <c r="F74" s="213" t="n"/>
      <c r="G74" s="213" t="n"/>
      <c r="H74" s="189" t="n"/>
      <c r="I74" s="189" t="n"/>
      <c r="J74" s="184" t="n"/>
      <c r="K74" s="201" t="n"/>
      <c r="L74" s="202">
        <f>J74-K74</f>
        <v/>
      </c>
      <c r="M74" s="235" t="n"/>
      <c r="N74" s="235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5" t="n"/>
      <c r="U74" s="235" t="n"/>
      <c r="V74" s="235" t="n"/>
      <c r="W74" s="235" t="n"/>
      <c r="X74" s="235" t="n"/>
      <c r="Y74" s="235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6" t="n"/>
      <c r="C75" s="236" t="n"/>
      <c r="D75" s="231" t="inlineStr">
        <is>
          <t>其他直接费小计：</t>
        </is>
      </c>
      <c r="E75" s="237" t="n"/>
      <c r="F75" s="237" t="n"/>
      <c r="G75" s="237" t="n"/>
      <c r="H75" s="218">
        <f>SUM(H70:H74)</f>
        <v/>
      </c>
      <c r="I75" s="218">
        <f>SUM(I70:I74)</f>
        <v/>
      </c>
      <c r="J75" s="218">
        <f>SUM(J70:J74)</f>
        <v/>
      </c>
      <c r="K75" s="218">
        <f>SUM(K70:K74)</f>
        <v/>
      </c>
      <c r="L75" s="233">
        <f>SUM(L70:L74)</f>
        <v/>
      </c>
      <c r="M75" s="218">
        <f>SUM(M70:M74)</f>
        <v/>
      </c>
      <c r="N75" s="218">
        <f>SUM(N70:N74)</f>
        <v/>
      </c>
      <c r="O75" s="218">
        <f>L75-M75</f>
        <v/>
      </c>
      <c r="P75" s="218">
        <f>SUM(P70:P74)</f>
        <v/>
      </c>
      <c r="Q75" s="218">
        <f>M75+O75</f>
        <v/>
      </c>
      <c r="R75" s="218">
        <f>SUM(R70:R74)</f>
        <v/>
      </c>
      <c r="S75" s="218">
        <f>SUM(S70:S74)</f>
        <v/>
      </c>
      <c r="T75" s="218" t="n"/>
      <c r="U75" s="218" t="n"/>
      <c r="V75" s="218" t="n"/>
      <c r="W75" s="218" t="n"/>
      <c r="X75" s="218" t="n"/>
      <c r="Y75" s="218" t="n"/>
      <c r="Z75" s="218">
        <f>SUM(Z70:Z74)</f>
        <v/>
      </c>
      <c r="AA75" s="218">
        <f>SUM(AA70:AA74)</f>
        <v/>
      </c>
      <c r="AB75" s="218">
        <f>SUM(AB70:AB74)</f>
        <v/>
      </c>
      <c r="AC75" s="218">
        <f>SUM(AC70:AC74)</f>
        <v/>
      </c>
      <c r="AD75" s="218">
        <f>SUM(AD70:AD74)</f>
        <v/>
      </c>
      <c r="AE75" s="218">
        <f>SUM(AE70:AE74)</f>
        <v/>
      </c>
      <c r="AF75" s="218">
        <f>SUM(AF70:AF74)</f>
        <v/>
      </c>
      <c r="AG75" s="218" t="n"/>
      <c r="AH75" s="218" t="n"/>
      <c r="AI75" s="218">
        <f>SUM(AI70:AI74)</f>
        <v/>
      </c>
      <c r="AJ75" s="218">
        <f>SUM(AJ70:AJ74)</f>
        <v/>
      </c>
      <c r="AK75" s="218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9" t="inlineStr">
        <is>
          <t>（六）间接费</t>
        </is>
      </c>
      <c r="E76" s="213" t="n"/>
      <c r="F76" s="213" t="n"/>
      <c r="G76" s="213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ZGD-境内差旅费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19.85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ZGD-工会经费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174.86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企业年金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17742.24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住房公积金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354846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保安保洁费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85380.32000000001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修理费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45517.86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其他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35702.91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冲晒印刷费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141655.44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办公用品费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342874.91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医疗保险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239686.83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基本养老保险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785587.66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境内差旅费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56585.28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失业保险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27374.29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工会经费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68354.05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工伤保险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41844.32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工资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6390165.85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市内交通费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249.88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律师费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24056.6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折旧费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8068.7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燃油费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61952.74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物业管理费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399120.24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生育保险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5673.75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社保及公积金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275511.16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租车费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18229.2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维修保养费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16244.86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网络使用费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127503.01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职工教育经费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35002.91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职工福利费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188522.63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补充医疗保险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2802.66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诉讼费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310729.56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路桥及停车费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40569.97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软件费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14454.72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/>
      <c r="B109" s="206" t="n"/>
      <c r="C109" s="207" t="n"/>
      <c r="D109" s="207" t="inlineStr">
        <is>
          <t>通信费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9">
        <f>J109-K109</f>
        <v/>
      </c>
      <c r="M109" s="210" t="n">
        <v>35361.79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/>
      <c r="B110" s="206" t="n"/>
      <c r="C110" s="207" t="n"/>
      <c r="D110" s="207" t="inlineStr">
        <is>
          <t>邮寄费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9">
        <f>J110-K110</f>
        <v/>
      </c>
      <c r="M110" s="210" t="n">
        <v>604.72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33" t="n"/>
      <c r="B111" s="199" t="n"/>
      <c r="C111" s="199" t="n"/>
      <c r="D111" s="212" t="inlineStr">
        <is>
          <t>**财务未列部分需增列***</t>
        </is>
      </c>
      <c r="E111" s="213" t="n"/>
      <c r="F111" s="213" t="n"/>
      <c r="G111" s="213" t="n"/>
      <c r="H111" s="235" t="n"/>
      <c r="I111" s="189" t="n"/>
      <c r="J111" s="235" t="n"/>
      <c r="K111" s="201" t="n"/>
      <c r="L111" s="202" t="n"/>
      <c r="M111" s="235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5" t="n"/>
      <c r="U111" s="235" t="n"/>
      <c r="V111" s="235" t="n"/>
      <c r="W111" s="235" t="n"/>
      <c r="X111" s="235" t="n"/>
      <c r="Y111" s="235" t="n"/>
      <c r="Z111" s="235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5" t="n"/>
    </row>
    <row r="112">
      <c r="A112" s="55" t="n"/>
      <c r="B112" s="236" t="n"/>
      <c r="C112" s="236" t="n"/>
      <c r="D112" s="231" t="inlineStr">
        <is>
          <t>间接费小计：</t>
        </is>
      </c>
      <c r="E112" s="237" t="n"/>
      <c r="F112" s="237" t="n"/>
      <c r="G112" s="237" t="n"/>
      <c r="H112" s="218">
        <f>SUM(H76:H111)</f>
        <v/>
      </c>
      <c r="I112" s="218">
        <f>SUM(I76:I111)</f>
        <v/>
      </c>
      <c r="J112" s="218">
        <f>SUM(J76:J111)</f>
        <v/>
      </c>
      <c r="K112" s="218">
        <f>SUM(K76:K111)</f>
        <v/>
      </c>
      <c r="L112" s="233">
        <f>SUM(L76:L111)</f>
        <v/>
      </c>
      <c r="M112" s="233">
        <f>SUM(M76:M111)</f>
        <v/>
      </c>
      <c r="N112" s="233">
        <f>SUM(N76:N111)</f>
        <v/>
      </c>
      <c r="O112" s="233">
        <f>SUM(O76:O111)</f>
        <v/>
      </c>
      <c r="P112" s="233">
        <f>SUM(P76:P111)</f>
        <v/>
      </c>
      <c r="Q112" s="233">
        <f>SUM(Q76:Q111)</f>
        <v/>
      </c>
      <c r="R112" s="233">
        <f>SUM(R76:R111)</f>
        <v/>
      </c>
      <c r="S112" s="233">
        <f>SUM(S76:S111)</f>
        <v/>
      </c>
      <c r="T112" s="233" t="n"/>
      <c r="U112" s="233" t="n"/>
      <c r="V112" s="233" t="n"/>
      <c r="W112" s="233" t="n"/>
      <c r="X112" s="233" t="n"/>
      <c r="Y112" s="233" t="n"/>
      <c r="Z112" s="233">
        <f>SUM(Z76:Z111)</f>
        <v/>
      </c>
      <c r="AA112" s="233">
        <f>SUM(AA76:AA111)</f>
        <v/>
      </c>
      <c r="AB112" s="233">
        <f>SUM(AB76:AB111)</f>
        <v/>
      </c>
      <c r="AC112" s="233">
        <f>SUM(AC76:AC111)</f>
        <v/>
      </c>
      <c r="AD112" s="233">
        <f>SUM(AD76:AD111)</f>
        <v/>
      </c>
      <c r="AE112" s="233">
        <f>SUM(AE76:AE111)</f>
        <v/>
      </c>
      <c r="AF112" s="233">
        <f>SUM(AF76:AF111)</f>
        <v/>
      </c>
      <c r="AG112" s="233" t="n"/>
      <c r="AH112" s="233" t="n"/>
      <c r="AI112" s="233">
        <f>SUM(AI76:AI111)</f>
        <v/>
      </c>
      <c r="AJ112" s="233">
        <f>SUM(AJ76:AJ111)</f>
        <v/>
      </c>
      <c r="AK112" s="233">
        <f>SUM(AK76:AK111)</f>
        <v/>
      </c>
      <c r="AL112" s="215" t="n"/>
    </row>
    <row r="113">
      <c r="A113" s="33" t="n"/>
      <c r="B113" s="199" t="n"/>
      <c r="C113" s="199" t="n"/>
      <c r="D113" s="219" t="inlineStr">
        <is>
          <t>（七）安全费</t>
        </is>
      </c>
      <c r="E113" s="213" t="n"/>
      <c r="F113" s="213" t="n"/>
      <c r="G113" s="213" t="n"/>
      <c r="H113" s="189" t="n"/>
      <c r="I113" s="189" t="n"/>
      <c r="J113" s="184" t="n">
        <v>0</v>
      </c>
      <c r="K113" s="238" t="n"/>
      <c r="L113" s="202">
        <f>J113-N113-P113</f>
        <v/>
      </c>
      <c r="M113" s="189" t="n"/>
      <c r="N113" s="189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35" t="n"/>
      <c r="U113" s="235" t="n"/>
      <c r="V113" s="235" t="n"/>
      <c r="W113" s="235" t="n"/>
      <c r="X113" s="235" t="n"/>
      <c r="Y113" s="235" t="n"/>
      <c r="Z113" s="230" t="n"/>
      <c r="AA113" s="203" t="n"/>
      <c r="AB113" s="188" t="n"/>
      <c r="AC113" s="188" t="n"/>
      <c r="AD113" s="188" t="n"/>
      <c r="AE113" s="188" t="n"/>
      <c r="AF113" s="188" t="n"/>
      <c r="AG113" s="188" t="n"/>
      <c r="AH113" s="188" t="n"/>
      <c r="AI113" s="188" t="n"/>
      <c r="AJ113" s="188" t="n"/>
      <c r="AK113" s="188" t="n"/>
      <c r="AL113" s="215" t="n"/>
    </row>
    <row r="114">
      <c r="A114" s="206" t="n"/>
      <c r="B114" s="206" t="n"/>
      <c r="C114" s="207" t="n"/>
      <c r="D114" s="207" t="inlineStr">
        <is>
          <t>ZGD-安全生产-分包工程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11619636.7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/>
      <c r="B115" s="206" t="n"/>
      <c r="C115" s="207" t="n"/>
      <c r="D115" s="207" t="inlineStr">
        <is>
          <t>安全生产-人工费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951309.41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/>
      <c r="B116" s="206" t="n"/>
      <c r="C116" s="207" t="n"/>
      <c r="D116" s="207" t="inlineStr">
        <is>
          <t>安全生产-分包工程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-4215295.89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/>
      <c r="B117" s="206" t="n"/>
      <c r="C117" s="207" t="n"/>
      <c r="D117" s="207" t="inlineStr">
        <is>
          <t>安全生产费-报销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162980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55" t="n"/>
      <c r="B118" s="236" t="n"/>
      <c r="C118" s="236" t="n"/>
      <c r="D118" s="231" t="inlineStr">
        <is>
          <t>安全费小计：</t>
        </is>
      </c>
      <c r="E118" s="231" t="n"/>
      <c r="F118" s="231" t="n"/>
      <c r="G118" s="231" t="n"/>
      <c r="H118" s="218">
        <f>SUM(H113:H117)</f>
        <v/>
      </c>
      <c r="I118" s="218">
        <f>SUM(I113:I117)</f>
        <v/>
      </c>
      <c r="J118" s="218" t="n">
        <v>0</v>
      </c>
      <c r="K118" s="218" t="n">
        <v>0</v>
      </c>
      <c r="L118" s="202">
        <f>J118-K118</f>
        <v/>
      </c>
      <c r="M118" s="233">
        <f>SUM(M113:M117)</f>
        <v/>
      </c>
      <c r="N118" s="233">
        <f>SUM(N113:N117)</f>
        <v/>
      </c>
      <c r="O118" s="233">
        <f>SUM(O113:O117)</f>
        <v/>
      </c>
      <c r="P118" s="233">
        <f>SUM(P113:P117)</f>
        <v/>
      </c>
      <c r="Q118" s="233">
        <f>SUM(Q113:Q117)</f>
        <v/>
      </c>
      <c r="R118" s="233">
        <f>SUM(R113:R117)</f>
        <v/>
      </c>
      <c r="S118" s="233">
        <f>SUM(S113:S117)</f>
        <v/>
      </c>
      <c r="T118" s="239" t="n"/>
      <c r="U118" s="239" t="n"/>
      <c r="V118" s="239" t="n"/>
      <c r="W118" s="239" t="n"/>
      <c r="X118" s="239" t="n"/>
      <c r="Y118" s="239" t="n"/>
      <c r="Z118" s="239" t="n"/>
      <c r="AA118" s="239">
        <f>SUM(AA113:AA117)</f>
        <v/>
      </c>
      <c r="AB118" s="239">
        <f>SUM(AB113:AB117)</f>
        <v/>
      </c>
      <c r="AC118" s="239">
        <f>SUM(AC113:AC117)</f>
        <v/>
      </c>
      <c r="AD118" s="239">
        <f>SUM(AD113:AD117)</f>
        <v/>
      </c>
      <c r="AE118" s="239">
        <f>SUM(AE113:AE117)</f>
        <v/>
      </c>
      <c r="AF118" s="239">
        <f>SUM(AF113:AF117)</f>
        <v/>
      </c>
      <c r="AG118" s="239" t="n"/>
      <c r="AH118" s="239" t="n"/>
      <c r="AI118" s="239">
        <f>SUM(AI113:AI117)</f>
        <v/>
      </c>
      <c r="AJ118" s="239">
        <f>SUM(AJ113:AJ117)</f>
        <v/>
      </c>
      <c r="AK118" s="239">
        <f>SUM(AK113:AK117)</f>
        <v/>
      </c>
      <c r="AL118" s="240" t="n"/>
    </row>
    <row r="119">
      <c r="A119" s="55" t="n"/>
      <c r="B119" s="236" t="n"/>
      <c r="C119" s="236" t="n"/>
      <c r="D119" s="231" t="inlineStr">
        <is>
          <t>三、成本合计：</t>
        </is>
      </c>
      <c r="E119" s="237" t="n"/>
      <c r="F119" s="237" t="n"/>
      <c r="G119" s="237" t="n"/>
      <c r="H119" s="218">
        <f>H21+H33+H61+H69+H75+H112+H118</f>
        <v/>
      </c>
      <c r="I119" s="218">
        <f>I21+I33+I61+I69+I75+I112+I118</f>
        <v/>
      </c>
      <c r="J119" s="218">
        <f>J21+J33+J61+J69+J75+J112+J118</f>
        <v/>
      </c>
      <c r="K119" s="218">
        <f>K21+K33+K61+K69+K75+K112+K118</f>
        <v/>
      </c>
      <c r="L119" s="233">
        <f>L21+L33+L61+L69+L75+L112+L118</f>
        <v/>
      </c>
      <c r="M119" s="239">
        <f>M21+M33+M61+M69+M75+M112+M118</f>
        <v/>
      </c>
      <c r="N119" s="239">
        <f>N21+N33+N61+N69+N75+N112+N118</f>
        <v/>
      </c>
      <c r="O119" s="239">
        <f>O21+O33+O61+O69+O75+O112+O118</f>
        <v/>
      </c>
      <c r="P119" s="239">
        <f>P21+P33+P61+P69+P75+P112+P118</f>
        <v/>
      </c>
      <c r="Q119" s="239">
        <f>Q21+Q33+Q61+Q69+Q75+Q112+Q118</f>
        <v/>
      </c>
      <c r="R119" s="239">
        <f>R21+R33+R61+R69+R75+R112+R118</f>
        <v/>
      </c>
      <c r="S119" s="239">
        <f>S21+S33+S61+S69+S75+S112+S118</f>
        <v/>
      </c>
      <c r="T119" s="239" t="n"/>
      <c r="U119" s="239" t="n"/>
      <c r="V119" s="239" t="n"/>
      <c r="W119" s="239" t="n"/>
      <c r="X119" s="239" t="n"/>
      <c r="Y119" s="239" t="n"/>
      <c r="Z119" s="239">
        <f>Z21+Z33+Z61+Z69+Z75+Z112+Z118</f>
        <v/>
      </c>
      <c r="AA119" s="239">
        <f>AA21+AA33+AA61+AA69+AA75+AA112+AA118</f>
        <v/>
      </c>
      <c r="AB119" s="239">
        <f>AB21+AB33+AB61+AB69+AB75+AB112+AB118</f>
        <v/>
      </c>
      <c r="AC119" s="239">
        <f>AC21+AC33+AC61+AC69+AC75+AC112+AC118</f>
        <v/>
      </c>
      <c r="AD119" s="239">
        <f>AD21+AD33+AD61+AD69+AD75+AD112+AD118</f>
        <v/>
      </c>
      <c r="AE119" s="239">
        <f>AE21+AE33+AE61+AE69+AE75+AE112+AE118</f>
        <v/>
      </c>
      <c r="AF119" s="239">
        <f>AF21+AF33+AF61+AF69+AF75+AF112+AF118</f>
        <v/>
      </c>
      <c r="AG119" s="239" t="n"/>
      <c r="AH119" s="239" t="n"/>
      <c r="AI119" s="239">
        <f>AI21+AI33+AI61+AI69+AI75+AI112+AI118</f>
        <v/>
      </c>
      <c r="AJ119" s="239">
        <f>AJ21+AJ33+AJ61+AJ69+AJ75+AJ112+AJ118</f>
        <v/>
      </c>
      <c r="AK119" s="239">
        <f>AK21+AK33+AK61+AK69+AK75+AK112+AK118</f>
        <v/>
      </c>
      <c r="AL119" s="240" t="n"/>
    </row>
    <row r="120">
      <c r="A120" s="33" t="n"/>
      <c r="B120" s="199" t="n"/>
      <c r="C120" s="199" t="n"/>
      <c r="D120" s="219" t="inlineStr">
        <is>
          <t>四、计提保修金</t>
        </is>
      </c>
      <c r="E120" s="241" t="inlineStr">
        <is>
          <t>（在建：房建0.6%，其它0.4%；在保修期间的按0.3~0.5%自行确定;保修期结束为0）</t>
        </is>
      </c>
      <c r="F120" s="241" t="n"/>
      <c r="G120" s="241" t="n"/>
      <c r="H120" s="184" t="n"/>
      <c r="I120" s="184" t="n"/>
      <c r="J120" s="184">
        <f>H120+I120</f>
        <v/>
      </c>
      <c r="K120" s="184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>
        <f>Q69-S69</f>
        <v/>
      </c>
      <c r="AB120" s="242" t="n"/>
      <c r="AC120" s="242" t="n"/>
      <c r="AD120" s="242" t="n"/>
      <c r="AE120" s="242" t="n"/>
      <c r="AF120" s="242" t="n"/>
      <c r="AG120" s="242" t="n"/>
      <c r="AH120" s="242" t="n"/>
      <c r="AI120" s="242" t="n"/>
      <c r="AJ120" s="242" t="n"/>
      <c r="AK120" s="188" t="n"/>
      <c r="AL120" s="240" t="n"/>
    </row>
    <row r="121">
      <c r="A121" s="33" t="n"/>
      <c r="B121" s="199" t="n"/>
      <c r="C121" s="199" t="n"/>
      <c r="D121" s="219" t="inlineStr">
        <is>
          <t>五、过程节点奖金</t>
        </is>
      </c>
      <c r="E121" s="213" t="n"/>
      <c r="F121" s="213" t="n"/>
      <c r="G121" s="213" t="n"/>
      <c r="H121" s="184" t="n"/>
      <c r="I121" s="184" t="n"/>
      <c r="J121" s="184">
        <f>H121+I121</f>
        <v/>
      </c>
      <c r="K121" s="184" t="n"/>
      <c r="L121" s="202">
        <f>J121-K121</f>
        <v/>
      </c>
      <c r="M121" s="189" t="n"/>
      <c r="N121" s="189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188" t="n"/>
      <c r="AC121" s="188" t="n"/>
      <c r="AD121" s="188" t="n"/>
      <c r="AE121" s="188" t="n"/>
      <c r="AF121" s="188" t="n"/>
      <c r="AG121" s="188" t="n"/>
      <c r="AH121" s="188" t="n"/>
      <c r="AI121" s="188" t="n"/>
      <c r="AJ121" s="188" t="n"/>
      <c r="AK121" s="188" t="n"/>
      <c r="AL121" s="215" t="n"/>
    </row>
    <row r="122">
      <c r="A122" s="33" t="n"/>
      <c r="B122" s="199" t="n"/>
      <c r="C122" s="199" t="n"/>
      <c r="D122" s="219" t="inlineStr">
        <is>
          <t>六、资金占用费用</t>
        </is>
      </c>
      <c r="E122" s="213" t="n"/>
      <c r="F122" s="213" t="n"/>
      <c r="G122" s="213" t="n"/>
      <c r="H122" s="189" t="n"/>
      <c r="I122" s="189" t="n"/>
      <c r="J122" s="184">
        <f>H122+I122</f>
        <v/>
      </c>
      <c r="K122" s="189" t="n"/>
      <c r="L122" s="202">
        <f>J122-K122</f>
        <v/>
      </c>
      <c r="M122" s="223" t="n">
        <v>762837.87</v>
      </c>
      <c r="N122" s="189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188" t="n"/>
      <c r="AC122" s="188" t="n"/>
      <c r="AD122" s="188" t="n"/>
      <c r="AE122" s="188" t="n"/>
      <c r="AF122" s="188" t="n"/>
      <c r="AG122" s="188" t="n"/>
      <c r="AH122" s="188" t="n"/>
      <c r="AI122" s="188" t="n"/>
      <c r="AJ122" s="188" t="n"/>
      <c r="AK122" s="188" t="n"/>
      <c r="AL122" s="215" t="n"/>
    </row>
    <row r="123">
      <c r="A123" s="33" t="n"/>
      <c r="B123" s="199" t="n"/>
      <c r="C123" s="199" t="n"/>
      <c r="D123" s="219" t="inlineStr">
        <is>
          <t>七、局投资收益（局投资项目选填）</t>
        </is>
      </c>
      <c r="E123" s="213" t="n"/>
      <c r="F123" s="213" t="n"/>
      <c r="G123" s="213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5" t="n"/>
    </row>
    <row r="124">
      <c r="A124" s="55" t="n"/>
      <c r="B124" s="236" t="n"/>
      <c r="C124" s="236" t="n"/>
      <c r="D124" s="231" t="inlineStr">
        <is>
          <t>八、研发费用</t>
        </is>
      </c>
      <c r="E124" s="237" t="n"/>
      <c r="F124" s="237" t="n"/>
      <c r="G124" s="237" t="n"/>
      <c r="H124" s="218" t="n"/>
      <c r="I124" s="218" t="n"/>
      <c r="J124" s="218">
        <f>H124+I124</f>
        <v/>
      </c>
      <c r="K124" s="218" t="n"/>
      <c r="L124" s="233">
        <f>J124-K124</f>
        <v/>
      </c>
      <c r="M124" s="239">
        <f>SUM(M74:M76)</f>
        <v/>
      </c>
      <c r="N124" s="239">
        <f>SUM(N74:N76)</f>
        <v/>
      </c>
      <c r="O124" s="239">
        <f>SUM(O74:O76)</f>
        <v/>
      </c>
      <c r="P124" s="239">
        <f>SUM(P74:P76)</f>
        <v/>
      </c>
      <c r="Q124" s="239">
        <f>SUM(Q74:Q76)</f>
        <v/>
      </c>
      <c r="R124" s="239">
        <f>SUM(R74:R76)</f>
        <v/>
      </c>
      <c r="S124" s="239">
        <f>SUM(S74:S76)</f>
        <v/>
      </c>
      <c r="T124" s="239">
        <f>SUM(T74:T76)</f>
        <v/>
      </c>
      <c r="U124" s="239">
        <f>SUM(U74:U76)</f>
        <v/>
      </c>
      <c r="V124" s="239">
        <f>SUM(V74:V76)</f>
        <v/>
      </c>
      <c r="W124" s="239">
        <f>SUM(W74:W76)</f>
        <v/>
      </c>
      <c r="X124" s="239">
        <f>SUM(X74:X76)</f>
        <v/>
      </c>
      <c r="Y124" s="239">
        <f>SUM(Y74:Y76)</f>
        <v/>
      </c>
      <c r="Z124" s="239">
        <f>SUM(Z74:Z76)</f>
        <v/>
      </c>
      <c r="AA124" s="239">
        <f>SUM(AA74:AA76)</f>
        <v/>
      </c>
      <c r="AB124" s="239">
        <f>SUM(AB74:AB76)</f>
        <v/>
      </c>
      <c r="AC124" s="239">
        <f>SUM(AC74:AC76)</f>
        <v/>
      </c>
      <c r="AD124" s="239">
        <f>SUM(AD74:AD76)</f>
        <v/>
      </c>
      <c r="AE124" s="239">
        <f>SUM(AE74:AE76)</f>
        <v/>
      </c>
      <c r="AF124" s="239">
        <f>SUM(AF74:AF76)</f>
        <v/>
      </c>
      <c r="AG124" s="239">
        <f>SUM(AG74:AG76)</f>
        <v/>
      </c>
      <c r="AH124" s="239">
        <f>SUM(AH74:AH76)</f>
        <v/>
      </c>
      <c r="AI124" s="239">
        <f>SUM(AI74:AI76)</f>
        <v/>
      </c>
      <c r="AJ124" s="239">
        <f>SUM(AJ74:AJ76)</f>
        <v/>
      </c>
      <c r="AK124" s="239">
        <f>SUM(AK74:AK76)</f>
        <v/>
      </c>
      <c r="AL124" s="240" t="n"/>
    </row>
    <row r="125">
      <c r="A125" s="206" t="n"/>
      <c r="B125" s="206" t="n"/>
      <c r="C125" s="207" t="n"/>
      <c r="D125" s="207" t="inlineStr">
        <is>
          <t>研发费用-材料费</t>
        </is>
      </c>
      <c r="E125" s="206" t="n"/>
      <c r="F125" s="206" t="n"/>
      <c r="G125" s="206" t="n"/>
      <c r="H125" s="206" t="n"/>
      <c r="I125" s="206" t="n"/>
      <c r="J125" s="206" t="n"/>
      <c r="K125" s="206" t="n"/>
      <c r="L125" s="206" t="n"/>
      <c r="M125" s="210" t="n">
        <v>3926272.64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33" t="n">
        <v>1</v>
      </c>
      <c r="B126" s="199" t="n"/>
      <c r="C126" s="199" t="n"/>
      <c r="D126" s="219" t="n"/>
      <c r="E126" s="213" t="n"/>
      <c r="F126" s="213" t="n"/>
      <c r="G126" s="213" t="n"/>
      <c r="H126" s="189" t="n"/>
      <c r="I126" s="189" t="n"/>
      <c r="J126" s="184">
        <f>H126+I126</f>
        <v/>
      </c>
      <c r="K126" s="189" t="n"/>
      <c r="L126" s="202">
        <f>J126-K126</f>
        <v/>
      </c>
      <c r="M126" s="189" t="n"/>
      <c r="N126" s="189" t="n"/>
      <c r="O126" s="189">
        <f>L126-M126</f>
        <v/>
      </c>
      <c r="P126" s="189">
        <f>K126-N126</f>
        <v/>
      </c>
      <c r="Q126" s="189">
        <f>M126+O126</f>
        <v/>
      </c>
      <c r="R126" s="189">
        <f>M126+N126+O126+P126</f>
        <v/>
      </c>
      <c r="S126" s="203">
        <f>SUM(T126:V126)</f>
        <v/>
      </c>
      <c r="T126" s="203" t="n"/>
      <c r="U126" s="203" t="n"/>
      <c r="V126" s="203" t="n"/>
      <c r="W126" s="203" t="n"/>
      <c r="X126" s="203" t="n"/>
      <c r="Y126" s="203" t="n"/>
      <c r="Z126" s="203" t="n"/>
      <c r="AA126" s="203" t="n"/>
      <c r="AB126" s="188" t="n"/>
      <c r="AC126" s="188" t="n"/>
      <c r="AD126" s="188" t="n"/>
      <c r="AE126" s="188" t="n"/>
      <c r="AF126" s="188" t="n"/>
      <c r="AG126" s="188" t="n"/>
      <c r="AH126" s="188" t="n"/>
      <c r="AI126" s="188" t="n"/>
      <c r="AJ126" s="188" t="n"/>
      <c r="AK126" s="188" t="n"/>
      <c r="AL126" s="215" t="n"/>
    </row>
    <row r="127">
      <c r="A127" s="33" t="n">
        <v>2</v>
      </c>
      <c r="B127" s="199" t="n"/>
      <c r="C127" s="199" t="n"/>
      <c r="D127" s="219" t="n"/>
      <c r="E127" s="213" t="n"/>
      <c r="F127" s="213" t="n"/>
      <c r="G127" s="213" t="n"/>
      <c r="H127" s="189" t="n"/>
      <c r="I127" s="189" t="n"/>
      <c r="J127" s="184" t="n"/>
      <c r="K127" s="189" t="n"/>
      <c r="L127" s="202" t="n"/>
      <c r="M127" s="189" t="n"/>
      <c r="N127" s="189" t="n"/>
      <c r="O127" s="189">
        <f>L127-M127</f>
        <v/>
      </c>
      <c r="P127" s="189">
        <f>K127-N127</f>
        <v/>
      </c>
      <c r="Q127" s="189">
        <f>M127+O127</f>
        <v/>
      </c>
      <c r="R127" s="189">
        <f>M127+N127+O127+P127</f>
        <v/>
      </c>
      <c r="S127" s="203">
        <f>SUM(T127:V127)</f>
        <v/>
      </c>
      <c r="T127" s="203" t="n"/>
      <c r="U127" s="203" t="n"/>
      <c r="V127" s="203" t="n"/>
      <c r="W127" s="203" t="n"/>
      <c r="X127" s="203" t="n"/>
      <c r="Y127" s="203" t="n"/>
      <c r="Z127" s="203" t="n"/>
      <c r="AA127" s="203" t="n"/>
      <c r="AB127" s="188" t="n"/>
      <c r="AC127" s="188" t="n"/>
      <c r="AD127" s="188" t="n"/>
      <c r="AE127" s="188" t="n"/>
      <c r="AF127" s="188" t="n"/>
      <c r="AG127" s="188" t="n"/>
      <c r="AH127" s="188" t="n"/>
      <c r="AI127" s="188" t="n"/>
      <c r="AJ127" s="188" t="n"/>
      <c r="AK127" s="188" t="n"/>
      <c r="AL127" s="215" t="n"/>
    </row>
    <row r="128">
      <c r="A128" s="33" t="n">
        <v>3</v>
      </c>
      <c r="B128" s="199" t="n"/>
      <c r="C128" s="199" t="n"/>
      <c r="D128" s="219" t="n"/>
      <c r="E128" s="213" t="n"/>
      <c r="F128" s="213" t="n"/>
      <c r="G128" s="213" t="n"/>
      <c r="H128" s="189" t="n"/>
      <c r="I128" s="189" t="n"/>
      <c r="J128" s="184" t="n"/>
      <c r="K128" s="189" t="n"/>
      <c r="L128" s="202" t="n"/>
      <c r="M128" s="189" t="n"/>
      <c r="N128" s="189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03" t="n"/>
      <c r="U128" s="203" t="n"/>
      <c r="V128" s="203" t="n"/>
      <c r="W128" s="203" t="n"/>
      <c r="X128" s="203" t="n"/>
      <c r="Y128" s="203" t="n"/>
      <c r="Z128" s="203" t="n"/>
      <c r="AA128" s="203" t="n"/>
      <c r="AB128" s="188" t="n"/>
      <c r="AC128" s="188" t="n"/>
      <c r="AD128" s="188" t="n"/>
      <c r="AE128" s="188" t="n"/>
      <c r="AF128" s="188" t="n"/>
      <c r="AG128" s="188" t="n"/>
      <c r="AH128" s="188" t="n"/>
      <c r="AI128" s="188" t="n"/>
      <c r="AJ128" s="188" t="n"/>
      <c r="AK128" s="188" t="n"/>
      <c r="AL128" s="215" t="n"/>
    </row>
    <row r="129">
      <c r="A129" s="41" t="n"/>
      <c r="B129" s="216" t="n"/>
      <c r="C129" s="216" t="n"/>
      <c r="D129" s="231" t="inlineStr">
        <is>
          <t>九、成本及费用合计（三+四+五+六+七）</t>
        </is>
      </c>
      <c r="E129" s="232" t="n"/>
      <c r="F129" s="232" t="n"/>
      <c r="G129" s="232" t="n"/>
      <c r="H129" s="218">
        <f>H68+H69+H70+H71+#REF!</f>
        <v/>
      </c>
      <c r="I129" s="218">
        <f>I68+I69+I70+I71+#REF!</f>
        <v/>
      </c>
      <c r="J129" s="243">
        <f>J68+J69+J70+J71+#REF!</f>
        <v/>
      </c>
      <c r="K129" s="218">
        <f>K68+K69+K70+K71+#REF!</f>
        <v/>
      </c>
      <c r="L129" s="244">
        <f>L68+L69+L70+L71+#REF!</f>
        <v/>
      </c>
      <c r="M129" s="244">
        <f>M68+M69+M70+M71</f>
        <v/>
      </c>
      <c r="N129" s="244">
        <f>N68+N69+N70+N71</f>
        <v/>
      </c>
      <c r="O129" s="244">
        <f>O68+O69+O70+O71</f>
        <v/>
      </c>
      <c r="P129" s="244">
        <f>P68+P69+P70+P71</f>
        <v/>
      </c>
      <c r="Q129" s="244">
        <f>Q68+Q69+Q70+Q71</f>
        <v/>
      </c>
      <c r="R129" s="244">
        <f>R68+R69+R70+R71</f>
        <v/>
      </c>
      <c r="S129" s="239">
        <f>S68+S69+S70+S71</f>
        <v/>
      </c>
      <c r="T129" s="239" t="n"/>
      <c r="U129" s="239" t="n"/>
      <c r="V129" s="239" t="n"/>
      <c r="W129" s="239" t="n"/>
      <c r="X129" s="239" t="n"/>
      <c r="Y129" s="239" t="n"/>
      <c r="Z129" s="239">
        <f>Z68+Z69+Z70+Z71</f>
        <v/>
      </c>
      <c r="AA129" s="239">
        <f>AA68+AA69+AA70+AA71</f>
        <v/>
      </c>
      <c r="AB129" s="245" t="n"/>
      <c r="AC129" s="245" t="n"/>
      <c r="AD129" s="245" t="n"/>
      <c r="AE129" s="245" t="n"/>
      <c r="AF129" s="245" t="n"/>
      <c r="AG129" s="245" t="n"/>
      <c r="AH129" s="245" t="n"/>
      <c r="AI129" s="245" t="n"/>
      <c r="AJ129" s="245" t="n"/>
      <c r="AK129" s="246" t="n"/>
      <c r="AL129" s="247" t="n"/>
    </row>
    <row r="130">
      <c r="A130" s="41" t="n"/>
      <c r="B130" s="216" t="n"/>
      <c r="C130" s="216" t="n"/>
      <c r="D130" s="231" t="inlineStr">
        <is>
          <t>十、增值税实际税负（按财务数据）</t>
        </is>
      </c>
      <c r="E130" s="232" t="inlineStr">
        <is>
          <t>根据财务账面实际已缴纳增值税额+尚需缴纳的增值税额</t>
        </is>
      </c>
      <c r="F130" s="232" t="n"/>
      <c r="G130" s="232" t="n"/>
      <c r="H130" s="218" t="n"/>
      <c r="I130" s="218" t="n"/>
      <c r="J130" s="243">
        <f>H78+I78</f>
        <v/>
      </c>
      <c r="K130" s="218" t="inlineStr">
        <is>
          <t>/</t>
        </is>
      </c>
      <c r="L130" s="244" t="inlineStr">
        <is>
          <t>/</t>
        </is>
      </c>
      <c r="M130" s="244" t="n"/>
      <c r="N130" s="244">
        <f>N6-N77</f>
        <v/>
      </c>
      <c r="O130" s="244" t="n"/>
      <c r="P130" s="244" t="n"/>
      <c r="Q130" s="244" t="inlineStr">
        <is>
          <t>/</t>
        </is>
      </c>
      <c r="R130" s="244">
        <f>N78+P78</f>
        <v/>
      </c>
      <c r="S130" s="239" t="n"/>
      <c r="T130" s="239" t="n"/>
      <c r="U130" s="239" t="n"/>
      <c r="V130" s="239" t="n"/>
      <c r="W130" s="239" t="n"/>
      <c r="X130" s="239" t="n"/>
      <c r="Y130" s="239" t="n"/>
      <c r="Z130" s="239" t="n"/>
      <c r="AA130" s="239" t="n"/>
      <c r="AB130" s="245" t="n"/>
      <c r="AC130" s="245" t="n"/>
      <c r="AD130" s="245" t="n"/>
      <c r="AE130" s="245" t="n"/>
      <c r="AF130" s="245" t="n"/>
      <c r="AG130" s="245" t="n"/>
      <c r="AH130" s="245" t="n"/>
      <c r="AI130" s="245" t="n"/>
      <c r="AJ130" s="245" t="n"/>
      <c r="AK130" s="246" t="n"/>
      <c r="AL130" s="247" t="n"/>
    </row>
    <row r="131">
      <c r="A131" s="41" t="n"/>
      <c r="B131" s="216" t="n"/>
      <c r="C131" s="216" t="n"/>
      <c r="D131" s="231" t="inlineStr">
        <is>
          <t>十一、税金及附加（按财务数据）</t>
        </is>
      </c>
      <c r="E131" s="232" t="inlineStr">
        <is>
          <t>根据财务账面实际已缴纳税金及附加+尚需缴纳的税金及附加</t>
        </is>
      </c>
      <c r="F131" s="232" t="n"/>
      <c r="G131" s="232" t="n"/>
      <c r="H131" s="218" t="n"/>
      <c r="I131" s="218" t="n"/>
      <c r="J131" s="243">
        <f>H79+I79</f>
        <v/>
      </c>
      <c r="K131" s="218" t="n"/>
      <c r="L131" s="244">
        <f>J79</f>
        <v/>
      </c>
      <c r="M131" s="248" t="n">
        <v>260389.37</v>
      </c>
      <c r="N131" s="244" t="n"/>
      <c r="O131" s="244">
        <f>L79-M79</f>
        <v/>
      </c>
      <c r="P131" s="244" t="n"/>
      <c r="Q131" s="244">
        <f>M79+O79</f>
        <v/>
      </c>
      <c r="R131" s="244">
        <f>Q79</f>
        <v/>
      </c>
      <c r="S131" s="239" t="n"/>
      <c r="T131" s="239" t="n"/>
      <c r="U131" s="239" t="n"/>
      <c r="V131" s="239" t="n"/>
      <c r="W131" s="239" t="n"/>
      <c r="X131" s="239" t="n"/>
      <c r="Y131" s="239" t="n"/>
      <c r="Z131" s="239" t="n"/>
      <c r="AA131" s="239" t="n"/>
      <c r="AB131" s="245" t="n"/>
      <c r="AC131" s="245" t="n"/>
      <c r="AD131" s="245" t="n"/>
      <c r="AE131" s="245" t="n"/>
      <c r="AF131" s="245" t="n"/>
      <c r="AG131" s="245" t="n"/>
      <c r="AH131" s="245" t="n"/>
      <c r="AI131" s="245" t="n"/>
      <c r="AJ131" s="245" t="n"/>
      <c r="AK131" s="246" t="n"/>
      <c r="AL131" s="247" t="n"/>
    </row>
    <row r="132">
      <c r="A132" s="41" t="n"/>
      <c r="B132" s="216" t="n"/>
      <c r="C132" s="216" t="n"/>
      <c r="D132" s="231" t="inlineStr">
        <is>
          <t>十二、利润</t>
        </is>
      </c>
      <c r="E132" s="232" t="n"/>
      <c r="F132" s="232" t="n"/>
      <c r="G132" s="232" t="n"/>
      <c r="H132" s="218" t="n"/>
      <c r="I132" s="218" t="n"/>
      <c r="J132" s="243">
        <f>J6-J77-J78-J79</f>
        <v/>
      </c>
      <c r="K132" s="218" t="n"/>
      <c r="L132" s="244" t="n"/>
      <c r="M132" s="244" t="n"/>
      <c r="N132" s="244" t="n"/>
      <c r="O132" s="244" t="n"/>
      <c r="P132" s="244" t="n"/>
      <c r="Q132" s="244" t="n"/>
      <c r="R132" s="244" t="n"/>
      <c r="S132" s="239" t="n"/>
      <c r="T132" s="239" t="n"/>
      <c r="U132" s="239" t="n"/>
      <c r="V132" s="239" t="n"/>
      <c r="W132" s="239" t="n"/>
      <c r="X132" s="239" t="n"/>
      <c r="Y132" s="239" t="n"/>
      <c r="Z132" s="239" t="n"/>
      <c r="AA132" s="239" t="n"/>
      <c r="AB132" s="245" t="n"/>
      <c r="AC132" s="245" t="n"/>
      <c r="AD132" s="245" t="n"/>
      <c r="AE132" s="245" t="n"/>
      <c r="AF132" s="245" t="n"/>
      <c r="AG132" s="245" t="n"/>
      <c r="AH132" s="245" t="n"/>
      <c r="AI132" s="245" t="n"/>
      <c r="AJ132" s="245" t="n"/>
      <c r="AK132" s="246" t="n"/>
      <c r="AL132" s="247" t="n"/>
    </row>
    <row r="133">
      <c r="A133" s="105" t="n"/>
      <c r="B133" s="106" t="n"/>
      <c r="C133" s="106" t="n"/>
      <c r="D133" s="107" t="inlineStr">
        <is>
          <t>十三、利润率</t>
        </is>
      </c>
      <c r="E133" s="108" t="n"/>
      <c r="F133" s="108" t="n"/>
      <c r="G133" s="108" t="n"/>
      <c r="H133" s="109" t="n"/>
      <c r="I133" s="109" t="n"/>
      <c r="J133" s="109">
        <f>J80/J6</f>
        <v/>
      </c>
      <c r="K133" s="109" t="n"/>
      <c r="L133" s="127">
        <f>L80/L6</f>
        <v/>
      </c>
      <c r="M133" s="127">
        <f>M80/M6</f>
        <v/>
      </c>
      <c r="N133" s="127" t="n"/>
      <c r="O133" s="127" t="n"/>
      <c r="P133" s="127" t="n"/>
      <c r="Q133" s="127">
        <f>Q80/Q6</f>
        <v/>
      </c>
      <c r="R133" s="127">
        <f>R80/R6</f>
        <v/>
      </c>
      <c r="S133" s="142" t="n"/>
      <c r="T133" s="142" t="n"/>
      <c r="U133" s="142" t="n"/>
      <c r="V133" s="142" t="n"/>
      <c r="W133" s="142" t="n"/>
      <c r="X133" s="142" t="n"/>
      <c r="Y133" s="142" t="n"/>
      <c r="Z133" s="142" t="n"/>
      <c r="AA133" s="142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54" t="n"/>
      <c r="AL133" s="155" t="n"/>
    </row>
    <row r="134">
      <c r="A134" s="111" t="n"/>
      <c r="B134" s="111" t="n"/>
      <c r="C134" s="111" t="n"/>
      <c r="D134" s="112" t="n"/>
      <c r="E134" s="113" t="n"/>
      <c r="F134" s="113" t="n"/>
      <c r="G134" s="113" t="n"/>
      <c r="H134" s="249" t="n"/>
      <c r="I134" s="249" t="n"/>
      <c r="J134" s="250" t="inlineStr">
        <is>
          <t>含税利润率</t>
        </is>
      </c>
      <c r="K134" s="251" t="n"/>
      <c r="L134" s="252" t="inlineStr">
        <is>
          <t>不含税利润率</t>
        </is>
      </c>
      <c r="M134" s="253" t="n"/>
      <c r="N134" s="253" t="n"/>
      <c r="O134" s="253" t="n"/>
      <c r="P134" s="253" t="n"/>
      <c r="Q134" s="253" t="n"/>
      <c r="R134" s="253" t="n"/>
      <c r="S134" s="253" t="n"/>
      <c r="T134" s="253" t="n"/>
      <c r="U134" s="253" t="n"/>
      <c r="V134" s="253" t="n"/>
      <c r="W134" s="253" t="n"/>
      <c r="X134" s="253" t="n"/>
      <c r="Y134" s="253" t="n"/>
      <c r="Z134" s="254" t="n"/>
      <c r="AA134" s="162" t="n"/>
      <c r="AB134" s="255" t="n"/>
      <c r="AC134" s="255" t="n"/>
      <c r="AD134" s="255" t="n"/>
      <c r="AE134" s="255" t="n"/>
      <c r="AF134" s="255" t="n"/>
      <c r="AG134" s="255" t="n"/>
      <c r="AH134" s="255" t="n"/>
      <c r="AI134" s="255" t="n"/>
      <c r="AJ134" s="255" t="n"/>
      <c r="AK134" s="255" t="n"/>
      <c r="AL134" s="156" t="n"/>
    </row>
    <row r="135">
      <c r="A135" s="111" t="n"/>
      <c r="B135" s="111" t="n"/>
      <c r="C135" s="111" t="n"/>
      <c r="D135" s="112" t="n"/>
      <c r="E135" s="113" t="n"/>
      <c r="F135" s="113" t="n"/>
      <c r="G135" s="113" t="n"/>
      <c r="H135" s="249" t="n"/>
      <c r="I135" s="249" t="n"/>
      <c r="J135" s="256" t="n"/>
      <c r="K135" s="249" t="n"/>
      <c r="L135" s="257" t="n"/>
      <c r="M135" s="253" t="n"/>
      <c r="N135" s="253" t="n"/>
      <c r="O135" s="253" t="n"/>
      <c r="P135" s="253" t="n"/>
      <c r="Q135" s="253" t="n"/>
      <c r="R135" s="253" t="n"/>
      <c r="S135" s="253" t="n"/>
      <c r="T135" s="253" t="n"/>
      <c r="U135" s="253" t="n"/>
      <c r="V135" s="253" t="n"/>
      <c r="W135" s="253" t="n"/>
      <c r="X135" s="253" t="n"/>
      <c r="Y135" s="253" t="n"/>
      <c r="Z135" s="254" t="n"/>
      <c r="AA135" s="162" t="n"/>
      <c r="AB135" s="255" t="n"/>
      <c r="AC135" s="255" t="n"/>
      <c r="AD135" s="255" t="n"/>
      <c r="AE135" s="255" t="n"/>
      <c r="AF135" s="255" t="n"/>
      <c r="AG135" s="255" t="n"/>
      <c r="AH135" s="255" t="n"/>
      <c r="AI135" s="255" t="n"/>
      <c r="AJ135" s="255" t="n"/>
      <c r="AK135" s="255" t="n"/>
      <c r="AL135" s="156" t="n"/>
    </row>
    <row r="136">
      <c r="A136" s="116" t="n"/>
      <c r="B136" s="116" t="n"/>
      <c r="C136" s="116" t="n"/>
      <c r="D136" s="117" t="n"/>
      <c r="E136" s="118" t="n"/>
      <c r="F136" s="118" t="n"/>
      <c r="G136" s="118" t="n"/>
      <c r="H136" s="119" t="n"/>
      <c r="I136" s="119" t="n"/>
      <c r="J136" s="134" t="n"/>
      <c r="K136" s="258" t="n"/>
      <c r="L136" s="258" t="n"/>
      <c r="M136" s="259" t="n"/>
      <c r="N136" s="258" t="n"/>
      <c r="O136" s="258" t="n"/>
      <c r="P136" s="260" t="n"/>
      <c r="Q136" s="260" t="n"/>
      <c r="R136" s="258" t="n"/>
      <c r="S136" s="261" t="n"/>
      <c r="T136" s="261" t="n"/>
      <c r="U136" s="261" t="n"/>
      <c r="V136" s="261" t="n"/>
      <c r="W136" s="261" t="n"/>
      <c r="X136" s="261" t="n"/>
      <c r="Y136" s="261" t="n"/>
      <c r="Z136" s="262" t="n"/>
      <c r="AA136" s="263" t="n"/>
      <c r="AD136" s="264" t="n"/>
      <c r="AE136" s="264" t="n"/>
      <c r="AF136" s="264" t="n"/>
      <c r="AG136" s="264" t="n"/>
      <c r="AH136" s="264" t="n"/>
      <c r="AI136" s="264" t="n"/>
      <c r="AJ136" s="264" t="n"/>
      <c r="AK136" s="264" t="n"/>
      <c r="AL136" s="121" t="n"/>
    </row>
    <row r="137">
      <c r="A137" s="121" t="n"/>
      <c r="B137" s="121" t="n"/>
      <c r="C137" s="121" t="n"/>
      <c r="D137" s="121" t="n"/>
      <c r="E137" s="122" t="n"/>
      <c r="F137" s="122" t="n"/>
      <c r="G137" s="122" t="n"/>
      <c r="H137" s="122" t="n"/>
      <c r="I137" s="122" t="n"/>
      <c r="J137" s="122" t="n"/>
      <c r="K137" s="265" t="n"/>
      <c r="L137" s="122" t="n"/>
      <c r="M137" s="266" t="n"/>
      <c r="N137" s="266" t="n"/>
      <c r="O137" s="266" t="n"/>
      <c r="P137" s="266" t="n"/>
      <c r="Q137" s="266" t="n"/>
      <c r="R137" s="266" t="n"/>
      <c r="S137" s="261" t="n"/>
      <c r="T137" s="261" t="n"/>
      <c r="U137" s="261" t="n"/>
      <c r="V137" s="261" t="n"/>
      <c r="W137" s="261" t="n"/>
      <c r="X137" s="261" t="n"/>
      <c r="Y137" s="261" t="n"/>
      <c r="Z137" s="266" t="n"/>
      <c r="AA137" s="264" t="n"/>
      <c r="AB137" s="264" t="n"/>
      <c r="AC137" s="264" t="n"/>
      <c r="AD137" s="264" t="n"/>
      <c r="AE137" s="264" t="n"/>
      <c r="AF137" s="264" t="n"/>
      <c r="AG137" s="264" t="n"/>
      <c r="AH137" s="264" t="n"/>
      <c r="AI137" s="264" t="n"/>
      <c r="AJ137" s="264" t="n"/>
      <c r="AK137" s="264" t="n"/>
      <c r="AL137" s="121" t="n"/>
    </row>
    <row r="138">
      <c r="A138" s="121" t="n"/>
      <c r="B138" s="121" t="n"/>
      <c r="C138" s="121" t="n"/>
      <c r="D138" s="121" t="n"/>
      <c r="E138" s="122" t="n"/>
      <c r="F138" s="122" t="n"/>
      <c r="G138" s="122" t="n"/>
      <c r="H138" s="122" t="n"/>
      <c r="I138" s="122" t="n"/>
      <c r="J138" s="122" t="n"/>
      <c r="K138" s="265" t="n"/>
      <c r="L138" s="122" t="n"/>
      <c r="M138" s="266" t="n"/>
      <c r="N138" s="266" t="n"/>
      <c r="O138" s="266" t="n"/>
      <c r="P138" s="266" t="n"/>
      <c r="Q138" s="266" t="n"/>
      <c r="R138" s="266" t="n"/>
      <c r="S138" s="261" t="n"/>
      <c r="T138" s="261" t="n"/>
      <c r="U138" s="261" t="n"/>
      <c r="V138" s="261" t="n"/>
      <c r="W138" s="261" t="n"/>
      <c r="X138" s="261" t="n"/>
      <c r="Y138" s="261" t="n"/>
      <c r="Z138" s="266" t="n"/>
      <c r="AA138" s="264" t="n"/>
      <c r="AB138" s="264" t="n"/>
      <c r="AC138" s="264" t="n"/>
      <c r="AD138" s="264" t="n"/>
      <c r="AE138" s="264" t="n"/>
      <c r="AF138" s="264" t="n"/>
      <c r="AG138" s="264" t="n"/>
      <c r="AH138" s="264" t="n"/>
      <c r="AI138" s="264" t="n"/>
      <c r="AJ138" s="264" t="n"/>
      <c r="AK138" s="264" t="n"/>
      <c r="AL138" s="121" t="n"/>
    </row>
    <row r="139">
      <c r="A139" s="121" t="n"/>
      <c r="B139" s="121" t="n"/>
      <c r="C139" s="121" t="n"/>
      <c r="D139" s="121" t="n"/>
      <c r="E139" s="123" t="n"/>
      <c r="F139" s="123" t="n"/>
      <c r="G139" s="123" t="n"/>
      <c r="H139" s="122" t="n"/>
      <c r="I139" s="122" t="n"/>
      <c r="J139" s="122" t="n"/>
      <c r="K139" s="123" t="n"/>
      <c r="L139" s="122" t="n"/>
      <c r="M139" s="266" t="n"/>
      <c r="N139" s="262" t="n"/>
      <c r="O139" s="266" t="n"/>
      <c r="P139" s="266" t="n"/>
      <c r="Q139" s="266" t="n"/>
      <c r="R139" s="258" t="n"/>
      <c r="S139" s="261" t="n"/>
      <c r="T139" s="261" t="n"/>
      <c r="U139" s="261" t="n"/>
      <c r="V139" s="261" t="n"/>
      <c r="W139" s="261" t="n"/>
      <c r="X139" s="261" t="n"/>
      <c r="Y139" s="261" t="n"/>
      <c r="Z139" s="266" t="n"/>
      <c r="AA139" s="264" t="n"/>
      <c r="AB139" s="264" t="n"/>
      <c r="AC139" s="264" t="n"/>
      <c r="AD139" s="264" t="n"/>
      <c r="AE139" s="264" t="n"/>
      <c r="AF139" s="264" t="n"/>
      <c r="AG139" s="264" t="n"/>
      <c r="AH139" s="264" t="n"/>
      <c r="AI139" s="264" t="n"/>
      <c r="AJ139" s="264" t="n"/>
      <c r="AK139" s="264" t="n"/>
      <c r="AL139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2026-04-25T02:01:52Z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