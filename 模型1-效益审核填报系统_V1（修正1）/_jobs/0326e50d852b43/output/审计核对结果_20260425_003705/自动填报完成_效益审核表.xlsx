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5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37" authorId="1" shapeId="0">
      <text>
        <t xml:space="preserve">**同财务账面合同履约成本/工程施工成本/机械租赁费数据一致**
</t>
      </text>
    </comment>
    <comment ref="M145" authorId="0" shapeId="0">
      <text>
        <t>于:
**同财务账面合同履约成本/工程施工成本其他直接费数据一致**</t>
      </text>
    </comment>
    <comment ref="M190" authorId="1" shapeId="0">
      <text>
        <t>**同财务账面合同履约成本/工程施工成本/间接费数据一致**</t>
      </text>
    </comment>
    <comment ref="D199" authorId="2" shapeId="0">
      <text>
        <t>（在建：房建0.6%，其它0.4%；在保修期间的按0.3~0.5%自行确定;保修期结束为0）</t>
      </text>
    </comment>
    <comment ref="E213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14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22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67150071.43000001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9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9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9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9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</row>
    <row r="33" ht="14" customFormat="1" customHeight="1" s="180">
      <c r="A33" s="33" t="n"/>
      <c r="B33" s="199" t="n"/>
      <c r="C33" s="199" t="n"/>
      <c r="D33" s="211" t="inlineStr">
        <is>
          <t>**财务未列部分需增列***</t>
        </is>
      </c>
      <c r="E33" s="212" t="n"/>
      <c r="F33" s="212" t="n"/>
      <c r="G33" s="212" t="n"/>
      <c r="H33" s="189" t="n"/>
      <c r="I33" s="189" t="n"/>
      <c r="J33" s="189" t="n"/>
      <c r="K33" s="201" t="n"/>
      <c r="L33" s="202" t="n"/>
      <c r="M33" s="189" t="n"/>
      <c r="N33" s="189" t="n"/>
      <c r="O33" s="189">
        <f>L33-M33</f>
        <v/>
      </c>
      <c r="P33" s="189">
        <f>K33-N33</f>
        <v/>
      </c>
      <c r="Q33" s="189">
        <f>M33+O33</f>
        <v/>
      </c>
      <c r="R33" s="189">
        <f>M33+N33+O33+P33</f>
        <v/>
      </c>
      <c r="S33" s="203">
        <f>SUM(T33:V33)</f>
        <v/>
      </c>
      <c r="T33" s="189" t="n"/>
      <c r="U33" s="189" t="n"/>
      <c r="V33" s="189" t="n"/>
      <c r="W33" s="189" t="n"/>
      <c r="X33" s="189" t="n"/>
      <c r="Y33" s="189" t="n"/>
      <c r="Z33" s="189">
        <f>SUM(AA16:AJ16)</f>
        <v/>
      </c>
      <c r="AA33" s="213" t="n"/>
      <c r="AB33" s="188" t="n"/>
      <c r="AC33" s="188" t="n"/>
      <c r="AD33" s="188" t="n"/>
      <c r="AE33" s="188" t="n"/>
      <c r="AF33" s="188" t="n"/>
      <c r="AG33" s="188" t="n"/>
      <c r="AH33" s="188" t="n"/>
      <c r="AI33" s="188" t="n"/>
      <c r="AJ33" s="188" t="n"/>
      <c r="AK33" s="188">
        <f>AB16/1.17*0.17+AC16/1.16*0.16+AD16/1.11*0.11+AE16/1.1*0.1+AF16/1.09*0.09+AI16/1.03*0.03</f>
        <v/>
      </c>
      <c r="AL33" s="214" t="n"/>
    </row>
    <row r="34" ht="14" customFormat="1" customHeight="1" s="180">
      <c r="A34" s="41" t="n"/>
      <c r="B34" s="215" t="n"/>
      <c r="C34" s="215" t="n"/>
      <c r="D34" s="216" t="inlineStr">
        <is>
          <t>人工费小计：</t>
        </is>
      </c>
      <c r="E34" s="217">
        <f>SUM(E12:E33)</f>
        <v/>
      </c>
      <c r="F34" s="217">
        <f>SUM(F12:F33)</f>
        <v/>
      </c>
      <c r="G34" s="217">
        <f>SUM(G12:G33)</f>
        <v/>
      </c>
      <c r="H34" s="217">
        <f>SUM(H12:H33)</f>
        <v/>
      </c>
      <c r="I34" s="217">
        <f>SUM(I12:I33)</f>
        <v/>
      </c>
      <c r="J34" s="217">
        <f>SUM(J12:J33)</f>
        <v/>
      </c>
      <c r="K34" s="217">
        <f>SUM(K12:K33)</f>
        <v/>
      </c>
      <c r="L34" s="217">
        <f>SUM(L12:L33)</f>
        <v/>
      </c>
      <c r="M34" s="217">
        <f>SUM(M12:M33)</f>
        <v/>
      </c>
      <c r="N34" s="217">
        <f>SUM(N12:N33)</f>
        <v/>
      </c>
      <c r="O34" s="217">
        <f>SUM(O12:O33)</f>
        <v/>
      </c>
      <c r="P34" s="217">
        <f>SUM(P12:P33)</f>
        <v/>
      </c>
      <c r="Q34" s="217">
        <f>SUM(Q12:Q33)</f>
        <v/>
      </c>
      <c r="R34" s="217">
        <f>SUM(R12:R33)</f>
        <v/>
      </c>
      <c r="S34" s="217">
        <f>SUM(S12:S33)</f>
        <v/>
      </c>
      <c r="T34" s="217">
        <f>SUM(T12:T33)</f>
        <v/>
      </c>
      <c r="U34" s="217">
        <f>SUM(U12:U33)</f>
        <v/>
      </c>
      <c r="V34" s="217">
        <f>SUM(V12:V33)</f>
        <v/>
      </c>
      <c r="W34" s="217">
        <f>SUM(W12:W33)</f>
        <v/>
      </c>
      <c r="X34" s="217">
        <f>SUM(X12:X33)</f>
        <v/>
      </c>
      <c r="Y34" s="217">
        <f>SUM(Y12:Y33)</f>
        <v/>
      </c>
      <c r="Z34" s="217">
        <f>SUM(Z12:Z33)</f>
        <v/>
      </c>
      <c r="AA34" s="217">
        <f>SUM(AA12:AA33)</f>
        <v/>
      </c>
      <c r="AB34" s="217">
        <f>SUM(AB12:AB33)</f>
        <v/>
      </c>
      <c r="AC34" s="217">
        <f>SUM(AC12:AC33)</f>
        <v/>
      </c>
      <c r="AD34" s="217">
        <f>SUM(AD12:AD33)</f>
        <v/>
      </c>
      <c r="AE34" s="217">
        <f>SUM(AE12:AE33)</f>
        <v/>
      </c>
      <c r="AF34" s="217">
        <f>SUM(AF12:AF33)</f>
        <v/>
      </c>
      <c r="AG34" s="217">
        <f>SUM(AG12:AG33)</f>
        <v/>
      </c>
      <c r="AH34" s="217">
        <f>SUM(AH12:AH33)</f>
        <v/>
      </c>
      <c r="AI34" s="217">
        <f>SUM(AI12:AI33)</f>
        <v/>
      </c>
      <c r="AJ34" s="217">
        <f>SUM(AJ12:AJ33)</f>
        <v/>
      </c>
      <c r="AK34" s="217">
        <f>SUM(AK12:AK33)</f>
        <v/>
      </c>
      <c r="AL34" s="204" t="n"/>
    </row>
    <row r="35" ht="14" customFormat="1" customHeight="1" s="180">
      <c r="A35" s="33" t="n"/>
      <c r="B35" s="199" t="n"/>
      <c r="C35" s="199" t="n"/>
      <c r="D35" s="218" t="inlineStr">
        <is>
          <t>（二）分包工程</t>
        </is>
      </c>
      <c r="E35" s="199" t="n"/>
      <c r="F35" s="199" t="n"/>
      <c r="G35" s="199" t="n"/>
      <c r="H35" s="189" t="n"/>
      <c r="I35" s="189" t="n"/>
      <c r="J35" s="189" t="n"/>
      <c r="K35" s="201" t="n"/>
      <c r="L35" s="202" t="n"/>
      <c r="M35" s="189" t="n"/>
      <c r="N35" s="189" t="n"/>
      <c r="O35" s="189">
        <f>L35-M35</f>
        <v/>
      </c>
      <c r="P35" s="189">
        <f>K35-N35</f>
        <v/>
      </c>
      <c r="Q35" s="189">
        <f>M35+O35</f>
        <v/>
      </c>
      <c r="R35" s="189">
        <f>M35+N35+O35+P35</f>
        <v/>
      </c>
      <c r="S35" s="203">
        <f>SUM(T35:V35)</f>
        <v/>
      </c>
      <c r="T35" s="203" t="n"/>
      <c r="U35" s="203" t="n"/>
      <c r="V35" s="203" t="n"/>
      <c r="W35" s="203" t="n"/>
      <c r="X35" s="203" t="n"/>
      <c r="Y35" s="203" t="n"/>
      <c r="Z35" s="203" t="n"/>
      <c r="AA35" s="203" t="n"/>
      <c r="AB35" s="203" t="n"/>
      <c r="AC35" s="203" t="n"/>
      <c r="AD35" s="203" t="n"/>
      <c r="AE35" s="203" t="n"/>
      <c r="AF35" s="203" t="n"/>
      <c r="AG35" s="203" t="n"/>
      <c r="AH35" s="203" t="n"/>
      <c r="AI35" s="203" t="n"/>
      <c r="AJ35" s="203" t="n"/>
      <c r="AK35" s="188">
        <f>AB18/1.17*0.17+AC18/1.16*0.16+AD18/1.11*0.11+AE18/1.1*0.1+AF18/1.09*0.09+AI18/1.03*0.03</f>
        <v/>
      </c>
      <c r="AL35" s="204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9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9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9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9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9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9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9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9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9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9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</row>
    <row r="63" ht="14" customFormat="1" customHeight="1" s="180">
      <c r="A63" s="206" t="n">
        <v>28</v>
      </c>
      <c r="B63" s="206" t="n"/>
      <c r="C63" s="207" t="n"/>
      <c r="D63" s="207" t="inlineStr">
        <is>
          <t>ZGD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9" t="n"/>
      <c r="M63" s="210" t="n">
        <v>-7872000.23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</row>
    <row r="64" ht="14" customFormat="1" customHeight="1" s="180">
      <c r="A64" s="33" t="n"/>
      <c r="B64" s="199" t="n"/>
      <c r="C64" s="199" t="n"/>
      <c r="D64" s="211" t="inlineStr">
        <is>
          <t>**财务未列部分需增列***</t>
        </is>
      </c>
      <c r="E64" s="219" t="n"/>
      <c r="F64" s="219" t="n"/>
      <c r="G64" s="219" t="n"/>
      <c r="H64" s="189" t="n"/>
      <c r="I64" s="189" t="n"/>
      <c r="J64" s="189" t="n"/>
      <c r="K64" s="201" t="n"/>
      <c r="L64" s="202" t="n"/>
      <c r="M64" s="189" t="n"/>
      <c r="N64" s="189" t="n"/>
      <c r="O64" s="189">
        <f>L64-M64</f>
        <v/>
      </c>
      <c r="P64" s="189">
        <f>K64-N64</f>
        <v/>
      </c>
      <c r="Q64" s="189">
        <f>M64+O64</f>
        <v/>
      </c>
      <c r="R64" s="189">
        <f>M64+N64+O64+P64</f>
        <v/>
      </c>
      <c r="S64" s="203">
        <f>SUM(T64:V64)</f>
        <v/>
      </c>
      <c r="T64" s="189" t="n"/>
      <c r="U64" s="189" t="n"/>
      <c r="V64" s="189" t="n"/>
      <c r="W64" s="189" t="n"/>
      <c r="X64" s="189" t="n"/>
      <c r="Y64" s="189" t="n"/>
      <c r="Z64" s="203" t="n"/>
      <c r="AA64" s="203" t="n"/>
      <c r="AB64" s="188" t="n"/>
      <c r="AC64" s="188" t="n"/>
      <c r="AD64" s="188" t="n"/>
      <c r="AE64" s="188" t="n"/>
      <c r="AF64" s="188" t="n"/>
      <c r="AG64" s="188" t="n"/>
      <c r="AH64" s="188" t="n"/>
      <c r="AI64" s="188" t="n"/>
      <c r="AJ64" s="188" t="n"/>
      <c r="AK64" s="188">
        <f>AB22/1.17*0.17+AC22/1.16*0.16+AD22/1.11*0.11+AE22/1.1*0.1+AF22/1.09*0.09+AI22/1.03*0.03</f>
        <v/>
      </c>
      <c r="AL64" s="214" t="n"/>
    </row>
    <row r="65" ht="14" customFormat="1" customHeight="1" s="180">
      <c r="A65" s="41" t="n"/>
      <c r="B65" s="215" t="n"/>
      <c r="C65" s="215" t="n"/>
      <c r="D65" s="216" t="inlineStr">
        <is>
          <t>分包工程小计：</t>
        </is>
      </c>
      <c r="E65" s="217">
        <f>SUM(E35:E64)</f>
        <v/>
      </c>
      <c r="F65" s="217">
        <f>SUM(F35:F64)</f>
        <v/>
      </c>
      <c r="G65" s="217">
        <f>SUM(G35:G64)</f>
        <v/>
      </c>
      <c r="H65" s="217">
        <f>SUM(H35:H64)</f>
        <v/>
      </c>
      <c r="I65" s="217">
        <f>SUM(I35:I64)</f>
        <v/>
      </c>
      <c r="J65" s="217">
        <f>SUM(J35:J64)</f>
        <v/>
      </c>
      <c r="K65" s="217">
        <f>SUM(K35:K64)</f>
        <v/>
      </c>
      <c r="L65" s="217">
        <f>SUM(L35:L64)</f>
        <v/>
      </c>
      <c r="M65" s="217">
        <f>SUM(M35:M64)</f>
        <v/>
      </c>
      <c r="N65" s="217">
        <f>SUM(N35:N64)</f>
        <v/>
      </c>
      <c r="O65" s="217">
        <f>SUM(O35:O64)</f>
        <v/>
      </c>
      <c r="P65" s="217">
        <f>SUM(P35:P64)</f>
        <v/>
      </c>
      <c r="Q65" s="217">
        <f>SUM(Q35:Q64)</f>
        <v/>
      </c>
      <c r="R65" s="217">
        <f>SUM(R35:R64)</f>
        <v/>
      </c>
      <c r="S65" s="217">
        <f>SUM(S35:S64)</f>
        <v/>
      </c>
      <c r="T65" s="217">
        <f>SUM(T35:T64)</f>
        <v/>
      </c>
      <c r="U65" s="217">
        <f>SUM(U35:U64)</f>
        <v/>
      </c>
      <c r="V65" s="217">
        <f>SUM(V35:V64)</f>
        <v/>
      </c>
      <c r="W65" s="217">
        <f>SUM(W35:W64)</f>
        <v/>
      </c>
      <c r="X65" s="217">
        <f>SUM(X35:X64)</f>
        <v/>
      </c>
      <c r="Y65" s="217">
        <f>SUM(Y35:Y64)</f>
        <v/>
      </c>
      <c r="Z65" s="217">
        <f>SUM(Z35:Z64)</f>
        <v/>
      </c>
      <c r="AA65" s="217">
        <f>SUM(AA35:AA64)</f>
        <v/>
      </c>
      <c r="AB65" s="217">
        <f>SUM(AB35:AB64)</f>
        <v/>
      </c>
      <c r="AC65" s="217">
        <f>SUM(AC35:AC64)</f>
        <v/>
      </c>
      <c r="AD65" s="217">
        <f>SUM(AD35:AD64)</f>
        <v/>
      </c>
      <c r="AE65" s="217">
        <f>SUM(AE35:AE64)</f>
        <v/>
      </c>
      <c r="AF65" s="217">
        <f>SUM(AF35:AF64)</f>
        <v/>
      </c>
      <c r="AG65" s="217">
        <f>SUM(AG35:AG64)</f>
        <v/>
      </c>
      <c r="AH65" s="217">
        <f>SUM(AH35:AH64)</f>
        <v/>
      </c>
      <c r="AI65" s="217">
        <f>SUM(AI35:AI64)</f>
        <v/>
      </c>
      <c r="AJ65" s="217">
        <f>SUM(AJ35:AJ64)</f>
        <v/>
      </c>
      <c r="AK65" s="217">
        <f>SUM(AK35:AK64)</f>
        <v/>
      </c>
      <c r="AL65" s="204" t="n"/>
    </row>
    <row r="66" ht="14" customFormat="1" customHeight="1" s="180">
      <c r="A66" s="33" t="n"/>
      <c r="B66" s="199" t="n"/>
      <c r="C66" s="199" t="n"/>
      <c r="D66" s="218" t="inlineStr">
        <is>
          <t>(三)材料费</t>
        </is>
      </c>
      <c r="E66" s="199" t="n"/>
      <c r="F66" s="199" t="n"/>
      <c r="G66" s="199" t="n"/>
      <c r="H66" s="189" t="n"/>
      <c r="I66" s="189" t="n"/>
      <c r="J66" s="189" t="n"/>
      <c r="K66" s="201" t="n"/>
      <c r="L66" s="202" t="n"/>
      <c r="M66" s="189" t="n"/>
      <c r="N66" s="189" t="n"/>
      <c r="O66" s="189">
        <f>L66-M66</f>
        <v/>
      </c>
      <c r="P66" s="189">
        <f>K66-N66</f>
        <v/>
      </c>
      <c r="Q66" s="189">
        <f>M66+O66</f>
        <v/>
      </c>
      <c r="R66" s="189">
        <f>M66+N66+O66+P66</f>
        <v/>
      </c>
      <c r="S66" s="203">
        <f>SUM(T66:V66)</f>
        <v/>
      </c>
      <c r="T66" s="203" t="n"/>
      <c r="U66" s="203" t="n"/>
      <c r="V66" s="203" t="n"/>
      <c r="W66" s="203" t="n"/>
      <c r="X66" s="203" t="n"/>
      <c r="Y66" s="203" t="n"/>
      <c r="Z66" s="203" t="n"/>
      <c r="AA66" s="203" t="n"/>
      <c r="AB66" s="220" t="n"/>
      <c r="AC66" s="220" t="n"/>
      <c r="AD66" s="220" t="n"/>
      <c r="AE66" s="220" t="n"/>
      <c r="AF66" s="220" t="n"/>
      <c r="AG66" s="220" t="n"/>
      <c r="AH66" s="220" t="n"/>
      <c r="AI66" s="220" t="n"/>
      <c r="AJ66" s="220" t="n"/>
      <c r="AK66" s="188">
        <f>AB24/1.17*0.17+AC24/1.16*0.16+AD24/1.11*0.11+AE24/1.1*0.1+AF24/1.09*0.09+AI24/1.03*0.03</f>
        <v/>
      </c>
      <c r="AL66" s="221" t="n"/>
    </row>
    <row r="67" ht="14" customFormat="1" customHeight="1" s="180">
      <c r="A67" s="33" t="n"/>
      <c r="B67" s="199" t="n"/>
      <c r="C67" s="199" t="n"/>
      <c r="D67" s="189" t="inlineStr">
        <is>
          <t>（1）集中采购</t>
        </is>
      </c>
      <c r="E67" s="199" t="n"/>
      <c r="F67" s="199" t="n"/>
      <c r="G67" s="199" t="n"/>
      <c r="H67" s="189" t="n"/>
      <c r="I67" s="189" t="n"/>
      <c r="J67" s="189" t="n"/>
      <c r="K67" s="201" t="n"/>
      <c r="L67" s="202" t="n"/>
      <c r="M67" s="189" t="n"/>
      <c r="N67" s="189" t="n"/>
      <c r="O67" s="189">
        <f>L67-M67</f>
        <v/>
      </c>
      <c r="P67" s="189">
        <f>K67-N67</f>
        <v/>
      </c>
      <c r="Q67" s="189">
        <f>M67+O67</f>
        <v/>
      </c>
      <c r="R67" s="189">
        <f>M67+N67+O67+P67</f>
        <v/>
      </c>
      <c r="S67" s="203">
        <f>SUM(T67:V67)</f>
        <v/>
      </c>
      <c r="T67" s="203" t="n"/>
      <c r="U67" s="203" t="n"/>
      <c r="V67" s="203" t="n"/>
      <c r="W67" s="203" t="n"/>
      <c r="X67" s="203" t="n"/>
      <c r="Y67" s="203" t="n"/>
      <c r="Z67" s="203" t="n"/>
      <c r="AA67" s="203" t="n"/>
      <c r="AB67" s="220" t="n"/>
      <c r="AC67" s="220" t="n"/>
      <c r="AD67" s="220" t="n"/>
      <c r="AE67" s="220" t="n"/>
      <c r="AF67" s="220" t="n"/>
      <c r="AG67" s="220" t="n"/>
      <c r="AH67" s="220" t="n"/>
      <c r="AI67" s="220" t="n"/>
      <c r="AJ67" s="220" t="n"/>
      <c r="AK67" s="188">
        <f>AB25/1.17*0.17+AC25/1.16*0.16+AD25/1.11*0.11+AE25/1.1*0.1+AF25/1.09*0.09+AI25/1.03*0.03</f>
        <v/>
      </c>
      <c r="AL67" s="221" t="n"/>
    </row>
    <row r="68" ht="14" customFormat="1" customHeight="1" s="180">
      <c r="A68" s="33" t="n"/>
      <c r="B68" s="199" t="n"/>
      <c r="C68" s="199" t="n"/>
      <c r="D68" s="189" t="inlineStr">
        <is>
          <t>（2）自行采购</t>
        </is>
      </c>
      <c r="E68" s="219" t="n"/>
      <c r="F68" s="219" t="n"/>
      <c r="G68" s="219" t="n"/>
      <c r="H68" s="189" t="n"/>
      <c r="I68" s="189" t="n"/>
      <c r="J68" s="189" t="n"/>
      <c r="K68" s="201" t="n"/>
      <c r="L68" s="202" t="n"/>
      <c r="M68" s="189" t="n"/>
      <c r="N68" s="189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03" t="n"/>
      <c r="U68" s="203" t="n"/>
      <c r="V68" s="203" t="n"/>
      <c r="W68" s="203" t="n"/>
      <c r="X68" s="203" t="n"/>
      <c r="Y68" s="203" t="n"/>
      <c r="Z68" s="189">
        <f>SUM(AA29:AJ29)</f>
        <v/>
      </c>
      <c r="AA68" s="203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188">
        <f>AB29/1.17*0.17+AC29/1.16*0.16+AD29/1.11*0.11+AE29/1.1*0.1+AF29/1.09*0.09+AI29/1.03*0.03</f>
        <v/>
      </c>
      <c r="AL68" s="221" t="n"/>
    </row>
    <row r="69" ht="39" customFormat="1" customHeight="1" s="180">
      <c r="A69" s="33" t="n">
        <v>1</v>
      </c>
      <c r="B69" s="199" t="n"/>
      <c r="C69" s="199" t="n"/>
      <c r="D69" s="218" t="inlineStr">
        <is>
          <t>材料调入</t>
        </is>
      </c>
      <c r="E69" s="199" t="n"/>
      <c r="F69" s="199" t="n"/>
      <c r="G69" s="199" t="n"/>
      <c r="H69" s="189" t="n"/>
      <c r="I69" s="189" t="n"/>
      <c r="J69" s="189" t="n"/>
      <c r="K69" s="201" t="n"/>
      <c r="L69" s="202" t="n"/>
      <c r="M69" s="222" t="n">
        <v>17996069.15</v>
      </c>
      <c r="N69" s="189" t="n"/>
      <c r="O69" s="189">
        <f>L69-M69</f>
        <v/>
      </c>
      <c r="P69" s="189">
        <f>K69-N69</f>
        <v/>
      </c>
      <c r="Q69" s="189">
        <f>M69+O69</f>
        <v/>
      </c>
      <c r="R69" s="189">
        <f>M69+N69+O69+P69</f>
        <v/>
      </c>
      <c r="S69" s="203">
        <f>SUM(T69:V69)</f>
        <v/>
      </c>
      <c r="T69" s="203" t="n"/>
      <c r="U69" s="203" t="n"/>
      <c r="V69" s="203" t="n"/>
      <c r="W69" s="203" t="n"/>
      <c r="X69" s="203" t="n"/>
      <c r="Y69" s="203" t="n"/>
      <c r="Z69" s="189">
        <f>SUM(AA30:AJ30)</f>
        <v/>
      </c>
      <c r="AA69" s="203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188">
        <f>AB30/1.17*0.17+AC30/1.16*0.16+AD30/1.11*0.11+AE30/1.1*0.1+AF30/1.09*0.09+AI30/1.03*0.03</f>
        <v/>
      </c>
      <c r="AL69" s="221" t="n"/>
    </row>
    <row r="70" ht="14" customFormat="1" customHeight="1" s="180">
      <c r="A70" s="33" t="n">
        <v>2</v>
      </c>
      <c r="B70" s="199" t="n"/>
      <c r="C70" s="199" t="n"/>
      <c r="D70" s="218" t="inlineStr">
        <is>
          <t>材料调出（注：负数填报）</t>
        </is>
      </c>
      <c r="E70" s="223" t="n"/>
      <c r="F70" s="223" t="n"/>
      <c r="G70" s="223" t="n"/>
      <c r="H70" s="224" t="n"/>
      <c r="I70" s="224" t="n"/>
      <c r="J70" s="189" t="n"/>
      <c r="K70" s="201" t="n"/>
      <c r="L70" s="202" t="n"/>
      <c r="M70" s="225" t="n">
        <v>-8003517.42</v>
      </c>
      <c r="N70" s="224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24" t="n"/>
      <c r="U70" s="224" t="n"/>
      <c r="V70" s="224" t="n"/>
      <c r="W70" s="224" t="n"/>
      <c r="X70" s="224" t="n"/>
      <c r="Y70" s="224" t="n"/>
      <c r="Z70" s="189">
        <f>SUM(AA31:AJ31)</f>
        <v/>
      </c>
      <c r="AA70" s="224" t="n"/>
      <c r="AB70" s="226" t="n"/>
      <c r="AC70" s="226" t="n"/>
      <c r="AD70" s="226" t="n"/>
      <c r="AE70" s="226" t="n"/>
      <c r="AF70" s="226" t="n"/>
      <c r="AG70" s="226" t="n"/>
      <c r="AH70" s="226" t="n"/>
      <c r="AI70" s="226" t="n"/>
      <c r="AJ70" s="226" t="n"/>
      <c r="AK70" s="188">
        <f>AB31/1.17*0.17+AC31/1.16*0.16+AD31/1.11*0.11+AE31/1.1*0.1+AF31/1.09*0.09+AI31/1.03*0.03</f>
        <v/>
      </c>
      <c r="AL70" s="227" t="n"/>
    </row>
    <row r="71" ht="14" customFormat="1" customHeight="1" s="180">
      <c r="A71" s="33" t="n"/>
      <c r="B71" s="199" t="n"/>
      <c r="C71" s="199" t="n"/>
      <c r="D71" s="218" t="inlineStr">
        <is>
          <t>材料库存（注：项目已结算未使用材料冲减项目成本，负数填报）</t>
        </is>
      </c>
      <c r="E71" s="223" t="n"/>
      <c r="F71" s="223" t="n"/>
      <c r="G71" s="223" t="n"/>
      <c r="H71" s="224" t="n"/>
      <c r="I71" s="224" t="n"/>
      <c r="J71" s="189" t="n"/>
      <c r="K71" s="201" t="n"/>
      <c r="L71" s="202" t="n"/>
      <c r="M71" s="224" t="n"/>
      <c r="N71" s="224" t="n"/>
      <c r="O71" s="189" t="n"/>
      <c r="P71" s="189" t="n"/>
      <c r="Q71" s="189" t="n"/>
      <c r="R71" s="189" t="n"/>
      <c r="S71" s="203" t="n"/>
      <c r="T71" s="224" t="n"/>
      <c r="U71" s="224" t="n"/>
      <c r="V71" s="224" t="n"/>
      <c r="W71" s="224" t="n"/>
      <c r="X71" s="224" t="n"/>
      <c r="Y71" s="224" t="n"/>
      <c r="Z71" s="189" t="n"/>
      <c r="AA71" s="224" t="n"/>
      <c r="AB71" s="226" t="n"/>
      <c r="AC71" s="226" t="n"/>
      <c r="AD71" s="226" t="n"/>
      <c r="AE71" s="226" t="n"/>
      <c r="AF71" s="226" t="n"/>
      <c r="AG71" s="226" t="n"/>
      <c r="AH71" s="226" t="n"/>
      <c r="AI71" s="226" t="n"/>
      <c r="AJ71" s="226" t="n"/>
      <c r="AK71" s="188" t="n"/>
      <c r="AL71" s="227" t="n"/>
    </row>
    <row r="72" ht="14" customFormat="1" customHeight="1" s="180">
      <c r="A72" s="206" t="n">
        <v>3</v>
      </c>
      <c r="B72" s="206" t="inlineStr">
        <is>
          <t>200234685</t>
        </is>
      </c>
      <c r="C72" s="207" t="inlineStr">
        <is>
          <t>中建四局0200202101806022</t>
        </is>
      </c>
      <c r="D72" s="207" t="inlineStr">
        <is>
          <t>上海找钢网供应链管理有限公司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9" t="n"/>
      <c r="M72" s="210" t="n">
        <v>2740600.46</v>
      </c>
      <c r="N72" s="210" t="n">
        <v>356278.05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3096878.51</v>
      </c>
      <c r="U72" s="206" t="n"/>
      <c r="V72" s="206" t="n"/>
    </row>
    <row r="73" ht="14" customFormat="1" customHeight="1" s="180">
      <c r="A73" s="206" t="n">
        <v>4</v>
      </c>
      <c r="B73" s="206" t="inlineStr">
        <is>
          <t>2043724</t>
        </is>
      </c>
      <c r="C73" s="207" t="inlineStr">
        <is>
          <t>中建四局020020210018060002</t>
        </is>
      </c>
      <c r="D73" s="207" t="inlineStr">
        <is>
          <t>中建四局绿色建筑科技（广东）有限公司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9" t="n"/>
      <c r="M73" s="210" t="n">
        <v>752363.78</v>
      </c>
      <c r="N73" s="210" t="n">
        <v>97807.23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850171.01</v>
      </c>
      <c r="U73" s="206" t="n"/>
      <c r="V73" s="206" t="n"/>
    </row>
    <row r="74" ht="14" customFormat="1" customHeight="1" s="180">
      <c r="A74" s="206" t="n">
        <v>5</v>
      </c>
      <c r="B74" s="206" t="inlineStr">
        <is>
          <t>100197784</t>
        </is>
      </c>
      <c r="C74" s="207" t="inlineStr">
        <is>
          <t>中建四局0200202101806025</t>
        </is>
      </c>
      <c r="D74" s="207" t="inlineStr">
        <is>
          <t>中铁物资集团华南有限公司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9" t="n"/>
      <c r="M74" s="210" t="n">
        <v>4776307.53</v>
      </c>
      <c r="N74" s="210" t="n">
        <v>620919.97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5397227.5</v>
      </c>
      <c r="U74" s="206" t="n"/>
      <c r="V74" s="206" t="n"/>
    </row>
    <row r="75" ht="14" customFormat="1" customHeight="1" s="180">
      <c r="A75" s="206" t="n">
        <v>6</v>
      </c>
      <c r="B75" s="206" t="inlineStr">
        <is>
          <t>100237790</t>
        </is>
      </c>
      <c r="C75" s="207" t="inlineStr">
        <is>
          <t>中建四局0200202101806004</t>
        </is>
      </c>
      <c r="D75" s="207" t="inlineStr">
        <is>
          <t>佛山唐贵五金电器有限公司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9" t="n"/>
      <c r="M75" s="210" t="n">
        <v>14369</v>
      </c>
      <c r="N75" s="210" t="n">
        <v>1867.97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16236.97</v>
      </c>
      <c r="U75" s="206" t="n"/>
      <c r="V75" s="206" t="n"/>
    </row>
    <row r="76" ht="14" customFormat="1" customHeight="1" s="180">
      <c r="A76" s="206" t="n">
        <v>7</v>
      </c>
      <c r="B76" s="206" t="inlineStr">
        <is>
          <t>100237790</t>
        </is>
      </c>
      <c r="C76" s="207" t="inlineStr">
        <is>
          <t>中建四局0200202101806005</t>
        </is>
      </c>
      <c r="D76" s="207" t="inlineStr">
        <is>
          <t>佛山唐贵五金电器有限公司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9" t="n"/>
      <c r="M76" s="210" t="n">
        <v>130267</v>
      </c>
      <c r="N76" s="210" t="n">
        <v>16934.71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147201.71</v>
      </c>
      <c r="U76" s="206" t="n"/>
      <c r="V76" s="206" t="n"/>
    </row>
    <row r="77" ht="14" customFormat="1" customHeight="1" s="180">
      <c r="A77" s="206" t="n">
        <v>8</v>
      </c>
      <c r="B77" s="206" t="inlineStr">
        <is>
          <t>100237790</t>
        </is>
      </c>
      <c r="C77" s="207" t="inlineStr">
        <is>
          <t>中建四局0200202101806006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9" t="n"/>
      <c r="M77" s="210" t="n">
        <v>2550134.38</v>
      </c>
      <c r="N77" s="210" t="n">
        <v>331517.47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2881651.85</v>
      </c>
      <c r="U77" s="206" t="n"/>
      <c r="V77" s="206" t="n"/>
    </row>
    <row r="78" ht="26" customFormat="1" customHeight="1" s="180">
      <c r="A78" s="206" t="n">
        <v>9</v>
      </c>
      <c r="B78" s="206" t="inlineStr">
        <is>
          <t>100237790</t>
        </is>
      </c>
      <c r="C78" s="207" t="inlineStr">
        <is>
          <t>中建四局0200202101806016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9" t="n"/>
      <c r="M78" s="210" t="n">
        <v>2123772.79</v>
      </c>
      <c r="N78" s="210" t="n">
        <v>276090.52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2399863.31</v>
      </c>
      <c r="U78" s="206" t="n"/>
      <c r="V78" s="206" t="n"/>
    </row>
    <row r="79" ht="26" customFormat="1" customHeight="1" s="180">
      <c r="A79" s="206" t="n">
        <v>10</v>
      </c>
      <c r="B79" s="206" t="inlineStr">
        <is>
          <t>100146779</t>
        </is>
      </c>
      <c r="C79" s="207" t="inlineStr">
        <is>
          <t>中建四局0200202101806026</t>
        </is>
      </c>
      <c r="D79" s="207" t="inlineStr">
        <is>
          <t>佛山市南海区洪顺水泥构件厂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9" t="n"/>
      <c r="M79" s="210" t="n">
        <v>1006289.65</v>
      </c>
      <c r="N79" s="210" t="n">
        <v>130817.7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1137107.35</v>
      </c>
      <c r="U79" s="206" t="n"/>
      <c r="V79" s="206" t="n"/>
    </row>
    <row r="80" ht="14" customFormat="1" customHeight="1" s="180">
      <c r="A80" s="206" t="n">
        <v>11</v>
      </c>
      <c r="B80" s="206" t="inlineStr">
        <is>
          <t>100206907</t>
        </is>
      </c>
      <c r="C80" s="207" t="inlineStr">
        <is>
          <t>中建四局0200202101806014</t>
        </is>
      </c>
      <c r="D80" s="207" t="inlineStr">
        <is>
          <t>佛山市开力电气有限公司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9" t="n"/>
      <c r="M80" s="210" t="n">
        <v>63203</v>
      </c>
      <c r="N80" s="210" t="n">
        <v>8216.389999999999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71419.39</v>
      </c>
      <c r="U80" s="206" t="n"/>
      <c r="V80" s="206" t="n"/>
    </row>
    <row r="81" ht="14" customFormat="1" customHeight="1" s="3">
      <c r="A81" s="206" t="n">
        <v>12</v>
      </c>
      <c r="B81" s="206" t="inlineStr">
        <is>
          <t>200162951</t>
        </is>
      </c>
      <c r="C81" s="207" t="inlineStr">
        <is>
          <t>中建四局0200202101806036</t>
        </is>
      </c>
      <c r="D81" s="207" t="inlineStr">
        <is>
          <t>佛山市翊德通新型环保科技建材有限公司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9" t="n"/>
      <c r="M81" s="210" t="n">
        <v>4369961.51</v>
      </c>
      <c r="N81" s="210" t="n">
        <v>568095.3199999999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4938056.52</v>
      </c>
      <c r="U81" s="206" t="n"/>
      <c r="V81" s="206" t="n"/>
    </row>
    <row r="82" ht="14" customHeight="1" s="159">
      <c r="A82" s="206" t="n">
        <v>13</v>
      </c>
      <c r="B82" s="206" t="inlineStr">
        <is>
          <t>100232795</t>
        </is>
      </c>
      <c r="C82" s="207" t="inlineStr">
        <is>
          <t>中建四局0200202101806001</t>
        </is>
      </c>
      <c r="D82" s="207" t="inlineStr">
        <is>
          <t>佰丽特（厦门）电气科技有限公司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9" t="n"/>
      <c r="M82" s="210" t="n">
        <v>333728</v>
      </c>
      <c r="N82" s="210" t="n">
        <v>43384.64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301690.11</v>
      </c>
      <c r="U82" s="206" t="n"/>
      <c r="V82" s="206" t="n"/>
    </row>
    <row r="83" ht="14" customHeight="1" s="159">
      <c r="A83" s="206" t="n">
        <v>14</v>
      </c>
      <c r="B83" s="206" t="inlineStr">
        <is>
          <t>200282611</t>
        </is>
      </c>
      <c r="C83" s="207" t="inlineStr">
        <is>
          <t>中建四局0200202101806009</t>
        </is>
      </c>
      <c r="D83" s="207" t="inlineStr">
        <is>
          <t>平安商贸有限公司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9" t="n"/>
      <c r="M83" s="210" t="n">
        <v>8873935.289999999</v>
      </c>
      <c r="N83" s="210" t="n">
        <v>1153611.59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10027546.88</v>
      </c>
      <c r="U83" s="206" t="n"/>
      <c r="V83" s="206" t="n"/>
    </row>
    <row r="84">
      <c r="A84" s="206" t="n">
        <v>15</v>
      </c>
      <c r="B84" s="206" t="inlineStr">
        <is>
          <t>200609375</t>
        </is>
      </c>
      <c r="C84" s="207" t="inlineStr">
        <is>
          <t>中建四局0200202101806040</t>
        </is>
      </c>
      <c r="D84" s="207" t="inlineStr">
        <is>
          <t>广东富景成环保建材有限公司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9" t="n"/>
      <c r="M84" s="210" t="n">
        <v>385917.65</v>
      </c>
      <c r="N84" s="210" t="n">
        <v>50169.29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436086.94</v>
      </c>
      <c r="U84" s="206" t="n"/>
      <c r="V84" s="206" t="n"/>
    </row>
    <row r="85">
      <c r="A85" s="206" t="n">
        <v>16</v>
      </c>
      <c r="B85" s="206" t="inlineStr">
        <is>
          <t>200589118</t>
        </is>
      </c>
      <c r="C85" s="207" t="inlineStr">
        <is>
          <t>中建四局020020210018060001</t>
        </is>
      </c>
      <c r="D85" s="207" t="inlineStr">
        <is>
          <t>广东广物中南建材集团有限公司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9" t="n"/>
      <c r="M85" s="210" t="n">
        <v>4299184.04</v>
      </c>
      <c r="N85" s="210" t="n">
        <v>558893.95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4858077.99</v>
      </c>
      <c r="U85" s="206" t="n"/>
      <c r="V85" s="206" t="n"/>
    </row>
    <row r="86">
      <c r="A86" s="206" t="n">
        <v>17</v>
      </c>
      <c r="B86" s="206" t="inlineStr">
        <is>
          <t>100218495</t>
        </is>
      </c>
      <c r="C86" s="207" t="inlineStr">
        <is>
          <t>中建四局0200202101806024</t>
        </is>
      </c>
      <c r="D86" s="207" t="inlineStr">
        <is>
          <t>广东广物物资有限公司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9" t="n"/>
      <c r="M86" s="210" t="n">
        <v>52140600.21</v>
      </c>
      <c r="N86" s="210" t="n">
        <v>6778278.02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57634200</v>
      </c>
      <c r="U86" s="206" t="n"/>
      <c r="V86" s="206" t="n"/>
    </row>
    <row r="87">
      <c r="A87" s="206" t="n">
        <v>18</v>
      </c>
      <c r="B87" s="206" t="inlineStr">
        <is>
          <t>100217200</t>
        </is>
      </c>
      <c r="C87" s="207" t="inlineStr">
        <is>
          <t>中建四局0200202101806042</t>
        </is>
      </c>
      <c r="D87" s="207" t="inlineStr">
        <is>
          <t>广东新瑞龙生态建材有限公司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9" t="n"/>
      <c r="M87" s="210" t="n">
        <v>9943627.460000001</v>
      </c>
      <c r="N87" s="210" t="n">
        <v>1292671.55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10199210.04</v>
      </c>
      <c r="U87" s="206" t="n"/>
      <c r="V87" s="206" t="n"/>
    </row>
    <row r="88">
      <c r="A88" s="206" t="n">
        <v>19</v>
      </c>
      <c r="B88" s="206" t="inlineStr">
        <is>
          <t>100217564</t>
        </is>
      </c>
      <c r="C88" s="207" t="inlineStr">
        <is>
          <t>中建四局0200202101806015</t>
        </is>
      </c>
      <c r="D88" s="207" t="inlineStr">
        <is>
          <t>广东顺德雍强贸易有限公司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9" t="n"/>
      <c r="M88" s="210" t="n">
        <v>5074499.2</v>
      </c>
      <c r="N88" s="210" t="n">
        <v>659684.51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5722211.35</v>
      </c>
      <c r="U88" s="206" t="n"/>
      <c r="V88" s="206" t="n"/>
    </row>
    <row r="89">
      <c r="A89" s="206" t="n">
        <v>20</v>
      </c>
      <c r="B89" s="206" t="inlineStr">
        <is>
          <t>200028988</t>
        </is>
      </c>
      <c r="C89" s="207" t="inlineStr">
        <is>
          <t>中建四局0200202101806020</t>
        </is>
      </c>
      <c r="D89" s="207" t="inlineStr">
        <is>
          <t>广州天源混凝土有限公司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9" t="n"/>
      <c r="M89" s="210" t="n">
        <v>82619375.06999999</v>
      </c>
      <c r="N89" s="210" t="n">
        <v>2479172.51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76114127.56</v>
      </c>
      <c r="U89" s="206" t="n"/>
      <c r="V89" s="206" t="n"/>
    </row>
    <row r="90">
      <c r="A90" s="206" t="n">
        <v>21</v>
      </c>
      <c r="B90" s="206" t="inlineStr">
        <is>
          <t>100118018</t>
        </is>
      </c>
      <c r="C90" s="207" t="inlineStr">
        <is>
          <t>中建四局0200202101806023</t>
        </is>
      </c>
      <c r="D90" s="207" t="inlineStr">
        <is>
          <t>广州天达混凝土有限公司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9" t="n"/>
      <c r="M90" s="210" t="n">
        <v>7029897.31</v>
      </c>
      <c r="N90" s="210" t="n">
        <v>210896.97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7240794.28</v>
      </c>
      <c r="U90" s="206" t="n"/>
      <c r="V90" s="206" t="n"/>
    </row>
    <row r="91">
      <c r="A91" s="206" t="n">
        <v>22</v>
      </c>
      <c r="B91" s="206" t="inlineStr">
        <is>
          <t>100217350</t>
        </is>
      </c>
      <c r="C91" s="207" t="inlineStr">
        <is>
          <t>中建四局0200202101806003</t>
        </is>
      </c>
      <c r="D91" s="207" t="inlineStr">
        <is>
          <t>广州市嘉宇金属制品有限公司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9" t="n"/>
      <c r="M91" s="210" t="n">
        <v>416379</v>
      </c>
      <c r="N91" s="210" t="n">
        <v>54129.27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470508.27</v>
      </c>
      <c r="U91" s="206" t="n"/>
      <c r="V91" s="206" t="n"/>
    </row>
    <row r="92">
      <c r="A92" s="206" t="n">
        <v>23</v>
      </c>
      <c r="B92" s="206" t="inlineStr">
        <is>
          <t>100217450</t>
        </is>
      </c>
      <c r="C92" s="207" t="inlineStr">
        <is>
          <t>中建四局0200202101806041</t>
        </is>
      </c>
      <c r="D92" s="207" t="inlineStr">
        <is>
          <t>广州市常宏建材有限公司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9" t="n"/>
      <c r="M92" s="210" t="n">
        <v>32639</v>
      </c>
      <c r="N92" s="210" t="n">
        <v>4243.07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36882.07</v>
      </c>
      <c r="U92" s="206" t="n"/>
      <c r="V92" s="206" t="n"/>
    </row>
    <row r="93">
      <c r="A93" s="206" t="n">
        <v>24</v>
      </c>
      <c r="B93" s="206" t="inlineStr">
        <is>
          <t>100115149</t>
        </is>
      </c>
      <c r="C93" s="207" t="inlineStr">
        <is>
          <t>中建四局0200202101806035</t>
        </is>
      </c>
      <c r="D93" s="207" t="inlineStr">
        <is>
          <t>广州市建邦建材有限公司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9" t="n"/>
      <c r="M93" s="210" t="n">
        <v>7683428.5</v>
      </c>
      <c r="N93" s="210" t="n">
        <v>998845.46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8682273.960000001</v>
      </c>
      <c r="U93" s="206" t="n"/>
      <c r="V93" s="206" t="n"/>
    </row>
    <row r="94">
      <c r="A94" s="206" t="n">
        <v>25</v>
      </c>
      <c r="B94" s="206" t="inlineStr">
        <is>
          <t>100147894</t>
        </is>
      </c>
      <c r="C94" s="207" t="inlineStr">
        <is>
          <t>中建四局0200202101806007</t>
        </is>
      </c>
      <c r="D94" s="207" t="inlineStr">
        <is>
          <t>广州市息县旺建材有限公司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9" t="n"/>
      <c r="M94" s="210" t="n">
        <v>950254.54</v>
      </c>
      <c r="N94" s="210" t="n">
        <v>123533.02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1067146.16</v>
      </c>
      <c r="U94" s="206" t="n"/>
      <c r="V94" s="206" t="n"/>
    </row>
    <row r="95">
      <c r="A95" s="206" t="n">
        <v>26</v>
      </c>
      <c r="B95" s="206" t="inlineStr">
        <is>
          <t>200335317</t>
        </is>
      </c>
      <c r="C95" s="207" t="inlineStr">
        <is>
          <t>中建四局0200202101806029</t>
        </is>
      </c>
      <c r="D95" s="207" t="inlineStr">
        <is>
          <t>广州市汇亿鑫贸易有限公司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9" t="n"/>
      <c r="M95" s="210" t="n">
        <v>274015</v>
      </c>
      <c r="N95" s="210" t="n">
        <v>35621.95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309636.95</v>
      </c>
      <c r="U95" s="206" t="n"/>
      <c r="V95" s="206" t="n"/>
    </row>
    <row r="96">
      <c r="A96" s="206" t="n">
        <v>27</v>
      </c>
      <c r="B96" s="206" t="inlineStr">
        <is>
          <t>100006014</t>
        </is>
      </c>
      <c r="C96" s="207" t="inlineStr">
        <is>
          <t>中建四局0200202101806038</t>
        </is>
      </c>
      <c r="D96" s="207" t="inlineStr">
        <is>
          <t>广州市番禺区石楼镇沙南建材二厂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9" t="n"/>
      <c r="M96" s="210" t="n">
        <v>1561706.28</v>
      </c>
      <c r="N96" s="210" t="n">
        <v>203021.99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1764728.27</v>
      </c>
      <c r="U96" s="206" t="n"/>
      <c r="V96" s="206" t="n"/>
    </row>
    <row r="97">
      <c r="A97" s="206" t="n">
        <v>28</v>
      </c>
      <c r="B97" s="206" t="inlineStr">
        <is>
          <t>100118301</t>
        </is>
      </c>
      <c r="C97" s="207" t="inlineStr">
        <is>
          <t>中建四局0200202101806019</t>
        </is>
      </c>
      <c r="D97" s="207" t="inlineStr">
        <is>
          <t>广州市维意建材有限公司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9" t="n"/>
      <c r="M97" s="210" t="n">
        <v>27146211.76</v>
      </c>
      <c r="N97" s="210" t="n">
        <v>814386.39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27960598.15</v>
      </c>
      <c r="U97" s="206" t="n"/>
      <c r="V97" s="206" t="n"/>
    </row>
    <row r="98">
      <c r="A98" s="206" t="n">
        <v>29</v>
      </c>
      <c r="B98" s="206" t="inlineStr">
        <is>
          <t>100118101</t>
        </is>
      </c>
      <c r="C98" s="207" t="inlineStr">
        <is>
          <t>中建四局0200202101806032</t>
        </is>
      </c>
      <c r="D98" s="207" t="inlineStr">
        <is>
          <t>广州市长兴混凝土有限公司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9" t="n"/>
      <c r="M98" s="210" t="n">
        <v>7126276.05</v>
      </c>
      <c r="N98" s="210" t="n">
        <v>213788.29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7297640.86</v>
      </c>
      <c r="U98" s="206" t="n"/>
      <c r="V98" s="206" t="n"/>
    </row>
    <row r="99">
      <c r="A99" s="206" t="n">
        <v>30</v>
      </c>
      <c r="B99" s="206" t="inlineStr">
        <is>
          <t>100217478</t>
        </is>
      </c>
      <c r="C99" s="207" t="inlineStr">
        <is>
          <t>中建四局0200202101806017</t>
        </is>
      </c>
      <c r="D99" s="207" t="inlineStr">
        <is>
          <t>广州建侯建材有限公司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9" t="n"/>
      <c r="M99" s="210" t="n">
        <v>1538956.12</v>
      </c>
      <c r="N99" s="210" t="n">
        <v>200064.3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1739020.42</v>
      </c>
      <c r="U99" s="206" t="n"/>
      <c r="V99" s="206" t="n"/>
    </row>
    <row r="100">
      <c r="A100" s="206" t="n">
        <v>31</v>
      </c>
      <c r="B100" s="206" t="inlineStr">
        <is>
          <t>100094223</t>
        </is>
      </c>
      <c r="C100" s="207" t="inlineStr">
        <is>
          <t>中建四局0200202101806034</t>
        </is>
      </c>
      <c r="D100" s="207" t="inlineStr">
        <is>
          <t>广州晴泰蓝环保工程有限公司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9" t="n"/>
      <c r="M100" s="210" t="n">
        <v>140000</v>
      </c>
      <c r="N100" s="210" t="n">
        <v>18200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158200</v>
      </c>
      <c r="U100" s="206" t="n"/>
      <c r="V100" s="206" t="n"/>
    </row>
    <row r="101">
      <c r="A101" s="206" t="n">
        <v>32</v>
      </c>
      <c r="B101" s="206" t="inlineStr">
        <is>
          <t>200413088</t>
        </is>
      </c>
      <c r="C101" s="207" t="inlineStr">
        <is>
          <t>中建四局0200202101806021</t>
        </is>
      </c>
      <c r="D101" s="207" t="inlineStr">
        <is>
          <t>广州盒子住宅科技有限公司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9" t="n"/>
      <c r="M101" s="210" t="n">
        <v>13945976.97</v>
      </c>
      <c r="N101" s="210" t="n">
        <v>1793690.33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8652600</v>
      </c>
      <c r="U101" s="206" t="n"/>
      <c r="V101" s="206" t="n"/>
    </row>
    <row r="102">
      <c r="A102" s="206" t="n">
        <v>33</v>
      </c>
      <c r="B102" s="206" t="inlineStr">
        <is>
          <t>200234923</t>
        </is>
      </c>
      <c r="C102" s="207" t="inlineStr">
        <is>
          <t>中建四局0200202101806013</t>
        </is>
      </c>
      <c r="D102" s="207" t="inlineStr">
        <is>
          <t>广州睿越建材有限公司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9" t="n"/>
      <c r="M102" s="210" t="n">
        <v>43710.65</v>
      </c>
      <c r="N102" s="210" t="n">
        <v>5682.39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49393.04</v>
      </c>
      <c r="U102" s="206" t="n"/>
      <c r="V102" s="206" t="n"/>
    </row>
    <row r="103">
      <c r="A103" s="206" t="n">
        <v>34</v>
      </c>
      <c r="B103" s="206" t="inlineStr">
        <is>
          <t>100119801</t>
        </is>
      </c>
      <c r="C103" s="207" t="inlineStr">
        <is>
          <t>中建四局0200202101806037</t>
        </is>
      </c>
      <c r="D103" s="207" t="inlineStr">
        <is>
          <t>广州禄臻贸易有限公司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9" t="n"/>
      <c r="M103" s="210" t="n">
        <v>582161.09</v>
      </c>
      <c r="N103" s="210" t="n">
        <v>75681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657842.08</v>
      </c>
      <c r="U103" s="206" t="n"/>
      <c r="V103" s="206" t="n"/>
    </row>
    <row r="104">
      <c r="A104" s="206" t="n">
        <v>35</v>
      </c>
      <c r="B104" s="206" t="inlineStr">
        <is>
          <t>100217843</t>
        </is>
      </c>
      <c r="C104" s="207" t="inlineStr">
        <is>
          <t>中建四局0200202101806039</t>
        </is>
      </c>
      <c r="D104" s="207" t="inlineStr">
        <is>
          <t>广州绿色金融街投资管理有限公司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9" t="n"/>
      <c r="M104" s="210" t="n">
        <v>30291914.17</v>
      </c>
      <c r="N104" s="210" t="n">
        <v>3937948.82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34229862.99</v>
      </c>
      <c r="U104" s="206" t="n"/>
      <c r="V104" s="206" t="n"/>
    </row>
    <row r="105">
      <c r="A105" s="206" t="n">
        <v>36</v>
      </c>
      <c r="B105" s="206" t="inlineStr">
        <is>
          <t>100217163</t>
        </is>
      </c>
      <c r="C105" s="207" t="inlineStr">
        <is>
          <t>中建四局0200202101806002</t>
        </is>
      </c>
      <c r="D105" s="207" t="inlineStr">
        <is>
          <t>广州辰辰建材租赁有限公司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9" t="n"/>
      <c r="M105" s="210" t="n">
        <v>3566769.49</v>
      </c>
      <c r="N105" s="210" t="n">
        <v>463680.09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4017620.13</v>
      </c>
      <c r="U105" s="206" t="n"/>
      <c r="V105" s="206" t="n"/>
    </row>
    <row r="106">
      <c r="A106" s="206" t="n">
        <v>37</v>
      </c>
      <c r="B106" s="206" t="inlineStr">
        <is>
          <t>200009555</t>
        </is>
      </c>
      <c r="C106" s="207" t="inlineStr">
        <is>
          <t>中建四局0200202101806030</t>
        </is>
      </c>
      <c r="D106" s="207" t="inlineStr">
        <is>
          <t>广联达科技股份有限公司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9" t="n"/>
      <c r="M106" s="210" t="n">
        <v>44247.79</v>
      </c>
      <c r="N106" s="210" t="n">
        <v>5752.21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50000</v>
      </c>
      <c r="U106" s="206" t="n"/>
      <c r="V106" s="206" t="n"/>
    </row>
    <row r="107">
      <c r="A107" s="206" t="n">
        <v>38</v>
      </c>
      <c r="B107" s="206" t="inlineStr">
        <is>
          <t>100170699</t>
        </is>
      </c>
      <c r="C107" s="207" t="inlineStr">
        <is>
          <t>中建四局0200202101806027</t>
        </is>
      </c>
      <c r="D107" s="207" t="inlineStr">
        <is>
          <t>浙商中拓集团（广东）有限公司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9" t="n"/>
      <c r="M107" s="210" t="n">
        <v>697130.35</v>
      </c>
      <c r="N107" s="210" t="n">
        <v>90626.95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787757.3</v>
      </c>
      <c r="U107" s="206" t="n"/>
      <c r="V107" s="206" t="n"/>
    </row>
    <row r="108">
      <c r="A108" s="206" t="n">
        <v>39</v>
      </c>
      <c r="B108" s="206" t="inlineStr">
        <is>
          <t>100198899</t>
        </is>
      </c>
      <c r="C108" s="207" t="inlineStr">
        <is>
          <t>中建四局0200202101806008</t>
        </is>
      </c>
      <c r="D108" s="207" t="inlineStr">
        <is>
          <t>深圳市金仪时代环保产业有限公司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9" t="n"/>
      <c r="M108" s="210" t="n">
        <v>46390</v>
      </c>
      <c r="N108" s="210" t="n">
        <v>6030.7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52420.7</v>
      </c>
      <c r="U108" s="206" t="n"/>
      <c r="V108" s="206" t="n"/>
    </row>
    <row r="109">
      <c r="A109" s="206" t="n">
        <v>40</v>
      </c>
      <c r="B109" s="206" t="inlineStr">
        <is>
          <t>100218623</t>
        </is>
      </c>
      <c r="C109" s="207" t="inlineStr">
        <is>
          <t>中建四局0200202101806043</t>
        </is>
      </c>
      <c r="D109" s="207" t="inlineStr">
        <is>
          <t>深圳市鑫源发陶瓷有限公司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9" t="n"/>
      <c r="M109" s="210" t="n">
        <v>220443.53</v>
      </c>
      <c r="N109" s="210" t="n">
        <v>28657.66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249101.19</v>
      </c>
      <c r="U109" s="206" t="n"/>
      <c r="V109" s="206" t="n"/>
    </row>
    <row r="110">
      <c r="A110" s="206" t="n">
        <v>41</v>
      </c>
      <c r="B110" s="206" t="inlineStr">
        <is>
          <t>100074117</t>
        </is>
      </c>
      <c r="C110" s="207" t="inlineStr">
        <is>
          <t>中建四局0200202101806011</t>
        </is>
      </c>
      <c r="D110" s="207" t="inlineStr">
        <is>
          <t>清远市榕兴新型环保建材有限责任公司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9" t="n"/>
      <c r="M110" s="210" t="n">
        <v>1271717.14</v>
      </c>
      <c r="N110" s="210" t="n">
        <v>165323.22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1437040.36</v>
      </c>
      <c r="U110" s="206" t="n"/>
      <c r="V110" s="206" t="n"/>
    </row>
    <row r="111">
      <c r="A111" s="206" t="n">
        <v>42</v>
      </c>
      <c r="B111" s="206" t="inlineStr">
        <is>
          <t>100114405</t>
        </is>
      </c>
      <c r="C111" s="207" t="inlineStr">
        <is>
          <t>中建四局0200202101806018</t>
        </is>
      </c>
      <c r="D111" s="207" t="inlineStr">
        <is>
          <t>祁东县明达轻质陶粒厂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9" t="n"/>
      <c r="M111" s="210" t="n">
        <v>534785.89</v>
      </c>
      <c r="N111" s="210" t="n">
        <v>16863.59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549855.73</v>
      </c>
      <c r="U111" s="206" t="n"/>
      <c r="V111" s="206" t="n"/>
    </row>
    <row r="112">
      <c r="A112" s="206" t="n">
        <v>43</v>
      </c>
      <c r="B112" s="206" t="inlineStr">
        <is>
          <t>100199057</t>
        </is>
      </c>
      <c r="C112" s="207" t="inlineStr">
        <is>
          <t>中建四局0200202101806010</t>
        </is>
      </c>
      <c r="D112" s="207" t="inlineStr">
        <is>
          <t>福建省莆田市龙兴劳保用品有限公司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9" t="n"/>
      <c r="M112" s="210" t="n">
        <v>509280.38</v>
      </c>
      <c r="N112" s="210" t="n">
        <v>66206.64999999999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575487.03</v>
      </c>
      <c r="U112" s="206" t="n"/>
      <c r="V112" s="206" t="n"/>
    </row>
    <row r="113">
      <c r="A113" s="206" t="n">
        <v>44</v>
      </c>
      <c r="B113" s="206" t="inlineStr">
        <is>
          <t>100199057</t>
        </is>
      </c>
      <c r="C113" s="207" t="inlineStr">
        <is>
          <t>中建四局0200202101806031</t>
        </is>
      </c>
      <c r="D113" s="207" t="inlineStr">
        <is>
          <t>福建省莆田市龙兴劳保用品有限公司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9" t="n"/>
      <c r="M113" s="210" t="n">
        <v>48485.21</v>
      </c>
      <c r="N113" s="210" t="n">
        <v>6303.07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54788.28</v>
      </c>
      <c r="U113" s="206" t="n"/>
      <c r="V113" s="206" t="n"/>
    </row>
    <row r="114">
      <c r="A114" s="206" t="n">
        <v>45</v>
      </c>
      <c r="B114" s="206" t="n"/>
      <c r="C114" s="207" t="n"/>
      <c r="D114" s="207" t="inlineStr">
        <is>
          <t>减：研发费用-材料费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9" t="n"/>
      <c r="M114" s="210" t="n">
        <v>-25030932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</row>
    <row r="115">
      <c r="A115" s="206" t="n">
        <v>46</v>
      </c>
      <c r="B115" s="206" t="n"/>
      <c r="C115" s="207" t="n"/>
      <c r="D115" s="207" t="inlineStr">
        <is>
          <t>材料调入+CFK</t>
        </is>
      </c>
      <c r="E115" s="206" t="n"/>
      <c r="F115" s="206" t="n"/>
      <c r="G115" s="206" t="n"/>
      <c r="H115" s="206" t="n"/>
      <c r="I115" s="206" t="n"/>
      <c r="J115" s="206" t="n"/>
      <c r="K115" s="208" t="n"/>
      <c r="L115" s="209" t="n"/>
      <c r="M115" s="210" t="n">
        <v>211578.27</v>
      </c>
      <c r="N115" s="206" t="n"/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06" t="n"/>
      <c r="U115" s="206" t="n"/>
      <c r="V115" s="206" t="n"/>
    </row>
    <row r="116">
      <c r="A116" s="206" t="n">
        <v>47</v>
      </c>
      <c r="B116" s="206" t="n"/>
      <c r="C116" s="207" t="n"/>
      <c r="D116" s="207" t="inlineStr">
        <is>
          <t>材料调出+XSD</t>
        </is>
      </c>
      <c r="E116" s="206" t="n"/>
      <c r="F116" s="206" t="n"/>
      <c r="G116" s="206" t="n"/>
      <c r="H116" s="206" t="n"/>
      <c r="I116" s="206" t="n"/>
      <c r="J116" s="206" t="n"/>
      <c r="K116" s="208" t="n"/>
      <c r="L116" s="209" t="n"/>
      <c r="M116" s="210" t="n">
        <v>3278855.9</v>
      </c>
      <c r="N116" s="206" t="n"/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06" t="n"/>
      <c r="U116" s="206" t="n"/>
      <c r="V116" s="206" t="n"/>
    </row>
    <row r="117">
      <c r="A117" s="206" t="n">
        <v>48</v>
      </c>
      <c r="B117" s="206" t="n"/>
      <c r="C117" s="207" t="n"/>
      <c r="D117" s="207" t="inlineStr">
        <is>
          <t>材料调出+SQD</t>
        </is>
      </c>
      <c r="E117" s="206" t="n"/>
      <c r="F117" s="206" t="n"/>
      <c r="G117" s="206" t="n"/>
      <c r="H117" s="206" t="n"/>
      <c r="I117" s="206" t="n"/>
      <c r="J117" s="206" t="n"/>
      <c r="K117" s="208" t="n"/>
      <c r="L117" s="209" t="n"/>
      <c r="M117" s="210" t="n">
        <v>-1176782.31</v>
      </c>
      <c r="N117" s="206" t="n"/>
      <c r="O117" s="206">
        <f>L117-M117</f>
        <v/>
      </c>
      <c r="P117" s="206">
        <f>K117-N117</f>
        <v/>
      </c>
      <c r="Q117" s="206">
        <f>M117+O117</f>
        <v/>
      </c>
      <c r="R117" s="206">
        <f>M117+N117+O117+P117</f>
        <v/>
      </c>
      <c r="S117" s="206" t="n"/>
      <c r="T117" s="206" t="n"/>
      <c r="U117" s="206" t="n"/>
      <c r="V117" s="206" t="n"/>
    </row>
    <row r="118">
      <c r="A118" s="206" t="n">
        <v>49</v>
      </c>
      <c r="B118" s="206" t="n"/>
      <c r="C118" s="207" t="n"/>
      <c r="D118" s="207" t="inlineStr">
        <is>
          <t>废旧物资消耗</t>
        </is>
      </c>
      <c r="E118" s="206" t="n"/>
      <c r="F118" s="206" t="n"/>
      <c r="G118" s="206" t="n"/>
      <c r="H118" s="206" t="n"/>
      <c r="I118" s="206" t="n"/>
      <c r="J118" s="206" t="n"/>
      <c r="K118" s="208" t="n"/>
      <c r="L118" s="209" t="n"/>
      <c r="M118" s="210" t="n">
        <v>-1401180.1</v>
      </c>
      <c r="N118" s="206" t="n"/>
      <c r="O118" s="206">
        <f>L118-M118</f>
        <v/>
      </c>
      <c r="P118" s="206">
        <f>K118-N118</f>
        <v/>
      </c>
      <c r="Q118" s="206">
        <f>M118+O118</f>
        <v/>
      </c>
      <c r="R118" s="206">
        <f>M118+N118+O118+P118</f>
        <v/>
      </c>
      <c r="S118" s="206" t="n"/>
      <c r="T118" s="206" t="n"/>
      <c r="U118" s="206" t="n"/>
      <c r="V118" s="206" t="n"/>
    </row>
    <row r="119">
      <c r="A119" s="206" t="n">
        <v>50</v>
      </c>
      <c r="B119" s="206" t="n"/>
      <c r="C119" s="207" t="n"/>
      <c r="D119" s="207" t="inlineStr">
        <is>
          <t>废旧物资消耗（SQD）</t>
        </is>
      </c>
      <c r="E119" s="206" t="n"/>
      <c r="F119" s="206" t="n"/>
      <c r="G119" s="206" t="n"/>
      <c r="H119" s="206" t="n"/>
      <c r="I119" s="206" t="n"/>
      <c r="J119" s="206" t="n"/>
      <c r="K119" s="208" t="n"/>
      <c r="L119" s="209" t="n"/>
      <c r="M119" s="210" t="n">
        <v>7911.36</v>
      </c>
      <c r="N119" s="206" t="n"/>
      <c r="O119" s="206">
        <f>L119-M119</f>
        <v/>
      </c>
      <c r="P119" s="206">
        <f>K119-N119</f>
        <v/>
      </c>
      <c r="Q119" s="206">
        <f>M119+O119</f>
        <v/>
      </c>
      <c r="R119" s="206">
        <f>M119+N119+O119+P119</f>
        <v/>
      </c>
      <c r="S119" s="206" t="n"/>
      <c r="T119" s="206" t="n"/>
      <c r="U119" s="206" t="n"/>
      <c r="V119" s="206" t="n"/>
    </row>
    <row r="120">
      <c r="A120" s="33" t="n"/>
      <c r="B120" s="199" t="n"/>
      <c r="C120" s="199" t="n"/>
      <c r="D120" s="211" t="inlineStr">
        <is>
          <t>**财务未列部分需增列***</t>
        </is>
      </c>
      <c r="E120" s="219" t="n"/>
      <c r="F120" s="219" t="n"/>
      <c r="G120" s="219" t="n"/>
      <c r="H120" s="189" t="n"/>
      <c r="I120" s="189" t="n"/>
      <c r="J120" s="189" t="n"/>
      <c r="K120" s="201" t="n"/>
      <c r="L120" s="202" t="n"/>
      <c r="M120" s="189" t="n"/>
      <c r="N120" s="189" t="n"/>
      <c r="O120" s="189">
        <f>L120-M120</f>
        <v/>
      </c>
      <c r="P120" s="189">
        <f>K120-N120</f>
        <v/>
      </c>
      <c r="Q120" s="189">
        <f>M120+O120</f>
        <v/>
      </c>
      <c r="R120" s="189">
        <f>M120+N120+O120+P120</f>
        <v/>
      </c>
      <c r="S120" s="203">
        <f>SUM(T120:V120)</f>
        <v/>
      </c>
      <c r="T120" s="203" t="n"/>
      <c r="U120" s="203" t="n"/>
      <c r="V120" s="203" t="n"/>
      <c r="W120" s="203" t="n"/>
      <c r="X120" s="203" t="n"/>
      <c r="Y120" s="203" t="n"/>
      <c r="Z120" s="203" t="n"/>
      <c r="AA120" s="203" t="n"/>
      <c r="AB120" s="220" t="n"/>
      <c r="AC120" s="220" t="n"/>
      <c r="AD120" s="220" t="n"/>
      <c r="AE120" s="220" t="n"/>
      <c r="AF120" s="220" t="n"/>
      <c r="AG120" s="220" t="n"/>
      <c r="AH120" s="220" t="n"/>
      <c r="AI120" s="220" t="n"/>
      <c r="AJ120" s="220" t="n"/>
      <c r="AK120" s="188">
        <f>AB33/1.17*0.17+AC33/1.16*0.16+AD33/1.11*0.11+AE33/1.1*0.1+AF33/1.09*0.09+AI33/1.03*0.03</f>
        <v/>
      </c>
      <c r="AL120" s="221" t="n"/>
    </row>
    <row r="121">
      <c r="A121" s="41" t="n"/>
      <c r="B121" s="215" t="n"/>
      <c r="C121" s="215" t="n"/>
      <c r="D121" s="216" t="inlineStr">
        <is>
          <t>材料费小计：</t>
        </is>
      </c>
      <c r="E121" s="217">
        <f>SUM(E66:E120)</f>
        <v/>
      </c>
      <c r="F121" s="217">
        <f>SUM(F66:F120)</f>
        <v/>
      </c>
      <c r="G121" s="217">
        <f>SUM(G66:G120)</f>
        <v/>
      </c>
      <c r="H121" s="217">
        <f>SUM(H66:H120)</f>
        <v/>
      </c>
      <c r="I121" s="217">
        <f>SUM(I66:I120)</f>
        <v/>
      </c>
      <c r="J121" s="217">
        <f>SUM(J66:J120)</f>
        <v/>
      </c>
      <c r="K121" s="217">
        <f>SUM(K66:K120)</f>
        <v/>
      </c>
      <c r="L121" s="217">
        <f>SUM(L66:L120)</f>
        <v/>
      </c>
      <c r="M121" s="217">
        <f>SUM(M66:M120)</f>
        <v/>
      </c>
      <c r="N121" s="217">
        <f>SUM(N66:N120)</f>
        <v/>
      </c>
      <c r="O121" s="217">
        <f>SUM(O66:O120)</f>
        <v/>
      </c>
      <c r="P121" s="217">
        <f>SUM(P66:P120)</f>
        <v/>
      </c>
      <c r="Q121" s="217">
        <f>SUM(Q66:Q120)</f>
        <v/>
      </c>
      <c r="R121" s="217">
        <f>SUM(R66:R120)</f>
        <v/>
      </c>
      <c r="S121" s="217">
        <f>SUM(S66:S120)</f>
        <v/>
      </c>
      <c r="T121" s="217">
        <f>SUM(T66:T120)</f>
        <v/>
      </c>
      <c r="U121" s="217">
        <f>SUM(U66:U120)</f>
        <v/>
      </c>
      <c r="V121" s="217">
        <f>SUM(V66:V120)</f>
        <v/>
      </c>
      <c r="W121" s="217">
        <f>SUM(W66:W120)</f>
        <v/>
      </c>
      <c r="X121" s="217">
        <f>SUM(X66:X120)</f>
        <v/>
      </c>
      <c r="Y121" s="217">
        <f>SUM(Y66:Y120)</f>
        <v/>
      </c>
      <c r="Z121" s="217">
        <f>SUM(Z66:Z120)</f>
        <v/>
      </c>
      <c r="AA121" s="217">
        <f>SUM(AA66:AA120)</f>
        <v/>
      </c>
      <c r="AB121" s="217">
        <f>SUM(AB66:AB120)</f>
        <v/>
      </c>
      <c r="AC121" s="217">
        <f>SUM(AC66:AC120)</f>
        <v/>
      </c>
      <c r="AD121" s="217">
        <f>SUM(AD66:AD120)</f>
        <v/>
      </c>
      <c r="AE121" s="217">
        <f>SUM(AE66:AE120)</f>
        <v/>
      </c>
      <c r="AF121" s="217">
        <f>SUM(AF66:AF120)</f>
        <v/>
      </c>
      <c r="AG121" s="217">
        <f>SUM(AG66:AG120)</f>
        <v/>
      </c>
      <c r="AH121" s="217">
        <f>SUM(AH66:AH120)</f>
        <v/>
      </c>
      <c r="AI121" s="217">
        <f>SUM(AI66:AI120)</f>
        <v/>
      </c>
      <c r="AJ121" s="217">
        <f>SUM(AJ66:AJ120)</f>
        <v/>
      </c>
      <c r="AK121" s="217">
        <f>SUM(AK66:AK120)</f>
        <v/>
      </c>
      <c r="AL121" s="204" t="n"/>
    </row>
    <row r="122">
      <c r="A122" s="33" t="n"/>
      <c r="B122" s="199" t="n"/>
      <c r="C122" s="199" t="n"/>
      <c r="D122" s="218" t="inlineStr">
        <is>
          <t>(四）机械租赁费</t>
        </is>
      </c>
      <c r="E122" s="212" t="n"/>
      <c r="F122" s="212" t="n"/>
      <c r="G122" s="212" t="n"/>
      <c r="H122" s="189" t="n"/>
      <c r="I122" s="189" t="n"/>
      <c r="J122" s="189" t="n"/>
      <c r="K122" s="201" t="n">
        <v>0</v>
      </c>
      <c r="L122" s="202">
        <f>J122-K122</f>
        <v/>
      </c>
      <c r="M122" s="184" t="n"/>
      <c r="N122" s="184" t="n"/>
      <c r="O122" s="189">
        <f>L122-M122</f>
        <v/>
      </c>
      <c r="P122" s="189">
        <f>K122-N122</f>
        <v/>
      </c>
      <c r="Q122" s="189">
        <f>M122+O122</f>
        <v/>
      </c>
      <c r="R122" s="189">
        <f>M122+N122+O122+P122</f>
        <v/>
      </c>
      <c r="S122" s="203">
        <f>SUM(T122:V122)</f>
        <v/>
      </c>
      <c r="T122" s="203" t="n"/>
      <c r="U122" s="203" t="n"/>
      <c r="V122" s="203" t="n"/>
      <c r="W122" s="203" t="n"/>
      <c r="X122" s="203" t="n"/>
      <c r="Y122" s="203" t="n"/>
      <c r="Z122" s="203" t="n"/>
      <c r="AA122" s="203" t="n"/>
      <c r="AB122" s="203" t="n"/>
      <c r="AC122" s="203" t="n"/>
      <c r="AD122" s="203" t="n"/>
      <c r="AE122" s="203" t="n"/>
      <c r="AF122" s="203" t="n"/>
      <c r="AG122" s="203" t="n"/>
      <c r="AH122" s="203" t="n"/>
      <c r="AI122" s="203" t="n"/>
      <c r="AJ122" s="203" t="n"/>
      <c r="AK122" s="188">
        <f>AB35/1.17*0.17+AC35/1.16*0.16+AD35/1.11*0.11+AE35/1.1*0.1+AF35/1.09*0.09+AI35/1.03*0.03</f>
        <v/>
      </c>
      <c r="AL122" s="204" t="n"/>
    </row>
    <row r="123">
      <c r="A123" s="206" t="n">
        <v>1</v>
      </c>
      <c r="B123" s="206" t="inlineStr">
        <is>
          <t>100217442</t>
        </is>
      </c>
      <c r="C123" s="207" t="inlineStr">
        <is>
          <t>中建四局0200202101805001</t>
        </is>
      </c>
      <c r="D123" s="207" t="inlineStr">
        <is>
          <t>任丘市嘉宇运输有限公司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9">
        <f>J123-K123</f>
        <v/>
      </c>
      <c r="M123" s="210" t="n">
        <v>39943.9</v>
      </c>
      <c r="N123" s="210" t="n">
        <v>3594.95</v>
      </c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10" t="n">
        <v>43538.85</v>
      </c>
      <c r="U123" s="206" t="n"/>
      <c r="V123" s="206" t="n"/>
    </row>
    <row r="124">
      <c r="A124" s="206" t="n">
        <v>2</v>
      </c>
      <c r="B124" s="206" t="inlineStr">
        <is>
          <t>100051486</t>
        </is>
      </c>
      <c r="C124" s="207" t="inlineStr">
        <is>
          <t>中建四局0200202101805009</t>
        </is>
      </c>
      <c r="D124" s="207" t="inlineStr">
        <is>
          <t>佛山市赢鑫建筑机械租赁有限公司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9">
        <f>J124-K124</f>
        <v/>
      </c>
      <c r="M124" s="210" t="n">
        <v>5518783.19</v>
      </c>
      <c r="N124" s="210" t="n">
        <v>738597.9399999999</v>
      </c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10" t="n">
        <v>6405720.63</v>
      </c>
      <c r="U124" s="206" t="n"/>
      <c r="V124" s="206" t="n"/>
    </row>
    <row r="125">
      <c r="A125" s="206" t="n">
        <v>3</v>
      </c>
      <c r="B125" s="206" t="inlineStr">
        <is>
          <t>200363935</t>
        </is>
      </c>
      <c r="C125" s="207" t="inlineStr">
        <is>
          <t>中建四局0200202101805006</t>
        </is>
      </c>
      <c r="D125" s="207" t="inlineStr">
        <is>
          <t>佛山市雄壮建筑工程有限公司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9">
        <f>J125-K125</f>
        <v/>
      </c>
      <c r="M125" s="210" t="n">
        <v>1197689.75</v>
      </c>
      <c r="N125" s="210" t="n">
        <v>36663.97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1258000</v>
      </c>
      <c r="U125" s="206" t="n"/>
      <c r="V125" s="206" t="n"/>
    </row>
    <row r="126">
      <c r="A126" s="206" t="n">
        <v>4</v>
      </c>
      <c r="B126" s="206" t="inlineStr">
        <is>
          <t>200477323</t>
        </is>
      </c>
      <c r="C126" s="207" t="inlineStr">
        <is>
          <t>中建四局0200202101805011</t>
        </is>
      </c>
      <c r="D126" s="207" t="inlineStr">
        <is>
          <t>佛山市霸伟建筑工程有限公司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9">
        <f>J126-K126</f>
        <v/>
      </c>
      <c r="M126" s="210" t="n">
        <v>947713.86</v>
      </c>
      <c r="N126" s="210" t="n">
        <v>29244.62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999000</v>
      </c>
      <c r="U126" s="206" t="n"/>
      <c r="V126" s="206" t="n"/>
    </row>
    <row r="127">
      <c r="A127" s="206" t="n">
        <v>5</v>
      </c>
      <c r="B127" s="206" t="inlineStr">
        <is>
          <t>100093859</t>
        </is>
      </c>
      <c r="C127" s="207" t="inlineStr">
        <is>
          <t>中建四局0200202101805010</t>
        </is>
      </c>
      <c r="D127" s="207" t="inlineStr">
        <is>
          <t>嘉兴浩锐机械设备有限公司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9">
        <f>J127-K127</f>
        <v/>
      </c>
      <c r="M127" s="210" t="n">
        <v>1387247.1</v>
      </c>
      <c r="N127" s="210" t="n">
        <v>180342.12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1567589.22</v>
      </c>
      <c r="U127" s="206" t="n"/>
      <c r="V127" s="206" t="n"/>
    </row>
    <row r="128">
      <c r="A128" s="206" t="n">
        <v>6</v>
      </c>
      <c r="B128" s="206" t="inlineStr">
        <is>
          <t>100117504</t>
        </is>
      </c>
      <c r="C128" s="207" t="inlineStr">
        <is>
          <t>中建四局0200202101805005</t>
        </is>
      </c>
      <c r="D128" s="207" t="inlineStr">
        <is>
          <t>广州大丰工程机械设备有限公司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9">
        <f>J128-K128</f>
        <v/>
      </c>
      <c r="M128" s="210" t="n">
        <v>1065730.14</v>
      </c>
      <c r="N128" s="210" t="n">
        <v>138544.93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1204275.07</v>
      </c>
      <c r="U128" s="206" t="n"/>
      <c r="V128" s="206" t="n"/>
    </row>
    <row r="129">
      <c r="A129" s="206" t="n">
        <v>7</v>
      </c>
      <c r="B129" s="206" t="inlineStr">
        <is>
          <t>200353812</t>
        </is>
      </c>
      <c r="C129" s="207" t="inlineStr">
        <is>
          <t>中建四局0200202101805007</t>
        </is>
      </c>
      <c r="D129" s="207" t="inlineStr">
        <is>
          <t>广州小老虎建筑机械租赁有限公司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9">
        <f>J129-K129</f>
        <v/>
      </c>
      <c r="M129" s="210" t="n">
        <v>11189319.59</v>
      </c>
      <c r="N129" s="210" t="n">
        <v>1022884.43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12388266.76</v>
      </c>
      <c r="U129" s="206" t="n"/>
      <c r="V129" s="206" t="n"/>
    </row>
    <row r="130">
      <c r="A130" s="206" t="n">
        <v>8</v>
      </c>
      <c r="B130" s="206" t="inlineStr">
        <is>
          <t>200162948</t>
        </is>
      </c>
      <c r="C130" s="207" t="inlineStr">
        <is>
          <t>中建四局0200202101805004</t>
        </is>
      </c>
      <c r="D130" s="207" t="inlineStr">
        <is>
          <t>广州市仁发运输有限公司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9">
        <f>J130-K130</f>
        <v/>
      </c>
      <c r="M130" s="210" t="n">
        <v>183165.02</v>
      </c>
      <c r="N130" s="210" t="n">
        <v>5494.92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188659.94</v>
      </c>
      <c r="U130" s="206" t="n"/>
      <c r="V130" s="206" t="n"/>
    </row>
    <row r="131">
      <c r="A131" s="206" t="n">
        <v>9</v>
      </c>
      <c r="B131" s="206" t="inlineStr">
        <is>
          <t>100217539</t>
        </is>
      </c>
      <c r="C131" s="207" t="inlineStr">
        <is>
          <t>中建四局0200202101805003</t>
        </is>
      </c>
      <c r="D131" s="207" t="inlineStr">
        <is>
          <t>广州易达运输有限公司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9">
        <f>J131-K131</f>
        <v/>
      </c>
      <c r="M131" s="210" t="n">
        <v>213962.98</v>
      </c>
      <c r="N131" s="210" t="n">
        <v>4631.78</v>
      </c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10" t="n">
        <v>218594.76</v>
      </c>
      <c r="U131" s="206" t="n"/>
      <c r="V131" s="206" t="n"/>
    </row>
    <row r="132">
      <c r="A132" s="206" t="n">
        <v>10</v>
      </c>
      <c r="B132" s="206" t="inlineStr">
        <is>
          <t>100217502</t>
        </is>
      </c>
      <c r="C132" s="207" t="inlineStr">
        <is>
          <t>中建四局0200202101805002</t>
        </is>
      </c>
      <c r="D132" s="207" t="inlineStr">
        <is>
          <t>广州湘亿货运代理有限公司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9">
        <f>J132-K132</f>
        <v/>
      </c>
      <c r="M132" s="210" t="n">
        <v>68419.10000000001</v>
      </c>
      <c r="N132" s="210" t="n">
        <v>6157.73</v>
      </c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10" t="n">
        <v>74576.83</v>
      </c>
      <c r="U132" s="206" t="n"/>
      <c r="V132" s="206" t="n"/>
    </row>
    <row r="133">
      <c r="A133" s="206" t="n">
        <v>11</v>
      </c>
      <c r="B133" s="206" t="n"/>
      <c r="C133" s="207" t="n"/>
      <c r="D133" s="207" t="inlineStr">
        <is>
          <t>ZGD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9">
        <f>J133-K133</f>
        <v/>
      </c>
      <c r="M133" s="210" t="n">
        <v>-709.27</v>
      </c>
      <c r="N133" s="206" t="n"/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06" t="n"/>
      <c r="U133" s="206" t="n"/>
      <c r="V133" s="206" t="n"/>
    </row>
    <row r="134">
      <c r="A134" s="206" t="n"/>
      <c r="B134" s="206" t="n"/>
      <c r="C134" s="207" t="n"/>
      <c r="D134" s="207" t="n"/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9">
        <f>J134-K134</f>
        <v/>
      </c>
      <c r="M134" s="210" t="n">
        <v>5438.34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</row>
    <row r="135">
      <c r="A135" s="206" t="n">
        <v>12</v>
      </c>
      <c r="B135" s="206" t="n"/>
      <c r="C135" s="207" t="n"/>
      <c r="D135" s="207" t="inlineStr">
        <is>
          <t>JXZ</t>
        </is>
      </c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9">
        <f>J135-K135</f>
        <v/>
      </c>
      <c r="M135" s="210" t="n">
        <v>30661.52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</row>
    <row r="136">
      <c r="A136" s="33" t="n"/>
      <c r="B136" s="199" t="n"/>
      <c r="C136" s="199" t="n"/>
      <c r="D136" s="211" t="inlineStr">
        <is>
          <t>**财务未列部分需增列***</t>
        </is>
      </c>
      <c r="E136" s="228" t="n"/>
      <c r="F136" s="228" t="n"/>
      <c r="G136" s="228" t="n"/>
      <c r="H136" s="189" t="n"/>
      <c r="I136" s="189" t="n"/>
      <c r="J136" s="189" t="n"/>
      <c r="K136" s="201" t="n">
        <v>0</v>
      </c>
      <c r="L136" s="202">
        <f>J136-K136</f>
        <v/>
      </c>
      <c r="M136" s="229" t="n"/>
      <c r="N136" s="229" t="n"/>
      <c r="O136" s="189">
        <f>L136-M136</f>
        <v/>
      </c>
      <c r="P136" s="189">
        <f>K136-N136</f>
        <v/>
      </c>
      <c r="Q136" s="189">
        <f>M136+O136</f>
        <v/>
      </c>
      <c r="R136" s="189">
        <f>M136+N136+O136+P136</f>
        <v/>
      </c>
      <c r="S136" s="203">
        <f>SUM(T136:V136)</f>
        <v/>
      </c>
      <c r="T136" s="229" t="n"/>
      <c r="U136" s="229" t="n"/>
      <c r="V136" s="229" t="n"/>
      <c r="W136" s="229" t="n"/>
      <c r="X136" s="229" t="n"/>
      <c r="Y136" s="229" t="n"/>
      <c r="Z136" s="229" t="n"/>
      <c r="AA136" s="203" t="n"/>
      <c r="AB136" s="188" t="n"/>
      <c r="AC136" s="188" t="n"/>
      <c r="AD136" s="188" t="n"/>
      <c r="AE136" s="188" t="n"/>
      <c r="AF136" s="188" t="n"/>
      <c r="AG136" s="188" t="n"/>
      <c r="AH136" s="188" t="n"/>
      <c r="AI136" s="188" t="n"/>
      <c r="AJ136" s="188" t="n"/>
      <c r="AK136" s="188">
        <f>AB37/1.17*0.17+AC37/1.16*0.16+AD37/1.11*0.11+AE37/1.1*0.1+AF37/1.09*0.09+AI37/1.03*0.03</f>
        <v/>
      </c>
      <c r="AL136" s="214" t="n"/>
    </row>
    <row r="137">
      <c r="A137" s="41" t="n"/>
      <c r="B137" s="215" t="n"/>
      <c r="C137" s="215" t="n"/>
      <c r="D137" s="230" t="inlineStr">
        <is>
          <t>机械费小计：</t>
        </is>
      </c>
      <c r="E137" s="231" t="n"/>
      <c r="F137" s="231" t="n"/>
      <c r="G137" s="231" t="n"/>
      <c r="H137" s="217">
        <f>SUM(H122:H136)</f>
        <v/>
      </c>
      <c r="I137" s="217">
        <f>SUM(I122:I136)</f>
        <v/>
      </c>
      <c r="J137" s="217">
        <f>SUM(J122:J136)</f>
        <v/>
      </c>
      <c r="K137" s="217">
        <f>SUM(K122:K136)</f>
        <v/>
      </c>
      <c r="L137" s="232">
        <f>SUM(L122:L136)</f>
        <v/>
      </c>
      <c r="M137" s="217">
        <f>SUM(M122:M136)</f>
        <v/>
      </c>
      <c r="N137" s="217">
        <f>SUM(N122:N136)</f>
        <v/>
      </c>
      <c r="O137" s="217">
        <f>SUM(O122:O136)</f>
        <v/>
      </c>
      <c r="P137" s="217">
        <f>SUM(P122:P136)</f>
        <v/>
      </c>
      <c r="Q137" s="217">
        <f>SUM(Q122:Q136)</f>
        <v/>
      </c>
      <c r="R137" s="217">
        <f>SUM(R122:R136)</f>
        <v/>
      </c>
      <c r="S137" s="217">
        <f>SUM(S122:S136)</f>
        <v/>
      </c>
      <c r="T137" s="217" t="n"/>
      <c r="U137" s="217" t="n"/>
      <c r="V137" s="217" t="n"/>
      <c r="W137" s="217" t="n"/>
      <c r="X137" s="217" t="n"/>
      <c r="Y137" s="217" t="n"/>
      <c r="Z137" s="217">
        <f>SUM(Z122:Z136)</f>
        <v/>
      </c>
      <c r="AA137" s="217">
        <f>SUM(AA122:AA136)</f>
        <v/>
      </c>
      <c r="AB137" s="217" t="n"/>
      <c r="AC137" s="217" t="n"/>
      <c r="AD137" s="217" t="n"/>
      <c r="AE137" s="217" t="n"/>
      <c r="AF137" s="217" t="n"/>
      <c r="AG137" s="217" t="n"/>
      <c r="AH137" s="217" t="n"/>
      <c r="AI137" s="217" t="n"/>
      <c r="AJ137" s="217" t="n"/>
      <c r="AK137" s="217" t="n"/>
      <c r="AL137" s="204" t="n"/>
    </row>
    <row r="138">
      <c r="A138" s="33" t="n"/>
      <c r="B138" s="199" t="n"/>
      <c r="C138" s="199" t="n"/>
      <c r="D138" s="218" t="inlineStr">
        <is>
          <t>（五）其他直接费</t>
        </is>
      </c>
      <c r="E138" s="212" t="n"/>
      <c r="F138" s="212" t="n"/>
      <c r="G138" s="212" t="n"/>
      <c r="H138" s="189" t="n"/>
      <c r="I138" s="189" t="n"/>
      <c r="J138" s="184" t="n">
        <v>0</v>
      </c>
      <c r="K138" s="201" t="n">
        <v>0</v>
      </c>
      <c r="L138" s="202">
        <f>J138-N138-P138</f>
        <v/>
      </c>
      <c r="M138" s="184" t="n"/>
      <c r="N138" s="184" t="n"/>
      <c r="O138" s="189">
        <f>L138-M138</f>
        <v/>
      </c>
      <c r="P138" s="189">
        <f>K138-N138</f>
        <v/>
      </c>
      <c r="Q138" s="189">
        <f>M138+O138</f>
        <v/>
      </c>
      <c r="R138" s="189">
        <f>M138+N138+O138+P138</f>
        <v/>
      </c>
      <c r="S138" s="203">
        <f>SUM(T138:V138)</f>
        <v/>
      </c>
      <c r="T138" s="203" t="n"/>
      <c r="U138" s="203" t="n"/>
      <c r="V138" s="203" t="n"/>
      <c r="W138" s="203" t="n"/>
      <c r="X138" s="203" t="n"/>
      <c r="Y138" s="203" t="n"/>
      <c r="Z138" s="203" t="n"/>
      <c r="AA138" s="203" t="n"/>
      <c r="AB138" s="203" t="n"/>
      <c r="AC138" s="203" t="n"/>
      <c r="AD138" s="203" t="n"/>
      <c r="AE138" s="203" t="n"/>
      <c r="AF138" s="203" t="n"/>
      <c r="AG138" s="203" t="n"/>
      <c r="AH138" s="203" t="n"/>
      <c r="AI138" s="203" t="n"/>
      <c r="AJ138" s="203" t="n"/>
      <c r="AK138" s="188" t="n"/>
      <c r="AL138" s="204" t="n"/>
    </row>
    <row r="139">
      <c r="A139" s="206" t="n"/>
      <c r="B139" s="206" t="n"/>
      <c r="C139" s="207" t="n"/>
      <c r="D139" s="207" t="inlineStr">
        <is>
          <t>保险费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9">
        <f>J139-K139</f>
        <v/>
      </c>
      <c r="M139" s="210" t="n">
        <v>2060794.4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</row>
    <row r="140">
      <c r="A140" s="206" t="n"/>
      <c r="B140" s="206" t="n"/>
      <c r="C140" s="207" t="n"/>
      <c r="D140" s="207" t="inlineStr">
        <is>
          <t>其他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9">
        <f>J140-K140</f>
        <v/>
      </c>
      <c r="M140" s="210" t="n">
        <v>4351039.99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</row>
    <row r="141">
      <c r="A141" s="206" t="n"/>
      <c r="B141" s="206" t="n"/>
      <c r="C141" s="207" t="n"/>
      <c r="D141" s="207" t="inlineStr">
        <is>
          <t>咨询费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9">
        <f>J141-K141</f>
        <v/>
      </c>
      <c r="M141" s="210" t="n">
        <v>1165.05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</row>
    <row r="142">
      <c r="A142" s="206" t="n"/>
      <c r="B142" s="206" t="n"/>
      <c r="C142" s="207" t="n"/>
      <c r="D142" s="207" t="inlineStr">
        <is>
          <t>检验试验费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9">
        <f>J142-K142</f>
        <v/>
      </c>
      <c r="M142" s="210" t="n">
        <v>2298882.29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</row>
    <row r="143">
      <c r="A143" s="206" t="n"/>
      <c r="B143" s="206" t="n"/>
      <c r="C143" s="207" t="n"/>
      <c r="D143" s="207" t="inlineStr">
        <is>
          <t>水电费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9">
        <f>J143-K143</f>
        <v/>
      </c>
      <c r="M143" s="210" t="n">
        <v>8300988.65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</row>
    <row r="144">
      <c r="A144" s="33" t="n"/>
      <c r="B144" s="199" t="n"/>
      <c r="C144" s="199" t="n"/>
      <c r="D144" s="211" t="inlineStr">
        <is>
          <t>**财务未列部分需增列***</t>
        </is>
      </c>
      <c r="E144" s="212" t="n"/>
      <c r="F144" s="212" t="n"/>
      <c r="G144" s="212" t="n"/>
      <c r="H144" s="189" t="n"/>
      <c r="I144" s="189" t="n"/>
      <c r="J144" s="184" t="n"/>
      <c r="K144" s="201" t="n"/>
      <c r="L144" s="202">
        <f>J144-K144</f>
        <v/>
      </c>
      <c r="M144" s="233" t="n"/>
      <c r="N144" s="233" t="n"/>
      <c r="O144" s="189">
        <f>L144-M144</f>
        <v/>
      </c>
      <c r="P144" s="189">
        <f>K144-N144</f>
        <v/>
      </c>
      <c r="Q144" s="189">
        <f>M144+O144</f>
        <v/>
      </c>
      <c r="R144" s="189">
        <f>M144+N144+O144+P144</f>
        <v/>
      </c>
      <c r="S144" s="203">
        <f>SUM(T144:V144)</f>
        <v/>
      </c>
      <c r="T144" s="233" t="n"/>
      <c r="U144" s="233" t="n"/>
      <c r="V144" s="233" t="n"/>
      <c r="W144" s="233" t="n"/>
      <c r="X144" s="233" t="n"/>
      <c r="Y144" s="233" t="n"/>
      <c r="Z144" s="189">
        <f>SUM(AA45:AJ45)</f>
        <v/>
      </c>
      <c r="AA144" s="203" t="n"/>
      <c r="AB144" s="203" t="n"/>
      <c r="AC144" s="203" t="n"/>
      <c r="AD144" s="203" t="n"/>
      <c r="AE144" s="203" t="n"/>
      <c r="AF144" s="203" t="n"/>
      <c r="AG144" s="203" t="n"/>
      <c r="AH144" s="203" t="n"/>
      <c r="AI144" s="203" t="n"/>
      <c r="AJ144" s="203" t="n"/>
      <c r="AK144" s="188" t="n"/>
      <c r="AL144" s="204" t="n"/>
    </row>
    <row r="145">
      <c r="A145" s="55" t="n"/>
      <c r="B145" s="234" t="n"/>
      <c r="C145" s="234" t="n"/>
      <c r="D145" s="230" t="inlineStr">
        <is>
          <t>其他直接费小计：</t>
        </is>
      </c>
      <c r="E145" s="235" t="n"/>
      <c r="F145" s="235" t="n"/>
      <c r="G145" s="235" t="n"/>
      <c r="H145" s="217">
        <f>SUM(H138:H144)</f>
        <v/>
      </c>
      <c r="I145" s="217">
        <f>SUM(I138:I144)</f>
        <v/>
      </c>
      <c r="J145" s="217">
        <f>SUM(J138:J144)</f>
        <v/>
      </c>
      <c r="K145" s="217">
        <f>SUM(K138:K144)</f>
        <v/>
      </c>
      <c r="L145" s="232">
        <f>SUM(L138:L144)</f>
        <v/>
      </c>
      <c r="M145" s="217">
        <f>SUM(M138:M144)</f>
        <v/>
      </c>
      <c r="N145" s="217">
        <f>SUM(N138:N144)</f>
        <v/>
      </c>
      <c r="O145" s="217">
        <f>L145-M145</f>
        <v/>
      </c>
      <c r="P145" s="217">
        <f>SUM(P138:P144)</f>
        <v/>
      </c>
      <c r="Q145" s="217">
        <f>M145+O145</f>
        <v/>
      </c>
      <c r="R145" s="217">
        <f>SUM(R138:R144)</f>
        <v/>
      </c>
      <c r="S145" s="217">
        <f>SUM(S138:S144)</f>
        <v/>
      </c>
      <c r="T145" s="217" t="n"/>
      <c r="U145" s="217" t="n"/>
      <c r="V145" s="217" t="n"/>
      <c r="W145" s="217" t="n"/>
      <c r="X145" s="217" t="n"/>
      <c r="Y145" s="217" t="n"/>
      <c r="Z145" s="217">
        <f>SUM(Z138:Z144)</f>
        <v/>
      </c>
      <c r="AA145" s="217">
        <f>SUM(AA138:AA144)</f>
        <v/>
      </c>
      <c r="AB145" s="217">
        <f>SUM(AB138:AB144)</f>
        <v/>
      </c>
      <c r="AC145" s="217">
        <f>SUM(AC138:AC144)</f>
        <v/>
      </c>
      <c r="AD145" s="217">
        <f>SUM(AD138:AD144)</f>
        <v/>
      </c>
      <c r="AE145" s="217">
        <f>SUM(AE138:AE144)</f>
        <v/>
      </c>
      <c r="AF145" s="217">
        <f>SUM(AF138:AF144)</f>
        <v/>
      </c>
      <c r="AG145" s="217" t="n"/>
      <c r="AH145" s="217" t="n"/>
      <c r="AI145" s="217">
        <f>SUM(AI138:AI144)</f>
        <v/>
      </c>
      <c r="AJ145" s="217">
        <f>SUM(AJ138:AJ144)</f>
        <v/>
      </c>
      <c r="AK145" s="217">
        <f>SUM(AK138:AK144)</f>
        <v/>
      </c>
      <c r="AL145" s="204" t="n"/>
    </row>
    <row r="146">
      <c r="A146" s="33" t="n"/>
      <c r="B146" s="199" t="n"/>
      <c r="C146" s="199" t="n"/>
      <c r="D146" s="218" t="inlineStr">
        <is>
          <t>（六）间接费</t>
        </is>
      </c>
      <c r="E146" s="212" t="n"/>
      <c r="F146" s="212" t="n"/>
      <c r="G146" s="212" t="n"/>
      <c r="H146" s="184" t="n"/>
      <c r="I146" s="189" t="n"/>
      <c r="J146" s="189" t="n">
        <v>0</v>
      </c>
      <c r="K146" s="201" t="n">
        <v>0</v>
      </c>
      <c r="L146" s="202">
        <f>J146-N146-P146</f>
        <v/>
      </c>
      <c r="M146" s="184" t="n"/>
      <c r="N146" s="184" t="n"/>
      <c r="O146" s="189">
        <f>L146-M146</f>
        <v/>
      </c>
      <c r="P146" s="189">
        <f>K146-N146</f>
        <v/>
      </c>
      <c r="Q146" s="189">
        <f>M146+O146</f>
        <v/>
      </c>
      <c r="R146" s="189">
        <f>M146+N146+O146+P146</f>
        <v/>
      </c>
      <c r="S146" s="203">
        <f>SUM(T146:V146)</f>
        <v/>
      </c>
      <c r="T146" s="203" t="n"/>
      <c r="U146" s="203" t="n"/>
      <c r="V146" s="203" t="n"/>
      <c r="W146" s="203" t="n"/>
      <c r="X146" s="203" t="n"/>
      <c r="Y146" s="203" t="n"/>
      <c r="Z146" s="203" t="n"/>
      <c r="AA146" s="203" t="n"/>
      <c r="AB146" s="203" t="n"/>
      <c r="AC146" s="203" t="n"/>
      <c r="AD146" s="203" t="n"/>
      <c r="AE146" s="203" t="n"/>
      <c r="AF146" s="203" t="n"/>
      <c r="AG146" s="203" t="n"/>
      <c r="AH146" s="203" t="n"/>
      <c r="AI146" s="203" t="n"/>
      <c r="AJ146" s="203" t="n"/>
      <c r="AK146" s="188" t="n"/>
      <c r="AL146" s="204" t="n"/>
    </row>
    <row r="147">
      <c r="A147" s="206" t="n"/>
      <c r="B147" s="206" t="n"/>
      <c r="C147" s="207" t="n"/>
      <c r="D147" s="207" t="inlineStr">
        <is>
          <t>ZGD-境内差旅费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9">
        <f>J147-K147</f>
        <v/>
      </c>
      <c r="M147" s="210" t="n">
        <v>227.68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</row>
    <row r="148">
      <c r="A148" s="206" t="n"/>
      <c r="B148" s="206" t="n"/>
      <c r="C148" s="207" t="n"/>
      <c r="D148" s="207" t="inlineStr">
        <is>
          <t>ZGD-工会经费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9">
        <f>J148-K148</f>
        <v/>
      </c>
      <c r="M148" s="210" t="n">
        <v>115907.8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</row>
    <row r="149">
      <c r="A149" s="206" t="n"/>
      <c r="B149" s="206" t="n"/>
      <c r="C149" s="207" t="n"/>
      <c r="D149" s="207" t="inlineStr">
        <is>
          <t>ZGD-工资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9">
        <f>J149-K149</f>
        <v/>
      </c>
      <c r="M149" s="210" t="n">
        <v>-42912.81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</row>
    <row r="150">
      <c r="A150" s="206" t="n"/>
      <c r="B150" s="206" t="n"/>
      <c r="C150" s="207" t="n"/>
      <c r="D150" s="207" t="inlineStr">
        <is>
          <t>ZGD-折旧费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9">
        <f>J150-K150</f>
        <v/>
      </c>
      <c r="M150" s="210" t="n">
        <v>709.35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</row>
    <row r="151">
      <c r="A151" s="206" t="n"/>
      <c r="B151" s="206" t="n"/>
      <c r="C151" s="207" t="n"/>
      <c r="D151" s="207" t="inlineStr">
        <is>
          <t>书报资料费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9">
        <f>J151-K151</f>
        <v/>
      </c>
      <c r="M151" s="210" t="n">
        <v>220.88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</row>
    <row r="152">
      <c r="A152" s="206" t="n"/>
      <c r="B152" s="206" t="n"/>
      <c r="C152" s="207" t="n"/>
      <c r="D152" s="207" t="inlineStr">
        <is>
          <t>企业年金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9">
        <f>J152-K152</f>
        <v/>
      </c>
      <c r="M152" s="210" t="n">
        <v>186548.56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</row>
    <row r="153">
      <c r="A153" s="206" t="n"/>
      <c r="B153" s="206" t="n"/>
      <c r="C153" s="207" t="n"/>
      <c r="D153" s="207" t="inlineStr">
        <is>
          <t>会议费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9">
        <f>J153-K153</f>
        <v/>
      </c>
      <c r="M153" s="210" t="n">
        <v>5867.37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</row>
    <row r="154">
      <c r="A154" s="206" t="n"/>
      <c r="B154" s="206" t="n"/>
      <c r="C154" s="207" t="n"/>
      <c r="D154" s="207" t="inlineStr">
        <is>
          <t>住房公积金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9">
        <f>J154-K154</f>
        <v/>
      </c>
      <c r="M154" s="210" t="n">
        <v>921583.74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</row>
    <row r="155">
      <c r="A155" s="206" t="n"/>
      <c r="B155" s="206" t="n"/>
      <c r="C155" s="207" t="n"/>
      <c r="D155" s="207" t="inlineStr">
        <is>
          <t>保险费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9">
        <f>J155-K155</f>
        <v/>
      </c>
      <c r="M155" s="210" t="n">
        <v>4245.28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</row>
    <row r="156">
      <c r="A156" s="206" t="n"/>
      <c r="B156" s="206" t="n"/>
      <c r="C156" s="207" t="n"/>
      <c r="D156" s="207" t="inlineStr">
        <is>
          <t>修理费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9">
        <f>J156-K156</f>
        <v/>
      </c>
      <c r="M156" s="210" t="n">
        <v>27769.38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</row>
    <row r="157">
      <c r="A157" s="206" t="n"/>
      <c r="B157" s="206" t="n"/>
      <c r="C157" s="207" t="n"/>
      <c r="D157" s="207" t="inlineStr">
        <is>
          <t>其他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9">
        <f>J157-K157</f>
        <v/>
      </c>
      <c r="M157" s="210" t="n">
        <v>445466.64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</row>
    <row r="158">
      <c r="A158" s="206" t="n"/>
      <c r="B158" s="206" t="n"/>
      <c r="C158" s="207" t="n"/>
      <c r="D158" s="207" t="inlineStr">
        <is>
          <t>其他补充保险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9">
        <f>J158-K158</f>
        <v/>
      </c>
      <c r="M158" s="210" t="n">
        <v>87.84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</row>
    <row r="159">
      <c r="A159" s="206" t="n"/>
      <c r="B159" s="206" t="n"/>
      <c r="C159" s="207" t="n"/>
      <c r="D159" s="207" t="inlineStr">
        <is>
          <t>冲晒印刷费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9">
        <f>J159-K159</f>
        <v/>
      </c>
      <c r="M159" s="210" t="n">
        <v>112428.15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</row>
    <row r="160">
      <c r="A160" s="206" t="n"/>
      <c r="B160" s="206" t="n"/>
      <c r="C160" s="207" t="n"/>
      <c r="D160" s="207" t="inlineStr">
        <is>
          <t>办公用品费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9">
        <f>J160-K160</f>
        <v/>
      </c>
      <c r="M160" s="210" t="n">
        <v>607692.39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</row>
    <row r="161">
      <c r="A161" s="206" t="n"/>
      <c r="B161" s="206" t="n"/>
      <c r="C161" s="207" t="n"/>
      <c r="D161" s="207" t="inlineStr">
        <is>
          <t>医疗保险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9">
        <f>J161-K161</f>
        <v/>
      </c>
      <c r="M161" s="210" t="n">
        <v>453554.98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</row>
    <row r="162">
      <c r="A162" s="206" t="n"/>
      <c r="B162" s="206" t="n"/>
      <c r="C162" s="207" t="n"/>
      <c r="D162" s="207" t="inlineStr">
        <is>
          <t>基本养老保险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9">
        <f>J162-K162</f>
        <v/>
      </c>
      <c r="M162" s="210" t="n">
        <v>1111816.95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</row>
    <row r="163">
      <c r="A163" s="206" t="n"/>
      <c r="B163" s="206" t="n"/>
      <c r="C163" s="207" t="n"/>
      <c r="D163" s="207" t="inlineStr">
        <is>
          <t>境内差旅费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9">
        <f>J163-K163</f>
        <v/>
      </c>
      <c r="M163" s="210" t="n">
        <v>28860.18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</row>
    <row r="164">
      <c r="A164" s="206" t="n"/>
      <c r="B164" s="206" t="n"/>
      <c r="C164" s="207" t="n"/>
      <c r="D164" s="207" t="inlineStr">
        <is>
          <t>失业保险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9">
        <f>J164-K164</f>
        <v/>
      </c>
      <c r="M164" s="210" t="n">
        <v>45975.32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</row>
    <row r="165">
      <c r="A165" s="206" t="n"/>
      <c r="B165" s="206" t="n"/>
      <c r="C165" s="207" t="n"/>
      <c r="D165" s="207" t="inlineStr">
        <is>
          <t>工会经费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9">
        <f>J165-K165</f>
        <v/>
      </c>
      <c r="M165" s="210" t="n">
        <v>150995.69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</row>
    <row r="166">
      <c r="A166" s="206" t="n"/>
      <c r="B166" s="206" t="n"/>
      <c r="C166" s="207" t="n"/>
      <c r="D166" s="207" t="inlineStr">
        <is>
          <t>工伤保险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9">
        <f>J166-K166</f>
        <v/>
      </c>
      <c r="M166" s="210" t="n">
        <v>43560.14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</row>
    <row r="167">
      <c r="A167" s="206" t="n"/>
      <c r="B167" s="206" t="n"/>
      <c r="C167" s="207" t="n"/>
      <c r="D167" s="207" t="inlineStr">
        <is>
          <t>工资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9">
        <f>J167-K167</f>
        <v/>
      </c>
      <c r="M167" s="210" t="n">
        <v>21079637.05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</row>
    <row r="168">
      <c r="A168" s="206" t="n"/>
      <c r="B168" s="206" t="n"/>
      <c r="C168" s="207" t="n"/>
      <c r="D168" s="207" t="inlineStr">
        <is>
          <t>市内交通费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9">
        <f>J168-K168</f>
        <v/>
      </c>
      <c r="M168" s="210" t="n">
        <v>5663.74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</row>
    <row r="169">
      <c r="A169" s="206" t="n"/>
      <c r="B169" s="206" t="n"/>
      <c r="C169" s="207" t="n"/>
      <c r="D169" s="207" t="inlineStr">
        <is>
          <t>律师费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9">
        <f>J169-K169</f>
        <v/>
      </c>
      <c r="M169" s="210" t="n">
        <v>14327.83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</row>
    <row r="170">
      <c r="A170" s="206" t="n"/>
      <c r="B170" s="206" t="n"/>
      <c r="C170" s="207" t="n"/>
      <c r="D170" s="207" t="inlineStr">
        <is>
          <t>折旧费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9">
        <f>J170-K170</f>
        <v/>
      </c>
      <c r="M170" s="210" t="n">
        <v>65460.13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</row>
    <row r="171">
      <c r="A171" s="206" t="n"/>
      <c r="B171" s="206" t="n"/>
      <c r="C171" s="207" t="n"/>
      <c r="D171" s="207" t="inlineStr">
        <is>
          <t>水电费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9">
        <f>J171-K171</f>
        <v/>
      </c>
      <c r="M171" s="210" t="n">
        <v>1915223.39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</row>
    <row r="172">
      <c r="A172" s="206" t="n"/>
      <c r="B172" s="206" t="n"/>
      <c r="C172" s="207" t="n"/>
      <c r="D172" s="207" t="inlineStr">
        <is>
          <t>燃油费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9">
        <f>J172-K172</f>
        <v/>
      </c>
      <c r="M172" s="210" t="n">
        <v>210747.51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</row>
    <row r="173">
      <c r="A173" s="206" t="n"/>
      <c r="B173" s="206" t="n"/>
      <c r="C173" s="207" t="n"/>
      <c r="D173" s="207" t="inlineStr">
        <is>
          <t>物业租赁费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9">
        <f>J173-K173</f>
        <v/>
      </c>
      <c r="M173" s="210" t="n">
        <v>223298.47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</row>
    <row r="174">
      <c r="A174" s="206" t="n"/>
      <c r="B174" s="206" t="n"/>
      <c r="C174" s="207" t="n"/>
      <c r="D174" s="207" t="inlineStr">
        <is>
          <t>物业管理费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9">
        <f>J174-K174</f>
        <v/>
      </c>
      <c r="M174" s="210" t="n">
        <v>463287.94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</row>
    <row r="175">
      <c r="A175" s="206" t="n"/>
      <c r="B175" s="206" t="n"/>
      <c r="C175" s="207" t="n"/>
      <c r="D175" s="207" t="inlineStr">
        <is>
          <t>物料消耗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9">
        <f>J175-K175</f>
        <v/>
      </c>
      <c r="M175" s="210" t="n">
        <v>4059.41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</row>
    <row r="176">
      <c r="A176" s="206" t="n"/>
      <c r="B176" s="206" t="n"/>
      <c r="C176" s="207" t="n"/>
      <c r="D176" s="207" t="inlineStr">
        <is>
          <t>生育保险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9">
        <f>J176-K176</f>
        <v/>
      </c>
      <c r="M176" s="210" t="n">
        <v>4798.28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</row>
    <row r="177">
      <c r="A177" s="206" t="n"/>
      <c r="B177" s="206" t="n"/>
      <c r="C177" s="207" t="n"/>
      <c r="D177" s="207" t="inlineStr">
        <is>
          <t>社保及公积金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9">
        <f>J177-K177</f>
        <v/>
      </c>
      <c r="M177" s="210" t="n">
        <v>1410339.33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</row>
    <row r="178">
      <c r="A178" s="206" t="n"/>
      <c r="B178" s="206" t="n"/>
      <c r="C178" s="207" t="n"/>
      <c r="D178" s="207" t="inlineStr">
        <is>
          <t>租车费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9">
        <f>J178-K178</f>
        <v/>
      </c>
      <c r="M178" s="210" t="n">
        <v>429894.83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</row>
    <row r="179">
      <c r="A179" s="206" t="n"/>
      <c r="B179" s="206" t="n"/>
      <c r="C179" s="207" t="n"/>
      <c r="D179" s="207" t="inlineStr">
        <is>
          <t>维修保养费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9">
        <f>J179-K179</f>
        <v/>
      </c>
      <c r="M179" s="210" t="n">
        <v>34521.89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</row>
    <row r="180">
      <c r="A180" s="206" t="n"/>
      <c r="B180" s="206" t="n"/>
      <c r="C180" s="207" t="n"/>
      <c r="D180" s="207" t="inlineStr">
        <is>
          <t>网络使用费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9">
        <f>J180-K180</f>
        <v/>
      </c>
      <c r="M180" s="210" t="n">
        <v>114830.51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</row>
    <row r="181">
      <c r="A181" s="206" t="n"/>
      <c r="B181" s="206" t="n"/>
      <c r="C181" s="207" t="n"/>
      <c r="D181" s="207" t="inlineStr">
        <is>
          <t>职工教育经费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9">
        <f>J181-K181</f>
        <v/>
      </c>
      <c r="M181" s="210" t="n">
        <v>135820.32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</row>
    <row r="182">
      <c r="A182" s="206" t="n"/>
      <c r="B182" s="206" t="n"/>
      <c r="C182" s="207" t="n"/>
      <c r="D182" s="207" t="inlineStr">
        <is>
          <t>职工福利费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9">
        <f>J182-K182</f>
        <v/>
      </c>
      <c r="M182" s="210" t="n">
        <v>824342.88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</row>
    <row r="183">
      <c r="A183" s="206" t="n"/>
      <c r="B183" s="206" t="n"/>
      <c r="C183" s="207" t="n"/>
      <c r="D183" s="207" t="inlineStr">
        <is>
          <t>补充医疗保险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9">
        <f>J183-K183</f>
        <v/>
      </c>
      <c r="M183" s="210" t="n">
        <v>7322.89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</row>
    <row r="184">
      <c r="A184" s="206" t="n"/>
      <c r="B184" s="206" t="n"/>
      <c r="C184" s="207" t="n"/>
      <c r="D184" s="207" t="inlineStr">
        <is>
          <t>诉讼费</t>
        </is>
      </c>
      <c r="E184" s="206" t="n"/>
      <c r="F184" s="206" t="n"/>
      <c r="G184" s="206" t="n"/>
      <c r="H184" s="206" t="n"/>
      <c r="I184" s="206" t="n"/>
      <c r="J184" s="206">
        <f>H184+I184</f>
        <v/>
      </c>
      <c r="K184" s="208" t="n"/>
      <c r="L184" s="209">
        <f>J184-K184</f>
        <v/>
      </c>
      <c r="M184" s="210" t="n">
        <v>36638.87</v>
      </c>
      <c r="N184" s="206" t="n"/>
      <c r="O184" s="206">
        <f>L184-M184</f>
        <v/>
      </c>
      <c r="P184" s="206">
        <f>K184-N184</f>
        <v/>
      </c>
      <c r="Q184" s="206">
        <f>M184+O184</f>
        <v/>
      </c>
      <c r="R184" s="206">
        <f>M184+N184+O184+P184</f>
        <v/>
      </c>
      <c r="S184" s="206" t="n"/>
      <c r="T184" s="206" t="n"/>
      <c r="U184" s="206" t="n"/>
      <c r="V184" s="206" t="n"/>
    </row>
    <row r="185">
      <c r="A185" s="206" t="n"/>
      <c r="B185" s="206" t="n"/>
      <c r="C185" s="207" t="n"/>
      <c r="D185" s="207" t="inlineStr">
        <is>
          <t>路桥及停车费</t>
        </is>
      </c>
      <c r="E185" s="206" t="n"/>
      <c r="F185" s="206" t="n"/>
      <c r="G185" s="206" t="n"/>
      <c r="H185" s="206" t="n"/>
      <c r="I185" s="206" t="n"/>
      <c r="J185" s="206">
        <f>H185+I185</f>
        <v/>
      </c>
      <c r="K185" s="208" t="n"/>
      <c r="L185" s="209">
        <f>J185-K185</f>
        <v/>
      </c>
      <c r="M185" s="210" t="n">
        <v>78817.39999999999</v>
      </c>
      <c r="N185" s="206" t="n"/>
      <c r="O185" s="206">
        <f>L185-M185</f>
        <v/>
      </c>
      <c r="P185" s="206">
        <f>K185-N185</f>
        <v/>
      </c>
      <c r="Q185" s="206">
        <f>M185+O185</f>
        <v/>
      </c>
      <c r="R185" s="206">
        <f>M185+N185+O185+P185</f>
        <v/>
      </c>
      <c r="S185" s="206" t="n"/>
      <c r="T185" s="206" t="n"/>
      <c r="U185" s="206" t="n"/>
      <c r="V185" s="206" t="n"/>
    </row>
    <row r="186">
      <c r="A186" s="206" t="n"/>
      <c r="B186" s="206" t="n"/>
      <c r="C186" s="207" t="n"/>
      <c r="D186" s="207" t="inlineStr">
        <is>
          <t>软件费</t>
        </is>
      </c>
      <c r="E186" s="206" t="n"/>
      <c r="F186" s="206" t="n"/>
      <c r="G186" s="206" t="n"/>
      <c r="H186" s="206" t="n"/>
      <c r="I186" s="206" t="n"/>
      <c r="J186" s="206">
        <f>H186+I186</f>
        <v/>
      </c>
      <c r="K186" s="208" t="n"/>
      <c r="L186" s="209">
        <f>J186-K186</f>
        <v/>
      </c>
      <c r="M186" s="210" t="n">
        <v>209326.47</v>
      </c>
      <c r="N186" s="206" t="n"/>
      <c r="O186" s="206">
        <f>L186-M186</f>
        <v/>
      </c>
      <c r="P186" s="206">
        <f>K186-N186</f>
        <v/>
      </c>
      <c r="Q186" s="206">
        <f>M186+O186</f>
        <v/>
      </c>
      <c r="R186" s="206">
        <f>M186+N186+O186+P186</f>
        <v/>
      </c>
      <c r="S186" s="206" t="n"/>
      <c r="T186" s="206" t="n"/>
      <c r="U186" s="206" t="n"/>
      <c r="V186" s="206" t="n"/>
    </row>
    <row r="187">
      <c r="A187" s="206" t="n"/>
      <c r="B187" s="206" t="n"/>
      <c r="C187" s="207" t="n"/>
      <c r="D187" s="207" t="inlineStr">
        <is>
          <t>通信费</t>
        </is>
      </c>
      <c r="E187" s="206" t="n"/>
      <c r="F187" s="206" t="n"/>
      <c r="G187" s="206" t="n"/>
      <c r="H187" s="206" t="n"/>
      <c r="I187" s="206" t="n"/>
      <c r="J187" s="206">
        <f>H187+I187</f>
        <v/>
      </c>
      <c r="K187" s="208" t="n"/>
      <c r="L187" s="209">
        <f>J187-K187</f>
        <v/>
      </c>
      <c r="M187" s="210" t="n">
        <v>192969.09</v>
      </c>
      <c r="N187" s="206" t="n"/>
      <c r="O187" s="206">
        <f>L187-M187</f>
        <v/>
      </c>
      <c r="P187" s="206">
        <f>K187-N187</f>
        <v/>
      </c>
      <c r="Q187" s="206">
        <f>M187+O187</f>
        <v/>
      </c>
      <c r="R187" s="206">
        <f>M187+N187+O187+P187</f>
        <v/>
      </c>
      <c r="S187" s="206" t="n"/>
      <c r="T187" s="206" t="n"/>
      <c r="U187" s="206" t="n"/>
      <c r="V187" s="206" t="n"/>
    </row>
    <row r="188">
      <c r="A188" s="206" t="n"/>
      <c r="B188" s="206" t="n"/>
      <c r="C188" s="207" t="n"/>
      <c r="D188" s="207" t="inlineStr">
        <is>
          <t>邮寄费</t>
        </is>
      </c>
      <c r="E188" s="206" t="n"/>
      <c r="F188" s="206" t="n"/>
      <c r="G188" s="206" t="n"/>
      <c r="H188" s="206" t="n"/>
      <c r="I188" s="206" t="n"/>
      <c r="J188" s="206">
        <f>H188+I188</f>
        <v/>
      </c>
      <c r="K188" s="208" t="n"/>
      <c r="L188" s="209">
        <f>J188-K188</f>
        <v/>
      </c>
      <c r="M188" s="210" t="n">
        <v>1030.72</v>
      </c>
      <c r="N188" s="206" t="n"/>
      <c r="O188" s="206">
        <f>L188-M188</f>
        <v/>
      </c>
      <c r="P188" s="206">
        <f>K188-N188</f>
        <v/>
      </c>
      <c r="Q188" s="206">
        <f>M188+O188</f>
        <v/>
      </c>
      <c r="R188" s="206">
        <f>M188+N188+O188+P188</f>
        <v/>
      </c>
      <c r="S188" s="206" t="n"/>
      <c r="T188" s="206" t="n"/>
      <c r="U188" s="206" t="n"/>
      <c r="V188" s="206" t="n"/>
    </row>
    <row r="189">
      <c r="A189" s="33" t="n"/>
      <c r="B189" s="199" t="n"/>
      <c r="C189" s="199" t="n"/>
      <c r="D189" s="211" t="inlineStr">
        <is>
          <t>**财务未列部分需增列***</t>
        </is>
      </c>
      <c r="E189" s="212" t="n"/>
      <c r="F189" s="212" t="n"/>
      <c r="G189" s="212" t="n"/>
      <c r="H189" s="233" t="n"/>
      <c r="I189" s="189" t="n"/>
      <c r="J189" s="233" t="n"/>
      <c r="K189" s="201" t="n"/>
      <c r="L189" s="202" t="n"/>
      <c r="M189" s="233" t="n"/>
      <c r="N189" s="189" t="n"/>
      <c r="O189" s="189">
        <f>L189-M189</f>
        <v/>
      </c>
      <c r="P189" s="189">
        <f>K189-N189</f>
        <v/>
      </c>
      <c r="Q189" s="189">
        <f>M189+O189</f>
        <v/>
      </c>
      <c r="R189" s="189">
        <f>M189+N189+O189+P189</f>
        <v/>
      </c>
      <c r="S189" s="203">
        <f>SUM(T189:V189)</f>
        <v/>
      </c>
      <c r="T189" s="233" t="n"/>
      <c r="U189" s="233" t="n"/>
      <c r="V189" s="233" t="n"/>
      <c r="W189" s="233" t="n"/>
      <c r="X189" s="233" t="n"/>
      <c r="Y189" s="233" t="n"/>
      <c r="Z189" s="233" t="n"/>
      <c r="AA189" s="203" t="n"/>
      <c r="AB189" s="188" t="n"/>
      <c r="AC189" s="188" t="n"/>
      <c r="AD189" s="188" t="n"/>
      <c r="AE189" s="188" t="n"/>
      <c r="AF189" s="188" t="n"/>
      <c r="AG189" s="188" t="n"/>
      <c r="AH189" s="188" t="n"/>
      <c r="AI189" s="188" t="n"/>
      <c r="AJ189" s="188" t="n"/>
      <c r="AK189" s="188" t="n"/>
      <c r="AL189" s="214" t="n"/>
    </row>
    <row r="190">
      <c r="A190" s="55" t="n"/>
      <c r="B190" s="234" t="n"/>
      <c r="C190" s="234" t="n"/>
      <c r="D190" s="230" t="inlineStr">
        <is>
          <t>间接费小计：</t>
        </is>
      </c>
      <c r="E190" s="235" t="n"/>
      <c r="F190" s="235" t="n"/>
      <c r="G190" s="235" t="n"/>
      <c r="H190" s="217">
        <f>SUM(H146:H189)</f>
        <v/>
      </c>
      <c r="I190" s="217">
        <f>SUM(I146:I189)</f>
        <v/>
      </c>
      <c r="J190" s="217">
        <f>SUM(J146:J189)</f>
        <v/>
      </c>
      <c r="K190" s="217">
        <f>SUM(K146:K189)</f>
        <v/>
      </c>
      <c r="L190" s="232">
        <f>SUM(L146:L189)</f>
        <v/>
      </c>
      <c r="M190" s="232">
        <f>SUM(M146:M189)</f>
        <v/>
      </c>
      <c r="N190" s="232">
        <f>SUM(N146:N189)</f>
        <v/>
      </c>
      <c r="O190" s="232">
        <f>SUM(O146:O189)</f>
        <v/>
      </c>
      <c r="P190" s="232">
        <f>SUM(P146:P189)</f>
        <v/>
      </c>
      <c r="Q190" s="232">
        <f>SUM(Q146:Q189)</f>
        <v/>
      </c>
      <c r="R190" s="232">
        <f>SUM(R146:R189)</f>
        <v/>
      </c>
      <c r="S190" s="232">
        <f>SUM(S146:S189)</f>
        <v/>
      </c>
      <c r="T190" s="232" t="n"/>
      <c r="U190" s="232" t="n"/>
      <c r="V190" s="232" t="n"/>
      <c r="W190" s="232" t="n"/>
      <c r="X190" s="232" t="n"/>
      <c r="Y190" s="232" t="n"/>
      <c r="Z190" s="232">
        <f>SUM(Z146:Z189)</f>
        <v/>
      </c>
      <c r="AA190" s="232">
        <f>SUM(AA146:AA189)</f>
        <v/>
      </c>
      <c r="AB190" s="232">
        <f>SUM(AB146:AB189)</f>
        <v/>
      </c>
      <c r="AC190" s="232">
        <f>SUM(AC146:AC189)</f>
        <v/>
      </c>
      <c r="AD190" s="232">
        <f>SUM(AD146:AD189)</f>
        <v/>
      </c>
      <c r="AE190" s="232">
        <f>SUM(AE146:AE189)</f>
        <v/>
      </c>
      <c r="AF190" s="232">
        <f>SUM(AF146:AF189)</f>
        <v/>
      </c>
      <c r="AG190" s="232" t="n"/>
      <c r="AH190" s="232" t="n"/>
      <c r="AI190" s="232">
        <f>SUM(AI146:AI189)</f>
        <v/>
      </c>
      <c r="AJ190" s="232">
        <f>SUM(AJ146:AJ189)</f>
        <v/>
      </c>
      <c r="AK190" s="232">
        <f>SUM(AK146:AK189)</f>
        <v/>
      </c>
      <c r="AL190" s="214" t="n"/>
    </row>
    <row r="191">
      <c r="A191" s="33" t="n"/>
      <c r="B191" s="199" t="n"/>
      <c r="C191" s="199" t="n"/>
      <c r="D191" s="218" t="inlineStr">
        <is>
          <t>（七）安全费</t>
        </is>
      </c>
      <c r="E191" s="212" t="n"/>
      <c r="F191" s="212" t="n"/>
      <c r="G191" s="212" t="n"/>
      <c r="H191" s="189" t="n"/>
      <c r="I191" s="189" t="n"/>
      <c r="J191" s="184" t="n">
        <v>0</v>
      </c>
      <c r="K191" s="236" t="n"/>
      <c r="L191" s="202">
        <f>J191-N191-P191</f>
        <v/>
      </c>
      <c r="M191" s="189" t="n"/>
      <c r="N191" s="189" t="n"/>
      <c r="O191" s="189">
        <f>L191-M191</f>
        <v/>
      </c>
      <c r="P191" s="189">
        <f>K191-N191</f>
        <v/>
      </c>
      <c r="Q191" s="189">
        <f>M191+O191</f>
        <v/>
      </c>
      <c r="R191" s="189">
        <f>M191+N191+O191+P191</f>
        <v/>
      </c>
      <c r="S191" s="203">
        <f>SUM(T191:V191)</f>
        <v/>
      </c>
      <c r="T191" s="233" t="n"/>
      <c r="U191" s="233" t="n"/>
      <c r="V191" s="233" t="n"/>
      <c r="W191" s="233" t="n"/>
      <c r="X191" s="233" t="n"/>
      <c r="Y191" s="233" t="n"/>
      <c r="Z191" s="229" t="n"/>
      <c r="AA191" s="203" t="n"/>
      <c r="AB191" s="188" t="n"/>
      <c r="AC191" s="188" t="n"/>
      <c r="AD191" s="188" t="n"/>
      <c r="AE191" s="188" t="n"/>
      <c r="AF191" s="188" t="n"/>
      <c r="AG191" s="188" t="n"/>
      <c r="AH191" s="188" t="n"/>
      <c r="AI191" s="188" t="n"/>
      <c r="AJ191" s="188" t="n"/>
      <c r="AK191" s="188" t="n"/>
      <c r="AL191" s="214" t="n"/>
    </row>
    <row r="192">
      <c r="A192" s="206" t="n"/>
      <c r="B192" s="206" t="n"/>
      <c r="C192" s="207" t="n"/>
      <c r="D192" s="207" t="inlineStr">
        <is>
          <t>ZGD-安全生产-分包工程</t>
        </is>
      </c>
      <c r="E192" s="206" t="n"/>
      <c r="F192" s="206" t="n"/>
      <c r="G192" s="206" t="n"/>
      <c r="H192" s="206" t="n"/>
      <c r="I192" s="206" t="n"/>
      <c r="J192" s="206">
        <f>H192+I192</f>
        <v/>
      </c>
      <c r="K192" s="208" t="n"/>
      <c r="L192" s="209">
        <f>J192-K192</f>
        <v/>
      </c>
      <c r="M192" s="210" t="n">
        <v>7872000.25</v>
      </c>
      <c r="N192" s="206" t="n"/>
      <c r="O192" s="206">
        <f>L192-M192</f>
        <v/>
      </c>
      <c r="P192" s="206">
        <f>K192-N192</f>
        <v/>
      </c>
      <c r="Q192" s="206">
        <f>M192+O192</f>
        <v/>
      </c>
      <c r="R192" s="206">
        <f>M192+N192+O192+P192</f>
        <v/>
      </c>
      <c r="S192" s="206" t="n"/>
      <c r="T192" s="206" t="n"/>
      <c r="U192" s="206" t="n"/>
      <c r="V192" s="206" t="n"/>
    </row>
    <row r="193">
      <c r="A193" s="206" t="n"/>
      <c r="B193" s="206" t="n"/>
      <c r="C193" s="207" t="n"/>
      <c r="D193" s="207" t="inlineStr">
        <is>
          <t>安全生产-人工费</t>
        </is>
      </c>
      <c r="E193" s="206" t="n"/>
      <c r="F193" s="206" t="n"/>
      <c r="G193" s="206" t="n"/>
      <c r="H193" s="206" t="n"/>
      <c r="I193" s="206" t="n"/>
      <c r="J193" s="206">
        <f>H193+I193</f>
        <v/>
      </c>
      <c r="K193" s="208" t="n"/>
      <c r="L193" s="209">
        <f>J193-K193</f>
        <v/>
      </c>
      <c r="M193" s="210" t="n">
        <v>2852405.63</v>
      </c>
      <c r="N193" s="206" t="n"/>
      <c r="O193" s="206">
        <f>L193-M193</f>
        <v/>
      </c>
      <c r="P193" s="206">
        <f>K193-N193</f>
        <v/>
      </c>
      <c r="Q193" s="206">
        <f>M193+O193</f>
        <v/>
      </c>
      <c r="R193" s="206">
        <f>M193+N193+O193+P193</f>
        <v/>
      </c>
      <c r="S193" s="206" t="n"/>
      <c r="T193" s="206" t="n"/>
      <c r="U193" s="206" t="n"/>
      <c r="V193" s="206" t="n"/>
    </row>
    <row r="194">
      <c r="A194" s="206" t="n"/>
      <c r="B194" s="206" t="n"/>
      <c r="C194" s="207" t="n"/>
      <c r="D194" s="207" t="inlineStr">
        <is>
          <t>安全生产-分包工程</t>
        </is>
      </c>
      <c r="E194" s="206" t="n"/>
      <c r="F194" s="206" t="n"/>
      <c r="G194" s="206" t="n"/>
      <c r="H194" s="206" t="n"/>
      <c r="I194" s="206" t="n"/>
      <c r="J194" s="206">
        <f>H194+I194</f>
        <v/>
      </c>
      <c r="K194" s="208" t="n"/>
      <c r="L194" s="209">
        <f>J194-K194</f>
        <v/>
      </c>
      <c r="M194" s="210" t="n">
        <v>4674095.6</v>
      </c>
      <c r="N194" s="206" t="n"/>
      <c r="O194" s="206">
        <f>L194-M194</f>
        <v/>
      </c>
      <c r="P194" s="206">
        <f>K194-N194</f>
        <v/>
      </c>
      <c r="Q194" s="206">
        <f>M194+O194</f>
        <v/>
      </c>
      <c r="R194" s="206">
        <f>M194+N194+O194+P194</f>
        <v/>
      </c>
      <c r="S194" s="206" t="n"/>
      <c r="T194" s="206" t="n"/>
      <c r="U194" s="206" t="n"/>
      <c r="V194" s="206" t="n"/>
    </row>
    <row r="195">
      <c r="A195" s="206" t="n"/>
      <c r="B195" s="206" t="n"/>
      <c r="C195" s="207" t="n"/>
      <c r="D195" s="207" t="inlineStr">
        <is>
          <t>安全生产-机械使用</t>
        </is>
      </c>
      <c r="E195" s="206" t="n"/>
      <c r="F195" s="206" t="n"/>
      <c r="G195" s="206" t="n"/>
      <c r="H195" s="206" t="n"/>
      <c r="I195" s="206" t="n"/>
      <c r="J195" s="206">
        <f>H195+I195</f>
        <v/>
      </c>
      <c r="K195" s="208" t="n"/>
      <c r="L195" s="209">
        <f>J195-K195</f>
        <v/>
      </c>
      <c r="M195" s="210" t="n">
        <v>326856.87</v>
      </c>
      <c r="N195" s="206" t="n"/>
      <c r="O195" s="206">
        <f>L195-M195</f>
        <v/>
      </c>
      <c r="P195" s="206">
        <f>K195-N195</f>
        <v/>
      </c>
      <c r="Q195" s="206">
        <f>M195+O195</f>
        <v/>
      </c>
      <c r="R195" s="206">
        <f>M195+N195+O195+P195</f>
        <v/>
      </c>
      <c r="S195" s="206" t="n"/>
      <c r="T195" s="206" t="n"/>
      <c r="U195" s="206" t="n"/>
      <c r="V195" s="206" t="n"/>
    </row>
    <row r="196">
      <c r="A196" s="206" t="n"/>
      <c r="B196" s="206" t="n"/>
      <c r="C196" s="207" t="n"/>
      <c r="D196" s="207" t="inlineStr">
        <is>
          <t>安全生产费-报销</t>
        </is>
      </c>
      <c r="E196" s="206" t="n"/>
      <c r="F196" s="206" t="n"/>
      <c r="G196" s="206" t="n"/>
      <c r="H196" s="206" t="n"/>
      <c r="I196" s="206" t="n"/>
      <c r="J196" s="206">
        <f>H196+I196</f>
        <v/>
      </c>
      <c r="K196" s="208" t="n"/>
      <c r="L196" s="209">
        <f>J196-K196</f>
        <v/>
      </c>
      <c r="M196" s="210" t="n">
        <v>2066826.1</v>
      </c>
      <c r="N196" s="206" t="n"/>
      <c r="O196" s="206">
        <f>L196-M196</f>
        <v/>
      </c>
      <c r="P196" s="206">
        <f>K196-N196</f>
        <v/>
      </c>
      <c r="Q196" s="206">
        <f>M196+O196</f>
        <v/>
      </c>
      <c r="R196" s="206">
        <f>M196+N196+O196+P196</f>
        <v/>
      </c>
      <c r="S196" s="206" t="n"/>
      <c r="T196" s="206" t="n"/>
      <c r="U196" s="206" t="n"/>
      <c r="V196" s="206" t="n"/>
    </row>
    <row r="197">
      <c r="A197" s="55" t="n"/>
      <c r="B197" s="234" t="n"/>
      <c r="C197" s="234" t="n"/>
      <c r="D197" s="230" t="inlineStr">
        <is>
          <t>安全费小计：</t>
        </is>
      </c>
      <c r="E197" s="230" t="n"/>
      <c r="F197" s="230" t="n"/>
      <c r="G197" s="230" t="n"/>
      <c r="H197" s="217">
        <f>SUM(H191:H196)</f>
        <v/>
      </c>
      <c r="I197" s="217">
        <f>SUM(I191:I196)</f>
        <v/>
      </c>
      <c r="J197" s="217" t="n">
        <v>0</v>
      </c>
      <c r="K197" s="217" t="n">
        <v>0</v>
      </c>
      <c r="L197" s="202">
        <f>J197-K197</f>
        <v/>
      </c>
      <c r="M197" s="232">
        <f>SUM(M191:M196)</f>
        <v/>
      </c>
      <c r="N197" s="232">
        <f>SUM(N191:N196)</f>
        <v/>
      </c>
      <c r="O197" s="232">
        <f>SUM(O191:O196)</f>
        <v/>
      </c>
      <c r="P197" s="232">
        <f>SUM(P191:P196)</f>
        <v/>
      </c>
      <c r="Q197" s="232">
        <f>SUM(Q191:Q196)</f>
        <v/>
      </c>
      <c r="R197" s="232">
        <f>SUM(R191:R196)</f>
        <v/>
      </c>
      <c r="S197" s="232">
        <f>SUM(S191:S196)</f>
        <v/>
      </c>
      <c r="T197" s="237" t="n"/>
      <c r="U197" s="237" t="n"/>
      <c r="V197" s="237" t="n"/>
      <c r="W197" s="237" t="n"/>
      <c r="X197" s="237" t="n"/>
      <c r="Y197" s="237" t="n"/>
      <c r="Z197" s="237" t="n"/>
      <c r="AA197" s="237">
        <f>SUM(AA191:AA196)</f>
        <v/>
      </c>
      <c r="AB197" s="237">
        <f>SUM(AB191:AB196)</f>
        <v/>
      </c>
      <c r="AC197" s="237">
        <f>SUM(AC191:AC196)</f>
        <v/>
      </c>
      <c r="AD197" s="237">
        <f>SUM(AD191:AD196)</f>
        <v/>
      </c>
      <c r="AE197" s="237">
        <f>SUM(AE191:AE196)</f>
        <v/>
      </c>
      <c r="AF197" s="237">
        <f>SUM(AF191:AF196)</f>
        <v/>
      </c>
      <c r="AG197" s="237" t="n"/>
      <c r="AH197" s="237" t="n"/>
      <c r="AI197" s="237">
        <f>SUM(AI191:AI196)</f>
        <v/>
      </c>
      <c r="AJ197" s="237">
        <f>SUM(AJ191:AJ196)</f>
        <v/>
      </c>
      <c r="AK197" s="237">
        <f>SUM(AK191:AK196)</f>
        <v/>
      </c>
      <c r="AL197" s="238" t="n"/>
    </row>
    <row r="198">
      <c r="A198" s="55" t="n"/>
      <c r="B198" s="234" t="n"/>
      <c r="C198" s="234" t="n"/>
      <c r="D198" s="230" t="inlineStr">
        <is>
          <t>三、成本合计：</t>
        </is>
      </c>
      <c r="E198" s="235" t="n"/>
      <c r="F198" s="235" t="n"/>
      <c r="G198" s="235" t="n"/>
      <c r="H198" s="217">
        <f>H34+H65+H121+H137+H145+H190+H197</f>
        <v/>
      </c>
      <c r="I198" s="217">
        <f>I34+I65+I121+I137+I145+I190+I197</f>
        <v/>
      </c>
      <c r="J198" s="217">
        <f>J34+J65+J121+J137+J145+J190+J197</f>
        <v/>
      </c>
      <c r="K198" s="217">
        <f>K34+K65+K121+K137+K145+K190+K197</f>
        <v/>
      </c>
      <c r="L198" s="232">
        <f>L34+L65+L121+L137+L145+L190+L197</f>
        <v/>
      </c>
      <c r="M198" s="237">
        <f>M34+M65+M121+M137+M145+M190+M197</f>
        <v/>
      </c>
      <c r="N198" s="237">
        <f>N34+N65+N121+N137+N145+N190+N197</f>
        <v/>
      </c>
      <c r="O198" s="237">
        <f>O34+O65+O121+O137+O145+O190+O197</f>
        <v/>
      </c>
      <c r="P198" s="237">
        <f>P34+P65+P121+P137+P145+P190+P197</f>
        <v/>
      </c>
      <c r="Q198" s="237">
        <f>Q34+Q65+Q121+Q137+Q145+Q190+Q197</f>
        <v/>
      </c>
      <c r="R198" s="237">
        <f>R34+R65+R121+R137+R145+R190+R197</f>
        <v/>
      </c>
      <c r="S198" s="237">
        <f>S34+S65+S121+S137+S145+S190+S197</f>
        <v/>
      </c>
      <c r="T198" s="237" t="n"/>
      <c r="U198" s="237" t="n"/>
      <c r="V198" s="237" t="n"/>
      <c r="W198" s="237" t="n"/>
      <c r="X198" s="237" t="n"/>
      <c r="Y198" s="237" t="n"/>
      <c r="Z198" s="237">
        <f>Z34+Z65+Z121+Z137+Z145+Z190+Z197</f>
        <v/>
      </c>
      <c r="AA198" s="237">
        <f>AA34+AA65+AA121+AA137+AA145+AA190+AA197</f>
        <v/>
      </c>
      <c r="AB198" s="237">
        <f>AB34+AB65+AB121+AB137+AB145+AB190+AB197</f>
        <v/>
      </c>
      <c r="AC198" s="237">
        <f>AC34+AC65+AC121+AC137+AC145+AC190+AC197</f>
        <v/>
      </c>
      <c r="AD198" s="237">
        <f>AD34+AD65+AD121+AD137+AD145+AD190+AD197</f>
        <v/>
      </c>
      <c r="AE198" s="237">
        <f>AE34+AE65+AE121+AE137+AE145+AE190+AE197</f>
        <v/>
      </c>
      <c r="AF198" s="237">
        <f>AF34+AF65+AF121+AF137+AF145+AF190+AF197</f>
        <v/>
      </c>
      <c r="AG198" s="237" t="n"/>
      <c r="AH198" s="237" t="n"/>
      <c r="AI198" s="237">
        <f>AI34+AI65+AI121+AI137+AI145+AI190+AI197</f>
        <v/>
      </c>
      <c r="AJ198" s="237">
        <f>AJ34+AJ65+AJ121+AJ137+AJ145+AJ190+AJ197</f>
        <v/>
      </c>
      <c r="AK198" s="237">
        <f>AK34+AK65+AK121+AK137+AK145+AK190+AK197</f>
        <v/>
      </c>
      <c r="AL198" s="238" t="n"/>
    </row>
    <row r="199">
      <c r="A199" s="33" t="n"/>
      <c r="B199" s="199" t="n"/>
      <c r="C199" s="199" t="n"/>
      <c r="D199" s="218" t="inlineStr">
        <is>
          <t>四、计提保修金</t>
        </is>
      </c>
      <c r="E199" s="239" t="inlineStr">
        <is>
          <t>（在建：房建0.6%，其它0.4%；在保修期间的按0.3~0.5%自行确定;保修期结束为0）</t>
        </is>
      </c>
      <c r="F199" s="239" t="n"/>
      <c r="G199" s="239" t="n"/>
      <c r="H199" s="184" t="n"/>
      <c r="I199" s="184" t="n"/>
      <c r="J199" s="184">
        <f>H199+I199</f>
        <v/>
      </c>
      <c r="K199" s="184" t="n"/>
      <c r="L199" s="202">
        <f>J199-K199</f>
        <v/>
      </c>
      <c r="M199" s="189" t="n"/>
      <c r="N199" s="189" t="n"/>
      <c r="O199" s="189">
        <f>L199-M199</f>
        <v/>
      </c>
      <c r="P199" s="189">
        <f>K199-N199</f>
        <v/>
      </c>
      <c r="Q199" s="189">
        <f>M199+O199</f>
        <v/>
      </c>
      <c r="R199" s="189">
        <f>M199+N199+O199+P199</f>
        <v/>
      </c>
      <c r="S199" s="203">
        <f>SUM(T199:V199)</f>
        <v/>
      </c>
      <c r="T199" s="203" t="n"/>
      <c r="U199" s="203" t="n"/>
      <c r="V199" s="203" t="n"/>
      <c r="W199" s="203" t="n"/>
      <c r="X199" s="203" t="n"/>
      <c r="Y199" s="203" t="n"/>
      <c r="Z199" s="203" t="n"/>
      <c r="AA199" s="203">
        <f>Q69-S69</f>
        <v/>
      </c>
      <c r="AB199" s="240" t="n"/>
      <c r="AC199" s="240" t="n"/>
      <c r="AD199" s="240" t="n"/>
      <c r="AE199" s="240" t="n"/>
      <c r="AF199" s="240" t="n"/>
      <c r="AG199" s="240" t="n"/>
      <c r="AH199" s="240" t="n"/>
      <c r="AI199" s="240" t="n"/>
      <c r="AJ199" s="240" t="n"/>
      <c r="AK199" s="188" t="n"/>
      <c r="AL199" s="238" t="n"/>
    </row>
    <row r="200">
      <c r="A200" s="33" t="n"/>
      <c r="B200" s="199" t="n"/>
      <c r="C200" s="199" t="n"/>
      <c r="D200" s="218" t="inlineStr">
        <is>
          <t>五、过程节点奖金</t>
        </is>
      </c>
      <c r="E200" s="212" t="n"/>
      <c r="F200" s="212" t="n"/>
      <c r="G200" s="212" t="n"/>
      <c r="H200" s="184" t="n"/>
      <c r="I200" s="184" t="n"/>
      <c r="J200" s="184">
        <f>H200+I200</f>
        <v/>
      </c>
      <c r="K200" s="184" t="n"/>
      <c r="L200" s="202">
        <f>J200-K200</f>
        <v/>
      </c>
      <c r="M200" s="189" t="n"/>
      <c r="N200" s="189" t="n"/>
      <c r="O200" s="189">
        <f>L200-M200</f>
        <v/>
      </c>
      <c r="P200" s="189">
        <f>K200-N200</f>
        <v/>
      </c>
      <c r="Q200" s="189">
        <f>M200+O200</f>
        <v/>
      </c>
      <c r="R200" s="189">
        <f>M200+N200+O200+P200</f>
        <v/>
      </c>
      <c r="S200" s="203">
        <f>SUM(T200:V200)</f>
        <v/>
      </c>
      <c r="T200" s="203" t="n"/>
      <c r="U200" s="203" t="n"/>
      <c r="V200" s="203" t="n"/>
      <c r="W200" s="203" t="n"/>
      <c r="X200" s="203" t="n"/>
      <c r="Y200" s="203" t="n"/>
      <c r="Z200" s="203" t="n"/>
      <c r="AA200" s="203" t="n"/>
      <c r="AB200" s="188" t="n"/>
      <c r="AC200" s="188" t="n"/>
      <c r="AD200" s="188" t="n"/>
      <c r="AE200" s="188" t="n"/>
      <c r="AF200" s="188" t="n"/>
      <c r="AG200" s="188" t="n"/>
      <c r="AH200" s="188" t="n"/>
      <c r="AI200" s="188" t="n"/>
      <c r="AJ200" s="188" t="n"/>
      <c r="AK200" s="188" t="n"/>
      <c r="AL200" s="214" t="n"/>
    </row>
    <row r="201">
      <c r="A201" s="33" t="n"/>
      <c r="B201" s="199" t="n"/>
      <c r="C201" s="199" t="n"/>
      <c r="D201" s="218" t="inlineStr">
        <is>
          <t>六、资金占用费用</t>
        </is>
      </c>
      <c r="E201" s="212" t="n"/>
      <c r="F201" s="212" t="n"/>
      <c r="G201" s="212" t="n"/>
      <c r="H201" s="189" t="n"/>
      <c r="I201" s="189" t="n"/>
      <c r="J201" s="184">
        <f>H201+I201</f>
        <v/>
      </c>
      <c r="K201" s="189" t="n"/>
      <c r="L201" s="202">
        <f>J201-K201</f>
        <v/>
      </c>
      <c r="M201" s="222" t="n">
        <v>6780777.21</v>
      </c>
      <c r="N201" s="189" t="n"/>
      <c r="O201" s="189">
        <f>L201-M201</f>
        <v/>
      </c>
      <c r="P201" s="189">
        <f>K201-N201</f>
        <v/>
      </c>
      <c r="Q201" s="189">
        <f>M201+O201</f>
        <v/>
      </c>
      <c r="R201" s="189">
        <f>M201+N201+O201+P201</f>
        <v/>
      </c>
      <c r="S201" s="203">
        <f>SUM(T201:V201)</f>
        <v/>
      </c>
      <c r="T201" s="203" t="n"/>
      <c r="U201" s="203" t="n"/>
      <c r="V201" s="203" t="n"/>
      <c r="W201" s="203" t="n"/>
      <c r="X201" s="203" t="n"/>
      <c r="Y201" s="203" t="n"/>
      <c r="Z201" s="203" t="n"/>
      <c r="AA201" s="203" t="n"/>
      <c r="AB201" s="188" t="n"/>
      <c r="AC201" s="188" t="n"/>
      <c r="AD201" s="188" t="n"/>
      <c r="AE201" s="188" t="n"/>
      <c r="AF201" s="188" t="n"/>
      <c r="AG201" s="188" t="n"/>
      <c r="AH201" s="188" t="n"/>
      <c r="AI201" s="188" t="n"/>
      <c r="AJ201" s="188" t="n"/>
      <c r="AK201" s="188" t="n"/>
      <c r="AL201" s="214" t="n"/>
    </row>
    <row r="202">
      <c r="A202" s="33" t="n"/>
      <c r="B202" s="199" t="n"/>
      <c r="C202" s="199" t="n"/>
      <c r="D202" s="218" t="inlineStr">
        <is>
          <t>七、局投资收益（局投资项目选填）</t>
        </is>
      </c>
      <c r="E202" s="212" t="n"/>
      <c r="F202" s="212" t="n"/>
      <c r="G202" s="212" t="n"/>
      <c r="H202" s="189" t="n"/>
      <c r="I202" s="189" t="n"/>
      <c r="J202" s="184">
        <f>H202+I202</f>
        <v/>
      </c>
      <c r="K202" s="189" t="n"/>
      <c r="L202" s="202">
        <f>J202-K202</f>
        <v/>
      </c>
      <c r="M202" s="189" t="n"/>
      <c r="N202" s="189" t="n"/>
      <c r="O202" s="189">
        <f>L202-M202</f>
        <v/>
      </c>
      <c r="P202" s="189">
        <f>K202-N202</f>
        <v/>
      </c>
      <c r="Q202" s="189">
        <f>M202+O202</f>
        <v/>
      </c>
      <c r="R202" s="189">
        <f>M202+N202+O202+P202</f>
        <v/>
      </c>
      <c r="S202" s="203">
        <f>SUM(T202:V202)</f>
        <v/>
      </c>
      <c r="T202" s="203" t="n"/>
      <c r="U202" s="203" t="n"/>
      <c r="V202" s="203" t="n"/>
      <c r="W202" s="203" t="n"/>
      <c r="X202" s="203" t="n"/>
      <c r="Y202" s="203" t="n"/>
      <c r="Z202" s="203" t="n"/>
      <c r="AA202" s="203" t="n"/>
      <c r="AB202" s="188" t="n"/>
      <c r="AC202" s="188" t="n"/>
      <c r="AD202" s="188" t="n"/>
      <c r="AE202" s="188" t="n"/>
      <c r="AF202" s="188" t="n"/>
      <c r="AG202" s="188" t="n"/>
      <c r="AH202" s="188" t="n"/>
      <c r="AI202" s="188" t="n"/>
      <c r="AJ202" s="188" t="n"/>
      <c r="AK202" s="188" t="n"/>
      <c r="AL202" s="214" t="n"/>
    </row>
    <row r="203">
      <c r="A203" s="55" t="n"/>
      <c r="B203" s="234" t="n"/>
      <c r="C203" s="234" t="n"/>
      <c r="D203" s="230" t="inlineStr">
        <is>
          <t>八、研发费用</t>
        </is>
      </c>
      <c r="E203" s="235" t="n"/>
      <c r="F203" s="235" t="n"/>
      <c r="G203" s="235" t="n"/>
      <c r="H203" s="217" t="n"/>
      <c r="I203" s="217" t="n"/>
      <c r="J203" s="217">
        <f>H203+I203</f>
        <v/>
      </c>
      <c r="K203" s="217" t="n"/>
      <c r="L203" s="232">
        <f>J203-K203</f>
        <v/>
      </c>
      <c r="M203" s="237">
        <f>SUM(M74:M76)</f>
        <v/>
      </c>
      <c r="N203" s="237">
        <f>SUM(N74:N76)</f>
        <v/>
      </c>
      <c r="O203" s="237">
        <f>SUM(O74:O76)</f>
        <v/>
      </c>
      <c r="P203" s="237">
        <f>SUM(P74:P76)</f>
        <v/>
      </c>
      <c r="Q203" s="237">
        <f>SUM(Q74:Q76)</f>
        <v/>
      </c>
      <c r="R203" s="237">
        <f>SUM(R74:R76)</f>
        <v/>
      </c>
      <c r="S203" s="237">
        <f>SUM(S74:S76)</f>
        <v/>
      </c>
      <c r="T203" s="237">
        <f>SUM(T74:T76)</f>
        <v/>
      </c>
      <c r="U203" s="237">
        <f>SUM(U74:U76)</f>
        <v/>
      </c>
      <c r="V203" s="237">
        <f>SUM(V74:V76)</f>
        <v/>
      </c>
      <c r="W203" s="237">
        <f>SUM(W74:W76)</f>
        <v/>
      </c>
      <c r="X203" s="237">
        <f>SUM(X74:X76)</f>
        <v/>
      </c>
      <c r="Y203" s="237">
        <f>SUM(Y74:Y76)</f>
        <v/>
      </c>
      <c r="Z203" s="237">
        <f>SUM(Z74:Z76)</f>
        <v/>
      </c>
      <c r="AA203" s="237">
        <f>SUM(AA74:AA76)</f>
        <v/>
      </c>
      <c r="AB203" s="237">
        <f>SUM(AB74:AB76)</f>
        <v/>
      </c>
      <c r="AC203" s="237">
        <f>SUM(AC74:AC76)</f>
        <v/>
      </c>
      <c r="AD203" s="237">
        <f>SUM(AD74:AD76)</f>
        <v/>
      </c>
      <c r="AE203" s="237">
        <f>SUM(AE74:AE76)</f>
        <v/>
      </c>
      <c r="AF203" s="237">
        <f>SUM(AF74:AF76)</f>
        <v/>
      </c>
      <c r="AG203" s="237">
        <f>SUM(AG74:AG76)</f>
        <v/>
      </c>
      <c r="AH203" s="237">
        <f>SUM(AH74:AH76)</f>
        <v/>
      </c>
      <c r="AI203" s="237">
        <f>SUM(AI74:AI76)</f>
        <v/>
      </c>
      <c r="AJ203" s="237">
        <f>SUM(AJ74:AJ76)</f>
        <v/>
      </c>
      <c r="AK203" s="237">
        <f>SUM(AK74:AK76)</f>
        <v/>
      </c>
      <c r="AL203" s="238" t="n"/>
    </row>
    <row r="204">
      <c r="A204" s="206" t="n"/>
      <c r="B204" s="206" t="n"/>
      <c r="C204" s="207" t="n"/>
      <c r="D204" s="207" t="inlineStr">
        <is>
          <t>研发费用-人工成本</t>
        </is>
      </c>
      <c r="E204" s="206" t="n"/>
      <c r="F204" s="206" t="n"/>
      <c r="G204" s="206" t="n"/>
      <c r="H204" s="206" t="n"/>
      <c r="I204" s="206" t="n"/>
      <c r="J204" s="206" t="n"/>
      <c r="K204" s="206" t="n"/>
      <c r="L204" s="206" t="n"/>
      <c r="M204" s="210" t="n">
        <v>2069939.18</v>
      </c>
      <c r="N204" s="206" t="n"/>
      <c r="O204" s="206">
        <f>L204-M204</f>
        <v/>
      </c>
      <c r="P204" s="206">
        <f>K204-N204</f>
        <v/>
      </c>
      <c r="Q204" s="206">
        <f>M204+O204</f>
        <v/>
      </c>
      <c r="R204" s="206">
        <f>M204+N204+O204+P204</f>
        <v/>
      </c>
      <c r="S204" s="206" t="n"/>
      <c r="T204" s="206" t="n"/>
      <c r="U204" s="206" t="n"/>
      <c r="V204" s="206" t="n"/>
    </row>
    <row r="205">
      <c r="A205" s="206" t="n"/>
      <c r="B205" s="206" t="n"/>
      <c r="C205" s="207" t="n"/>
      <c r="D205" s="207" t="inlineStr">
        <is>
          <t>研发费用-内部结转</t>
        </is>
      </c>
      <c r="E205" s="206" t="n"/>
      <c r="F205" s="206" t="n"/>
      <c r="G205" s="206" t="n"/>
      <c r="H205" s="206" t="n"/>
      <c r="I205" s="206" t="n"/>
      <c r="J205" s="206" t="n"/>
      <c r="K205" s="206" t="n"/>
      <c r="L205" s="206" t="n"/>
      <c r="M205" s="210" t="n">
        <v>2358.5</v>
      </c>
      <c r="N205" s="206" t="n"/>
      <c r="O205" s="206">
        <f>L205-M205</f>
        <v/>
      </c>
      <c r="P205" s="206">
        <f>K205-N205</f>
        <v/>
      </c>
      <c r="Q205" s="206">
        <f>M205+O205</f>
        <v/>
      </c>
      <c r="R205" s="206">
        <f>M205+N205+O205+P205</f>
        <v/>
      </c>
      <c r="S205" s="206" t="n"/>
      <c r="T205" s="206" t="n"/>
      <c r="U205" s="206" t="n"/>
      <c r="V205" s="206" t="n"/>
    </row>
    <row r="206">
      <c r="A206" s="206" t="n"/>
      <c r="B206" s="206" t="n"/>
      <c r="C206" s="207" t="n"/>
      <c r="D206" s="207" t="inlineStr">
        <is>
          <t>研发费用-折旧</t>
        </is>
      </c>
      <c r="E206" s="206" t="n"/>
      <c r="F206" s="206" t="n"/>
      <c r="G206" s="206" t="n"/>
      <c r="H206" s="206" t="n"/>
      <c r="I206" s="206" t="n"/>
      <c r="J206" s="206" t="n"/>
      <c r="K206" s="206" t="n"/>
      <c r="L206" s="206" t="n"/>
      <c r="M206" s="210" t="n">
        <v>6857.02</v>
      </c>
      <c r="N206" s="206" t="n"/>
      <c r="O206" s="206">
        <f>L206-M206</f>
        <v/>
      </c>
      <c r="P206" s="206">
        <f>K206-N206</f>
        <v/>
      </c>
      <c r="Q206" s="206">
        <f>M206+O206</f>
        <v/>
      </c>
      <c r="R206" s="206">
        <f>M206+N206+O206+P206</f>
        <v/>
      </c>
      <c r="S206" s="206" t="n"/>
      <c r="T206" s="206" t="n"/>
      <c r="U206" s="206" t="n"/>
      <c r="V206" s="206" t="n"/>
    </row>
    <row r="207">
      <c r="A207" s="206" t="n"/>
      <c r="B207" s="206" t="n"/>
      <c r="C207" s="207" t="n"/>
      <c r="D207" s="207" t="inlineStr">
        <is>
          <t>研发费用-机械租赁</t>
        </is>
      </c>
      <c r="E207" s="206" t="n"/>
      <c r="F207" s="206" t="n"/>
      <c r="G207" s="206" t="n"/>
      <c r="H207" s="206" t="n"/>
      <c r="I207" s="206" t="n"/>
      <c r="J207" s="206" t="n"/>
      <c r="K207" s="206" t="n"/>
      <c r="L207" s="206" t="n"/>
      <c r="M207" s="210" t="n">
        <v>63495</v>
      </c>
      <c r="N207" s="206" t="n"/>
      <c r="O207" s="206">
        <f>L207-M207</f>
        <v/>
      </c>
      <c r="P207" s="206">
        <f>K207-N207</f>
        <v/>
      </c>
      <c r="Q207" s="206">
        <f>M207+O207</f>
        <v/>
      </c>
      <c r="R207" s="206">
        <f>M207+N207+O207+P207</f>
        <v/>
      </c>
      <c r="S207" s="206" t="n"/>
      <c r="T207" s="206" t="n"/>
      <c r="U207" s="206" t="n"/>
      <c r="V207" s="206" t="n"/>
    </row>
    <row r="208">
      <c r="A208" s="206" t="n"/>
      <c r="B208" s="206" t="n"/>
      <c r="C208" s="207" t="n"/>
      <c r="D208" s="207" t="inlineStr">
        <is>
          <t>研发费用-材料费</t>
        </is>
      </c>
      <c r="E208" s="206" t="n"/>
      <c r="F208" s="206" t="n"/>
      <c r="G208" s="206" t="n"/>
      <c r="H208" s="206" t="n"/>
      <c r="I208" s="206" t="n"/>
      <c r="J208" s="206" t="n"/>
      <c r="K208" s="206" t="n"/>
      <c r="L208" s="206" t="n"/>
      <c r="M208" s="210" t="n">
        <v>25030932</v>
      </c>
      <c r="N208" s="206" t="n"/>
      <c r="O208" s="206">
        <f>L208-M208</f>
        <v/>
      </c>
      <c r="P208" s="206">
        <f>K208-N208</f>
        <v/>
      </c>
      <c r="Q208" s="206">
        <f>M208+O208</f>
        <v/>
      </c>
      <c r="R208" s="206">
        <f>M208+N208+O208+P208</f>
        <v/>
      </c>
      <c r="S208" s="206" t="n"/>
      <c r="T208" s="206" t="n"/>
      <c r="U208" s="206" t="n"/>
      <c r="V208" s="206" t="n"/>
    </row>
    <row r="209">
      <c r="A209" s="33" t="n">
        <v>1</v>
      </c>
      <c r="B209" s="199" t="n"/>
      <c r="C209" s="199" t="n"/>
      <c r="D209" s="218" t="n"/>
      <c r="E209" s="212" t="n"/>
      <c r="F209" s="212" t="n"/>
      <c r="G209" s="212" t="n"/>
      <c r="H209" s="189" t="n"/>
      <c r="I209" s="189" t="n"/>
      <c r="J209" s="184">
        <f>H209+I209</f>
        <v/>
      </c>
      <c r="K209" s="189" t="n"/>
      <c r="L209" s="202">
        <f>J209-K209</f>
        <v/>
      </c>
      <c r="M209" s="189" t="n"/>
      <c r="N209" s="189" t="n"/>
      <c r="O209" s="189">
        <f>L209-M209</f>
        <v/>
      </c>
      <c r="P209" s="189">
        <f>K209-N209</f>
        <v/>
      </c>
      <c r="Q209" s="189">
        <f>M209+O209</f>
        <v/>
      </c>
      <c r="R209" s="189">
        <f>M209+N209+O209+P209</f>
        <v/>
      </c>
      <c r="S209" s="203">
        <f>SUM(T209:V209)</f>
        <v/>
      </c>
      <c r="T209" s="203" t="n"/>
      <c r="U209" s="203" t="n"/>
      <c r="V209" s="203" t="n"/>
      <c r="W209" s="203" t="n"/>
      <c r="X209" s="203" t="n"/>
      <c r="Y209" s="203" t="n"/>
      <c r="Z209" s="203" t="n"/>
      <c r="AA209" s="203" t="n"/>
      <c r="AB209" s="188" t="n"/>
      <c r="AC209" s="188" t="n"/>
      <c r="AD209" s="188" t="n"/>
      <c r="AE209" s="188" t="n"/>
      <c r="AF209" s="188" t="n"/>
      <c r="AG209" s="188" t="n"/>
      <c r="AH209" s="188" t="n"/>
      <c r="AI209" s="188" t="n"/>
      <c r="AJ209" s="188" t="n"/>
      <c r="AK209" s="188" t="n"/>
      <c r="AL209" s="214" t="n"/>
    </row>
    <row r="210">
      <c r="A210" s="33" t="n">
        <v>2</v>
      </c>
      <c r="B210" s="199" t="n"/>
      <c r="C210" s="199" t="n"/>
      <c r="D210" s="218" t="n"/>
      <c r="E210" s="212" t="n"/>
      <c r="F210" s="212" t="n"/>
      <c r="G210" s="212" t="n"/>
      <c r="H210" s="189" t="n"/>
      <c r="I210" s="189" t="n"/>
      <c r="J210" s="184" t="n"/>
      <c r="K210" s="189" t="n"/>
      <c r="L210" s="202" t="n"/>
      <c r="M210" s="189" t="n"/>
      <c r="N210" s="189" t="n"/>
      <c r="O210" s="189">
        <f>L210-M210</f>
        <v/>
      </c>
      <c r="P210" s="189">
        <f>K210-N210</f>
        <v/>
      </c>
      <c r="Q210" s="189">
        <f>M210+O210</f>
        <v/>
      </c>
      <c r="R210" s="189">
        <f>M210+N210+O210+P210</f>
        <v/>
      </c>
      <c r="S210" s="203">
        <f>SUM(T210:V210)</f>
        <v/>
      </c>
      <c r="T210" s="203" t="n"/>
      <c r="U210" s="203" t="n"/>
      <c r="V210" s="203" t="n"/>
      <c r="W210" s="203" t="n"/>
      <c r="X210" s="203" t="n"/>
      <c r="Y210" s="203" t="n"/>
      <c r="Z210" s="203" t="n"/>
      <c r="AA210" s="203" t="n"/>
      <c r="AB210" s="188" t="n"/>
      <c r="AC210" s="188" t="n"/>
      <c r="AD210" s="188" t="n"/>
      <c r="AE210" s="188" t="n"/>
      <c r="AF210" s="188" t="n"/>
      <c r="AG210" s="188" t="n"/>
      <c r="AH210" s="188" t="n"/>
      <c r="AI210" s="188" t="n"/>
      <c r="AJ210" s="188" t="n"/>
      <c r="AK210" s="188" t="n"/>
      <c r="AL210" s="214" t="n"/>
    </row>
    <row r="211">
      <c r="A211" s="33" t="n">
        <v>3</v>
      </c>
      <c r="B211" s="199" t="n"/>
      <c r="C211" s="199" t="n"/>
      <c r="D211" s="218" t="n"/>
      <c r="E211" s="212" t="n"/>
      <c r="F211" s="212" t="n"/>
      <c r="G211" s="212" t="n"/>
      <c r="H211" s="189" t="n"/>
      <c r="I211" s="189" t="n"/>
      <c r="J211" s="184" t="n"/>
      <c r="K211" s="189" t="n"/>
      <c r="L211" s="202" t="n"/>
      <c r="M211" s="189" t="n"/>
      <c r="N211" s="189" t="n"/>
      <c r="O211" s="189">
        <f>L211-M211</f>
        <v/>
      </c>
      <c r="P211" s="189">
        <f>K211-N211</f>
        <v/>
      </c>
      <c r="Q211" s="189">
        <f>M211+O211</f>
        <v/>
      </c>
      <c r="R211" s="189">
        <f>M211+N211+O211+P211</f>
        <v/>
      </c>
      <c r="S211" s="203">
        <f>SUM(T211:V211)</f>
        <v/>
      </c>
      <c r="T211" s="203" t="n"/>
      <c r="U211" s="203" t="n"/>
      <c r="V211" s="203" t="n"/>
      <c r="W211" s="203" t="n"/>
      <c r="X211" s="203" t="n"/>
      <c r="Y211" s="203" t="n"/>
      <c r="Z211" s="203" t="n"/>
      <c r="AA211" s="203" t="n"/>
      <c r="AB211" s="188" t="n"/>
      <c r="AC211" s="188" t="n"/>
      <c r="AD211" s="188" t="n"/>
      <c r="AE211" s="188" t="n"/>
      <c r="AF211" s="188" t="n"/>
      <c r="AG211" s="188" t="n"/>
      <c r="AH211" s="188" t="n"/>
      <c r="AI211" s="188" t="n"/>
      <c r="AJ211" s="188" t="n"/>
      <c r="AK211" s="188" t="n"/>
      <c r="AL211" s="214" t="n"/>
    </row>
    <row r="212">
      <c r="A212" s="41" t="n"/>
      <c r="B212" s="215" t="n"/>
      <c r="C212" s="215" t="n"/>
      <c r="D212" s="230" t="inlineStr">
        <is>
          <t>九、成本及费用合计（三+四+五+六+七）</t>
        </is>
      </c>
      <c r="E212" s="231" t="n"/>
      <c r="F212" s="231" t="n"/>
      <c r="G212" s="231" t="n"/>
      <c r="H212" s="217">
        <f>H68+H69+H70+H71+#REF!</f>
        <v/>
      </c>
      <c r="I212" s="217">
        <f>I68+I69+I70+I71+#REF!</f>
        <v/>
      </c>
      <c r="J212" s="241">
        <f>J68+J69+J70+J71+#REF!</f>
        <v/>
      </c>
      <c r="K212" s="217">
        <f>K68+K69+K70+K71+#REF!</f>
        <v/>
      </c>
      <c r="L212" s="242">
        <f>L68+L69+L70+L71+#REF!</f>
        <v/>
      </c>
      <c r="M212" s="242">
        <f>M68+M69+M70+M71</f>
        <v/>
      </c>
      <c r="N212" s="242">
        <f>N68+N69+N70+N71</f>
        <v/>
      </c>
      <c r="O212" s="242">
        <f>O68+O69+O70+O71</f>
        <v/>
      </c>
      <c r="P212" s="242">
        <f>P68+P69+P70+P71</f>
        <v/>
      </c>
      <c r="Q212" s="242">
        <f>Q68+Q69+Q70+Q71</f>
        <v/>
      </c>
      <c r="R212" s="242">
        <f>R68+R69+R70+R71</f>
        <v/>
      </c>
      <c r="S212" s="237">
        <f>S68+S69+S70+S71</f>
        <v/>
      </c>
      <c r="T212" s="237" t="n"/>
      <c r="U212" s="237" t="n"/>
      <c r="V212" s="237" t="n"/>
      <c r="W212" s="237" t="n"/>
      <c r="X212" s="237" t="n"/>
      <c r="Y212" s="237" t="n"/>
      <c r="Z212" s="237">
        <f>Z68+Z69+Z70+Z71</f>
        <v/>
      </c>
      <c r="AA212" s="237">
        <f>AA68+AA69+AA70+AA71</f>
        <v/>
      </c>
      <c r="AB212" s="243" t="n"/>
      <c r="AC212" s="243" t="n"/>
      <c r="AD212" s="243" t="n"/>
      <c r="AE212" s="243" t="n"/>
      <c r="AF212" s="243" t="n"/>
      <c r="AG212" s="243" t="n"/>
      <c r="AH212" s="243" t="n"/>
      <c r="AI212" s="243" t="n"/>
      <c r="AJ212" s="243" t="n"/>
      <c r="AK212" s="244" t="n"/>
      <c r="AL212" s="245" t="n"/>
    </row>
    <row r="213">
      <c r="A213" s="41" t="n"/>
      <c r="B213" s="215" t="n"/>
      <c r="C213" s="215" t="n"/>
      <c r="D213" s="230" t="inlineStr">
        <is>
          <t>十、增值税实际税负（按财务数据）</t>
        </is>
      </c>
      <c r="E213" s="231" t="inlineStr">
        <is>
          <t>根据财务账面实际已缴纳增值税额+尚需缴纳的增值税额</t>
        </is>
      </c>
      <c r="F213" s="231" t="n"/>
      <c r="G213" s="231" t="n"/>
      <c r="H213" s="217" t="n"/>
      <c r="I213" s="217" t="n"/>
      <c r="J213" s="241">
        <f>H78+I78</f>
        <v/>
      </c>
      <c r="K213" s="217" t="inlineStr">
        <is>
          <t>/</t>
        </is>
      </c>
      <c r="L213" s="242" t="inlineStr">
        <is>
          <t>/</t>
        </is>
      </c>
      <c r="M213" s="242" t="n"/>
      <c r="N213" s="242">
        <f>N6-N77</f>
        <v/>
      </c>
      <c r="O213" s="242" t="n"/>
      <c r="P213" s="242" t="n"/>
      <c r="Q213" s="242" t="inlineStr">
        <is>
          <t>/</t>
        </is>
      </c>
      <c r="R213" s="242">
        <f>N78+P78</f>
        <v/>
      </c>
      <c r="S213" s="237" t="n"/>
      <c r="T213" s="237" t="n"/>
      <c r="U213" s="237" t="n"/>
      <c r="V213" s="237" t="n"/>
      <c r="W213" s="237" t="n"/>
      <c r="X213" s="237" t="n"/>
      <c r="Y213" s="237" t="n"/>
      <c r="Z213" s="237" t="n"/>
      <c r="AA213" s="237" t="n"/>
      <c r="AB213" s="243" t="n"/>
      <c r="AC213" s="243" t="n"/>
      <c r="AD213" s="243" t="n"/>
      <c r="AE213" s="243" t="n"/>
      <c r="AF213" s="243" t="n"/>
      <c r="AG213" s="243" t="n"/>
      <c r="AH213" s="243" t="n"/>
      <c r="AI213" s="243" t="n"/>
      <c r="AJ213" s="243" t="n"/>
      <c r="AK213" s="244" t="n"/>
      <c r="AL213" s="245" t="n"/>
    </row>
    <row r="214">
      <c r="A214" s="41" t="n"/>
      <c r="B214" s="215" t="n"/>
      <c r="C214" s="215" t="n"/>
      <c r="D214" s="230" t="inlineStr">
        <is>
          <t>十一、税金及附加（按财务数据）</t>
        </is>
      </c>
      <c r="E214" s="231" t="inlineStr">
        <is>
          <t>根据财务账面实际已缴纳税金及附加+尚需缴纳的税金及附加</t>
        </is>
      </c>
      <c r="F214" s="231" t="n"/>
      <c r="G214" s="231" t="n"/>
      <c r="H214" s="217" t="n"/>
      <c r="I214" s="217" t="n"/>
      <c r="J214" s="241">
        <f>H79+I79</f>
        <v/>
      </c>
      <c r="K214" s="217" t="n"/>
      <c r="L214" s="242">
        <f>J79</f>
        <v/>
      </c>
      <c r="M214" s="246" t="n">
        <v>349670.26</v>
      </c>
      <c r="N214" s="242" t="n"/>
      <c r="O214" s="242">
        <f>L79-M79</f>
        <v/>
      </c>
      <c r="P214" s="242" t="n"/>
      <c r="Q214" s="242">
        <f>M79+O79</f>
        <v/>
      </c>
      <c r="R214" s="242">
        <f>Q79</f>
        <v/>
      </c>
      <c r="S214" s="237" t="n"/>
      <c r="T214" s="237" t="n"/>
      <c r="U214" s="237" t="n"/>
      <c r="V214" s="237" t="n"/>
      <c r="W214" s="237" t="n"/>
      <c r="X214" s="237" t="n"/>
      <c r="Y214" s="237" t="n"/>
      <c r="Z214" s="237" t="n"/>
      <c r="AA214" s="237" t="n"/>
      <c r="AB214" s="243" t="n"/>
      <c r="AC214" s="243" t="n"/>
      <c r="AD214" s="243" t="n"/>
      <c r="AE214" s="243" t="n"/>
      <c r="AF214" s="243" t="n"/>
      <c r="AG214" s="243" t="n"/>
      <c r="AH214" s="243" t="n"/>
      <c r="AI214" s="243" t="n"/>
      <c r="AJ214" s="243" t="n"/>
      <c r="AK214" s="244" t="n"/>
      <c r="AL214" s="245" t="n"/>
    </row>
    <row r="215">
      <c r="A215" s="41" t="n"/>
      <c r="B215" s="215" t="n"/>
      <c r="C215" s="215" t="n"/>
      <c r="D215" s="230" t="inlineStr">
        <is>
          <t>十二、利润</t>
        </is>
      </c>
      <c r="E215" s="231" t="n"/>
      <c r="F215" s="231" t="n"/>
      <c r="G215" s="231" t="n"/>
      <c r="H215" s="217" t="n"/>
      <c r="I215" s="217" t="n"/>
      <c r="J215" s="241">
        <f>J6-J77-J78-J79</f>
        <v/>
      </c>
      <c r="K215" s="217" t="n"/>
      <c r="L215" s="242" t="n"/>
      <c r="M215" s="242" t="n"/>
      <c r="N215" s="242" t="n"/>
      <c r="O215" s="242" t="n"/>
      <c r="P215" s="242" t="n"/>
      <c r="Q215" s="242" t="n"/>
      <c r="R215" s="242" t="n"/>
      <c r="S215" s="237" t="n"/>
      <c r="T215" s="237" t="n"/>
      <c r="U215" s="237" t="n"/>
      <c r="V215" s="237" t="n"/>
      <c r="W215" s="237" t="n"/>
      <c r="X215" s="237" t="n"/>
      <c r="Y215" s="237" t="n"/>
      <c r="Z215" s="237" t="n"/>
      <c r="AA215" s="237" t="n"/>
      <c r="AB215" s="243" t="n"/>
      <c r="AC215" s="243" t="n"/>
      <c r="AD215" s="243" t="n"/>
      <c r="AE215" s="243" t="n"/>
      <c r="AF215" s="243" t="n"/>
      <c r="AG215" s="243" t="n"/>
      <c r="AH215" s="243" t="n"/>
      <c r="AI215" s="243" t="n"/>
      <c r="AJ215" s="243" t="n"/>
      <c r="AK215" s="244" t="n"/>
      <c r="AL215" s="245" t="n"/>
    </row>
    <row r="216">
      <c r="A216" s="105" t="n"/>
      <c r="B216" s="106" t="n"/>
      <c r="C216" s="106" t="n"/>
      <c r="D216" s="107" t="inlineStr">
        <is>
          <t>十三、利润率</t>
        </is>
      </c>
      <c r="E216" s="108" t="n"/>
      <c r="F216" s="108" t="n"/>
      <c r="G216" s="108" t="n"/>
      <c r="H216" s="109" t="n"/>
      <c r="I216" s="109" t="n"/>
      <c r="J216" s="109">
        <f>J80/J6</f>
        <v/>
      </c>
      <c r="K216" s="109" t="n"/>
      <c r="L216" s="127">
        <f>L80/L6</f>
        <v/>
      </c>
      <c r="M216" s="127">
        <f>M80/M6</f>
        <v/>
      </c>
      <c r="N216" s="127" t="n"/>
      <c r="O216" s="127" t="n"/>
      <c r="P216" s="127" t="n"/>
      <c r="Q216" s="127">
        <f>Q80/Q6</f>
        <v/>
      </c>
      <c r="R216" s="127">
        <f>R80/R6</f>
        <v/>
      </c>
      <c r="S216" s="142" t="n"/>
      <c r="T216" s="142" t="n"/>
      <c r="U216" s="142" t="n"/>
      <c r="V216" s="142" t="n"/>
      <c r="W216" s="142" t="n"/>
      <c r="X216" s="142" t="n"/>
      <c r="Y216" s="142" t="n"/>
      <c r="Z216" s="142" t="n"/>
      <c r="AA216" s="142" t="n"/>
      <c r="AB216" s="146" t="n"/>
      <c r="AC216" s="146" t="n"/>
      <c r="AD216" s="146" t="n"/>
      <c r="AE216" s="146" t="n"/>
      <c r="AF216" s="146" t="n"/>
      <c r="AG216" s="146" t="n"/>
      <c r="AH216" s="146" t="n"/>
      <c r="AI216" s="146" t="n"/>
      <c r="AJ216" s="146" t="n"/>
      <c r="AK216" s="154" t="n"/>
      <c r="AL216" s="155" t="n"/>
    </row>
    <row r="217">
      <c r="A217" s="111" t="n"/>
      <c r="B217" s="111" t="n"/>
      <c r="C217" s="111" t="n"/>
      <c r="D217" s="112" t="n"/>
      <c r="E217" s="113" t="n"/>
      <c r="F217" s="113" t="n"/>
      <c r="G217" s="113" t="n"/>
      <c r="H217" s="247" t="n"/>
      <c r="I217" s="247" t="n"/>
      <c r="J217" s="248" t="inlineStr">
        <is>
          <t>含税利润率</t>
        </is>
      </c>
      <c r="K217" s="249" t="n"/>
      <c r="L217" s="250" t="inlineStr">
        <is>
          <t>不含税利润率</t>
        </is>
      </c>
      <c r="M217" s="251" t="n"/>
      <c r="N217" s="251" t="n"/>
      <c r="O217" s="251" t="n"/>
      <c r="P217" s="251" t="n"/>
      <c r="Q217" s="251" t="n"/>
      <c r="R217" s="251" t="n"/>
      <c r="S217" s="251" t="n"/>
      <c r="T217" s="251" t="n"/>
      <c r="U217" s="251" t="n"/>
      <c r="V217" s="251" t="n"/>
      <c r="W217" s="251" t="n"/>
      <c r="X217" s="251" t="n"/>
      <c r="Y217" s="251" t="n"/>
      <c r="Z217" s="252" t="n"/>
      <c r="AA217" s="162" t="n"/>
      <c r="AB217" s="253" t="n"/>
      <c r="AC217" s="253" t="n"/>
      <c r="AD217" s="253" t="n"/>
      <c r="AE217" s="253" t="n"/>
      <c r="AF217" s="253" t="n"/>
      <c r="AG217" s="253" t="n"/>
      <c r="AH217" s="253" t="n"/>
      <c r="AI217" s="253" t="n"/>
      <c r="AJ217" s="253" t="n"/>
      <c r="AK217" s="253" t="n"/>
      <c r="AL217" s="156" t="n"/>
    </row>
    <row r="218">
      <c r="A218" s="111" t="n"/>
      <c r="B218" s="111" t="n"/>
      <c r="C218" s="111" t="n"/>
      <c r="D218" s="112" t="n"/>
      <c r="E218" s="113" t="n"/>
      <c r="F218" s="113" t="n"/>
      <c r="G218" s="113" t="n"/>
      <c r="H218" s="247" t="n"/>
      <c r="I218" s="247" t="n"/>
      <c r="J218" s="254" t="n"/>
      <c r="K218" s="247" t="n"/>
      <c r="L218" s="255" t="n"/>
      <c r="M218" s="251" t="n"/>
      <c r="N218" s="251" t="n"/>
      <c r="O218" s="251" t="n"/>
      <c r="P218" s="251" t="n"/>
      <c r="Q218" s="251" t="n"/>
      <c r="R218" s="251" t="n"/>
      <c r="S218" s="251" t="n"/>
      <c r="T218" s="251" t="n"/>
      <c r="U218" s="251" t="n"/>
      <c r="V218" s="251" t="n"/>
      <c r="W218" s="251" t="n"/>
      <c r="X218" s="251" t="n"/>
      <c r="Y218" s="251" t="n"/>
      <c r="Z218" s="252" t="n"/>
      <c r="AA218" s="162" t="n"/>
      <c r="AB218" s="253" t="n"/>
      <c r="AC218" s="253" t="n"/>
      <c r="AD218" s="253" t="n"/>
      <c r="AE218" s="253" t="n"/>
      <c r="AF218" s="253" t="n"/>
      <c r="AG218" s="253" t="n"/>
      <c r="AH218" s="253" t="n"/>
      <c r="AI218" s="253" t="n"/>
      <c r="AJ218" s="253" t="n"/>
      <c r="AK218" s="253" t="n"/>
      <c r="AL218" s="156" t="n"/>
    </row>
    <row r="219">
      <c r="A219" s="116" t="n"/>
      <c r="B219" s="116" t="n"/>
      <c r="C219" s="116" t="n"/>
      <c r="D219" s="117" t="n"/>
      <c r="E219" s="118" t="n"/>
      <c r="F219" s="118" t="n"/>
      <c r="G219" s="118" t="n"/>
      <c r="H219" s="119" t="n"/>
      <c r="I219" s="119" t="n"/>
      <c r="J219" s="134" t="n"/>
      <c r="K219" s="256" t="n"/>
      <c r="L219" s="256" t="n"/>
      <c r="M219" s="257" t="n"/>
      <c r="N219" s="256" t="n"/>
      <c r="O219" s="256" t="n"/>
      <c r="P219" s="258" t="n"/>
      <c r="Q219" s="258" t="n"/>
      <c r="R219" s="256" t="n"/>
      <c r="S219" s="259" t="n"/>
      <c r="T219" s="259" t="n"/>
      <c r="U219" s="259" t="n"/>
      <c r="V219" s="259" t="n"/>
      <c r="W219" s="259" t="n"/>
      <c r="X219" s="259" t="n"/>
      <c r="Y219" s="259" t="n"/>
      <c r="Z219" s="260" t="n"/>
      <c r="AA219" s="261" t="n"/>
      <c r="AD219" s="262" t="n"/>
      <c r="AE219" s="262" t="n"/>
      <c r="AF219" s="262" t="n"/>
      <c r="AG219" s="262" t="n"/>
      <c r="AH219" s="262" t="n"/>
      <c r="AI219" s="262" t="n"/>
      <c r="AJ219" s="262" t="n"/>
      <c r="AK219" s="262" t="n"/>
      <c r="AL219" s="121" t="n"/>
    </row>
    <row r="220">
      <c r="A220" s="121" t="n"/>
      <c r="B220" s="121" t="n"/>
      <c r="C220" s="121" t="n"/>
      <c r="D220" s="121" t="n"/>
      <c r="E220" s="122" t="n"/>
      <c r="F220" s="122" t="n"/>
      <c r="G220" s="122" t="n"/>
      <c r="H220" s="122" t="n"/>
      <c r="I220" s="122" t="n"/>
      <c r="J220" s="122" t="n"/>
      <c r="K220" s="263" t="n"/>
      <c r="L220" s="122" t="n"/>
      <c r="M220" s="264" t="n"/>
      <c r="N220" s="264" t="n"/>
      <c r="O220" s="264" t="n"/>
      <c r="P220" s="264" t="n"/>
      <c r="Q220" s="264" t="n"/>
      <c r="R220" s="264" t="n"/>
      <c r="S220" s="259" t="n"/>
      <c r="T220" s="259" t="n"/>
      <c r="U220" s="259" t="n"/>
      <c r="V220" s="259" t="n"/>
      <c r="W220" s="259" t="n"/>
      <c r="X220" s="259" t="n"/>
      <c r="Y220" s="259" t="n"/>
      <c r="Z220" s="264" t="n"/>
      <c r="AA220" s="262" t="n"/>
      <c r="AB220" s="262" t="n"/>
      <c r="AC220" s="262" t="n"/>
      <c r="AD220" s="262" t="n"/>
      <c r="AE220" s="262" t="n"/>
      <c r="AF220" s="262" t="n"/>
      <c r="AG220" s="262" t="n"/>
      <c r="AH220" s="262" t="n"/>
      <c r="AI220" s="262" t="n"/>
      <c r="AJ220" s="262" t="n"/>
      <c r="AK220" s="262" t="n"/>
      <c r="AL220" s="121" t="n"/>
    </row>
    <row r="221">
      <c r="A221" s="121" t="n"/>
      <c r="B221" s="121" t="n"/>
      <c r="C221" s="121" t="n"/>
      <c r="D221" s="121" t="n"/>
      <c r="E221" s="122" t="n"/>
      <c r="F221" s="122" t="n"/>
      <c r="G221" s="122" t="n"/>
      <c r="H221" s="122" t="n"/>
      <c r="I221" s="122" t="n"/>
      <c r="J221" s="122" t="n"/>
      <c r="K221" s="263" t="n"/>
      <c r="L221" s="122" t="n"/>
      <c r="M221" s="264" t="n"/>
      <c r="N221" s="264" t="n"/>
      <c r="O221" s="264" t="n"/>
      <c r="P221" s="264" t="n"/>
      <c r="Q221" s="264" t="n"/>
      <c r="R221" s="264" t="n"/>
      <c r="S221" s="259" t="n"/>
      <c r="T221" s="259" t="n"/>
      <c r="U221" s="259" t="n"/>
      <c r="V221" s="259" t="n"/>
      <c r="W221" s="259" t="n"/>
      <c r="X221" s="259" t="n"/>
      <c r="Y221" s="259" t="n"/>
      <c r="Z221" s="264" t="n"/>
      <c r="AA221" s="262" t="n"/>
      <c r="AB221" s="262" t="n"/>
      <c r="AC221" s="262" t="n"/>
      <c r="AD221" s="262" t="n"/>
      <c r="AE221" s="262" t="n"/>
      <c r="AF221" s="262" t="n"/>
      <c r="AG221" s="262" t="n"/>
      <c r="AH221" s="262" t="n"/>
      <c r="AI221" s="262" t="n"/>
      <c r="AJ221" s="262" t="n"/>
      <c r="AK221" s="262" t="n"/>
      <c r="AL221" s="121" t="n"/>
    </row>
    <row r="222">
      <c r="A222" s="121" t="n"/>
      <c r="B222" s="121" t="n"/>
      <c r="C222" s="121" t="n"/>
      <c r="D222" s="121" t="n"/>
      <c r="E222" s="123" t="n"/>
      <c r="F222" s="123" t="n"/>
      <c r="G222" s="123" t="n"/>
      <c r="H222" s="122" t="n"/>
      <c r="I222" s="122" t="n"/>
      <c r="J222" s="122" t="n"/>
      <c r="K222" s="123" t="n"/>
      <c r="L222" s="122" t="n"/>
      <c r="M222" s="264" t="n"/>
      <c r="N222" s="260" t="n"/>
      <c r="O222" s="264" t="n"/>
      <c r="P222" s="264" t="n"/>
      <c r="Q222" s="264" t="n"/>
      <c r="R222" s="256" t="n"/>
      <c r="S222" s="259" t="n"/>
      <c r="T222" s="259" t="n"/>
      <c r="U222" s="259" t="n"/>
      <c r="V222" s="259" t="n"/>
      <c r="W222" s="259" t="n"/>
      <c r="X222" s="259" t="n"/>
      <c r="Y222" s="259" t="n"/>
      <c r="Z222" s="264" t="n"/>
      <c r="AA222" s="262" t="n"/>
      <c r="AB222" s="262" t="n"/>
      <c r="AC222" s="262" t="n"/>
      <c r="AD222" s="262" t="n"/>
      <c r="AE222" s="262" t="n"/>
      <c r="AF222" s="262" t="n"/>
      <c r="AG222" s="262" t="n"/>
      <c r="AH222" s="262" t="n"/>
      <c r="AI222" s="262" t="n"/>
      <c r="AJ222" s="262" t="n"/>
      <c r="AK222" s="262" t="n"/>
      <c r="AL222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2026-04-24T16:43:42Z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