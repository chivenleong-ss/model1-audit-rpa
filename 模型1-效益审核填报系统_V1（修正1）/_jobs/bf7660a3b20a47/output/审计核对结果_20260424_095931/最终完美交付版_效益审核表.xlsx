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5" authorId="1" shapeId="0">
      <text>
        <t xml:space="preserve">**同财务账面合同履约成本/工程施工成本/机械租赁费数据一致**
</t>
      </text>
    </comment>
    <comment ref="M143" authorId="0" shapeId="0">
      <text>
        <t>于:
**同财务账面合同履约成本/工程施工成本其他直接费数据一致**</t>
      </text>
    </comment>
    <comment ref="M185" authorId="1" shapeId="0">
      <text>
        <t>**同财务账面合同履约成本/工程施工成本/间接费数据一致**</t>
      </text>
    </comment>
    <comment ref="D194" authorId="2" shapeId="0">
      <text>
        <t>（在建：房建0.6%，其它0.4%；在保修期间的按0.3~0.5%自行确定;保修期结束为0）</t>
      </text>
    </comment>
    <comment ref="E205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06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研发支出-材料费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-25030932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79" t="n">
        <v>44</v>
      </c>
      <c r="B115" s="280" t="n"/>
      <c r="C115" s="280" t="n"/>
      <c r="D115" s="299" t="inlineStr">
        <is>
          <t>材料调入</t>
        </is>
      </c>
      <c r="E115" s="280" t="n"/>
      <c r="F115" s="280" t="n"/>
      <c r="G115" s="280" t="n"/>
      <c r="H115" s="282" t="n"/>
      <c r="I115" s="282" t="n"/>
      <c r="J115" s="282" t="n"/>
      <c r="K115" s="283" t="n"/>
      <c r="L115" s="284" t="n"/>
      <c r="M115" s="304" t="n">
        <v>17996069.15</v>
      </c>
      <c r="N115" s="282" t="n"/>
      <c r="O115" s="282">
        <f>L115-M115</f>
        <v/>
      </c>
      <c r="P115" s="282">
        <f>K115-N115</f>
        <v/>
      </c>
      <c r="Q115" s="282">
        <f>M115+O115</f>
        <v/>
      </c>
      <c r="R115" s="282">
        <f>M115+N115+O115+P115</f>
        <v/>
      </c>
      <c r="S115" s="286">
        <f>SUM(T115:V115)</f>
        <v/>
      </c>
      <c r="T115" s="286" t="n"/>
      <c r="U115" s="286" t="n"/>
      <c r="V115" s="286" t="n"/>
      <c r="W115" s="286" t="n"/>
      <c r="X115" s="286" t="n"/>
      <c r="Y115" s="286" t="n"/>
      <c r="Z115" s="282">
        <f>SUM(AA30:AJ30)</f>
        <v/>
      </c>
      <c r="AA115" s="286" t="n"/>
      <c r="AB115" s="301" t="n"/>
      <c r="AC115" s="301" t="n"/>
      <c r="AD115" s="301" t="n"/>
      <c r="AE115" s="301" t="n"/>
      <c r="AF115" s="301" t="n"/>
      <c r="AG115" s="301" t="n"/>
      <c r="AH115" s="301" t="n"/>
      <c r="AI115" s="301" t="n"/>
      <c r="AJ115" s="301" t="n"/>
      <c r="AK115" s="287">
        <f>AB30/1.17*0.17+AC30/1.16*0.16+AD30/1.11*0.11+AE30/1.1*0.1+AF30/1.09*0.09+AI30/1.03*0.03</f>
        <v/>
      </c>
      <c r="AL115" s="302" t="n"/>
    </row>
    <row r="116">
      <c r="A116" s="279" t="n">
        <v>45</v>
      </c>
      <c r="B116" s="280" t="n"/>
      <c r="C116" s="280" t="n"/>
      <c r="D116" s="299" t="inlineStr">
        <is>
          <t>材料调出（注：负数填报）</t>
        </is>
      </c>
      <c r="E116" s="305" t="n"/>
      <c r="F116" s="305" t="n"/>
      <c r="G116" s="305" t="n"/>
      <c r="H116" s="306" t="n"/>
      <c r="I116" s="306" t="n"/>
      <c r="J116" s="282" t="n"/>
      <c r="K116" s="283" t="n"/>
      <c r="L116" s="284" t="n"/>
      <c r="M116" s="307" t="n">
        <v>-8003517.42</v>
      </c>
      <c r="N116" s="306" t="n"/>
      <c r="O116" s="282">
        <f>L116-M116</f>
        <v/>
      </c>
      <c r="P116" s="282">
        <f>K116-N116</f>
        <v/>
      </c>
      <c r="Q116" s="282">
        <f>M116+O116</f>
        <v/>
      </c>
      <c r="R116" s="282">
        <f>M116+N116+O116+P116</f>
        <v/>
      </c>
      <c r="S116" s="286">
        <f>SUM(T116:V116)</f>
        <v/>
      </c>
      <c r="T116" s="306" t="n"/>
      <c r="U116" s="306" t="n"/>
      <c r="V116" s="306" t="n"/>
      <c r="W116" s="306" t="n"/>
      <c r="X116" s="306" t="n"/>
      <c r="Y116" s="306" t="n"/>
      <c r="Z116" s="282">
        <f>SUM(AA31:AJ31)</f>
        <v/>
      </c>
      <c r="AA116" s="306" t="n"/>
      <c r="AB116" s="308" t="n"/>
      <c r="AC116" s="308" t="n"/>
      <c r="AD116" s="308" t="n"/>
      <c r="AE116" s="308" t="n"/>
      <c r="AF116" s="308" t="n"/>
      <c r="AG116" s="308" t="n"/>
      <c r="AH116" s="308" t="n"/>
      <c r="AI116" s="308" t="n"/>
      <c r="AJ116" s="308" t="n"/>
      <c r="AK116" s="287">
        <f>AB31/1.17*0.17+AC31/1.16*0.16+AD31/1.11*0.11+AE31/1.1*0.1+AF31/1.09*0.09+AI31/1.03*0.03</f>
        <v/>
      </c>
      <c r="AL116" s="309" t="n"/>
    </row>
    <row r="117">
      <c r="A117" s="279" t="n"/>
      <c r="B117" s="280" t="n"/>
      <c r="C117" s="280" t="n"/>
      <c r="D117" s="299" t="inlineStr">
        <is>
          <t>材料库存（注：项目已结算未使用材料冲减项目成本，负数填报）</t>
        </is>
      </c>
      <c r="E117" s="305" t="n"/>
      <c r="F117" s="305" t="n"/>
      <c r="G117" s="305" t="n"/>
      <c r="H117" s="306" t="n"/>
      <c r="I117" s="306" t="n"/>
      <c r="J117" s="282" t="n"/>
      <c r="K117" s="283" t="n"/>
      <c r="L117" s="284" t="n"/>
      <c r="M117" s="306" t="n"/>
      <c r="N117" s="306" t="n"/>
      <c r="O117" s="282" t="n"/>
      <c r="P117" s="282" t="n"/>
      <c r="Q117" s="282" t="n"/>
      <c r="R117" s="282" t="n"/>
      <c r="S117" s="286" t="n"/>
      <c r="T117" s="306" t="n"/>
      <c r="U117" s="306" t="n"/>
      <c r="V117" s="306" t="n"/>
      <c r="W117" s="306" t="n"/>
      <c r="X117" s="306" t="n"/>
      <c r="Y117" s="306" t="n"/>
      <c r="Z117" s="282" t="n"/>
      <c r="AA117" s="306" t="n"/>
      <c r="AB117" s="308" t="n"/>
      <c r="AC117" s="308" t="n"/>
      <c r="AD117" s="308" t="n"/>
      <c r="AE117" s="308" t="n"/>
      <c r="AF117" s="308" t="n"/>
      <c r="AG117" s="308" t="n"/>
      <c r="AH117" s="308" t="n"/>
      <c r="AI117" s="308" t="n"/>
      <c r="AJ117" s="308" t="n"/>
      <c r="AK117" s="287" t="n"/>
      <c r="AL117" s="309" t="n"/>
    </row>
    <row r="118">
      <c r="A118" s="279" t="n"/>
      <c r="B118" s="280" t="n"/>
      <c r="C118" s="280" t="n"/>
      <c r="D118" s="291" t="inlineStr">
        <is>
          <t>**财务未列部分需增列***</t>
        </is>
      </c>
      <c r="E118" s="300" t="n"/>
      <c r="F118" s="300" t="n"/>
      <c r="G118" s="300" t="n"/>
      <c r="H118" s="282" t="n"/>
      <c r="I118" s="282" t="n"/>
      <c r="J118" s="282" t="n"/>
      <c r="K118" s="283" t="n"/>
      <c r="L118" s="284" t="n"/>
      <c r="M118" s="282" t="n"/>
      <c r="N118" s="282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286" t="n"/>
      <c r="U118" s="286" t="n"/>
      <c r="V118" s="286" t="n"/>
      <c r="W118" s="286" t="n"/>
      <c r="X118" s="286" t="n"/>
      <c r="Y118" s="286" t="n"/>
      <c r="Z118" s="286" t="n"/>
      <c r="AA118" s="286" t="n"/>
      <c r="AB118" s="301" t="n"/>
      <c r="AC118" s="301" t="n"/>
      <c r="AD118" s="301" t="n"/>
      <c r="AE118" s="301" t="n"/>
      <c r="AF118" s="301" t="n"/>
      <c r="AG118" s="301" t="n"/>
      <c r="AH118" s="301" t="n"/>
      <c r="AI118" s="301" t="n"/>
      <c r="AJ118" s="301" t="n"/>
      <c r="AK118" s="287">
        <f>AB33/1.17*0.17+AC33/1.16*0.16+AD33/1.11*0.11+AE33/1.1*0.1+AF33/1.09*0.09+AI33/1.03*0.03</f>
        <v/>
      </c>
      <c r="AL118" s="302" t="n"/>
    </row>
    <row r="119">
      <c r="A119" s="295" t="n"/>
      <c r="B119" s="296" t="n"/>
      <c r="C119" s="296" t="n"/>
      <c r="D119" s="297" t="inlineStr">
        <is>
          <t>材料费小计：</t>
        </is>
      </c>
      <c r="E119" s="298">
        <f>SUM(E66:E118)</f>
        <v/>
      </c>
      <c r="F119" s="298">
        <f>SUM(F66:F118)</f>
        <v/>
      </c>
      <c r="G119" s="298">
        <f>SUM(G66:G118)</f>
        <v/>
      </c>
      <c r="H119" s="298">
        <f>SUM(H66:H118)</f>
        <v/>
      </c>
      <c r="I119" s="298">
        <f>SUM(I66:I118)</f>
        <v/>
      </c>
      <c r="J119" s="298">
        <f>SUM(J66:J118)</f>
        <v/>
      </c>
      <c r="K119" s="298">
        <f>SUM(K66:K118)</f>
        <v/>
      </c>
      <c r="L119" s="298">
        <f>SUM(L66:L118)</f>
        <v/>
      </c>
      <c r="M119" s="298">
        <f>SUM(M66:M118)</f>
        <v/>
      </c>
      <c r="N119" s="298">
        <f>SUM(N66:N118)</f>
        <v/>
      </c>
      <c r="O119" s="298">
        <f>SUM(O66:O118)</f>
        <v/>
      </c>
      <c r="P119" s="298">
        <f>SUM(P66:P118)</f>
        <v/>
      </c>
      <c r="Q119" s="298">
        <f>SUM(Q66:Q118)</f>
        <v/>
      </c>
      <c r="R119" s="298">
        <f>SUM(R66:R118)</f>
        <v/>
      </c>
      <c r="S119" s="298">
        <f>SUM(S66:S118)</f>
        <v/>
      </c>
      <c r="T119" s="298">
        <f>SUM(T66:T118)</f>
        <v/>
      </c>
      <c r="U119" s="298">
        <f>SUM(U66:U118)</f>
        <v/>
      </c>
      <c r="V119" s="298">
        <f>SUM(V66:V118)</f>
        <v/>
      </c>
      <c r="W119" s="298">
        <f>SUM(W66:W118)</f>
        <v/>
      </c>
      <c r="X119" s="298">
        <f>SUM(X66:X118)</f>
        <v/>
      </c>
      <c r="Y119" s="298">
        <f>SUM(Y66:Y118)</f>
        <v/>
      </c>
      <c r="Z119" s="298">
        <f>SUM(Z66:Z118)</f>
        <v/>
      </c>
      <c r="AA119" s="298">
        <f>SUM(AA66:AA118)</f>
        <v/>
      </c>
      <c r="AB119" s="298">
        <f>SUM(AB66:AB118)</f>
        <v/>
      </c>
      <c r="AC119" s="298">
        <f>SUM(AC66:AC118)</f>
        <v/>
      </c>
      <c r="AD119" s="298">
        <f>SUM(AD66:AD118)</f>
        <v/>
      </c>
      <c r="AE119" s="298">
        <f>SUM(AE66:AE118)</f>
        <v/>
      </c>
      <c r="AF119" s="298">
        <f>SUM(AF66:AF118)</f>
        <v/>
      </c>
      <c r="AG119" s="298">
        <f>SUM(AG66:AG118)</f>
        <v/>
      </c>
      <c r="AH119" s="298">
        <f>SUM(AH66:AH118)</f>
        <v/>
      </c>
      <c r="AI119" s="298">
        <f>SUM(AI66:AI118)</f>
        <v/>
      </c>
      <c r="AJ119" s="298">
        <f>SUM(AJ66:AJ118)</f>
        <v/>
      </c>
      <c r="AK119" s="298">
        <f>SUM(AK66:AK118)</f>
        <v/>
      </c>
      <c r="AL119" s="288" t="n"/>
    </row>
    <row r="120">
      <c r="A120" s="279" t="n"/>
      <c r="B120" s="280" t="n"/>
      <c r="C120" s="280" t="n"/>
      <c r="D120" s="299" t="inlineStr">
        <is>
          <t>(四）机械租赁费</t>
        </is>
      </c>
      <c r="E120" s="292" t="n"/>
      <c r="F120" s="292" t="n"/>
      <c r="G120" s="292" t="n"/>
      <c r="H120" s="282" t="n"/>
      <c r="I120" s="282" t="n"/>
      <c r="J120" s="282" t="n"/>
      <c r="K120" s="283" t="n">
        <v>0</v>
      </c>
      <c r="L120" s="284">
        <f>J120-K120</f>
        <v/>
      </c>
      <c r="M120" s="285" t="n"/>
      <c r="N120" s="285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286" t="n"/>
      <c r="AC120" s="286" t="n"/>
      <c r="AD120" s="286" t="n"/>
      <c r="AE120" s="286" t="n"/>
      <c r="AF120" s="286" t="n"/>
      <c r="AG120" s="286" t="n"/>
      <c r="AH120" s="286" t="n"/>
      <c r="AI120" s="286" t="n"/>
      <c r="AJ120" s="286" t="n"/>
      <c r="AK120" s="287">
        <f>AB35/1.17*0.17+AC35/1.16*0.16+AD35/1.11*0.11+AE35/1.1*0.1+AF35/1.09*0.09+AI35/1.03*0.03</f>
        <v/>
      </c>
      <c r="AL120" s="288" t="n"/>
    </row>
    <row r="121">
      <c r="A121" s="206" t="n">
        <v>1</v>
      </c>
      <c r="B121" s="206" t="inlineStr">
        <is>
          <t>100217442</t>
        </is>
      </c>
      <c r="C121" s="207" t="inlineStr">
        <is>
          <t>中建四局0200202101805001</t>
        </is>
      </c>
      <c r="D121" s="207" t="inlineStr">
        <is>
          <t>任丘市嘉宇运输有限公司</t>
        </is>
      </c>
      <c r="E121" s="206" t="n"/>
      <c r="F121" s="206" t="n"/>
      <c r="G121" s="206" t="n"/>
      <c r="H121" s="206" t="n"/>
      <c r="I121" s="206" t="n"/>
      <c r="J121" s="206">
        <f>H121+I121</f>
        <v/>
      </c>
      <c r="K121" s="208" t="n"/>
      <c r="L121" s="206">
        <f>J121-K121</f>
        <v/>
      </c>
      <c r="M121" s="210" t="n">
        <v>39943.9</v>
      </c>
      <c r="N121" s="210" t="n">
        <v>3594.95</v>
      </c>
      <c r="O121" s="206">
        <f>L121-M121</f>
        <v/>
      </c>
      <c r="P121" s="206">
        <f>K121-N121</f>
        <v/>
      </c>
      <c r="Q121" s="206">
        <f>M121+O121</f>
        <v/>
      </c>
      <c r="R121" s="206">
        <f>M121+N121+O121+P121</f>
        <v/>
      </c>
      <c r="S121" s="206" t="n"/>
      <c r="T121" s="210" t="n">
        <v>43538.85</v>
      </c>
      <c r="U121" s="206" t="n"/>
      <c r="V121" s="206" t="n"/>
      <c r="W121" s="290" t="n"/>
      <c r="X121" s="290" t="n"/>
      <c r="Y121" s="290" t="n"/>
      <c r="Z121" s="290" t="n"/>
      <c r="AA121" s="290" t="n"/>
      <c r="AB121" s="290" t="n"/>
      <c r="AC121" s="290" t="n"/>
      <c r="AD121" s="290" t="n"/>
      <c r="AE121" s="290" t="n"/>
      <c r="AF121" s="290" t="n"/>
      <c r="AG121" s="290" t="n"/>
      <c r="AH121" s="290" t="n"/>
      <c r="AI121" s="290" t="n"/>
      <c r="AJ121" s="290" t="n"/>
      <c r="AK121" s="290" t="n"/>
      <c r="AL121" s="290" t="n"/>
    </row>
    <row r="122">
      <c r="A122" s="206" t="n">
        <v>2</v>
      </c>
      <c r="B122" s="206" t="inlineStr">
        <is>
          <t>100051486</t>
        </is>
      </c>
      <c r="C122" s="207" t="inlineStr">
        <is>
          <t>中建四局0200202101805009</t>
        </is>
      </c>
      <c r="D122" s="207" t="inlineStr">
        <is>
          <t>佛山市赢鑫建筑机械租赁有限公司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6">
        <f>J122-K122</f>
        <v/>
      </c>
      <c r="M122" s="210" t="n">
        <v>5518783.19</v>
      </c>
      <c r="N122" s="210" t="n">
        <v>738597.9399999999</v>
      </c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10" t="n">
        <v>6405720.63</v>
      </c>
      <c r="U122" s="206" t="n"/>
      <c r="V122" s="206" t="n"/>
      <c r="W122" s="290" t="n"/>
      <c r="X122" s="290" t="n"/>
      <c r="Y122" s="290" t="n"/>
      <c r="Z122" s="290" t="n"/>
      <c r="AA122" s="290" t="n"/>
      <c r="AB122" s="290" t="n"/>
      <c r="AC122" s="290" t="n"/>
      <c r="AD122" s="290" t="n"/>
      <c r="AE122" s="290" t="n"/>
      <c r="AF122" s="290" t="n"/>
      <c r="AG122" s="290" t="n"/>
      <c r="AH122" s="290" t="n"/>
      <c r="AI122" s="290" t="n"/>
      <c r="AJ122" s="290" t="n"/>
      <c r="AK122" s="290" t="n"/>
      <c r="AL122" s="290" t="n"/>
    </row>
    <row r="123">
      <c r="A123" s="206" t="n">
        <v>3</v>
      </c>
      <c r="B123" s="206" t="inlineStr">
        <is>
          <t>200363935</t>
        </is>
      </c>
      <c r="C123" s="207" t="inlineStr">
        <is>
          <t>中建四局0200202101805006</t>
        </is>
      </c>
      <c r="D123" s="207" t="inlineStr">
        <is>
          <t>佛山市雄壮建筑工程有限公司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1197689.75</v>
      </c>
      <c r="N123" s="210" t="n">
        <v>36663.97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1258000</v>
      </c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4</v>
      </c>
      <c r="B124" s="206" t="inlineStr">
        <is>
          <t>200477323</t>
        </is>
      </c>
      <c r="C124" s="207" t="inlineStr">
        <is>
          <t>中建四局0200202101805011</t>
        </is>
      </c>
      <c r="D124" s="207" t="inlineStr">
        <is>
          <t>佛山市霸伟建筑工程有限公司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947713.86</v>
      </c>
      <c r="N124" s="210" t="n">
        <v>29244.62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999000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5</v>
      </c>
      <c r="B125" s="206" t="inlineStr">
        <is>
          <t>100093859</t>
        </is>
      </c>
      <c r="C125" s="207" t="inlineStr">
        <is>
          <t>中建四局0200202101805010</t>
        </is>
      </c>
      <c r="D125" s="207" t="inlineStr">
        <is>
          <t>嘉兴浩锐机械设备有限公司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1387247.1</v>
      </c>
      <c r="N125" s="210" t="n">
        <v>180342.12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1567589.22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6</v>
      </c>
      <c r="B126" s="206" t="inlineStr">
        <is>
          <t>100117504</t>
        </is>
      </c>
      <c r="C126" s="207" t="inlineStr">
        <is>
          <t>中建四局0200202101805005</t>
        </is>
      </c>
      <c r="D126" s="207" t="inlineStr">
        <is>
          <t>广州大丰工程机械设备有限公司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1065730.14</v>
      </c>
      <c r="N126" s="210" t="n">
        <v>138544.93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1204275.07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7</v>
      </c>
      <c r="B127" s="206" t="inlineStr">
        <is>
          <t>200353812</t>
        </is>
      </c>
      <c r="C127" s="207" t="inlineStr">
        <is>
          <t>中建四局0200202101805007</t>
        </is>
      </c>
      <c r="D127" s="207" t="inlineStr">
        <is>
          <t>广州小老虎建筑机械租赁有限公司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11189319.59</v>
      </c>
      <c r="N127" s="210" t="n">
        <v>1022884.43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12388266.76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8</v>
      </c>
      <c r="B128" s="206" t="inlineStr">
        <is>
          <t>200162948</t>
        </is>
      </c>
      <c r="C128" s="207" t="inlineStr">
        <is>
          <t>中建四局0200202101805004</t>
        </is>
      </c>
      <c r="D128" s="207" t="inlineStr">
        <is>
          <t>广州市仁发运输有限公司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183165.02</v>
      </c>
      <c r="N128" s="210" t="n">
        <v>5494.92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188659.94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9</v>
      </c>
      <c r="B129" s="206" t="inlineStr">
        <is>
          <t>100217539</t>
        </is>
      </c>
      <c r="C129" s="207" t="inlineStr">
        <is>
          <t>中建四局0200202101805003</t>
        </is>
      </c>
      <c r="D129" s="207" t="inlineStr">
        <is>
          <t>广州易达运输有限公司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213962.98</v>
      </c>
      <c r="N129" s="210" t="n">
        <v>4631.78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218594.76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10</v>
      </c>
      <c r="B130" s="206" t="inlineStr">
        <is>
          <t>100217502</t>
        </is>
      </c>
      <c r="C130" s="207" t="inlineStr">
        <is>
          <t>中建四局0200202101805002</t>
        </is>
      </c>
      <c r="D130" s="207" t="inlineStr">
        <is>
          <t>广州湘亿货运代理有限公司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68419.10000000001</v>
      </c>
      <c r="N130" s="210" t="n">
        <v>6157.73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74576.83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11</v>
      </c>
      <c r="B131" s="206" t="n"/>
      <c r="C131" s="207" t="n"/>
      <c r="D131" s="207" t="inlineStr">
        <is>
          <t>ZGD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-709.27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/>
      <c r="B132" s="206" t="n"/>
      <c r="C132" s="207" t="n"/>
      <c r="D132" s="207" t="n"/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5438.34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12</v>
      </c>
      <c r="B133" s="206" t="n"/>
      <c r="C133" s="207" t="n"/>
      <c r="D133" s="207" t="inlineStr">
        <is>
          <t>JXZ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30661.52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79" t="n"/>
      <c r="B134" s="280" t="n"/>
      <c r="C134" s="280" t="n"/>
      <c r="D134" s="291" t="inlineStr">
        <is>
          <t>**财务未列部分需增列***</t>
        </is>
      </c>
      <c r="E134" s="310" t="n"/>
      <c r="F134" s="310" t="n"/>
      <c r="G134" s="310" t="n"/>
      <c r="H134" s="282" t="n"/>
      <c r="I134" s="282" t="n"/>
      <c r="J134" s="282" t="n"/>
      <c r="K134" s="283" t="n">
        <v>0</v>
      </c>
      <c r="L134" s="284">
        <f>J134-K134</f>
        <v/>
      </c>
      <c r="M134" s="311" t="n"/>
      <c r="N134" s="311" t="n"/>
      <c r="O134" s="282">
        <f>L134-M134</f>
        <v/>
      </c>
      <c r="P134" s="282">
        <f>K134-N134</f>
        <v/>
      </c>
      <c r="Q134" s="282">
        <f>M134+O134</f>
        <v/>
      </c>
      <c r="R134" s="282">
        <f>M134+N134+O134+P134</f>
        <v/>
      </c>
      <c r="S134" s="286">
        <f>SUM(T134:V134)</f>
        <v/>
      </c>
      <c r="T134" s="311" t="n"/>
      <c r="U134" s="311" t="n"/>
      <c r="V134" s="311" t="n"/>
      <c r="W134" s="311" t="n"/>
      <c r="X134" s="311" t="n"/>
      <c r="Y134" s="311" t="n"/>
      <c r="Z134" s="311" t="n"/>
      <c r="AA134" s="286" t="n"/>
      <c r="AB134" s="287" t="n"/>
      <c r="AC134" s="287" t="n"/>
      <c r="AD134" s="287" t="n"/>
      <c r="AE134" s="287" t="n"/>
      <c r="AF134" s="287" t="n"/>
      <c r="AG134" s="287" t="n"/>
      <c r="AH134" s="287" t="n"/>
      <c r="AI134" s="287" t="n"/>
      <c r="AJ134" s="287" t="n"/>
      <c r="AK134" s="287">
        <f>AB37/1.17*0.17+AC37/1.16*0.16+AD37/1.11*0.11+AE37/1.1*0.1+AF37/1.09*0.09+AI37/1.03*0.03</f>
        <v/>
      </c>
      <c r="AL134" s="294" t="n"/>
    </row>
    <row r="135">
      <c r="A135" s="295" t="n"/>
      <c r="B135" s="296" t="n"/>
      <c r="C135" s="296" t="n"/>
      <c r="D135" s="312" t="inlineStr">
        <is>
          <t>机械费小计：</t>
        </is>
      </c>
      <c r="E135" s="313" t="n"/>
      <c r="F135" s="313" t="n"/>
      <c r="G135" s="313" t="n"/>
      <c r="H135" s="298">
        <f>SUM(H120:H134)</f>
        <v/>
      </c>
      <c r="I135" s="298">
        <f>SUM(I120:I134)</f>
        <v/>
      </c>
      <c r="J135" s="298">
        <f>SUM(J120:J134)</f>
        <v/>
      </c>
      <c r="K135" s="298">
        <f>SUM(K120:K134)</f>
        <v/>
      </c>
      <c r="L135" s="314">
        <f>SUM(L120:L134)</f>
        <v/>
      </c>
      <c r="M135" s="298">
        <f>SUM(M120:M134)</f>
        <v/>
      </c>
      <c r="N135" s="298">
        <f>SUM(N120:N134)</f>
        <v/>
      </c>
      <c r="O135" s="298">
        <f>SUM(O120:O134)</f>
        <v/>
      </c>
      <c r="P135" s="298">
        <f>SUM(P120:P134)</f>
        <v/>
      </c>
      <c r="Q135" s="298">
        <f>SUM(Q120:Q134)</f>
        <v/>
      </c>
      <c r="R135" s="298">
        <f>SUM(R120:R134)</f>
        <v/>
      </c>
      <c r="S135" s="298">
        <f>SUM(S120:S134)</f>
        <v/>
      </c>
      <c r="T135" s="298" t="n"/>
      <c r="U135" s="298" t="n"/>
      <c r="V135" s="298" t="n"/>
      <c r="W135" s="298" t="n"/>
      <c r="X135" s="298" t="n"/>
      <c r="Y135" s="298" t="n"/>
      <c r="Z135" s="298">
        <f>SUM(Z120:Z134)</f>
        <v/>
      </c>
      <c r="AA135" s="298">
        <f>SUM(AA120:AA134)</f>
        <v/>
      </c>
      <c r="AB135" s="298" t="n"/>
      <c r="AC135" s="298" t="n"/>
      <c r="AD135" s="298" t="n"/>
      <c r="AE135" s="298" t="n"/>
      <c r="AF135" s="298" t="n"/>
      <c r="AG135" s="298" t="n"/>
      <c r="AH135" s="298" t="n"/>
      <c r="AI135" s="298" t="n"/>
      <c r="AJ135" s="298" t="n"/>
      <c r="AK135" s="298" t="n"/>
      <c r="AL135" s="288" t="n"/>
    </row>
    <row r="136">
      <c r="A136" s="279" t="n"/>
      <c r="B136" s="280" t="n"/>
      <c r="C136" s="280" t="n"/>
      <c r="D136" s="299" t="inlineStr">
        <is>
          <t>（五）其他直接费</t>
        </is>
      </c>
      <c r="E136" s="292" t="n"/>
      <c r="F136" s="292" t="n"/>
      <c r="G136" s="292" t="n"/>
      <c r="H136" s="282" t="n"/>
      <c r="I136" s="282" t="n"/>
      <c r="J136" s="285" t="n">
        <v>0</v>
      </c>
      <c r="K136" s="283" t="n">
        <v>0</v>
      </c>
      <c r="L136" s="284">
        <f>J136-N136-P136</f>
        <v/>
      </c>
      <c r="M136" s="285" t="n"/>
      <c r="N136" s="285" t="n"/>
      <c r="O136" s="282">
        <f>L136-M136</f>
        <v/>
      </c>
      <c r="P136" s="282">
        <f>K136-N136</f>
        <v/>
      </c>
      <c r="Q136" s="282">
        <f>M136+O136</f>
        <v/>
      </c>
      <c r="R136" s="282">
        <f>M136+N136+O136+P136</f>
        <v/>
      </c>
      <c r="S136" s="286">
        <f>SUM(T136:V136)</f>
        <v/>
      </c>
      <c r="T136" s="286" t="n"/>
      <c r="U136" s="286" t="n"/>
      <c r="V136" s="286" t="n"/>
      <c r="W136" s="286" t="n"/>
      <c r="X136" s="286" t="n"/>
      <c r="Y136" s="286" t="n"/>
      <c r="Z136" s="286" t="n"/>
      <c r="AA136" s="286" t="n"/>
      <c r="AB136" s="286" t="n"/>
      <c r="AC136" s="286" t="n"/>
      <c r="AD136" s="286" t="n"/>
      <c r="AE136" s="286" t="n"/>
      <c r="AF136" s="286" t="n"/>
      <c r="AG136" s="286" t="n"/>
      <c r="AH136" s="286" t="n"/>
      <c r="AI136" s="286" t="n"/>
      <c r="AJ136" s="286" t="n"/>
      <c r="AK136" s="287" t="n"/>
      <c r="AL136" s="288" t="n"/>
    </row>
    <row r="137">
      <c r="A137" s="206" t="n">
        <v>1</v>
      </c>
      <c r="B137" s="206" t="n"/>
      <c r="C137" s="207" t="n"/>
      <c r="D137" s="207" t="inlineStr">
        <is>
          <t>保险费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6">
        <f>J137-K137</f>
        <v/>
      </c>
      <c r="M137" s="210" t="n">
        <v>2060794.4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  <c r="W137" s="290" t="n"/>
      <c r="X137" s="290" t="n"/>
      <c r="Y137" s="290" t="n"/>
      <c r="Z137" s="290" t="n"/>
      <c r="AA137" s="290" t="n"/>
      <c r="AB137" s="290" t="n"/>
      <c r="AC137" s="290" t="n"/>
      <c r="AD137" s="290" t="n"/>
      <c r="AE137" s="290" t="n"/>
      <c r="AF137" s="290" t="n"/>
      <c r="AG137" s="290" t="n"/>
      <c r="AH137" s="290" t="n"/>
      <c r="AI137" s="290" t="n"/>
      <c r="AJ137" s="290" t="n"/>
      <c r="AK137" s="290" t="n"/>
      <c r="AL137" s="290" t="n"/>
    </row>
    <row r="138">
      <c r="A138" s="206" t="n">
        <v>2</v>
      </c>
      <c r="B138" s="206" t="n"/>
      <c r="C138" s="207" t="n"/>
      <c r="D138" s="207" t="inlineStr">
        <is>
          <t>其他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6">
        <f>J138-K138</f>
        <v/>
      </c>
      <c r="M138" s="210" t="n">
        <v>4351039.99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  <c r="W138" s="290" t="n"/>
      <c r="X138" s="290" t="n"/>
      <c r="Y138" s="290" t="n"/>
      <c r="Z138" s="290" t="n"/>
      <c r="AA138" s="290" t="n"/>
      <c r="AB138" s="290" t="n"/>
      <c r="AC138" s="290" t="n"/>
      <c r="AD138" s="290" t="n"/>
      <c r="AE138" s="290" t="n"/>
      <c r="AF138" s="290" t="n"/>
      <c r="AG138" s="290" t="n"/>
      <c r="AH138" s="290" t="n"/>
      <c r="AI138" s="290" t="n"/>
      <c r="AJ138" s="290" t="n"/>
      <c r="AK138" s="290" t="n"/>
      <c r="AL138" s="290" t="n"/>
    </row>
    <row r="139">
      <c r="A139" s="206" t="n">
        <v>3</v>
      </c>
      <c r="B139" s="206" t="n"/>
      <c r="C139" s="207" t="n"/>
      <c r="D139" s="207" t="inlineStr">
        <is>
          <t>咨询费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1165.05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4</v>
      </c>
      <c r="B140" s="206" t="n"/>
      <c r="C140" s="207" t="n"/>
      <c r="D140" s="207" t="inlineStr">
        <is>
          <t>检验试验费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2298882.29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5</v>
      </c>
      <c r="B141" s="206" t="n"/>
      <c r="C141" s="207" t="n"/>
      <c r="D141" s="207" t="inlineStr">
        <is>
          <t>水电费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8300988.65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79" t="n"/>
      <c r="B142" s="280" t="n"/>
      <c r="C142" s="280" t="n"/>
      <c r="D142" s="291" t="inlineStr">
        <is>
          <t>**财务未列部分需增列***</t>
        </is>
      </c>
      <c r="E142" s="292" t="n"/>
      <c r="F142" s="292" t="n"/>
      <c r="G142" s="292" t="n"/>
      <c r="H142" s="282" t="n"/>
      <c r="I142" s="282" t="n"/>
      <c r="J142" s="285" t="n"/>
      <c r="K142" s="283" t="n"/>
      <c r="L142" s="284">
        <f>J142-K142</f>
        <v/>
      </c>
      <c r="M142" s="315" t="n"/>
      <c r="N142" s="315" t="n"/>
      <c r="O142" s="282">
        <f>L142-M142</f>
        <v/>
      </c>
      <c r="P142" s="282">
        <f>K142-N142</f>
        <v/>
      </c>
      <c r="Q142" s="282">
        <f>M142+O142</f>
        <v/>
      </c>
      <c r="R142" s="282">
        <f>M142+N142+O142+P142</f>
        <v/>
      </c>
      <c r="S142" s="286">
        <f>SUM(T142:V142)</f>
        <v/>
      </c>
      <c r="T142" s="315" t="n"/>
      <c r="U142" s="315" t="n"/>
      <c r="V142" s="315" t="n"/>
      <c r="W142" s="315" t="n"/>
      <c r="X142" s="315" t="n"/>
      <c r="Y142" s="315" t="n"/>
      <c r="Z142" s="282">
        <f>SUM(AA45:AJ45)</f>
        <v/>
      </c>
      <c r="AA142" s="286" t="n"/>
      <c r="AB142" s="286" t="n"/>
      <c r="AC142" s="286" t="n"/>
      <c r="AD142" s="286" t="n"/>
      <c r="AE142" s="286" t="n"/>
      <c r="AF142" s="286" t="n"/>
      <c r="AG142" s="286" t="n"/>
      <c r="AH142" s="286" t="n"/>
      <c r="AI142" s="286" t="n"/>
      <c r="AJ142" s="286" t="n"/>
      <c r="AK142" s="287" t="n"/>
      <c r="AL142" s="288" t="n"/>
    </row>
    <row r="143">
      <c r="A143" s="316" t="n"/>
      <c r="B143" s="317" t="n"/>
      <c r="C143" s="317" t="n"/>
      <c r="D143" s="312" t="inlineStr">
        <is>
          <t>其他直接费小计：</t>
        </is>
      </c>
      <c r="E143" s="318" t="n"/>
      <c r="F143" s="318" t="n"/>
      <c r="G143" s="318" t="n"/>
      <c r="H143" s="298">
        <f>SUM(H136:H142)</f>
        <v/>
      </c>
      <c r="I143" s="298">
        <f>SUM(I136:I142)</f>
        <v/>
      </c>
      <c r="J143" s="298">
        <f>SUM(J136:J142)</f>
        <v/>
      </c>
      <c r="K143" s="298">
        <f>SUM(K136:K142)</f>
        <v/>
      </c>
      <c r="L143" s="314">
        <f>SUM(L136:L142)</f>
        <v/>
      </c>
      <c r="M143" s="298">
        <f>SUM(M136:M142)</f>
        <v/>
      </c>
      <c r="N143" s="298">
        <f>SUM(N136:N142)</f>
        <v/>
      </c>
      <c r="O143" s="298">
        <f>L143-M143</f>
        <v/>
      </c>
      <c r="P143" s="298">
        <f>SUM(P136:P142)</f>
        <v/>
      </c>
      <c r="Q143" s="298">
        <f>M143+O143</f>
        <v/>
      </c>
      <c r="R143" s="298">
        <f>SUM(R136:R142)</f>
        <v/>
      </c>
      <c r="S143" s="298">
        <f>SUM(S136:S142)</f>
        <v/>
      </c>
      <c r="T143" s="298" t="n"/>
      <c r="U143" s="298" t="n"/>
      <c r="V143" s="298" t="n"/>
      <c r="W143" s="298" t="n"/>
      <c r="X143" s="298" t="n"/>
      <c r="Y143" s="298" t="n"/>
      <c r="Z143" s="298">
        <f>SUM(Z136:Z142)</f>
        <v/>
      </c>
      <c r="AA143" s="298">
        <f>SUM(AA136:AA142)</f>
        <v/>
      </c>
      <c r="AB143" s="298">
        <f>SUM(AB136:AB142)</f>
        <v/>
      </c>
      <c r="AC143" s="298">
        <f>SUM(AC136:AC142)</f>
        <v/>
      </c>
      <c r="AD143" s="298">
        <f>SUM(AD136:AD142)</f>
        <v/>
      </c>
      <c r="AE143" s="298">
        <f>SUM(AE136:AE142)</f>
        <v/>
      </c>
      <c r="AF143" s="298">
        <f>SUM(AF136:AF142)</f>
        <v/>
      </c>
      <c r="AG143" s="298" t="n"/>
      <c r="AH143" s="298" t="n"/>
      <c r="AI143" s="298">
        <f>SUM(AI136:AI142)</f>
        <v/>
      </c>
      <c r="AJ143" s="298">
        <f>SUM(AJ136:AJ142)</f>
        <v/>
      </c>
      <c r="AK143" s="298">
        <f>SUM(AK136:AK142)</f>
        <v/>
      </c>
      <c r="AL143" s="288" t="n"/>
    </row>
    <row r="144">
      <c r="A144" s="279" t="n"/>
      <c r="B144" s="280" t="n"/>
      <c r="C144" s="280" t="n"/>
      <c r="D144" s="299" t="inlineStr">
        <is>
          <t>（六）间接费</t>
        </is>
      </c>
      <c r="E144" s="292" t="n"/>
      <c r="F144" s="292" t="n"/>
      <c r="G144" s="292" t="n"/>
      <c r="H144" s="285" t="n"/>
      <c r="I144" s="282" t="n"/>
      <c r="J144" s="282" t="n">
        <v>0</v>
      </c>
      <c r="K144" s="283" t="n">
        <v>0</v>
      </c>
      <c r="L144" s="284">
        <f>J144-N144-P144</f>
        <v/>
      </c>
      <c r="M144" s="285" t="n"/>
      <c r="N144" s="285" t="n"/>
      <c r="O144" s="282">
        <f>L144-M144</f>
        <v/>
      </c>
      <c r="P144" s="282">
        <f>K144-N144</f>
        <v/>
      </c>
      <c r="Q144" s="282">
        <f>M144+O144</f>
        <v/>
      </c>
      <c r="R144" s="282">
        <f>M144+N144+O144+P144</f>
        <v/>
      </c>
      <c r="S144" s="286">
        <f>SUM(T144:V144)</f>
        <v/>
      </c>
      <c r="T144" s="286" t="n"/>
      <c r="U144" s="286" t="n"/>
      <c r="V144" s="286" t="n"/>
      <c r="W144" s="286" t="n"/>
      <c r="X144" s="286" t="n"/>
      <c r="Y144" s="286" t="n"/>
      <c r="Z144" s="286" t="n"/>
      <c r="AA144" s="286" t="n"/>
      <c r="AB144" s="286" t="n"/>
      <c r="AC144" s="286" t="n"/>
      <c r="AD144" s="286" t="n"/>
      <c r="AE144" s="286" t="n"/>
      <c r="AF144" s="286" t="n"/>
      <c r="AG144" s="286" t="n"/>
      <c r="AH144" s="286" t="n"/>
      <c r="AI144" s="286" t="n"/>
      <c r="AJ144" s="286" t="n"/>
      <c r="AK144" s="287" t="n"/>
      <c r="AL144" s="288" t="n"/>
    </row>
    <row r="145">
      <c r="A145" s="206" t="n">
        <v>1</v>
      </c>
      <c r="B145" s="206" t="n"/>
      <c r="C145" s="207" t="n"/>
      <c r="D145" s="207" t="inlineStr">
        <is>
          <t>ZGD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6">
        <f>J145-K145</f>
        <v/>
      </c>
      <c r="M145" s="210" t="n">
        <v>73932.02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  <c r="W145" s="290" t="n"/>
      <c r="X145" s="290" t="n"/>
      <c r="Y145" s="290" t="n"/>
      <c r="Z145" s="290" t="n"/>
      <c r="AA145" s="290" t="n"/>
      <c r="AB145" s="290" t="n"/>
      <c r="AC145" s="290" t="n"/>
      <c r="AD145" s="290" t="n"/>
      <c r="AE145" s="290" t="n"/>
      <c r="AF145" s="290" t="n"/>
      <c r="AG145" s="290" t="n"/>
      <c r="AH145" s="290" t="n"/>
      <c r="AI145" s="290" t="n"/>
      <c r="AJ145" s="290" t="n"/>
      <c r="AK145" s="290" t="n"/>
      <c r="AL145" s="290" t="n"/>
    </row>
    <row r="146">
      <c r="A146" s="206" t="n">
        <v>2</v>
      </c>
      <c r="B146" s="206" t="n"/>
      <c r="C146" s="207" t="n"/>
      <c r="D146" s="207" t="inlineStr">
        <is>
          <t>书报资料费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6">
        <f>J146-K146</f>
        <v/>
      </c>
      <c r="M146" s="210" t="n">
        <v>220.88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  <c r="W146" s="290" t="n"/>
      <c r="X146" s="290" t="n"/>
      <c r="Y146" s="290" t="n"/>
      <c r="Z146" s="290" t="n"/>
      <c r="AA146" s="290" t="n"/>
      <c r="AB146" s="290" t="n"/>
      <c r="AC146" s="290" t="n"/>
      <c r="AD146" s="290" t="n"/>
      <c r="AE146" s="290" t="n"/>
      <c r="AF146" s="290" t="n"/>
      <c r="AG146" s="290" t="n"/>
      <c r="AH146" s="290" t="n"/>
      <c r="AI146" s="290" t="n"/>
      <c r="AJ146" s="290" t="n"/>
      <c r="AK146" s="290" t="n"/>
      <c r="AL146" s="290" t="n"/>
    </row>
    <row r="147">
      <c r="A147" s="206" t="n">
        <v>3</v>
      </c>
      <c r="B147" s="206" t="n"/>
      <c r="C147" s="207" t="n"/>
      <c r="D147" s="207" t="inlineStr">
        <is>
          <t>企业年金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186548.56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4</v>
      </c>
      <c r="B148" s="206" t="n"/>
      <c r="C148" s="207" t="n"/>
      <c r="D148" s="207" t="inlineStr">
        <is>
          <t>会议费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5867.37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5</v>
      </c>
      <c r="B149" s="206" t="n"/>
      <c r="C149" s="207" t="n"/>
      <c r="D149" s="207" t="inlineStr">
        <is>
          <t>住房公积金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921583.74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6</v>
      </c>
      <c r="B150" s="206" t="n"/>
      <c r="C150" s="207" t="n"/>
      <c r="D150" s="207" t="inlineStr">
        <is>
          <t>保险费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4245.28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7</v>
      </c>
      <c r="B151" s="206" t="n"/>
      <c r="C151" s="207" t="n"/>
      <c r="D151" s="207" t="inlineStr">
        <is>
          <t>修理费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27769.38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8</v>
      </c>
      <c r="B152" s="206" t="n"/>
      <c r="C152" s="207" t="n"/>
      <c r="D152" s="207" t="inlineStr">
        <is>
          <t>其他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445466.64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9</v>
      </c>
      <c r="B153" s="206" t="n"/>
      <c r="C153" s="207" t="n"/>
      <c r="D153" s="207" t="inlineStr">
        <is>
          <t>其他补充保险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87.84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10</v>
      </c>
      <c r="B154" s="206" t="n"/>
      <c r="C154" s="207" t="n"/>
      <c r="D154" s="207" t="inlineStr">
        <is>
          <t>冲晒印刷费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112428.15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11</v>
      </c>
      <c r="B155" s="206" t="n"/>
      <c r="C155" s="207" t="n"/>
      <c r="D155" s="207" t="inlineStr">
        <is>
          <t>办公用品费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607692.39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12</v>
      </c>
      <c r="B156" s="206" t="n"/>
      <c r="C156" s="207" t="n"/>
      <c r="D156" s="207" t="inlineStr">
        <is>
          <t>医疗保险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453554.98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13</v>
      </c>
      <c r="B157" s="206" t="n"/>
      <c r="C157" s="207" t="n"/>
      <c r="D157" s="207" t="inlineStr">
        <is>
          <t>基本养老保险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1111816.95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14</v>
      </c>
      <c r="B158" s="206" t="n"/>
      <c r="C158" s="207" t="n"/>
      <c r="D158" s="207" t="inlineStr">
        <is>
          <t>境内差旅费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28860.18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15</v>
      </c>
      <c r="B159" s="206" t="n"/>
      <c r="C159" s="207" t="n"/>
      <c r="D159" s="207" t="inlineStr">
        <is>
          <t>失业保险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45975.32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16</v>
      </c>
      <c r="B160" s="206" t="n"/>
      <c r="C160" s="207" t="n"/>
      <c r="D160" s="207" t="inlineStr">
        <is>
          <t>工会经费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150995.69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17</v>
      </c>
      <c r="B161" s="206" t="n"/>
      <c r="C161" s="207" t="n"/>
      <c r="D161" s="207" t="inlineStr">
        <is>
          <t>工伤保险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43560.14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18</v>
      </c>
      <c r="B162" s="206" t="n"/>
      <c r="C162" s="207" t="n"/>
      <c r="D162" s="207" t="inlineStr">
        <is>
          <t>工资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21079637.05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19</v>
      </c>
      <c r="B163" s="206" t="n"/>
      <c r="C163" s="207" t="n"/>
      <c r="D163" s="207" t="inlineStr">
        <is>
          <t>市内交通费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5663.74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20</v>
      </c>
      <c r="B164" s="206" t="n"/>
      <c r="C164" s="207" t="n"/>
      <c r="D164" s="207" t="inlineStr">
        <is>
          <t>律师费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14327.83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21</v>
      </c>
      <c r="B165" s="206" t="n"/>
      <c r="C165" s="207" t="n"/>
      <c r="D165" s="207" t="inlineStr">
        <is>
          <t>折旧费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65460.13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22</v>
      </c>
      <c r="B166" s="206" t="n"/>
      <c r="C166" s="207" t="n"/>
      <c r="D166" s="207" t="inlineStr">
        <is>
          <t>水电费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1915223.39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23</v>
      </c>
      <c r="B167" s="206" t="n"/>
      <c r="C167" s="207" t="n"/>
      <c r="D167" s="207" t="inlineStr">
        <is>
          <t>燃油费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210747.51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24</v>
      </c>
      <c r="B168" s="206" t="n"/>
      <c r="C168" s="207" t="n"/>
      <c r="D168" s="207" t="inlineStr">
        <is>
          <t>物业租赁费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223298.47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25</v>
      </c>
      <c r="B169" s="206" t="n"/>
      <c r="C169" s="207" t="n"/>
      <c r="D169" s="207" t="inlineStr">
        <is>
          <t>物业管理费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463287.94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26</v>
      </c>
      <c r="B170" s="206" t="n"/>
      <c r="C170" s="207" t="n"/>
      <c r="D170" s="207" t="inlineStr">
        <is>
          <t>物料消耗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4059.41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27</v>
      </c>
      <c r="B171" s="206" t="n"/>
      <c r="C171" s="207" t="n"/>
      <c r="D171" s="207" t="inlineStr">
        <is>
          <t>生育保险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4798.28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28</v>
      </c>
      <c r="B172" s="206" t="n"/>
      <c r="C172" s="207" t="n"/>
      <c r="D172" s="207" t="inlineStr">
        <is>
          <t>社保及公积金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1410339.33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29</v>
      </c>
      <c r="B173" s="206" t="n"/>
      <c r="C173" s="207" t="n"/>
      <c r="D173" s="207" t="inlineStr">
        <is>
          <t>租车费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429894.83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30</v>
      </c>
      <c r="B174" s="206" t="n"/>
      <c r="C174" s="207" t="n"/>
      <c r="D174" s="207" t="inlineStr">
        <is>
          <t>维修保养费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34521.89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31</v>
      </c>
      <c r="B175" s="206" t="n"/>
      <c r="C175" s="207" t="n"/>
      <c r="D175" s="207" t="inlineStr">
        <is>
          <t>网络使用费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114830.51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32</v>
      </c>
      <c r="B176" s="206" t="n"/>
      <c r="C176" s="207" t="n"/>
      <c r="D176" s="207" t="inlineStr">
        <is>
          <t>职工教育经费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135820.32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33</v>
      </c>
      <c r="B177" s="206" t="n"/>
      <c r="C177" s="207" t="n"/>
      <c r="D177" s="207" t="inlineStr">
        <is>
          <t>职工福利费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824342.88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34</v>
      </c>
      <c r="B178" s="206" t="n"/>
      <c r="C178" s="207" t="n"/>
      <c r="D178" s="207" t="inlineStr">
        <is>
          <t>补充医疗保险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7322.89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35</v>
      </c>
      <c r="B179" s="206" t="n"/>
      <c r="C179" s="207" t="n"/>
      <c r="D179" s="207" t="inlineStr">
        <is>
          <t>诉讼费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36638.87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36</v>
      </c>
      <c r="B180" s="206" t="n"/>
      <c r="C180" s="207" t="n"/>
      <c r="D180" s="207" t="inlineStr">
        <is>
          <t>路桥及停车费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78817.39999999999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37</v>
      </c>
      <c r="B181" s="206" t="n"/>
      <c r="C181" s="207" t="n"/>
      <c r="D181" s="207" t="inlineStr">
        <is>
          <t>软件费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209326.47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38</v>
      </c>
      <c r="B182" s="206" t="n"/>
      <c r="C182" s="207" t="n"/>
      <c r="D182" s="207" t="inlineStr">
        <is>
          <t>通信费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192969.09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39</v>
      </c>
      <c r="B183" s="206" t="n"/>
      <c r="C183" s="207" t="n"/>
      <c r="D183" s="207" t="inlineStr">
        <is>
          <t>邮寄费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1030.72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79" t="n"/>
      <c r="B184" s="280" t="n"/>
      <c r="C184" s="280" t="n"/>
      <c r="D184" s="291" t="inlineStr">
        <is>
          <t>**财务未列部分需增列***</t>
        </is>
      </c>
      <c r="E184" s="292" t="n"/>
      <c r="F184" s="292" t="n"/>
      <c r="G184" s="292" t="n"/>
      <c r="H184" s="315" t="n"/>
      <c r="I184" s="282" t="n"/>
      <c r="J184" s="315" t="n"/>
      <c r="K184" s="283" t="n"/>
      <c r="L184" s="284" t="n"/>
      <c r="M184" s="315" t="n"/>
      <c r="N184" s="282" t="n"/>
      <c r="O184" s="282">
        <f>L184-M184</f>
        <v/>
      </c>
      <c r="P184" s="282">
        <f>K184-N184</f>
        <v/>
      </c>
      <c r="Q184" s="282">
        <f>M184+O184</f>
        <v/>
      </c>
      <c r="R184" s="282">
        <f>M184+N184+O184+P184</f>
        <v/>
      </c>
      <c r="S184" s="286">
        <f>SUM(T184:V184)</f>
        <v/>
      </c>
      <c r="T184" s="315" t="n"/>
      <c r="U184" s="315" t="n"/>
      <c r="V184" s="315" t="n"/>
      <c r="W184" s="315" t="n"/>
      <c r="X184" s="315" t="n"/>
      <c r="Y184" s="315" t="n"/>
      <c r="Z184" s="315" t="n"/>
      <c r="AA184" s="286" t="n"/>
      <c r="AB184" s="287" t="n"/>
      <c r="AC184" s="287" t="n"/>
      <c r="AD184" s="287" t="n"/>
      <c r="AE184" s="287" t="n"/>
      <c r="AF184" s="287" t="n"/>
      <c r="AG184" s="287" t="n"/>
      <c r="AH184" s="287" t="n"/>
      <c r="AI184" s="287" t="n"/>
      <c r="AJ184" s="287" t="n"/>
      <c r="AK184" s="287" t="n"/>
      <c r="AL184" s="294" t="n"/>
    </row>
    <row r="185">
      <c r="A185" s="316" t="n"/>
      <c r="B185" s="317" t="n"/>
      <c r="C185" s="317" t="n"/>
      <c r="D185" s="312" t="inlineStr">
        <is>
          <t>间接费小计：</t>
        </is>
      </c>
      <c r="E185" s="318" t="n"/>
      <c r="F185" s="318" t="n"/>
      <c r="G185" s="318" t="n"/>
      <c r="H185" s="298">
        <f>SUM(H144:H184)</f>
        <v/>
      </c>
      <c r="I185" s="298">
        <f>SUM(I144:I184)</f>
        <v/>
      </c>
      <c r="J185" s="298">
        <f>SUM(J144:J184)</f>
        <v/>
      </c>
      <c r="K185" s="298">
        <f>SUM(K144:K184)</f>
        <v/>
      </c>
      <c r="L185" s="314">
        <f>SUM(L144:L184)</f>
        <v/>
      </c>
      <c r="M185" s="314">
        <f>SUM(M144:M184)</f>
        <v/>
      </c>
      <c r="N185" s="314">
        <f>SUM(N144:N184)</f>
        <v/>
      </c>
      <c r="O185" s="314">
        <f>SUM(O144:O184)</f>
        <v/>
      </c>
      <c r="P185" s="314">
        <f>SUM(P144:P184)</f>
        <v/>
      </c>
      <c r="Q185" s="314">
        <f>SUM(Q144:Q184)</f>
        <v/>
      </c>
      <c r="R185" s="314">
        <f>SUM(R144:R184)</f>
        <v/>
      </c>
      <c r="S185" s="314">
        <f>SUM(S144:S184)</f>
        <v/>
      </c>
      <c r="T185" s="314" t="n"/>
      <c r="U185" s="314" t="n"/>
      <c r="V185" s="314" t="n"/>
      <c r="W185" s="314" t="n"/>
      <c r="X185" s="314" t="n"/>
      <c r="Y185" s="314" t="n"/>
      <c r="Z185" s="314">
        <f>SUM(Z144:Z184)</f>
        <v/>
      </c>
      <c r="AA185" s="314">
        <f>SUM(AA144:AA184)</f>
        <v/>
      </c>
      <c r="AB185" s="314">
        <f>SUM(AB144:AB184)</f>
        <v/>
      </c>
      <c r="AC185" s="314">
        <f>SUM(AC144:AC184)</f>
        <v/>
      </c>
      <c r="AD185" s="314">
        <f>SUM(AD144:AD184)</f>
        <v/>
      </c>
      <c r="AE185" s="314">
        <f>SUM(AE144:AE184)</f>
        <v/>
      </c>
      <c r="AF185" s="314">
        <f>SUM(AF144:AF184)</f>
        <v/>
      </c>
      <c r="AG185" s="314" t="n"/>
      <c r="AH185" s="314" t="n"/>
      <c r="AI185" s="314">
        <f>SUM(AI144:AI184)</f>
        <v/>
      </c>
      <c r="AJ185" s="314">
        <f>SUM(AJ144:AJ184)</f>
        <v/>
      </c>
      <c r="AK185" s="314">
        <f>SUM(AK144:AK184)</f>
        <v/>
      </c>
      <c r="AL185" s="294" t="n"/>
    </row>
    <row r="186">
      <c r="A186" s="279" t="n"/>
      <c r="B186" s="280" t="n"/>
      <c r="C186" s="280" t="n"/>
      <c r="D186" s="299" t="inlineStr">
        <is>
          <t>（七）安全费</t>
        </is>
      </c>
      <c r="E186" s="292" t="n"/>
      <c r="F186" s="292" t="n"/>
      <c r="G186" s="292" t="n"/>
      <c r="H186" s="282" t="n"/>
      <c r="I186" s="282" t="n"/>
      <c r="J186" s="285" t="n">
        <v>0</v>
      </c>
      <c r="K186" s="319" t="n"/>
      <c r="L186" s="284">
        <f>J186-N186-P186</f>
        <v/>
      </c>
      <c r="M186" s="282" t="n"/>
      <c r="N186" s="282" t="n"/>
      <c r="O186" s="282">
        <f>L186-M186</f>
        <v/>
      </c>
      <c r="P186" s="282">
        <f>K186-N186</f>
        <v/>
      </c>
      <c r="Q186" s="282">
        <f>M186+O186</f>
        <v/>
      </c>
      <c r="R186" s="282">
        <f>M186+N186+O186+P186</f>
        <v/>
      </c>
      <c r="S186" s="286">
        <f>SUM(T186:V186)</f>
        <v/>
      </c>
      <c r="T186" s="315" t="n"/>
      <c r="U186" s="315" t="n"/>
      <c r="V186" s="315" t="n"/>
      <c r="W186" s="315" t="n"/>
      <c r="X186" s="315" t="n"/>
      <c r="Y186" s="315" t="n"/>
      <c r="Z186" s="311" t="n"/>
      <c r="AA186" s="286" t="n"/>
      <c r="AB186" s="287" t="n"/>
      <c r="AC186" s="287" t="n"/>
      <c r="AD186" s="287" t="n"/>
      <c r="AE186" s="287" t="n"/>
      <c r="AF186" s="287" t="n"/>
      <c r="AG186" s="287" t="n"/>
      <c r="AH186" s="287" t="n"/>
      <c r="AI186" s="287" t="n"/>
      <c r="AJ186" s="287" t="n"/>
      <c r="AK186" s="287" t="n"/>
      <c r="AL186" s="294" t="n"/>
    </row>
    <row r="187">
      <c r="A187" s="206" t="n">
        <v>1</v>
      </c>
      <c r="B187" s="206" t="n"/>
      <c r="C187" s="207" t="n"/>
      <c r="D187" s="207" t="inlineStr">
        <is>
          <t>ZGD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7872000.25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0" t="n"/>
      <c r="X187" s="290" t="n"/>
      <c r="Y187" s="290" t="n"/>
      <c r="Z187" s="290" t="n"/>
      <c r="AA187" s="290" t="n"/>
      <c r="AB187" s="290" t="n"/>
      <c r="AC187" s="290" t="n"/>
      <c r="AD187" s="290" t="n"/>
      <c r="AE187" s="290" t="n"/>
      <c r="AF187" s="290" t="n"/>
      <c r="AG187" s="290" t="n"/>
      <c r="AH187" s="290" t="n"/>
      <c r="AI187" s="290" t="n"/>
      <c r="AJ187" s="290" t="n"/>
      <c r="AK187" s="290" t="n"/>
      <c r="AL187" s="290" t="n"/>
    </row>
    <row r="188">
      <c r="A188" s="206" t="n">
        <v>2</v>
      </c>
      <c r="B188" s="206" t="n"/>
      <c r="C188" s="207" t="n"/>
      <c r="D188" s="207" t="inlineStr">
        <is>
          <t>安全生产-人工费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2852405.63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0" t="n"/>
      <c r="X188" s="290" t="n"/>
      <c r="Y188" s="290" t="n"/>
      <c r="Z188" s="290" t="n"/>
      <c r="AA188" s="290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0" t="n"/>
    </row>
    <row r="189">
      <c r="A189" s="206" t="n">
        <v>3</v>
      </c>
      <c r="B189" s="206" t="n"/>
      <c r="C189" s="207" t="n"/>
      <c r="D189" s="207" t="inlineStr">
        <is>
          <t>安全生产-分包工程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6">
        <f>J189-K189</f>
        <v/>
      </c>
      <c r="M189" s="210" t="n">
        <v>4674095.6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  <c r="W189" s="290" t="n"/>
      <c r="X189" s="290" t="n"/>
      <c r="Y189" s="290" t="n"/>
      <c r="Z189" s="290" t="n"/>
      <c r="AA189" s="290" t="n"/>
      <c r="AB189" s="290" t="n"/>
      <c r="AC189" s="290" t="n"/>
      <c r="AD189" s="290" t="n"/>
      <c r="AE189" s="290" t="n"/>
      <c r="AF189" s="290" t="n"/>
      <c r="AG189" s="290" t="n"/>
      <c r="AH189" s="290" t="n"/>
      <c r="AI189" s="290" t="n"/>
      <c r="AJ189" s="290" t="n"/>
      <c r="AK189" s="290" t="n"/>
      <c r="AL189" s="290" t="n"/>
    </row>
    <row r="190">
      <c r="A190" s="206" t="n">
        <v>4</v>
      </c>
      <c r="B190" s="206" t="n"/>
      <c r="C190" s="207" t="n"/>
      <c r="D190" s="207" t="inlineStr">
        <is>
          <t>安全生产-机械使用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6">
        <f>J190-K190</f>
        <v/>
      </c>
      <c r="M190" s="210" t="n">
        <v>326856.87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  <c r="W190" s="290" t="n"/>
      <c r="X190" s="290" t="n"/>
      <c r="Y190" s="290" t="n"/>
      <c r="Z190" s="290" t="n"/>
      <c r="AA190" s="290" t="n"/>
      <c r="AB190" s="290" t="n"/>
      <c r="AC190" s="290" t="n"/>
      <c r="AD190" s="290" t="n"/>
      <c r="AE190" s="290" t="n"/>
      <c r="AF190" s="290" t="n"/>
      <c r="AG190" s="290" t="n"/>
      <c r="AH190" s="290" t="n"/>
      <c r="AI190" s="290" t="n"/>
      <c r="AJ190" s="290" t="n"/>
      <c r="AK190" s="290" t="n"/>
      <c r="AL190" s="290" t="n"/>
    </row>
    <row r="191">
      <c r="A191" s="206" t="n">
        <v>5</v>
      </c>
      <c r="B191" s="206" t="n"/>
      <c r="C191" s="207" t="n"/>
      <c r="D191" s="207" t="inlineStr">
        <is>
          <t>安全生产费-报销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6">
        <f>J191-K191</f>
        <v/>
      </c>
      <c r="M191" s="210" t="n">
        <v>2066826.1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  <c r="W191" s="290" t="n"/>
      <c r="X191" s="290" t="n"/>
      <c r="Y191" s="290" t="n"/>
      <c r="Z191" s="290" t="n"/>
      <c r="AA191" s="290" t="n"/>
      <c r="AB191" s="290" t="n"/>
      <c r="AC191" s="290" t="n"/>
      <c r="AD191" s="290" t="n"/>
      <c r="AE191" s="290" t="n"/>
      <c r="AF191" s="290" t="n"/>
      <c r="AG191" s="290" t="n"/>
      <c r="AH191" s="290" t="n"/>
      <c r="AI191" s="290" t="n"/>
      <c r="AJ191" s="290" t="n"/>
      <c r="AK191" s="290" t="n"/>
      <c r="AL191" s="290" t="n"/>
    </row>
    <row r="192">
      <c r="A192" s="316" t="n"/>
      <c r="B192" s="317" t="n"/>
      <c r="C192" s="317" t="n"/>
      <c r="D192" s="312" t="inlineStr">
        <is>
          <t>安全费小计：</t>
        </is>
      </c>
      <c r="E192" s="312" t="n"/>
      <c r="F192" s="312" t="n"/>
      <c r="G192" s="312" t="n"/>
      <c r="H192" s="298">
        <f>SUM(H186:H191)</f>
        <v/>
      </c>
      <c r="I192" s="298">
        <f>SUM(I186:I191)</f>
        <v/>
      </c>
      <c r="J192" s="298" t="n">
        <v>0</v>
      </c>
      <c r="K192" s="298" t="n">
        <v>0</v>
      </c>
      <c r="L192" s="320">
        <f>J192-K192</f>
        <v/>
      </c>
      <c r="M192" s="314">
        <f>SUM(M186:M191)</f>
        <v/>
      </c>
      <c r="N192" s="314">
        <f>SUM(N186:N191)</f>
        <v/>
      </c>
      <c r="O192" s="314">
        <f>SUM(O186:O191)</f>
        <v/>
      </c>
      <c r="P192" s="314">
        <f>SUM(P186:P191)</f>
        <v/>
      </c>
      <c r="Q192" s="314">
        <f>SUM(Q186:Q191)</f>
        <v/>
      </c>
      <c r="R192" s="314">
        <f>SUM(R186:R191)</f>
        <v/>
      </c>
      <c r="S192" s="314">
        <f>SUM(S186:S191)</f>
        <v/>
      </c>
      <c r="T192" s="321" t="n"/>
      <c r="U192" s="321" t="n"/>
      <c r="V192" s="321" t="n"/>
      <c r="W192" s="321" t="n"/>
      <c r="X192" s="321" t="n"/>
      <c r="Y192" s="321" t="n"/>
      <c r="Z192" s="321" t="n"/>
      <c r="AA192" s="321">
        <f>SUM(AA186:AA191)</f>
        <v/>
      </c>
      <c r="AB192" s="321">
        <f>SUM(AB186:AB191)</f>
        <v/>
      </c>
      <c r="AC192" s="321">
        <f>SUM(AC186:AC191)</f>
        <v/>
      </c>
      <c r="AD192" s="321">
        <f>SUM(AD186:AD191)</f>
        <v/>
      </c>
      <c r="AE192" s="321">
        <f>SUM(AE186:AE191)</f>
        <v/>
      </c>
      <c r="AF192" s="321">
        <f>SUM(AF186:AF191)</f>
        <v/>
      </c>
      <c r="AG192" s="321" t="n"/>
      <c r="AH192" s="321" t="n"/>
      <c r="AI192" s="321">
        <f>SUM(AI186:AI191)</f>
        <v/>
      </c>
      <c r="AJ192" s="321">
        <f>SUM(AJ186:AJ191)</f>
        <v/>
      </c>
      <c r="AK192" s="321">
        <f>SUM(AK186:AK191)</f>
        <v/>
      </c>
      <c r="AL192" s="322" t="n"/>
    </row>
    <row r="193">
      <c r="A193" s="316" t="n"/>
      <c r="B193" s="317" t="n"/>
      <c r="C193" s="317" t="n"/>
      <c r="D193" s="312" t="inlineStr">
        <is>
          <t>三、成本合计：</t>
        </is>
      </c>
      <c r="E193" s="318" t="n"/>
      <c r="F193" s="318" t="n"/>
      <c r="G193" s="318" t="n"/>
      <c r="H193" s="298">
        <f>H34+H65+H119+H135+H143+H185+H192</f>
        <v/>
      </c>
      <c r="I193" s="298">
        <f>I34+I65+I119+I135+I143+I185+I192</f>
        <v/>
      </c>
      <c r="J193" s="298">
        <f>J34+J65+J119+J135+J143+J185+J192</f>
        <v/>
      </c>
      <c r="K193" s="298">
        <f>K34+K65+K119+K135+K143+K185+K192</f>
        <v/>
      </c>
      <c r="L193" s="314">
        <f>L34+L65+L119+L135+L143+L185+L192</f>
        <v/>
      </c>
      <c r="M193" s="321">
        <f>M34+M65+M119+M135+M143+M185+M192</f>
        <v/>
      </c>
      <c r="N193" s="321">
        <f>N34+N65+N119+N135+N143+N185+N192</f>
        <v/>
      </c>
      <c r="O193" s="321">
        <f>O34+O65+O119+O135+O143+O185+O192</f>
        <v/>
      </c>
      <c r="P193" s="321">
        <f>P34+P65+P119+P135+P143+P185+P192</f>
        <v/>
      </c>
      <c r="Q193" s="321">
        <f>Q34+Q65+Q119+Q135+Q143+Q185+Q192</f>
        <v/>
      </c>
      <c r="R193" s="321">
        <f>R34+R65+R119+R135+R143+R185+R192</f>
        <v/>
      </c>
      <c r="S193" s="321">
        <f>S34+S65+S119+S135+S143+S185+S192</f>
        <v/>
      </c>
      <c r="T193" s="321" t="n"/>
      <c r="U193" s="321" t="n"/>
      <c r="V193" s="321" t="n"/>
      <c r="W193" s="321" t="n"/>
      <c r="X193" s="321" t="n"/>
      <c r="Y193" s="321" t="n"/>
      <c r="Z193" s="321">
        <f>Z34+Z65+Z119+Z135+Z143+Z185+Z192</f>
        <v/>
      </c>
      <c r="AA193" s="321">
        <f>AA34+AA65+AA119+AA135+AA143+AA185+AA192</f>
        <v/>
      </c>
      <c r="AB193" s="321">
        <f>AB34+AB65+AB119+AB135+AB143+AB185+AB192</f>
        <v/>
      </c>
      <c r="AC193" s="321">
        <f>AC34+AC65+AC119+AC135+AC143+AC185+AC192</f>
        <v/>
      </c>
      <c r="AD193" s="321">
        <f>AD34+AD65+AD119+AD135+AD143+AD185+AD192</f>
        <v/>
      </c>
      <c r="AE193" s="321">
        <f>AE34+AE65+AE119+AE135+AE143+AE185+AE192</f>
        <v/>
      </c>
      <c r="AF193" s="321">
        <f>AF34+AF65+AF119+AF135+AF143+AF185+AF192</f>
        <v/>
      </c>
      <c r="AG193" s="321" t="n"/>
      <c r="AH193" s="321" t="n"/>
      <c r="AI193" s="321">
        <f>AI34+AI65+AI119+AI135+AI143+AI185+AI192</f>
        <v/>
      </c>
      <c r="AJ193" s="321">
        <f>AJ34+AJ65+AJ119+AJ135+AJ143+AJ185+AJ192</f>
        <v/>
      </c>
      <c r="AK193" s="321">
        <f>AK34+AK65+AK119+AK135+AK143+AK185+AK192</f>
        <v/>
      </c>
      <c r="AL193" s="322" t="n"/>
    </row>
    <row r="194">
      <c r="A194" s="316" t="n"/>
      <c r="B194" s="317" t="n"/>
      <c r="C194" s="317" t="n"/>
      <c r="D194" s="312" t="inlineStr">
        <is>
          <t>四、计提保修金</t>
        </is>
      </c>
      <c r="E194" s="318" t="inlineStr">
        <is>
          <t>（在建：房建0.6%，其它0.4%；在保修期间的按0.3~0.5%自行确定;保修期结束为0）</t>
        </is>
      </c>
      <c r="F194" s="318" t="n"/>
      <c r="G194" s="318" t="n"/>
      <c r="H194" s="298" t="n"/>
      <c r="I194" s="298" t="n"/>
      <c r="J194" s="298">
        <f>H194+I194</f>
        <v/>
      </c>
      <c r="K194" s="298" t="n"/>
      <c r="L194" s="314">
        <f>J194-K194</f>
        <v/>
      </c>
      <c r="M194" s="321" t="n"/>
      <c r="N194" s="321" t="n"/>
      <c r="O194" s="321">
        <f>L194-M194</f>
        <v/>
      </c>
      <c r="P194" s="321">
        <f>K194-N194</f>
        <v/>
      </c>
      <c r="Q194" s="321">
        <f>M194+O194</f>
        <v/>
      </c>
      <c r="R194" s="321">
        <f>M194+N194+O194+P194</f>
        <v/>
      </c>
      <c r="S194" s="321">
        <f>SUM(T194:V194)</f>
        <v/>
      </c>
      <c r="T194" s="321" t="n"/>
      <c r="U194" s="321" t="n"/>
      <c r="V194" s="321" t="n"/>
      <c r="W194" s="321" t="n"/>
      <c r="X194" s="321" t="n"/>
      <c r="Y194" s="321" t="n"/>
      <c r="Z194" s="321" t="n"/>
      <c r="AA194" s="321">
        <f>Q69-S69</f>
        <v/>
      </c>
      <c r="AB194" s="321" t="n"/>
      <c r="AC194" s="321" t="n"/>
      <c r="AD194" s="321" t="n"/>
      <c r="AE194" s="321" t="n"/>
      <c r="AF194" s="321" t="n"/>
      <c r="AG194" s="321" t="n"/>
      <c r="AH194" s="321" t="n"/>
      <c r="AI194" s="321" t="n"/>
      <c r="AJ194" s="321" t="n"/>
      <c r="AK194" s="321" t="n"/>
      <c r="AL194" s="322" t="n"/>
    </row>
    <row r="195">
      <c r="A195" s="316" t="n"/>
      <c r="B195" s="317" t="n"/>
      <c r="C195" s="317" t="n"/>
      <c r="D195" s="312" t="inlineStr">
        <is>
          <t>五、过程节点奖金</t>
        </is>
      </c>
      <c r="E195" s="318" t="n"/>
      <c r="F195" s="318" t="n"/>
      <c r="G195" s="318" t="n"/>
      <c r="H195" s="298" t="n"/>
      <c r="I195" s="298" t="n"/>
      <c r="J195" s="298">
        <f>H195+I195</f>
        <v/>
      </c>
      <c r="K195" s="298" t="n"/>
      <c r="L195" s="314">
        <f>J195-K195</f>
        <v/>
      </c>
      <c r="M195" s="321" t="n"/>
      <c r="N195" s="321" t="n"/>
      <c r="O195" s="321">
        <f>L195-M195</f>
        <v/>
      </c>
      <c r="P195" s="321">
        <f>K195-N195</f>
        <v/>
      </c>
      <c r="Q195" s="321">
        <f>M195+O195</f>
        <v/>
      </c>
      <c r="R195" s="321">
        <f>M195+N195+O195+P195</f>
        <v/>
      </c>
      <c r="S195" s="321">
        <f>SUM(T195:V195)</f>
        <v/>
      </c>
      <c r="T195" s="321" t="n"/>
      <c r="U195" s="321" t="n"/>
      <c r="V195" s="321" t="n"/>
      <c r="W195" s="321" t="n"/>
      <c r="X195" s="321" t="n"/>
      <c r="Y195" s="321" t="n"/>
      <c r="Z195" s="321" t="n"/>
      <c r="AA195" s="321" t="n"/>
      <c r="AB195" s="321" t="n"/>
      <c r="AC195" s="321" t="n"/>
      <c r="AD195" s="321" t="n"/>
      <c r="AE195" s="321" t="n"/>
      <c r="AF195" s="321" t="n"/>
      <c r="AG195" s="321" t="n"/>
      <c r="AH195" s="321" t="n"/>
      <c r="AI195" s="321" t="n"/>
      <c r="AJ195" s="321" t="n"/>
      <c r="AK195" s="321" t="n"/>
      <c r="AL195" s="322" t="n"/>
    </row>
    <row r="196">
      <c r="A196" s="316" t="n"/>
      <c r="B196" s="317" t="n"/>
      <c r="C196" s="317" t="n"/>
      <c r="D196" s="312" t="inlineStr">
        <is>
          <t>六、资金占用费用</t>
        </is>
      </c>
      <c r="E196" s="318" t="n"/>
      <c r="F196" s="318" t="n"/>
      <c r="G196" s="318" t="n"/>
      <c r="H196" s="298" t="n"/>
      <c r="I196" s="298" t="n"/>
      <c r="J196" s="298">
        <f>H196+I196</f>
        <v/>
      </c>
      <c r="K196" s="298" t="n"/>
      <c r="L196" s="314">
        <f>J196-K196</f>
        <v/>
      </c>
      <c r="M196" s="323" t="n">
        <v>6780777.21</v>
      </c>
      <c r="N196" s="321" t="n"/>
      <c r="O196" s="321">
        <f>L196-M196</f>
        <v/>
      </c>
      <c r="P196" s="321">
        <f>K196-N196</f>
        <v/>
      </c>
      <c r="Q196" s="321">
        <f>M196+O196</f>
        <v/>
      </c>
      <c r="R196" s="321">
        <f>M196+N196+O196+P196</f>
        <v/>
      </c>
      <c r="S196" s="321">
        <f>SUM(T196:V196)</f>
        <v/>
      </c>
      <c r="T196" s="321" t="n"/>
      <c r="U196" s="321" t="n"/>
      <c r="V196" s="321" t="n"/>
      <c r="W196" s="321" t="n"/>
      <c r="X196" s="321" t="n"/>
      <c r="Y196" s="321" t="n"/>
      <c r="Z196" s="321" t="n"/>
      <c r="AA196" s="321" t="n"/>
      <c r="AB196" s="321" t="n"/>
      <c r="AC196" s="321" t="n"/>
      <c r="AD196" s="321" t="n"/>
      <c r="AE196" s="321" t="n"/>
      <c r="AF196" s="321" t="n"/>
      <c r="AG196" s="321" t="n"/>
      <c r="AH196" s="321" t="n"/>
      <c r="AI196" s="321" t="n"/>
      <c r="AJ196" s="321" t="n"/>
      <c r="AK196" s="321" t="n"/>
      <c r="AL196" s="322" t="n"/>
    </row>
    <row r="197">
      <c r="A197" s="316" t="n"/>
      <c r="B197" s="317" t="n"/>
      <c r="C197" s="317" t="n"/>
      <c r="D197" s="312" t="inlineStr">
        <is>
          <t>七、局投资收益（局投资项目选填）</t>
        </is>
      </c>
      <c r="E197" s="318" t="n"/>
      <c r="F197" s="318" t="n"/>
      <c r="G197" s="318" t="n"/>
      <c r="H197" s="298" t="n"/>
      <c r="I197" s="298" t="n"/>
      <c r="J197" s="298">
        <f>H197+I197</f>
        <v/>
      </c>
      <c r="K197" s="298" t="n"/>
      <c r="L197" s="314">
        <f>J197-K197</f>
        <v/>
      </c>
      <c r="M197" s="321" t="n"/>
      <c r="N197" s="321" t="n"/>
      <c r="O197" s="321">
        <f>L197-M197</f>
        <v/>
      </c>
      <c r="P197" s="321">
        <f>K197-N197</f>
        <v/>
      </c>
      <c r="Q197" s="321">
        <f>M197+O197</f>
        <v/>
      </c>
      <c r="R197" s="321">
        <f>M197+N197+O197+P197</f>
        <v/>
      </c>
      <c r="S197" s="321">
        <f>SUM(T197:V197)</f>
        <v/>
      </c>
      <c r="T197" s="321" t="n"/>
      <c r="U197" s="321" t="n"/>
      <c r="V197" s="321" t="n"/>
      <c r="W197" s="321" t="n"/>
      <c r="X197" s="321" t="n"/>
      <c r="Y197" s="321" t="n"/>
      <c r="Z197" s="321" t="n"/>
      <c r="AA197" s="321" t="n"/>
      <c r="AB197" s="321" t="n"/>
      <c r="AC197" s="321" t="n"/>
      <c r="AD197" s="321" t="n"/>
      <c r="AE197" s="321" t="n"/>
      <c r="AF197" s="321" t="n"/>
      <c r="AG197" s="321" t="n"/>
      <c r="AH197" s="321" t="n"/>
      <c r="AI197" s="321" t="n"/>
      <c r="AJ197" s="321" t="n"/>
      <c r="AK197" s="321" t="n"/>
      <c r="AL197" s="322" t="n"/>
    </row>
    <row r="198">
      <c r="A198" s="316" t="n"/>
      <c r="B198" s="317" t="n"/>
      <c r="C198" s="317" t="n"/>
      <c r="D198" s="312" t="inlineStr">
        <is>
          <t>八、研发费用</t>
        </is>
      </c>
      <c r="E198" s="318" t="n"/>
      <c r="F198" s="318" t="n"/>
      <c r="G198" s="318" t="n"/>
      <c r="H198" s="298" t="n"/>
      <c r="I198" s="298" t="n"/>
      <c r="J198" s="298">
        <f>H198+I198</f>
        <v/>
      </c>
      <c r="K198" s="298" t="n"/>
      <c r="L198" s="314">
        <f>J198-K198</f>
        <v/>
      </c>
      <c r="M198" s="321">
        <f>SUM(M199:M203)</f>
        <v/>
      </c>
      <c r="N198" s="321">
        <f>SUM(N199:N203)</f>
        <v/>
      </c>
      <c r="O198" s="321">
        <f>SUM(O199:O203)</f>
        <v/>
      </c>
      <c r="P198" s="321">
        <f>SUM(P199:P203)</f>
        <v/>
      </c>
      <c r="Q198" s="321">
        <f>SUM(Q199:Q203)</f>
        <v/>
      </c>
      <c r="R198" s="321">
        <f>SUM(R199:R203)</f>
        <v/>
      </c>
      <c r="S198" s="321">
        <f>SUM(S199:S203)</f>
        <v/>
      </c>
      <c r="T198" s="321">
        <f>SUM(T199:T203)</f>
        <v/>
      </c>
      <c r="U198" s="321">
        <f>SUM(U199:U203)</f>
        <v/>
      </c>
      <c r="V198" s="321">
        <f>SUM(V199:V203)</f>
        <v/>
      </c>
      <c r="W198" s="321">
        <f>SUM(W199:W203)</f>
        <v/>
      </c>
      <c r="X198" s="321">
        <f>SUM(X199:X203)</f>
        <v/>
      </c>
      <c r="Y198" s="321">
        <f>SUM(Y199:Y203)</f>
        <v/>
      </c>
      <c r="Z198" s="321">
        <f>SUM(Z199:Z203)</f>
        <v/>
      </c>
      <c r="AA198" s="321">
        <f>SUM(AA199:AA203)</f>
        <v/>
      </c>
      <c r="AB198" s="321">
        <f>SUM(AB199:AB203)</f>
        <v/>
      </c>
      <c r="AC198" s="321">
        <f>SUM(AC199:AC203)</f>
        <v/>
      </c>
      <c r="AD198" s="321">
        <f>SUM(AD199:AD203)</f>
        <v/>
      </c>
      <c r="AE198" s="321">
        <f>SUM(AE199:AE203)</f>
        <v/>
      </c>
      <c r="AF198" s="321">
        <f>SUM(AF199:AF203)</f>
        <v/>
      </c>
      <c r="AG198" s="321">
        <f>SUM(AG199:AG203)</f>
        <v/>
      </c>
      <c r="AH198" s="321">
        <f>SUM(AH199:AH203)</f>
        <v/>
      </c>
      <c r="AI198" s="321">
        <f>SUM(AI199:AI203)</f>
        <v/>
      </c>
      <c r="AJ198" s="321">
        <f>SUM(AJ199:AJ203)</f>
        <v/>
      </c>
      <c r="AK198" s="321">
        <f>SUM(AK199:AK203)</f>
        <v/>
      </c>
      <c r="AL198" s="322" t="n"/>
    </row>
    <row r="199">
      <c r="A199" s="206" t="n">
        <v>1</v>
      </c>
      <c r="B199" s="206" t="n"/>
      <c r="C199" s="207" t="n"/>
      <c r="D199" s="207" t="inlineStr">
        <is>
          <t>研发费用-人工成本</t>
        </is>
      </c>
      <c r="E199" s="206" t="n"/>
      <c r="F199" s="206" t="n"/>
      <c r="G199" s="206" t="n"/>
      <c r="H199" s="206" t="n"/>
      <c r="I199" s="206" t="n"/>
      <c r="J199" s="206" t="n"/>
      <c r="K199" s="206" t="n"/>
      <c r="L199" s="206" t="n"/>
      <c r="M199" s="210" t="n">
        <v>2069939.18</v>
      </c>
      <c r="N199" s="206" t="n"/>
      <c r="O199" s="206">
        <f>L199-M199</f>
        <v/>
      </c>
      <c r="P199" s="206">
        <f>K199-N199</f>
        <v/>
      </c>
      <c r="Q199" s="206">
        <f>M199+O199</f>
        <v/>
      </c>
      <c r="R199" s="206">
        <f>M199+N199+O199+P199</f>
        <v/>
      </c>
      <c r="S199" s="206" t="n"/>
      <c r="T199" s="206" t="n"/>
      <c r="U199" s="206" t="n"/>
      <c r="V199" s="206" t="n"/>
      <c r="W199" s="290" t="n"/>
      <c r="X199" s="290" t="n"/>
      <c r="Y199" s="290" t="n"/>
      <c r="Z199" s="290" t="n"/>
      <c r="AA199" s="290" t="n"/>
      <c r="AB199" s="290" t="n"/>
      <c r="AC199" s="290" t="n"/>
      <c r="AD199" s="290" t="n"/>
      <c r="AE199" s="290" t="n"/>
      <c r="AF199" s="290" t="n"/>
      <c r="AG199" s="290" t="n"/>
      <c r="AH199" s="290" t="n"/>
      <c r="AI199" s="290" t="n"/>
      <c r="AJ199" s="290" t="n"/>
      <c r="AK199" s="290" t="n"/>
      <c r="AL199" s="290" t="n"/>
    </row>
    <row r="200">
      <c r="A200" s="206" t="n">
        <v>2</v>
      </c>
      <c r="B200" s="206" t="n"/>
      <c r="C200" s="207" t="n"/>
      <c r="D200" s="207" t="inlineStr">
        <is>
          <t>研发费用-内部结转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2358.5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  <c r="W200" s="290" t="n"/>
      <c r="X200" s="290" t="n"/>
      <c r="Y200" s="290" t="n"/>
      <c r="Z200" s="290" t="n"/>
      <c r="AA200" s="290" t="n"/>
      <c r="AB200" s="290" t="n"/>
      <c r="AC200" s="290" t="n"/>
      <c r="AD200" s="290" t="n"/>
      <c r="AE200" s="290" t="n"/>
      <c r="AF200" s="290" t="n"/>
      <c r="AG200" s="290" t="n"/>
      <c r="AH200" s="290" t="n"/>
      <c r="AI200" s="290" t="n"/>
      <c r="AJ200" s="290" t="n"/>
      <c r="AK200" s="290" t="n"/>
      <c r="AL200" s="290" t="n"/>
    </row>
    <row r="201">
      <c r="A201" s="206" t="n">
        <v>3</v>
      </c>
      <c r="B201" s="206" t="n"/>
      <c r="C201" s="207" t="n"/>
      <c r="D201" s="207" t="inlineStr">
        <is>
          <t>研发费用-折旧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6857.02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  <c r="W201" s="290" t="n"/>
      <c r="X201" s="290" t="n"/>
      <c r="Y201" s="290" t="n"/>
      <c r="Z201" s="290" t="n"/>
      <c r="AA201" s="290" t="n"/>
      <c r="AB201" s="290" t="n"/>
      <c r="AC201" s="290" t="n"/>
      <c r="AD201" s="290" t="n"/>
      <c r="AE201" s="290" t="n"/>
      <c r="AF201" s="290" t="n"/>
      <c r="AG201" s="290" t="n"/>
      <c r="AH201" s="290" t="n"/>
      <c r="AI201" s="290" t="n"/>
      <c r="AJ201" s="290" t="n"/>
      <c r="AK201" s="290" t="n"/>
      <c r="AL201" s="290" t="n"/>
    </row>
    <row r="202">
      <c r="A202" s="206" t="n">
        <v>4</v>
      </c>
      <c r="B202" s="206" t="n"/>
      <c r="C202" s="207" t="n"/>
      <c r="D202" s="207" t="inlineStr">
        <is>
          <t>研发费用-机械租赁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63495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  <c r="W202" s="290" t="n"/>
      <c r="X202" s="290" t="n"/>
      <c r="Y202" s="290" t="n"/>
      <c r="Z202" s="290" t="n"/>
      <c r="AA202" s="290" t="n"/>
      <c r="AB202" s="290" t="n"/>
      <c r="AC202" s="290" t="n"/>
      <c r="AD202" s="290" t="n"/>
      <c r="AE202" s="290" t="n"/>
      <c r="AF202" s="290" t="n"/>
      <c r="AG202" s="290" t="n"/>
      <c r="AH202" s="290" t="n"/>
      <c r="AI202" s="290" t="n"/>
      <c r="AJ202" s="290" t="n"/>
      <c r="AK202" s="290" t="n"/>
      <c r="AL202" s="290" t="n"/>
    </row>
    <row r="203">
      <c r="A203" s="206" t="n">
        <v>5</v>
      </c>
      <c r="B203" s="206" t="n"/>
      <c r="C203" s="207" t="n"/>
      <c r="D203" s="207" t="inlineStr">
        <is>
          <t>研发费用-材料费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25030932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  <c r="W203" s="290" t="n"/>
      <c r="X203" s="290" t="n"/>
      <c r="Y203" s="290" t="n"/>
      <c r="Z203" s="290" t="n"/>
      <c r="AA203" s="290" t="n"/>
      <c r="AB203" s="290" t="n"/>
      <c r="AC203" s="290" t="n"/>
      <c r="AD203" s="290" t="n"/>
      <c r="AE203" s="290" t="n"/>
      <c r="AF203" s="290" t="n"/>
      <c r="AG203" s="290" t="n"/>
      <c r="AH203" s="290" t="n"/>
      <c r="AI203" s="290" t="n"/>
      <c r="AJ203" s="290" t="n"/>
      <c r="AK203" s="290" t="n"/>
      <c r="AL203" s="290" t="n"/>
    </row>
    <row r="204">
      <c r="A204" s="295" t="n"/>
      <c r="B204" s="296" t="n"/>
      <c r="C204" s="296" t="n"/>
      <c r="D204" s="312" t="inlineStr">
        <is>
          <t>九、成本及费用合计（三+四+五+六+七）</t>
        </is>
      </c>
      <c r="E204" s="313" t="n"/>
      <c r="F204" s="313" t="n"/>
      <c r="G204" s="313" t="n"/>
      <c r="H204" s="298">
        <f>H193+H194+H195+H196+H197+H198</f>
        <v/>
      </c>
      <c r="I204" s="298">
        <f>I193+I194+I195+I196+I197+I198</f>
        <v/>
      </c>
      <c r="J204" s="324">
        <f>J193+J194+J195+J196+J197+J198</f>
        <v/>
      </c>
      <c r="K204" s="298">
        <f>K193+K194+K195+K196+K197+K198</f>
        <v/>
      </c>
      <c r="L204" s="325">
        <f>L193+L194+L195+L196+L197+L198</f>
        <v/>
      </c>
      <c r="M204" s="325">
        <f>M193+M194+M195+M196+M197+M198</f>
        <v/>
      </c>
      <c r="N204" s="325">
        <f>N193+N194+N195+N196+N197+N198</f>
        <v/>
      </c>
      <c r="O204" s="325">
        <f>O193+O194+O195+O196+O197+O198</f>
        <v/>
      </c>
      <c r="P204" s="325">
        <f>P193+P194+P195+P196+P197+P198</f>
        <v/>
      </c>
      <c r="Q204" s="325">
        <f>Q193+Q194+Q195+Q196+Q197+Q198</f>
        <v/>
      </c>
      <c r="R204" s="325">
        <f>R193+R194+R195+R196+R197+R198</f>
        <v/>
      </c>
      <c r="S204" s="321">
        <f>S193+S194+S195+S196+S197+S198</f>
        <v/>
      </c>
      <c r="T204" s="321" t="n"/>
      <c r="U204" s="321" t="n"/>
      <c r="V204" s="321" t="n"/>
      <c r="W204" s="321" t="n"/>
      <c r="X204" s="321" t="n"/>
      <c r="Y204" s="321" t="n"/>
      <c r="Z204" s="321">
        <f>Z193+Z194+Z195+Z196+Z197+Z198</f>
        <v/>
      </c>
      <c r="AA204" s="321">
        <f>AA193+AA194+AA195+AA196+AA197+AA198</f>
        <v/>
      </c>
      <c r="AB204" s="326" t="n"/>
      <c r="AC204" s="326" t="n"/>
      <c r="AD204" s="326" t="n"/>
      <c r="AE204" s="326" t="n"/>
      <c r="AF204" s="326" t="n"/>
      <c r="AG204" s="326" t="n"/>
      <c r="AH204" s="326" t="n"/>
      <c r="AI204" s="326" t="n"/>
      <c r="AJ204" s="326" t="n"/>
      <c r="AK204" s="327" t="n"/>
      <c r="AL204" s="328" t="n"/>
    </row>
    <row r="205">
      <c r="A205" s="295" t="n"/>
      <c r="B205" s="296" t="n"/>
      <c r="C205" s="296" t="n"/>
      <c r="D205" s="312" t="inlineStr">
        <is>
          <t>十、增值税实际税负（按财务数据）</t>
        </is>
      </c>
      <c r="E205" s="313" t="inlineStr">
        <is>
          <t>根据财务账面实际已缴纳增值税额+尚需缴纳的增值税额</t>
        </is>
      </c>
      <c r="F205" s="313" t="n"/>
      <c r="G205" s="313" t="n"/>
      <c r="H205" s="298" t="n"/>
      <c r="I205" s="298" t="n"/>
      <c r="J205" s="324">
        <f>H78+I78</f>
        <v/>
      </c>
      <c r="K205" s="298" t="inlineStr">
        <is>
          <t>/</t>
        </is>
      </c>
      <c r="L205" s="325" t="inlineStr">
        <is>
          <t>/</t>
        </is>
      </c>
      <c r="M205" s="325" t="n"/>
      <c r="N205" s="325">
        <f>N6-N77</f>
        <v/>
      </c>
      <c r="O205" s="325" t="n"/>
      <c r="P205" s="325" t="n"/>
      <c r="Q205" s="325" t="inlineStr">
        <is>
          <t>/</t>
        </is>
      </c>
      <c r="R205" s="325">
        <f>N78+P78</f>
        <v/>
      </c>
      <c r="S205" s="321" t="n"/>
      <c r="T205" s="321" t="n"/>
      <c r="U205" s="321" t="n"/>
      <c r="V205" s="321" t="n"/>
      <c r="W205" s="321" t="n"/>
      <c r="X205" s="321" t="n"/>
      <c r="Y205" s="321" t="n"/>
      <c r="Z205" s="321" t="n"/>
      <c r="AA205" s="321" t="n"/>
      <c r="AB205" s="326" t="n"/>
      <c r="AC205" s="326" t="n"/>
      <c r="AD205" s="326" t="n"/>
      <c r="AE205" s="326" t="n"/>
      <c r="AF205" s="326" t="n"/>
      <c r="AG205" s="326" t="n"/>
      <c r="AH205" s="326" t="n"/>
      <c r="AI205" s="326" t="n"/>
      <c r="AJ205" s="326" t="n"/>
      <c r="AK205" s="327" t="n"/>
      <c r="AL205" s="328" t="n"/>
    </row>
    <row r="206">
      <c r="A206" s="295" t="n"/>
      <c r="B206" s="296" t="n"/>
      <c r="C206" s="296" t="n"/>
      <c r="D206" s="312" t="inlineStr">
        <is>
          <t>十一、税金及附加（按财务数据）</t>
        </is>
      </c>
      <c r="E206" s="313" t="inlineStr">
        <is>
          <t>根据财务账面实际已缴纳税金及附加+尚需缴纳的税金及附加</t>
        </is>
      </c>
      <c r="F206" s="313" t="n"/>
      <c r="G206" s="313" t="n"/>
      <c r="H206" s="298" t="n"/>
      <c r="I206" s="298" t="n"/>
      <c r="J206" s="324">
        <f>H79+I79</f>
        <v/>
      </c>
      <c r="K206" s="298" t="n"/>
      <c r="L206" s="325">
        <f>J79</f>
        <v/>
      </c>
      <c r="M206" s="329" t="n">
        <v>349670.26</v>
      </c>
      <c r="N206" s="325" t="n"/>
      <c r="O206" s="325">
        <f>L79-M79</f>
        <v/>
      </c>
      <c r="P206" s="325" t="n"/>
      <c r="Q206" s="325">
        <f>M79+O79</f>
        <v/>
      </c>
      <c r="R206" s="325">
        <f>Q79</f>
        <v/>
      </c>
      <c r="S206" s="321" t="n"/>
      <c r="T206" s="321" t="n"/>
      <c r="U206" s="321" t="n"/>
      <c r="V206" s="321" t="n"/>
      <c r="W206" s="321" t="n"/>
      <c r="X206" s="321" t="n"/>
      <c r="Y206" s="321" t="n"/>
      <c r="Z206" s="321" t="n"/>
      <c r="AA206" s="321" t="n"/>
      <c r="AB206" s="326" t="n"/>
      <c r="AC206" s="326" t="n"/>
      <c r="AD206" s="326" t="n"/>
      <c r="AE206" s="326" t="n"/>
      <c r="AF206" s="326" t="n"/>
      <c r="AG206" s="326" t="n"/>
      <c r="AH206" s="326" t="n"/>
      <c r="AI206" s="326" t="n"/>
      <c r="AJ206" s="326" t="n"/>
      <c r="AK206" s="327" t="n"/>
      <c r="AL206" s="328" t="n"/>
    </row>
    <row r="207">
      <c r="A207" s="295" t="n"/>
      <c r="B207" s="296" t="n"/>
      <c r="C207" s="296" t="n"/>
      <c r="D207" s="312" t="inlineStr">
        <is>
          <t>十二、利润</t>
        </is>
      </c>
      <c r="E207" s="313" t="n"/>
      <c r="F207" s="313" t="n"/>
      <c r="G207" s="313" t="n"/>
      <c r="H207" s="298" t="n"/>
      <c r="I207" s="298" t="n"/>
      <c r="J207" s="324">
        <f>J6-J204-J205-J206</f>
        <v/>
      </c>
      <c r="K207" s="298" t="n"/>
      <c r="L207" s="325" t="n"/>
      <c r="M207" s="325" t="n"/>
      <c r="N207" s="325" t="n"/>
      <c r="O207" s="325" t="n"/>
      <c r="P207" s="325" t="n"/>
      <c r="Q207" s="325" t="n"/>
      <c r="R207" s="325" t="n"/>
      <c r="S207" s="321" t="n"/>
      <c r="T207" s="321" t="n"/>
      <c r="U207" s="321" t="n"/>
      <c r="V207" s="321" t="n"/>
      <c r="W207" s="321" t="n"/>
      <c r="X207" s="321" t="n"/>
      <c r="Y207" s="321" t="n"/>
      <c r="Z207" s="321" t="n"/>
      <c r="AA207" s="321" t="n"/>
      <c r="AB207" s="326" t="n"/>
      <c r="AC207" s="326" t="n"/>
      <c r="AD207" s="326" t="n"/>
      <c r="AE207" s="326" t="n"/>
      <c r="AF207" s="326" t="n"/>
      <c r="AG207" s="326" t="n"/>
      <c r="AH207" s="326" t="n"/>
      <c r="AI207" s="326" t="n"/>
      <c r="AJ207" s="326" t="n"/>
      <c r="AK207" s="327" t="n"/>
      <c r="AL207" s="328" t="n"/>
    </row>
    <row r="208">
      <c r="A208" s="330" t="n"/>
      <c r="B208" s="331" t="n"/>
      <c r="C208" s="331" t="n"/>
      <c r="D208" s="332" t="inlineStr">
        <is>
          <t>十三、利润率</t>
        </is>
      </c>
      <c r="E208" s="333" t="n"/>
      <c r="F208" s="333" t="n"/>
      <c r="G208" s="333" t="n"/>
      <c r="H208" s="334" t="n"/>
      <c r="I208" s="334" t="n"/>
      <c r="J208" s="334">
        <f>J207/J6</f>
        <v/>
      </c>
      <c r="K208" s="334" t="n"/>
      <c r="L208" s="335">
        <f>L207/L6</f>
        <v/>
      </c>
      <c r="M208" s="335">
        <f>M207/M6</f>
        <v/>
      </c>
      <c r="N208" s="335" t="n"/>
      <c r="O208" s="335" t="n"/>
      <c r="P208" s="335" t="n"/>
      <c r="Q208" s="335">
        <f>Q207/Q6</f>
        <v/>
      </c>
      <c r="R208" s="335">
        <f>R207/R6</f>
        <v/>
      </c>
      <c r="S208" s="336" t="n"/>
      <c r="T208" s="336" t="n"/>
      <c r="U208" s="336" t="n"/>
      <c r="V208" s="336" t="n"/>
      <c r="W208" s="336" t="n"/>
      <c r="X208" s="336" t="n"/>
      <c r="Y208" s="336" t="n"/>
      <c r="Z208" s="336" t="n"/>
      <c r="AA208" s="336" t="n"/>
      <c r="AB208" s="337" t="n"/>
      <c r="AC208" s="337" t="n"/>
      <c r="AD208" s="337" t="n"/>
      <c r="AE208" s="337" t="n"/>
      <c r="AF208" s="337" t="n"/>
      <c r="AG208" s="337" t="n"/>
      <c r="AH208" s="337" t="n"/>
      <c r="AI208" s="337" t="n"/>
      <c r="AJ208" s="337" t="n"/>
      <c r="AK208" s="338" t="n"/>
      <c r="AL208" s="339" t="n"/>
    </row>
    <row r="209">
      <c r="A209" s="111" t="n"/>
      <c r="B209" s="111" t="n"/>
      <c r="C209" s="111" t="n"/>
      <c r="D209" s="112" t="n"/>
      <c r="E209" s="113" t="n"/>
      <c r="F209" s="113" t="n"/>
      <c r="G209" s="113" t="n"/>
      <c r="H209" s="248" t="n"/>
      <c r="I209" s="248" t="n"/>
      <c r="J209" s="249" t="inlineStr">
        <is>
          <t>含税利润率</t>
        </is>
      </c>
      <c r="K209" s="250" t="n"/>
      <c r="L209" s="251" t="inlineStr">
        <is>
          <t>不含税利润率</t>
        </is>
      </c>
      <c r="M209" s="252" t="n"/>
      <c r="N209" s="252" t="n"/>
      <c r="O209" s="252" t="n"/>
      <c r="P209" s="252" t="n"/>
      <c r="Q209" s="252" t="n"/>
      <c r="R209" s="252" t="n"/>
      <c r="S209" s="252" t="n"/>
      <c r="T209" s="252" t="n"/>
      <c r="U209" s="252" t="n"/>
      <c r="V209" s="252" t="n"/>
      <c r="W209" s="252" t="n"/>
      <c r="X209" s="252" t="n"/>
      <c r="Y209" s="252" t="n"/>
      <c r="Z209" s="253" t="n"/>
      <c r="AA209" s="162" t="n"/>
      <c r="AB209" s="254" t="n"/>
      <c r="AC209" s="254" t="n"/>
      <c r="AD209" s="254" t="n"/>
      <c r="AE209" s="254" t="n"/>
      <c r="AF209" s="254" t="n"/>
      <c r="AG209" s="254" t="n"/>
      <c r="AH209" s="254" t="n"/>
      <c r="AI209" s="254" t="n"/>
      <c r="AJ209" s="254" t="n"/>
      <c r="AK209" s="254" t="n"/>
      <c r="AL209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2026-04-24T02:04:06Z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