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5" authorId="1" shapeId="0">
      <text>
        <t>**同财务账面合同履约成本/工程施工成本/间接费数据一致**</t>
      </text>
    </comment>
    <comment ref="D194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7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研发支出-材料费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33" t="n">
        <v>44</v>
      </c>
      <c r="B115" s="199" t="n"/>
      <c r="C115" s="199" t="n"/>
      <c r="D115" s="218" t="inlineStr">
        <is>
          <t>材料调入</t>
        </is>
      </c>
      <c r="E115" s="199" t="n"/>
      <c r="F115" s="199" t="n"/>
      <c r="G115" s="199" t="n"/>
      <c r="H115" s="189" t="n"/>
      <c r="I115" s="189" t="n"/>
      <c r="J115" s="189" t="n"/>
      <c r="K115" s="201" t="n"/>
      <c r="L115" s="202" t="n"/>
      <c r="M115" s="223" t="n">
        <v>17996069.15</v>
      </c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189">
        <f>SUM(AA30:AJ30)</f>
        <v/>
      </c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AB30/1.17*0.17+AC30/1.16*0.16+AD30/1.11*0.11+AE30/1.1*0.1+AF30/1.09*0.09+AI30/1.03*0.03</f>
        <v/>
      </c>
      <c r="AL115" s="221" t="n"/>
    </row>
    <row r="116">
      <c r="A116" s="33" t="n">
        <v>45</v>
      </c>
      <c r="B116" s="199" t="n"/>
      <c r="C116" s="199" t="n"/>
      <c r="D116" s="218" t="inlineStr">
        <is>
          <t>材料调出（注：负数填报）</t>
        </is>
      </c>
      <c r="E116" s="224" t="n"/>
      <c r="F116" s="224" t="n"/>
      <c r="G116" s="224" t="n"/>
      <c r="H116" s="225" t="n"/>
      <c r="I116" s="225" t="n"/>
      <c r="J116" s="189" t="n"/>
      <c r="K116" s="201" t="n"/>
      <c r="L116" s="202" t="n"/>
      <c r="M116" s="226" t="n">
        <v>-8003517.42</v>
      </c>
      <c r="N116" s="225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25" t="n"/>
      <c r="U116" s="225" t="n"/>
      <c r="V116" s="225" t="n"/>
      <c r="W116" s="225" t="n"/>
      <c r="X116" s="225" t="n"/>
      <c r="Y116" s="225" t="n"/>
      <c r="Z116" s="189">
        <f>SUM(AA31:AJ31)</f>
        <v/>
      </c>
      <c r="AA116" s="225" t="n"/>
      <c r="AB116" s="227" t="n"/>
      <c r="AC116" s="227" t="n"/>
      <c r="AD116" s="227" t="n"/>
      <c r="AE116" s="227" t="n"/>
      <c r="AF116" s="227" t="n"/>
      <c r="AG116" s="227" t="n"/>
      <c r="AH116" s="227" t="n"/>
      <c r="AI116" s="227" t="n"/>
      <c r="AJ116" s="227" t="n"/>
      <c r="AK116" s="188">
        <f>AB31/1.17*0.17+AC31/1.16*0.16+AD31/1.11*0.11+AE31/1.1*0.1+AF31/1.09*0.09+AI31/1.03*0.03</f>
        <v/>
      </c>
      <c r="AL116" s="228" t="n"/>
    </row>
    <row r="117">
      <c r="A117" s="33" t="n"/>
      <c r="B117" s="199" t="n"/>
      <c r="C117" s="199" t="n"/>
      <c r="D117" s="218" t="inlineStr">
        <is>
          <t>材料库存（注：项目已结算未使用材料冲减项目成本，负数填报）</t>
        </is>
      </c>
      <c r="E117" s="224" t="n"/>
      <c r="F117" s="224" t="n"/>
      <c r="G117" s="224" t="n"/>
      <c r="H117" s="225" t="n"/>
      <c r="I117" s="225" t="n"/>
      <c r="J117" s="189" t="n"/>
      <c r="K117" s="201" t="n"/>
      <c r="L117" s="202" t="n"/>
      <c r="M117" s="225" t="n"/>
      <c r="N117" s="225" t="n"/>
      <c r="O117" s="189" t="n"/>
      <c r="P117" s="189" t="n"/>
      <c r="Q117" s="189" t="n"/>
      <c r="R117" s="189" t="n"/>
      <c r="S117" s="203" t="n"/>
      <c r="T117" s="225" t="n"/>
      <c r="U117" s="225" t="n"/>
      <c r="V117" s="225" t="n"/>
      <c r="W117" s="225" t="n"/>
      <c r="X117" s="225" t="n"/>
      <c r="Y117" s="225" t="n"/>
      <c r="Z117" s="189" t="n"/>
      <c r="AA117" s="225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188" t="n"/>
      <c r="AL117" s="228" t="n"/>
    </row>
    <row r="118">
      <c r="A118" s="33" t="n"/>
      <c r="B118" s="199" t="n"/>
      <c r="C118" s="199" t="n"/>
      <c r="D118" s="211" t="inlineStr">
        <is>
          <t>**财务未列部分需增列***</t>
        </is>
      </c>
      <c r="E118" s="219" t="n"/>
      <c r="F118" s="219" t="n"/>
      <c r="G118" s="219" t="n"/>
      <c r="H118" s="189" t="n"/>
      <c r="I118" s="189" t="n"/>
      <c r="J118" s="189" t="n"/>
      <c r="K118" s="201" t="n"/>
      <c r="L118" s="202" t="n"/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88">
        <f>AB33/1.17*0.17+AC33/1.16*0.16+AD33/1.11*0.11+AE33/1.1*0.1+AF33/1.09*0.09+AI33/1.03*0.03</f>
        <v/>
      </c>
      <c r="AL118" s="221" t="n"/>
    </row>
    <row r="119">
      <c r="A119" s="41" t="n"/>
      <c r="B119" s="215" t="n"/>
      <c r="C119" s="215" t="n"/>
      <c r="D119" s="216" t="inlineStr">
        <is>
          <t>材料费小计：</t>
        </is>
      </c>
      <c r="E119" s="217">
        <f>SUM(E66:E118)</f>
        <v/>
      </c>
      <c r="F119" s="217">
        <f>SUM(F66:F118)</f>
        <v/>
      </c>
      <c r="G119" s="217">
        <f>SUM(G66:G118)</f>
        <v/>
      </c>
      <c r="H119" s="217">
        <f>SUM(H66:H118)</f>
        <v/>
      </c>
      <c r="I119" s="217">
        <f>SUM(I66:I118)</f>
        <v/>
      </c>
      <c r="J119" s="217">
        <f>SUM(J66:J118)</f>
        <v/>
      </c>
      <c r="K119" s="217">
        <f>SUM(K66:K118)</f>
        <v/>
      </c>
      <c r="L119" s="217">
        <f>SUM(L66:L118)</f>
        <v/>
      </c>
      <c r="M119" s="217">
        <f>SUM(M66:M118)</f>
        <v/>
      </c>
      <c r="N119" s="217">
        <f>SUM(N66:N118)</f>
        <v/>
      </c>
      <c r="O119" s="217">
        <f>SUM(O66:O118)</f>
        <v/>
      </c>
      <c r="P119" s="217">
        <f>SUM(P66:P118)</f>
        <v/>
      </c>
      <c r="Q119" s="217">
        <f>SUM(Q66:Q118)</f>
        <v/>
      </c>
      <c r="R119" s="217">
        <f>SUM(R66:R118)</f>
        <v/>
      </c>
      <c r="S119" s="217">
        <f>SUM(S66:S118)</f>
        <v/>
      </c>
      <c r="T119" s="217">
        <f>SUM(T66:T118)</f>
        <v/>
      </c>
      <c r="U119" s="217">
        <f>SUM(U66:U118)</f>
        <v/>
      </c>
      <c r="V119" s="217">
        <f>SUM(V66:V118)</f>
        <v/>
      </c>
      <c r="W119" s="217">
        <f>SUM(W66:W118)</f>
        <v/>
      </c>
      <c r="X119" s="217">
        <f>SUM(X66:X118)</f>
        <v/>
      </c>
      <c r="Y119" s="217">
        <f>SUM(Y66:Y118)</f>
        <v/>
      </c>
      <c r="Z119" s="217">
        <f>SUM(Z66:Z118)</f>
        <v/>
      </c>
      <c r="AA119" s="217">
        <f>SUM(AA66:AA118)</f>
        <v/>
      </c>
      <c r="AB119" s="217">
        <f>SUM(AB66:AB118)</f>
        <v/>
      </c>
      <c r="AC119" s="217">
        <f>SUM(AC66:AC118)</f>
        <v/>
      </c>
      <c r="AD119" s="217">
        <f>SUM(AD66:AD118)</f>
        <v/>
      </c>
      <c r="AE119" s="217">
        <f>SUM(AE66:AE118)</f>
        <v/>
      </c>
      <c r="AF119" s="217">
        <f>SUM(AF66:AF118)</f>
        <v/>
      </c>
      <c r="AG119" s="217">
        <f>SUM(AG66:AG118)</f>
        <v/>
      </c>
      <c r="AH119" s="217">
        <f>SUM(AH66:AH118)</f>
        <v/>
      </c>
      <c r="AI119" s="217">
        <f>SUM(AI66:AI118)</f>
        <v/>
      </c>
      <c r="AJ119" s="217">
        <f>SUM(AJ66:AJ118)</f>
        <v/>
      </c>
      <c r="AK119" s="217">
        <f>SUM(AK66:AK118)</f>
        <v/>
      </c>
      <c r="AL119" s="204" t="n"/>
    </row>
    <row r="120">
      <c r="A120" s="33" t="n"/>
      <c r="B120" s="199" t="n"/>
      <c r="C120" s="199" t="n"/>
      <c r="D120" s="218" t="inlineStr">
        <is>
          <t>(四）机械租赁费</t>
        </is>
      </c>
      <c r="E120" s="212" t="n"/>
      <c r="F120" s="212" t="n"/>
      <c r="G120" s="212" t="n"/>
      <c r="H120" s="189" t="n"/>
      <c r="I120" s="189" t="n"/>
      <c r="J120" s="189" t="n"/>
      <c r="K120" s="201" t="n">
        <v>0</v>
      </c>
      <c r="L120" s="202">
        <f>J120-K120</f>
        <v/>
      </c>
      <c r="M120" s="184" t="n"/>
      <c r="N120" s="184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03" t="n"/>
      <c r="AC120" s="203" t="n"/>
      <c r="AD120" s="203" t="n"/>
      <c r="AE120" s="203" t="n"/>
      <c r="AF120" s="203" t="n"/>
      <c r="AG120" s="203" t="n"/>
      <c r="AH120" s="203" t="n"/>
      <c r="AI120" s="203" t="n"/>
      <c r="AJ120" s="203" t="n"/>
      <c r="AK120" s="188">
        <f>AB35/1.17*0.17+AC35/1.16*0.16+AD35/1.11*0.11+AE35/1.1*0.1+AF35/1.09*0.09+AI35/1.03*0.03</f>
        <v/>
      </c>
      <c r="AL120" s="204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9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33" t="n"/>
      <c r="B134" s="199" t="n"/>
      <c r="C134" s="199" t="n"/>
      <c r="D134" s="211" t="inlineStr">
        <is>
          <t>**财务未列部分需增列***</t>
        </is>
      </c>
      <c r="E134" s="229" t="n"/>
      <c r="F134" s="229" t="n"/>
      <c r="G134" s="229" t="n"/>
      <c r="H134" s="189" t="n"/>
      <c r="I134" s="189" t="n"/>
      <c r="J134" s="189" t="n"/>
      <c r="K134" s="201" t="n">
        <v>0</v>
      </c>
      <c r="L134" s="202">
        <f>J134-K134</f>
        <v/>
      </c>
      <c r="M134" s="230" t="n"/>
      <c r="N134" s="230" t="n"/>
      <c r="O134" s="189">
        <f>L134-M134</f>
        <v/>
      </c>
      <c r="P134" s="189">
        <f>K134-N134</f>
        <v/>
      </c>
      <c r="Q134" s="189">
        <f>M134+O134</f>
        <v/>
      </c>
      <c r="R134" s="189">
        <f>M134+N134+O134+P134</f>
        <v/>
      </c>
      <c r="S134" s="203">
        <f>SUM(T134:V134)</f>
        <v/>
      </c>
      <c r="T134" s="230" t="n"/>
      <c r="U134" s="230" t="n"/>
      <c r="V134" s="230" t="n"/>
      <c r="W134" s="230" t="n"/>
      <c r="X134" s="230" t="n"/>
      <c r="Y134" s="230" t="n"/>
      <c r="Z134" s="230" t="n"/>
      <c r="AA134" s="203" t="n"/>
      <c r="AB134" s="188" t="n"/>
      <c r="AC134" s="188" t="n"/>
      <c r="AD134" s="188" t="n"/>
      <c r="AE134" s="188" t="n"/>
      <c r="AF134" s="188" t="n"/>
      <c r="AG134" s="188" t="n"/>
      <c r="AH134" s="188" t="n"/>
      <c r="AI134" s="188" t="n"/>
      <c r="AJ134" s="188" t="n"/>
      <c r="AK134" s="188">
        <f>AB37/1.17*0.17+AC37/1.16*0.16+AD37/1.11*0.11+AE37/1.1*0.1+AF37/1.09*0.09+AI37/1.03*0.03</f>
        <v/>
      </c>
      <c r="AL134" s="214" t="n"/>
    </row>
    <row r="135">
      <c r="A135" s="41" t="n"/>
      <c r="B135" s="215" t="n"/>
      <c r="C135" s="215" t="n"/>
      <c r="D135" s="231" t="inlineStr">
        <is>
          <t>机械费小计：</t>
        </is>
      </c>
      <c r="E135" s="232" t="n"/>
      <c r="F135" s="232" t="n"/>
      <c r="G135" s="232" t="n"/>
      <c r="H135" s="217">
        <f>SUM(H120:H134)</f>
        <v/>
      </c>
      <c r="I135" s="217">
        <f>SUM(I120:I134)</f>
        <v/>
      </c>
      <c r="J135" s="217">
        <f>SUM(J120:J134)</f>
        <v/>
      </c>
      <c r="K135" s="217">
        <f>SUM(K120:K134)</f>
        <v/>
      </c>
      <c r="L135" s="233">
        <f>SUM(L120:L134)</f>
        <v/>
      </c>
      <c r="M135" s="217">
        <f>SUM(M120:M134)</f>
        <v/>
      </c>
      <c r="N135" s="217">
        <f>SUM(N120:N134)</f>
        <v/>
      </c>
      <c r="O135" s="217">
        <f>SUM(O120:O134)</f>
        <v/>
      </c>
      <c r="P135" s="217">
        <f>SUM(P120:P134)</f>
        <v/>
      </c>
      <c r="Q135" s="217">
        <f>SUM(Q120:Q134)</f>
        <v/>
      </c>
      <c r="R135" s="217">
        <f>SUM(R120:R134)</f>
        <v/>
      </c>
      <c r="S135" s="217">
        <f>SUM(S120:S134)</f>
        <v/>
      </c>
      <c r="T135" s="217" t="n"/>
      <c r="U135" s="217" t="n"/>
      <c r="V135" s="217" t="n"/>
      <c r="W135" s="217" t="n"/>
      <c r="X135" s="217" t="n"/>
      <c r="Y135" s="217" t="n"/>
      <c r="Z135" s="217">
        <f>SUM(Z120:Z134)</f>
        <v/>
      </c>
      <c r="AA135" s="217">
        <f>SUM(AA120:AA134)</f>
        <v/>
      </c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204" t="n"/>
    </row>
    <row r="136">
      <c r="A136" s="33" t="n"/>
      <c r="B136" s="199" t="n"/>
      <c r="C136" s="199" t="n"/>
      <c r="D136" s="218" t="inlineStr">
        <is>
          <t>（五）其他直接费</t>
        </is>
      </c>
      <c r="E136" s="212" t="n"/>
      <c r="F136" s="212" t="n"/>
      <c r="G136" s="212" t="n"/>
      <c r="H136" s="189" t="n"/>
      <c r="I136" s="189" t="n"/>
      <c r="J136" s="184" t="n">
        <v>0</v>
      </c>
      <c r="K136" s="201" t="n">
        <v>0</v>
      </c>
      <c r="L136" s="202">
        <f>J136-N136-P136</f>
        <v/>
      </c>
      <c r="M136" s="184" t="n"/>
      <c r="N136" s="184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03" t="n"/>
      <c r="U136" s="203" t="n"/>
      <c r="V136" s="203" t="n"/>
      <c r="W136" s="203" t="n"/>
      <c r="X136" s="203" t="n"/>
      <c r="Y136" s="203" t="n"/>
      <c r="Z136" s="203" t="n"/>
      <c r="AA136" s="203" t="n"/>
      <c r="AB136" s="203" t="n"/>
      <c r="AC136" s="203" t="n"/>
      <c r="AD136" s="203" t="n"/>
      <c r="AE136" s="203" t="n"/>
      <c r="AF136" s="203" t="n"/>
      <c r="AG136" s="203" t="n"/>
      <c r="AH136" s="203" t="n"/>
      <c r="AI136" s="203" t="n"/>
      <c r="AJ136" s="203" t="n"/>
      <c r="AK136" s="188" t="n"/>
      <c r="AL136" s="204" t="n"/>
    </row>
    <row r="137">
      <c r="A137" s="206" t="n"/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33" t="n"/>
      <c r="B142" s="199" t="n"/>
      <c r="C142" s="199" t="n"/>
      <c r="D142" s="211" t="inlineStr">
        <is>
          <t>**财务未列部分需增列***</t>
        </is>
      </c>
      <c r="E142" s="212" t="n"/>
      <c r="F142" s="212" t="n"/>
      <c r="G142" s="212" t="n"/>
      <c r="H142" s="189" t="n"/>
      <c r="I142" s="189" t="n"/>
      <c r="J142" s="184" t="n"/>
      <c r="K142" s="201" t="n"/>
      <c r="L142" s="202">
        <f>J142-K142</f>
        <v/>
      </c>
      <c r="M142" s="234" t="n"/>
      <c r="N142" s="234" t="n"/>
      <c r="O142" s="189">
        <f>L142-M142</f>
        <v/>
      </c>
      <c r="P142" s="189">
        <f>K142-N142</f>
        <v/>
      </c>
      <c r="Q142" s="189">
        <f>M142+O142</f>
        <v/>
      </c>
      <c r="R142" s="189">
        <f>M142+N142+O142+P142</f>
        <v/>
      </c>
      <c r="S142" s="203">
        <f>SUM(T142:V142)</f>
        <v/>
      </c>
      <c r="T142" s="234" t="n"/>
      <c r="U142" s="234" t="n"/>
      <c r="V142" s="234" t="n"/>
      <c r="W142" s="234" t="n"/>
      <c r="X142" s="234" t="n"/>
      <c r="Y142" s="234" t="n"/>
      <c r="Z142" s="189">
        <f>SUM(AA45:AJ45)</f>
        <v/>
      </c>
      <c r="AA142" s="203" t="n"/>
      <c r="AB142" s="203" t="n"/>
      <c r="AC142" s="203" t="n"/>
      <c r="AD142" s="203" t="n"/>
      <c r="AE142" s="203" t="n"/>
      <c r="AF142" s="203" t="n"/>
      <c r="AG142" s="203" t="n"/>
      <c r="AH142" s="203" t="n"/>
      <c r="AI142" s="203" t="n"/>
      <c r="AJ142" s="203" t="n"/>
      <c r="AK142" s="188" t="n"/>
      <c r="AL142" s="204" t="n"/>
    </row>
    <row r="143">
      <c r="A143" s="55" t="n"/>
      <c r="B143" s="235" t="n"/>
      <c r="C143" s="235" t="n"/>
      <c r="D143" s="231" t="inlineStr">
        <is>
          <t>其他直接费小计：</t>
        </is>
      </c>
      <c r="E143" s="236" t="n"/>
      <c r="F143" s="236" t="n"/>
      <c r="G143" s="236" t="n"/>
      <c r="H143" s="217">
        <f>SUM(H136:H142)</f>
        <v/>
      </c>
      <c r="I143" s="217">
        <f>SUM(I136:I142)</f>
        <v/>
      </c>
      <c r="J143" s="217">
        <f>SUM(J136:J142)</f>
        <v/>
      </c>
      <c r="K143" s="217">
        <f>SUM(K136:K142)</f>
        <v/>
      </c>
      <c r="L143" s="233">
        <f>SUM(L136:L142)</f>
        <v/>
      </c>
      <c r="M143" s="217">
        <f>SUM(M136:M142)</f>
        <v/>
      </c>
      <c r="N143" s="217">
        <f>SUM(N136:N142)</f>
        <v/>
      </c>
      <c r="O143" s="217">
        <f>L143-M143</f>
        <v/>
      </c>
      <c r="P143" s="217">
        <f>SUM(P136:P142)</f>
        <v/>
      </c>
      <c r="Q143" s="217">
        <f>M143+O143</f>
        <v/>
      </c>
      <c r="R143" s="217">
        <f>SUM(R136:R142)</f>
        <v/>
      </c>
      <c r="S143" s="217">
        <f>SUM(S136:S142)</f>
        <v/>
      </c>
      <c r="T143" s="217" t="n"/>
      <c r="U143" s="217" t="n"/>
      <c r="V143" s="217" t="n"/>
      <c r="W143" s="217" t="n"/>
      <c r="X143" s="217" t="n"/>
      <c r="Y143" s="217" t="n"/>
      <c r="Z143" s="217">
        <f>SUM(Z136:Z142)</f>
        <v/>
      </c>
      <c r="AA143" s="217">
        <f>SUM(AA136:AA142)</f>
        <v/>
      </c>
      <c r="AB143" s="217">
        <f>SUM(AB136:AB142)</f>
        <v/>
      </c>
      <c r="AC143" s="217">
        <f>SUM(AC136:AC142)</f>
        <v/>
      </c>
      <c r="AD143" s="217">
        <f>SUM(AD136:AD142)</f>
        <v/>
      </c>
      <c r="AE143" s="217">
        <f>SUM(AE136:AE142)</f>
        <v/>
      </c>
      <c r="AF143" s="217">
        <f>SUM(AF136:AF142)</f>
        <v/>
      </c>
      <c r="AG143" s="217" t="n"/>
      <c r="AH143" s="217" t="n"/>
      <c r="AI143" s="217">
        <f>SUM(AI136:AI142)</f>
        <v/>
      </c>
      <c r="AJ143" s="217">
        <f>SUM(AJ136:AJ142)</f>
        <v/>
      </c>
      <c r="AK143" s="217">
        <f>SUM(AK136:AK142)</f>
        <v/>
      </c>
      <c r="AL143" s="204" t="n"/>
    </row>
    <row r="144">
      <c r="A144" s="33" t="n"/>
      <c r="B144" s="199" t="n"/>
      <c r="C144" s="199" t="n"/>
      <c r="D144" s="218" t="inlineStr">
        <is>
          <t>（六）间接费</t>
        </is>
      </c>
      <c r="E144" s="212" t="n"/>
      <c r="F144" s="212" t="n"/>
      <c r="G144" s="212" t="n"/>
      <c r="H144" s="184" t="n"/>
      <c r="I144" s="189" t="n"/>
      <c r="J144" s="189" t="n">
        <v>0</v>
      </c>
      <c r="K144" s="201" t="n">
        <v>0</v>
      </c>
      <c r="L144" s="202">
        <f>J144-N144-P144</f>
        <v/>
      </c>
      <c r="M144" s="184" t="n"/>
      <c r="N144" s="184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03" t="n"/>
      <c r="U144" s="203" t="n"/>
      <c r="V144" s="203" t="n"/>
      <c r="W144" s="203" t="n"/>
      <c r="X144" s="203" t="n"/>
      <c r="Y144" s="203" t="n"/>
      <c r="Z144" s="203" t="n"/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206" t="n"/>
      <c r="B145" s="206" t="n"/>
      <c r="C145" s="207" t="n"/>
      <c r="D145" s="207" t="inlineStr">
        <is>
          <t>ZGD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73932.02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书报资料费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220.88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企业年金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186548.56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会议费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5867.37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住房公积金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921583.74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保险费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4245.28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修理费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27769.38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其他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445466.64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其他补充保险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87.84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冲晒印刷费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112428.15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办公用品费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607692.39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医疗保险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453554.98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基本养老保险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1111816.95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境内差旅费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28860.18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失业保险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45975.32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工会经费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150995.69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工伤保险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43560.14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工资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21079637.05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市内交通费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5663.74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律师费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14327.83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折旧费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65460.13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水电费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1915223.39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燃油费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210747.51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物业租赁费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223298.47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物业管理费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463287.94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物料消耗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4059.41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生育保险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4798.28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社保及公积金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1410339.33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租车费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429894.83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维修保养费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34521.89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网络使用费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114830.51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职工教育经费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135820.32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职工福利费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824342.88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补充医疗保险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7322.89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诉讼费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36638.87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路桥及停车费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78817.39999999999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软件费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209326.47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通信费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192969.09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邮寄费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1030.72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33" t="n"/>
      <c r="B184" s="199" t="n"/>
      <c r="C184" s="199" t="n"/>
      <c r="D184" s="211" t="inlineStr">
        <is>
          <t>**财务未列部分需增列***</t>
        </is>
      </c>
      <c r="E184" s="212" t="n"/>
      <c r="F184" s="212" t="n"/>
      <c r="G184" s="212" t="n"/>
      <c r="H184" s="234" t="n"/>
      <c r="I184" s="189" t="n"/>
      <c r="J184" s="234" t="n"/>
      <c r="K184" s="201" t="n"/>
      <c r="L184" s="202" t="n"/>
      <c r="M184" s="234" t="n"/>
      <c r="N184" s="189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34" t="n"/>
      <c r="U184" s="234" t="n"/>
      <c r="V184" s="234" t="n"/>
      <c r="W184" s="234" t="n"/>
      <c r="X184" s="234" t="n"/>
      <c r="Y184" s="234" t="n"/>
      <c r="Z184" s="234" t="n"/>
      <c r="AA184" s="203" t="n"/>
      <c r="AB184" s="188" t="n"/>
      <c r="AC184" s="188" t="n"/>
      <c r="AD184" s="188" t="n"/>
      <c r="AE184" s="188" t="n"/>
      <c r="AF184" s="188" t="n"/>
      <c r="AG184" s="188" t="n"/>
      <c r="AH184" s="188" t="n"/>
      <c r="AI184" s="188" t="n"/>
      <c r="AJ184" s="188" t="n"/>
      <c r="AK184" s="188" t="n"/>
      <c r="AL184" s="214" t="n"/>
    </row>
    <row r="185">
      <c r="A185" s="55" t="n"/>
      <c r="B185" s="235" t="n"/>
      <c r="C185" s="235" t="n"/>
      <c r="D185" s="231" t="inlineStr">
        <is>
          <t>间接费小计：</t>
        </is>
      </c>
      <c r="E185" s="236" t="n"/>
      <c r="F185" s="236" t="n"/>
      <c r="G185" s="236" t="n"/>
      <c r="H185" s="217">
        <f>SUM(H144:H184)</f>
        <v/>
      </c>
      <c r="I185" s="217">
        <f>SUM(I144:I184)</f>
        <v/>
      </c>
      <c r="J185" s="217">
        <f>SUM(J144:J184)</f>
        <v/>
      </c>
      <c r="K185" s="217">
        <f>SUM(K144:K184)</f>
        <v/>
      </c>
      <c r="L185" s="233">
        <f>SUM(L144:L184)</f>
        <v/>
      </c>
      <c r="M185" s="233">
        <f>SUM(M144:M184)</f>
        <v/>
      </c>
      <c r="N185" s="233">
        <f>SUM(N144:N184)</f>
        <v/>
      </c>
      <c r="O185" s="233">
        <f>SUM(O144:O184)</f>
        <v/>
      </c>
      <c r="P185" s="233">
        <f>SUM(P144:P184)</f>
        <v/>
      </c>
      <c r="Q185" s="233">
        <f>SUM(Q144:Q184)</f>
        <v/>
      </c>
      <c r="R185" s="233">
        <f>SUM(R144:R184)</f>
        <v/>
      </c>
      <c r="S185" s="233">
        <f>SUM(S144:S184)</f>
        <v/>
      </c>
      <c r="T185" s="233" t="n"/>
      <c r="U185" s="233" t="n"/>
      <c r="V185" s="233" t="n"/>
      <c r="W185" s="233" t="n"/>
      <c r="X185" s="233" t="n"/>
      <c r="Y185" s="233" t="n"/>
      <c r="Z185" s="233">
        <f>SUM(Z144:Z184)</f>
        <v/>
      </c>
      <c r="AA185" s="233">
        <f>SUM(AA144:AA184)</f>
        <v/>
      </c>
      <c r="AB185" s="233">
        <f>SUM(AB144:AB184)</f>
        <v/>
      </c>
      <c r="AC185" s="233">
        <f>SUM(AC144:AC184)</f>
        <v/>
      </c>
      <c r="AD185" s="233">
        <f>SUM(AD144:AD184)</f>
        <v/>
      </c>
      <c r="AE185" s="233">
        <f>SUM(AE144:AE184)</f>
        <v/>
      </c>
      <c r="AF185" s="233">
        <f>SUM(AF144:AF184)</f>
        <v/>
      </c>
      <c r="AG185" s="233" t="n"/>
      <c r="AH185" s="233" t="n"/>
      <c r="AI185" s="233">
        <f>SUM(AI144:AI184)</f>
        <v/>
      </c>
      <c r="AJ185" s="233">
        <f>SUM(AJ144:AJ184)</f>
        <v/>
      </c>
      <c r="AK185" s="233">
        <f>SUM(AK144:AK184)</f>
        <v/>
      </c>
      <c r="AL185" s="214" t="n"/>
    </row>
    <row r="186">
      <c r="A186" s="33" t="n"/>
      <c r="B186" s="199" t="n"/>
      <c r="C186" s="199" t="n"/>
      <c r="D186" s="218" t="inlineStr">
        <is>
          <t>（七）安全费</t>
        </is>
      </c>
      <c r="E186" s="212" t="n"/>
      <c r="F186" s="212" t="n"/>
      <c r="G186" s="212" t="n"/>
      <c r="H186" s="189" t="n"/>
      <c r="I186" s="189" t="n"/>
      <c r="J186" s="184" t="n">
        <v>0</v>
      </c>
      <c r="K186" s="237" t="n"/>
      <c r="L186" s="202">
        <f>J186-N186-P186</f>
        <v/>
      </c>
      <c r="M186" s="189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4" t="n"/>
      <c r="U186" s="234" t="n"/>
      <c r="V186" s="234" t="n"/>
      <c r="W186" s="234" t="n"/>
      <c r="X186" s="234" t="n"/>
      <c r="Y186" s="234" t="n"/>
      <c r="Z186" s="230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206" t="n"/>
      <c r="B187" s="206" t="n"/>
      <c r="C187" s="207" t="n"/>
      <c r="D187" s="207" t="inlineStr">
        <is>
          <t>ZGD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7872000.25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安全生产-人工费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2852405.63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安全生产-分包工程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4674095.6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安全生产-机械使用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326856.87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安全生产费-报销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2066826.1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55" t="n"/>
      <c r="B192" s="235" t="n"/>
      <c r="C192" s="235" t="n"/>
      <c r="D192" s="231" t="inlineStr">
        <is>
          <t>安全费小计：</t>
        </is>
      </c>
      <c r="E192" s="231" t="n"/>
      <c r="F192" s="231" t="n"/>
      <c r="G192" s="231" t="n"/>
      <c r="H192" s="217">
        <f>SUM(H186:H191)</f>
        <v/>
      </c>
      <c r="I192" s="217">
        <f>SUM(I186:I191)</f>
        <v/>
      </c>
      <c r="J192" s="217" t="n">
        <v>0</v>
      </c>
      <c r="K192" s="217" t="n">
        <v>0</v>
      </c>
      <c r="L192" s="202">
        <f>J192-K192</f>
        <v/>
      </c>
      <c r="M192" s="233">
        <f>SUM(M186:M191)</f>
        <v/>
      </c>
      <c r="N192" s="233">
        <f>SUM(N186:N191)</f>
        <v/>
      </c>
      <c r="O192" s="233">
        <f>SUM(O186:O191)</f>
        <v/>
      </c>
      <c r="P192" s="233">
        <f>SUM(P186:P191)</f>
        <v/>
      </c>
      <c r="Q192" s="233">
        <f>SUM(Q186:Q191)</f>
        <v/>
      </c>
      <c r="R192" s="233">
        <f>SUM(R186:R191)</f>
        <v/>
      </c>
      <c r="S192" s="233">
        <f>SUM(S186:S191)</f>
        <v/>
      </c>
      <c r="T192" s="238" t="n"/>
      <c r="U192" s="238" t="n"/>
      <c r="V192" s="238" t="n"/>
      <c r="W192" s="238" t="n"/>
      <c r="X192" s="238" t="n"/>
      <c r="Y192" s="238" t="n"/>
      <c r="Z192" s="238" t="n"/>
      <c r="AA192" s="238">
        <f>SUM(AA186:AA191)</f>
        <v/>
      </c>
      <c r="AB192" s="238">
        <f>SUM(AB186:AB191)</f>
        <v/>
      </c>
      <c r="AC192" s="238">
        <f>SUM(AC186:AC191)</f>
        <v/>
      </c>
      <c r="AD192" s="238">
        <f>SUM(AD186:AD191)</f>
        <v/>
      </c>
      <c r="AE192" s="238">
        <f>SUM(AE186:AE191)</f>
        <v/>
      </c>
      <c r="AF192" s="238">
        <f>SUM(AF186:AF191)</f>
        <v/>
      </c>
      <c r="AG192" s="238" t="n"/>
      <c r="AH192" s="238" t="n"/>
      <c r="AI192" s="238">
        <f>SUM(AI186:AI191)</f>
        <v/>
      </c>
      <c r="AJ192" s="238">
        <f>SUM(AJ186:AJ191)</f>
        <v/>
      </c>
      <c r="AK192" s="238">
        <f>SUM(AK186:AK191)</f>
        <v/>
      </c>
      <c r="AL192" s="239" t="n"/>
    </row>
    <row r="193">
      <c r="A193" s="55" t="n"/>
      <c r="B193" s="235" t="n"/>
      <c r="C193" s="235" t="n"/>
      <c r="D193" s="231" t="inlineStr">
        <is>
          <t>三、成本合计：</t>
        </is>
      </c>
      <c r="E193" s="236" t="n"/>
      <c r="F193" s="236" t="n"/>
      <c r="G193" s="236" t="n"/>
      <c r="H193" s="217">
        <f>H34+H65+H119+H135+H143+H185+H192</f>
        <v/>
      </c>
      <c r="I193" s="217">
        <f>I34+I65+I119+I135+I143+I185+I192</f>
        <v/>
      </c>
      <c r="J193" s="217">
        <f>J34+J65+J119+J135+J143+J185+J192</f>
        <v/>
      </c>
      <c r="K193" s="217">
        <f>K34+K65+K119+K135+K143+K185+K192</f>
        <v/>
      </c>
      <c r="L193" s="233">
        <f>L34+L65+L119+L135+L143+L185+L192</f>
        <v/>
      </c>
      <c r="M193" s="238">
        <f>M34+M65+M119+M135+M143+M185+M192</f>
        <v/>
      </c>
      <c r="N193" s="238">
        <f>N34+N65+N119+N135+N143+N185+N192</f>
        <v/>
      </c>
      <c r="O193" s="238">
        <f>O34+O65+O119+O135+O143+O185+O192</f>
        <v/>
      </c>
      <c r="P193" s="238">
        <f>P34+P65+P119+P135+P143+P185+P192</f>
        <v/>
      </c>
      <c r="Q193" s="238">
        <f>Q34+Q65+Q119+Q135+Q143+Q185+Q192</f>
        <v/>
      </c>
      <c r="R193" s="238">
        <f>R34+R65+R119+R135+R143+R185+R192</f>
        <v/>
      </c>
      <c r="S193" s="238">
        <f>S34+S65+S119+S135+S143+S185+S192</f>
        <v/>
      </c>
      <c r="T193" s="238" t="n"/>
      <c r="U193" s="238" t="n"/>
      <c r="V193" s="238" t="n"/>
      <c r="W193" s="238" t="n"/>
      <c r="X193" s="238" t="n"/>
      <c r="Y193" s="238" t="n"/>
      <c r="Z193" s="238">
        <f>Z34+Z65+Z119+Z135+Z143+Z185+Z192</f>
        <v/>
      </c>
      <c r="AA193" s="238">
        <f>AA34+AA65+AA119+AA135+AA143+AA185+AA192</f>
        <v/>
      </c>
      <c r="AB193" s="238">
        <f>AB34+AB65+AB119+AB135+AB143+AB185+AB192</f>
        <v/>
      </c>
      <c r="AC193" s="238">
        <f>AC34+AC65+AC119+AC135+AC143+AC185+AC192</f>
        <v/>
      </c>
      <c r="AD193" s="238">
        <f>AD34+AD65+AD119+AD135+AD143+AD185+AD192</f>
        <v/>
      </c>
      <c r="AE193" s="238">
        <f>AE34+AE65+AE119+AE135+AE143+AE185+AE192</f>
        <v/>
      </c>
      <c r="AF193" s="238">
        <f>AF34+AF65+AF119+AF135+AF143+AF185+AF192</f>
        <v/>
      </c>
      <c r="AG193" s="238" t="n"/>
      <c r="AH193" s="238" t="n"/>
      <c r="AI193" s="238">
        <f>AI34+AI65+AI119+AI135+AI143+AI185+AI192</f>
        <v/>
      </c>
      <c r="AJ193" s="238">
        <f>AJ34+AJ65+AJ119+AJ135+AJ143+AJ185+AJ192</f>
        <v/>
      </c>
      <c r="AK193" s="238">
        <f>AK34+AK65+AK119+AK135+AK143+AK185+AK192</f>
        <v/>
      </c>
      <c r="AL193" s="239" t="n"/>
    </row>
    <row r="194">
      <c r="A194" s="33" t="n"/>
      <c r="B194" s="199" t="n"/>
      <c r="C194" s="199" t="n"/>
      <c r="D194" s="218" t="inlineStr">
        <is>
          <t>四、计提保修金</t>
        </is>
      </c>
      <c r="E194" s="240" t="inlineStr">
        <is>
          <t>（在建：房建0.6%，其它0.4%；在保修期间的按0.3~0.5%自行确定;保修期结束为0）</t>
        </is>
      </c>
      <c r="F194" s="240" t="n"/>
      <c r="G194" s="240" t="n"/>
      <c r="H194" s="184" t="n"/>
      <c r="I194" s="184" t="n"/>
      <c r="J194" s="184">
        <f>H194+I194</f>
        <v/>
      </c>
      <c r="K194" s="184" t="n"/>
      <c r="L194" s="202">
        <f>J194-K194</f>
        <v/>
      </c>
      <c r="M194" s="189" t="n"/>
      <c r="N194" s="189" t="n"/>
      <c r="O194" s="189">
        <f>L194-M194</f>
        <v/>
      </c>
      <c r="P194" s="189">
        <f>K194-N194</f>
        <v/>
      </c>
      <c r="Q194" s="189">
        <f>M194+O194</f>
        <v/>
      </c>
      <c r="R194" s="189">
        <f>M194+N194+O194+P194</f>
        <v/>
      </c>
      <c r="S194" s="203">
        <f>SUM(T194:V194)</f>
        <v/>
      </c>
      <c r="T194" s="203" t="n"/>
      <c r="U194" s="203" t="n"/>
      <c r="V194" s="203" t="n"/>
      <c r="W194" s="203" t="n"/>
      <c r="X194" s="203" t="n"/>
      <c r="Y194" s="203" t="n"/>
      <c r="Z194" s="203" t="n"/>
      <c r="AA194" s="203">
        <f>Q69-S69</f>
        <v/>
      </c>
      <c r="AB194" s="241" t="n"/>
      <c r="AC194" s="241" t="n"/>
      <c r="AD194" s="241" t="n"/>
      <c r="AE194" s="241" t="n"/>
      <c r="AF194" s="241" t="n"/>
      <c r="AG194" s="241" t="n"/>
      <c r="AH194" s="241" t="n"/>
      <c r="AI194" s="241" t="n"/>
      <c r="AJ194" s="241" t="n"/>
      <c r="AK194" s="188" t="n"/>
      <c r="AL194" s="239" t="n"/>
    </row>
    <row r="195">
      <c r="A195" s="33" t="n"/>
      <c r="B195" s="199" t="n"/>
      <c r="C195" s="199" t="n"/>
      <c r="D195" s="218" t="inlineStr">
        <is>
          <t>五、过程节点奖金</t>
        </is>
      </c>
      <c r="E195" s="212" t="n"/>
      <c r="F195" s="212" t="n"/>
      <c r="G195" s="212" t="n"/>
      <c r="H195" s="184" t="n"/>
      <c r="I195" s="184" t="n"/>
      <c r="J195" s="184">
        <f>H195+I195</f>
        <v/>
      </c>
      <c r="K195" s="184" t="n"/>
      <c r="L195" s="202">
        <f>J195-K195</f>
        <v/>
      </c>
      <c r="M195" s="189" t="n"/>
      <c r="N195" s="189" t="n"/>
      <c r="O195" s="189">
        <f>L195-M195</f>
        <v/>
      </c>
      <c r="P195" s="189">
        <f>K195-N195</f>
        <v/>
      </c>
      <c r="Q195" s="189">
        <f>M195+O195</f>
        <v/>
      </c>
      <c r="R195" s="189">
        <f>M195+N195+O195+P195</f>
        <v/>
      </c>
      <c r="S195" s="203">
        <f>SUM(T195:V195)</f>
        <v/>
      </c>
      <c r="T195" s="203" t="n"/>
      <c r="U195" s="203" t="n"/>
      <c r="V195" s="203" t="n"/>
      <c r="W195" s="203" t="n"/>
      <c r="X195" s="203" t="n"/>
      <c r="Y195" s="203" t="n"/>
      <c r="Z195" s="203" t="n"/>
      <c r="AA195" s="203" t="n"/>
      <c r="AB195" s="188" t="n"/>
      <c r="AC195" s="188" t="n"/>
      <c r="AD195" s="188" t="n"/>
      <c r="AE195" s="188" t="n"/>
      <c r="AF195" s="188" t="n"/>
      <c r="AG195" s="188" t="n"/>
      <c r="AH195" s="188" t="n"/>
      <c r="AI195" s="188" t="n"/>
      <c r="AJ195" s="188" t="n"/>
      <c r="AK195" s="188" t="n"/>
      <c r="AL195" s="214" t="n"/>
    </row>
    <row r="196">
      <c r="A196" s="33" t="n"/>
      <c r="B196" s="199" t="n"/>
      <c r="C196" s="199" t="n"/>
      <c r="D196" s="218" t="inlineStr">
        <is>
          <t>六、资金占用费用</t>
        </is>
      </c>
      <c r="E196" s="212" t="n"/>
      <c r="F196" s="212" t="n"/>
      <c r="G196" s="212" t="n"/>
      <c r="H196" s="189" t="n"/>
      <c r="I196" s="189" t="n"/>
      <c r="J196" s="184">
        <f>H196+I196</f>
        <v/>
      </c>
      <c r="K196" s="189" t="n"/>
      <c r="L196" s="202">
        <f>J196-K196</f>
        <v/>
      </c>
      <c r="M196" s="223" t="n">
        <v>6780777.21</v>
      </c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188" t="n"/>
      <c r="AC196" s="188" t="n"/>
      <c r="AD196" s="188" t="n"/>
      <c r="AE196" s="188" t="n"/>
      <c r="AF196" s="188" t="n"/>
      <c r="AG196" s="188" t="n"/>
      <c r="AH196" s="188" t="n"/>
      <c r="AI196" s="188" t="n"/>
      <c r="AJ196" s="188" t="n"/>
      <c r="AK196" s="188" t="n"/>
      <c r="AL196" s="214" t="n"/>
    </row>
    <row r="197">
      <c r="A197" s="33" t="n"/>
      <c r="B197" s="199" t="n"/>
      <c r="C197" s="199" t="n"/>
      <c r="D197" s="218" t="inlineStr">
        <is>
          <t>七、局投资收益（局投资项目选填）</t>
        </is>
      </c>
      <c r="E197" s="212" t="n"/>
      <c r="F197" s="212" t="n"/>
      <c r="G197" s="212" t="n"/>
      <c r="H197" s="189" t="n"/>
      <c r="I197" s="189" t="n"/>
      <c r="J197" s="184">
        <f>H197+I197</f>
        <v/>
      </c>
      <c r="K197" s="189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55" t="n"/>
      <c r="B198" s="235" t="n"/>
      <c r="C198" s="235" t="n"/>
      <c r="D198" s="231" t="inlineStr">
        <is>
          <t>八、研发费用</t>
        </is>
      </c>
      <c r="E198" s="236" t="n"/>
      <c r="F198" s="236" t="n"/>
      <c r="G198" s="236" t="n"/>
      <c r="H198" s="217" t="n"/>
      <c r="I198" s="217" t="n"/>
      <c r="J198" s="217">
        <f>H198+I198</f>
        <v/>
      </c>
      <c r="K198" s="217" t="n"/>
      <c r="L198" s="233">
        <f>J198-K198</f>
        <v/>
      </c>
      <c r="M198" s="238">
        <f>SUM(M74:M76)</f>
        <v/>
      </c>
      <c r="N198" s="238">
        <f>SUM(N74:N76)</f>
        <v/>
      </c>
      <c r="O198" s="238">
        <f>SUM(O74:O76)</f>
        <v/>
      </c>
      <c r="P198" s="238">
        <f>SUM(P74:P76)</f>
        <v/>
      </c>
      <c r="Q198" s="238">
        <f>SUM(Q74:Q76)</f>
        <v/>
      </c>
      <c r="R198" s="238">
        <f>SUM(R74:R76)</f>
        <v/>
      </c>
      <c r="S198" s="238">
        <f>SUM(S74:S76)</f>
        <v/>
      </c>
      <c r="T198" s="238">
        <f>SUM(T74:T76)</f>
        <v/>
      </c>
      <c r="U198" s="238">
        <f>SUM(U74:U76)</f>
        <v/>
      </c>
      <c r="V198" s="238">
        <f>SUM(V74:V76)</f>
        <v/>
      </c>
      <c r="W198" s="238">
        <f>SUM(W74:W76)</f>
        <v/>
      </c>
      <c r="X198" s="238">
        <f>SUM(X74:X76)</f>
        <v/>
      </c>
      <c r="Y198" s="238">
        <f>SUM(Y74:Y76)</f>
        <v/>
      </c>
      <c r="Z198" s="238">
        <f>SUM(Z74:Z76)</f>
        <v/>
      </c>
      <c r="AA198" s="238">
        <f>SUM(AA74:AA76)</f>
        <v/>
      </c>
      <c r="AB198" s="238">
        <f>SUM(AB74:AB76)</f>
        <v/>
      </c>
      <c r="AC198" s="238">
        <f>SUM(AC74:AC76)</f>
        <v/>
      </c>
      <c r="AD198" s="238">
        <f>SUM(AD74:AD76)</f>
        <v/>
      </c>
      <c r="AE198" s="238">
        <f>SUM(AE74:AE76)</f>
        <v/>
      </c>
      <c r="AF198" s="238">
        <f>SUM(AF74:AF76)</f>
        <v/>
      </c>
      <c r="AG198" s="238">
        <f>SUM(AG74:AG76)</f>
        <v/>
      </c>
      <c r="AH198" s="238">
        <f>SUM(AH74:AH76)</f>
        <v/>
      </c>
      <c r="AI198" s="238">
        <f>SUM(AI74:AI76)</f>
        <v/>
      </c>
      <c r="AJ198" s="238">
        <f>SUM(AJ74:AJ76)</f>
        <v/>
      </c>
      <c r="AK198" s="238">
        <f>SUM(AK74:AK76)</f>
        <v/>
      </c>
      <c r="AL198" s="239" t="n"/>
    </row>
    <row r="199">
      <c r="A199" s="206" t="n"/>
      <c r="B199" s="206" t="n"/>
      <c r="C199" s="207" t="n"/>
      <c r="D199" s="207" t="inlineStr">
        <is>
          <t>研发费用-人工成本</t>
        </is>
      </c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10" t="n">
        <v>2069939.18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206" t="n"/>
      <c r="B200" s="206" t="n"/>
      <c r="C200" s="207" t="n"/>
      <c r="D200" s="207" t="inlineStr">
        <is>
          <t>研发费用-内部结转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2358.5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研发费用-折旧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6857.02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研发费用-机械租赁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63495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研发费用-材料费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25030932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33" t="n">
        <v>1</v>
      </c>
      <c r="B204" s="199" t="n"/>
      <c r="C204" s="199" t="n"/>
      <c r="D204" s="218" t="n"/>
      <c r="E204" s="212" t="n"/>
      <c r="F204" s="212" t="n"/>
      <c r="G204" s="212" t="n"/>
      <c r="H204" s="189" t="n"/>
      <c r="I204" s="189" t="n"/>
      <c r="J204" s="184">
        <f>H204+I204</f>
        <v/>
      </c>
      <c r="K204" s="189" t="n"/>
      <c r="L204" s="202">
        <f>J204-K204</f>
        <v/>
      </c>
      <c r="M204" s="189" t="n"/>
      <c r="N204" s="189" t="n"/>
      <c r="O204" s="189">
        <f>L204-M204</f>
        <v/>
      </c>
      <c r="P204" s="189">
        <f>K204-N204</f>
        <v/>
      </c>
      <c r="Q204" s="189">
        <f>M204+O204</f>
        <v/>
      </c>
      <c r="R204" s="189">
        <f>M204+N204+O204+P204</f>
        <v/>
      </c>
      <c r="S204" s="203">
        <f>SUM(T204:V204)</f>
        <v/>
      </c>
      <c r="T204" s="203" t="n"/>
      <c r="U204" s="203" t="n"/>
      <c r="V204" s="203" t="n"/>
      <c r="W204" s="203" t="n"/>
      <c r="X204" s="203" t="n"/>
      <c r="Y204" s="203" t="n"/>
      <c r="Z204" s="203" t="n"/>
      <c r="AA204" s="203" t="n"/>
      <c r="AB204" s="188" t="n"/>
      <c r="AC204" s="188" t="n"/>
      <c r="AD204" s="188" t="n"/>
      <c r="AE204" s="188" t="n"/>
      <c r="AF204" s="188" t="n"/>
      <c r="AG204" s="188" t="n"/>
      <c r="AH204" s="188" t="n"/>
      <c r="AI204" s="188" t="n"/>
      <c r="AJ204" s="188" t="n"/>
      <c r="AK204" s="188" t="n"/>
      <c r="AL204" s="214" t="n"/>
    </row>
    <row r="205">
      <c r="A205" s="33" t="n">
        <v>2</v>
      </c>
      <c r="B205" s="199" t="n"/>
      <c r="C205" s="199" t="n"/>
      <c r="D205" s="218" t="n"/>
      <c r="E205" s="212" t="n"/>
      <c r="F205" s="212" t="n"/>
      <c r="G205" s="212" t="n"/>
      <c r="H205" s="189" t="n"/>
      <c r="I205" s="189" t="n"/>
      <c r="J205" s="184" t="n"/>
      <c r="K205" s="189" t="n"/>
      <c r="L205" s="202" t="n"/>
      <c r="M205" s="189" t="n"/>
      <c r="N205" s="189" t="n"/>
      <c r="O205" s="189">
        <f>L205-M205</f>
        <v/>
      </c>
      <c r="P205" s="189">
        <f>K205-N205</f>
        <v/>
      </c>
      <c r="Q205" s="189">
        <f>M205+O205</f>
        <v/>
      </c>
      <c r="R205" s="189">
        <f>M205+N205+O205+P205</f>
        <v/>
      </c>
      <c r="S205" s="203">
        <f>SUM(T205:V205)</f>
        <v/>
      </c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188" t="n"/>
      <c r="AC205" s="188" t="n"/>
      <c r="AD205" s="188" t="n"/>
      <c r="AE205" s="188" t="n"/>
      <c r="AF205" s="188" t="n"/>
      <c r="AG205" s="188" t="n"/>
      <c r="AH205" s="188" t="n"/>
      <c r="AI205" s="188" t="n"/>
      <c r="AJ205" s="188" t="n"/>
      <c r="AK205" s="188" t="n"/>
      <c r="AL205" s="214" t="n"/>
    </row>
    <row r="206">
      <c r="A206" s="33" t="n">
        <v>3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 t="n"/>
      <c r="K206" s="189" t="n"/>
      <c r="L206" s="202" t="n"/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41" t="n"/>
      <c r="B207" s="215" t="n"/>
      <c r="C207" s="215" t="n"/>
      <c r="D207" s="231" t="inlineStr">
        <is>
          <t>九、成本及费用合计（三+四+五+六+七）</t>
        </is>
      </c>
      <c r="E207" s="232" t="n"/>
      <c r="F207" s="232" t="n"/>
      <c r="G207" s="232" t="n"/>
      <c r="H207" s="217">
        <f>H68+H69+H70+H71+#REF!</f>
        <v/>
      </c>
      <c r="I207" s="217">
        <f>I68+I69+I70+I71+#REF!</f>
        <v/>
      </c>
      <c r="J207" s="242">
        <f>J68+J69+J70+J71+#REF!</f>
        <v/>
      </c>
      <c r="K207" s="217">
        <f>K68+K69+K70+K71+#REF!</f>
        <v/>
      </c>
      <c r="L207" s="243">
        <f>L68+L69+L70+L71+#REF!</f>
        <v/>
      </c>
      <c r="M207" s="243">
        <f>M68+M69+M70+M71</f>
        <v/>
      </c>
      <c r="N207" s="243">
        <f>N68+N69+N70+N71</f>
        <v/>
      </c>
      <c r="O207" s="243">
        <f>O68+O69+O70+O71</f>
        <v/>
      </c>
      <c r="P207" s="243">
        <f>P68+P69+P70+P71</f>
        <v/>
      </c>
      <c r="Q207" s="243">
        <f>Q68+Q69+Q70+Q71</f>
        <v/>
      </c>
      <c r="R207" s="243">
        <f>R68+R69+R70+R71</f>
        <v/>
      </c>
      <c r="S207" s="238">
        <f>S68+S69+S70+S71</f>
        <v/>
      </c>
      <c r="T207" s="238" t="n"/>
      <c r="U207" s="238" t="n"/>
      <c r="V207" s="238" t="n"/>
      <c r="W207" s="238" t="n"/>
      <c r="X207" s="238" t="n"/>
      <c r="Y207" s="238" t="n"/>
      <c r="Z207" s="238">
        <f>Z68+Z69+Z70+Z71</f>
        <v/>
      </c>
      <c r="AA207" s="238">
        <f>AA68+AA69+AA70+AA71</f>
        <v/>
      </c>
      <c r="AB207" s="244" t="n"/>
      <c r="AC207" s="244" t="n"/>
      <c r="AD207" s="244" t="n"/>
      <c r="AE207" s="244" t="n"/>
      <c r="AF207" s="244" t="n"/>
      <c r="AG207" s="244" t="n"/>
      <c r="AH207" s="244" t="n"/>
      <c r="AI207" s="244" t="n"/>
      <c r="AJ207" s="244" t="n"/>
      <c r="AK207" s="245" t="n"/>
      <c r="AL207" s="246" t="n"/>
    </row>
    <row r="208">
      <c r="A208" s="41" t="n"/>
      <c r="B208" s="215" t="n"/>
      <c r="C208" s="215" t="n"/>
      <c r="D208" s="231" t="inlineStr">
        <is>
          <t>十、增值税实际税负（按财务数据）</t>
        </is>
      </c>
      <c r="E208" s="232" t="inlineStr">
        <is>
          <t>根据财务账面实际已缴纳增值税额+尚需缴纳的增值税额</t>
        </is>
      </c>
      <c r="F208" s="232" t="n"/>
      <c r="G208" s="232" t="n"/>
      <c r="H208" s="217" t="n"/>
      <c r="I208" s="217" t="n"/>
      <c r="J208" s="242">
        <f>H78+I78</f>
        <v/>
      </c>
      <c r="K208" s="217" t="inlineStr">
        <is>
          <t>/</t>
        </is>
      </c>
      <c r="L208" s="243" t="inlineStr">
        <is>
          <t>/</t>
        </is>
      </c>
      <c r="M208" s="243" t="n"/>
      <c r="N208" s="243">
        <f>N6-N77</f>
        <v/>
      </c>
      <c r="O208" s="243" t="n"/>
      <c r="P208" s="243" t="n"/>
      <c r="Q208" s="243" t="inlineStr">
        <is>
          <t>/</t>
        </is>
      </c>
      <c r="R208" s="243">
        <f>N78+P78</f>
        <v/>
      </c>
      <c r="S208" s="238" t="n"/>
      <c r="T208" s="238" t="n"/>
      <c r="U208" s="238" t="n"/>
      <c r="V208" s="238" t="n"/>
      <c r="W208" s="238" t="n"/>
      <c r="X208" s="238" t="n"/>
      <c r="Y208" s="238" t="n"/>
      <c r="Z208" s="238" t="n"/>
      <c r="AA208" s="238" t="n"/>
      <c r="AB208" s="244" t="n"/>
      <c r="AC208" s="244" t="n"/>
      <c r="AD208" s="244" t="n"/>
      <c r="AE208" s="244" t="n"/>
      <c r="AF208" s="244" t="n"/>
      <c r="AG208" s="244" t="n"/>
      <c r="AH208" s="244" t="n"/>
      <c r="AI208" s="244" t="n"/>
      <c r="AJ208" s="244" t="n"/>
      <c r="AK208" s="245" t="n"/>
      <c r="AL208" s="246" t="n"/>
    </row>
    <row r="209">
      <c r="A209" s="41" t="n"/>
      <c r="B209" s="215" t="n"/>
      <c r="C209" s="215" t="n"/>
      <c r="D209" s="231" t="inlineStr">
        <is>
          <t>十一、税金及附加（按财务数据）</t>
        </is>
      </c>
      <c r="E209" s="232" t="inlineStr">
        <is>
          <t>根据财务账面实际已缴纳税金及附加+尚需缴纳的税金及附加</t>
        </is>
      </c>
      <c r="F209" s="232" t="n"/>
      <c r="G209" s="232" t="n"/>
      <c r="H209" s="217" t="n"/>
      <c r="I209" s="217" t="n"/>
      <c r="J209" s="242">
        <f>H79+I79</f>
        <v/>
      </c>
      <c r="K209" s="217" t="n"/>
      <c r="L209" s="243">
        <f>J79</f>
        <v/>
      </c>
      <c r="M209" s="247" t="n">
        <v>349670.26</v>
      </c>
      <c r="N209" s="243" t="n"/>
      <c r="O209" s="243">
        <f>L79-M79</f>
        <v/>
      </c>
      <c r="P209" s="243" t="n"/>
      <c r="Q209" s="243">
        <f>M79+O79</f>
        <v/>
      </c>
      <c r="R209" s="243">
        <f>Q79</f>
        <v/>
      </c>
      <c r="S209" s="238" t="n"/>
      <c r="T209" s="238" t="n"/>
      <c r="U209" s="238" t="n"/>
      <c r="V209" s="238" t="n"/>
      <c r="W209" s="238" t="n"/>
      <c r="X209" s="238" t="n"/>
      <c r="Y209" s="238" t="n"/>
      <c r="Z209" s="238" t="n"/>
      <c r="AA209" s="238" t="n"/>
      <c r="AB209" s="244" t="n"/>
      <c r="AC209" s="244" t="n"/>
      <c r="AD209" s="244" t="n"/>
      <c r="AE209" s="244" t="n"/>
      <c r="AF209" s="244" t="n"/>
      <c r="AG209" s="244" t="n"/>
      <c r="AH209" s="244" t="n"/>
      <c r="AI209" s="244" t="n"/>
      <c r="AJ209" s="244" t="n"/>
      <c r="AK209" s="245" t="n"/>
      <c r="AL209" s="246" t="n"/>
    </row>
    <row r="210">
      <c r="A210" s="41" t="n"/>
      <c r="B210" s="215" t="n"/>
      <c r="C210" s="215" t="n"/>
      <c r="D210" s="231" t="inlineStr">
        <is>
          <t>十二、利润</t>
        </is>
      </c>
      <c r="E210" s="232" t="n"/>
      <c r="F210" s="232" t="n"/>
      <c r="G210" s="232" t="n"/>
      <c r="H210" s="217" t="n"/>
      <c r="I210" s="217" t="n"/>
      <c r="J210" s="242">
        <f>J6-J77-J78-J79</f>
        <v/>
      </c>
      <c r="K210" s="217" t="n"/>
      <c r="L210" s="243" t="n"/>
      <c r="M210" s="243" t="n"/>
      <c r="N210" s="243" t="n"/>
      <c r="O210" s="243" t="n"/>
      <c r="P210" s="243" t="n"/>
      <c r="Q210" s="243" t="n"/>
      <c r="R210" s="243" t="n"/>
      <c r="S210" s="238" t="n"/>
      <c r="T210" s="238" t="n"/>
      <c r="U210" s="238" t="n"/>
      <c r="V210" s="238" t="n"/>
      <c r="W210" s="238" t="n"/>
      <c r="X210" s="238" t="n"/>
      <c r="Y210" s="238" t="n"/>
      <c r="Z210" s="238" t="n"/>
      <c r="AA210" s="238" t="n"/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105" t="n"/>
      <c r="B211" s="106" t="n"/>
      <c r="C211" s="106" t="n"/>
      <c r="D211" s="107" t="inlineStr">
        <is>
          <t>十三、利润率</t>
        </is>
      </c>
      <c r="E211" s="108" t="n"/>
      <c r="F211" s="108" t="n"/>
      <c r="G211" s="108" t="n"/>
      <c r="H211" s="109" t="n"/>
      <c r="I211" s="109" t="n"/>
      <c r="J211" s="109">
        <f>J80/J6</f>
        <v/>
      </c>
      <c r="K211" s="109" t="n"/>
      <c r="L211" s="127">
        <f>L80/L6</f>
        <v/>
      </c>
      <c r="M211" s="127">
        <f>M80/M6</f>
        <v/>
      </c>
      <c r="N211" s="127" t="n"/>
      <c r="O211" s="127" t="n"/>
      <c r="P211" s="127" t="n"/>
      <c r="Q211" s="127">
        <f>Q80/Q6</f>
        <v/>
      </c>
      <c r="R211" s="127">
        <f>R80/R6</f>
        <v/>
      </c>
      <c r="S211" s="142" t="n"/>
      <c r="T211" s="142" t="n"/>
      <c r="U211" s="142" t="n"/>
      <c r="V211" s="142" t="n"/>
      <c r="W211" s="142" t="n"/>
      <c r="X211" s="142" t="n"/>
      <c r="Y211" s="142" t="n"/>
      <c r="Z211" s="142" t="n"/>
      <c r="AA211" s="142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54" t="n"/>
      <c r="AL211" s="155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  <row r="213">
      <c r="A213" s="111" t="n"/>
      <c r="B213" s="111" t="n"/>
      <c r="C213" s="111" t="n"/>
      <c r="D213" s="112" t="n"/>
      <c r="E213" s="113" t="n"/>
      <c r="F213" s="113" t="n"/>
      <c r="G213" s="113" t="n"/>
      <c r="H213" s="248" t="n"/>
      <c r="I213" s="248" t="n"/>
      <c r="J213" s="255" t="n"/>
      <c r="K213" s="248" t="n"/>
      <c r="L213" s="256" t="n"/>
      <c r="M213" s="252" t="n"/>
      <c r="N213" s="252" t="n"/>
      <c r="O213" s="252" t="n"/>
      <c r="P213" s="252" t="n"/>
      <c r="Q213" s="252" t="n"/>
      <c r="R213" s="252" t="n"/>
      <c r="S213" s="252" t="n"/>
      <c r="T213" s="252" t="n"/>
      <c r="U213" s="252" t="n"/>
      <c r="V213" s="252" t="n"/>
      <c r="W213" s="252" t="n"/>
      <c r="X213" s="252" t="n"/>
      <c r="Y213" s="252" t="n"/>
      <c r="Z213" s="253" t="n"/>
      <c r="AA213" s="162" t="n"/>
      <c r="AB213" s="254" t="n"/>
      <c r="AC213" s="254" t="n"/>
      <c r="AD213" s="254" t="n"/>
      <c r="AE213" s="254" t="n"/>
      <c r="AF213" s="254" t="n"/>
      <c r="AG213" s="254" t="n"/>
      <c r="AH213" s="254" t="n"/>
      <c r="AI213" s="254" t="n"/>
      <c r="AJ213" s="254" t="n"/>
      <c r="AK213" s="254" t="n"/>
      <c r="AL213" s="156" t="n"/>
    </row>
    <row r="214">
      <c r="A214" s="116" t="n"/>
      <c r="B214" s="116" t="n"/>
      <c r="C214" s="116" t="n"/>
      <c r="D214" s="117" t="n"/>
      <c r="E214" s="118" t="n"/>
      <c r="F214" s="118" t="n"/>
      <c r="G214" s="118" t="n"/>
      <c r="H214" s="119" t="n"/>
      <c r="I214" s="119" t="n"/>
      <c r="J214" s="134" t="n"/>
      <c r="K214" s="257" t="n"/>
      <c r="L214" s="257" t="n"/>
      <c r="M214" s="258" t="n"/>
      <c r="N214" s="257" t="n"/>
      <c r="O214" s="257" t="n"/>
      <c r="P214" s="259" t="n"/>
      <c r="Q214" s="259" t="n"/>
      <c r="R214" s="257" t="n"/>
      <c r="S214" s="260" t="n"/>
      <c r="T214" s="260" t="n"/>
      <c r="U214" s="260" t="n"/>
      <c r="V214" s="260" t="n"/>
      <c r="W214" s="260" t="n"/>
      <c r="X214" s="260" t="n"/>
      <c r="Y214" s="260" t="n"/>
      <c r="Z214" s="261" t="n"/>
      <c r="AA214" s="262" t="n"/>
      <c r="AD214" s="263" t="n"/>
      <c r="AE214" s="263" t="n"/>
      <c r="AF214" s="263" t="n"/>
      <c r="AG214" s="263" t="n"/>
      <c r="AH214" s="263" t="n"/>
      <c r="AI214" s="263" t="n"/>
      <c r="AJ214" s="263" t="n"/>
      <c r="AK214" s="263" t="n"/>
      <c r="AL214" s="121" t="n"/>
    </row>
    <row r="215">
      <c r="A215" s="121" t="n"/>
      <c r="B215" s="121" t="n"/>
      <c r="C215" s="121" t="n"/>
      <c r="D215" s="121" t="n"/>
      <c r="E215" s="122" t="n"/>
      <c r="F215" s="122" t="n"/>
      <c r="G215" s="122" t="n"/>
      <c r="H215" s="122" t="n"/>
      <c r="I215" s="122" t="n"/>
      <c r="J215" s="122" t="n"/>
      <c r="K215" s="264" t="n"/>
      <c r="L215" s="122" t="n"/>
      <c r="M215" s="265" t="n"/>
      <c r="N215" s="265" t="n"/>
      <c r="O215" s="265" t="n"/>
      <c r="P215" s="265" t="n"/>
      <c r="Q215" s="265" t="n"/>
      <c r="R215" s="265" t="n"/>
      <c r="S215" s="260" t="n"/>
      <c r="T215" s="260" t="n"/>
      <c r="U215" s="260" t="n"/>
      <c r="V215" s="260" t="n"/>
      <c r="W215" s="260" t="n"/>
      <c r="X215" s="260" t="n"/>
      <c r="Y215" s="260" t="n"/>
      <c r="Z215" s="265" t="n"/>
      <c r="AA215" s="263" t="n"/>
      <c r="AB215" s="263" t="n"/>
      <c r="AC215" s="263" t="n"/>
      <c r="AD215" s="263" t="n"/>
      <c r="AE215" s="263" t="n"/>
      <c r="AF215" s="263" t="n"/>
      <c r="AG215" s="263" t="n"/>
      <c r="AH215" s="263" t="n"/>
      <c r="AI215" s="263" t="n"/>
      <c r="AJ215" s="263" t="n"/>
      <c r="AK215" s="263" t="n"/>
      <c r="AL215" s="121" t="n"/>
    </row>
    <row r="216">
      <c r="A216" s="121" t="n"/>
      <c r="B216" s="121" t="n"/>
      <c r="C216" s="121" t="n"/>
      <c r="D216" s="121" t="n"/>
      <c r="E216" s="122" t="n"/>
      <c r="F216" s="122" t="n"/>
      <c r="G216" s="122" t="n"/>
      <c r="H216" s="122" t="n"/>
      <c r="I216" s="122" t="n"/>
      <c r="J216" s="122" t="n"/>
      <c r="K216" s="264" t="n"/>
      <c r="L216" s="122" t="n"/>
      <c r="M216" s="265" t="n"/>
      <c r="N216" s="265" t="n"/>
      <c r="O216" s="265" t="n"/>
      <c r="P216" s="265" t="n"/>
      <c r="Q216" s="265" t="n"/>
      <c r="R216" s="265" t="n"/>
      <c r="S216" s="260" t="n"/>
      <c r="T216" s="260" t="n"/>
      <c r="U216" s="260" t="n"/>
      <c r="V216" s="260" t="n"/>
      <c r="W216" s="260" t="n"/>
      <c r="X216" s="260" t="n"/>
      <c r="Y216" s="260" t="n"/>
      <c r="Z216" s="265" t="n"/>
      <c r="AA216" s="263" t="n"/>
      <c r="AB216" s="263" t="n"/>
      <c r="AC216" s="263" t="n"/>
      <c r="AD216" s="263" t="n"/>
      <c r="AE216" s="263" t="n"/>
      <c r="AF216" s="263" t="n"/>
      <c r="AG216" s="263" t="n"/>
      <c r="AH216" s="263" t="n"/>
      <c r="AI216" s="263" t="n"/>
      <c r="AJ216" s="263" t="n"/>
      <c r="AK216" s="263" t="n"/>
      <c r="AL216" s="121" t="n"/>
    </row>
    <row r="217">
      <c r="A217" s="121" t="n"/>
      <c r="B217" s="121" t="n"/>
      <c r="C217" s="121" t="n"/>
      <c r="D217" s="121" t="n"/>
      <c r="E217" s="123" t="n"/>
      <c r="F217" s="123" t="n"/>
      <c r="G217" s="123" t="n"/>
      <c r="H217" s="122" t="n"/>
      <c r="I217" s="122" t="n"/>
      <c r="J217" s="122" t="n"/>
      <c r="K217" s="123" t="n"/>
      <c r="L217" s="122" t="n"/>
      <c r="M217" s="265" t="n"/>
      <c r="N217" s="261" t="n"/>
      <c r="O217" s="265" t="n"/>
      <c r="P217" s="265" t="n"/>
      <c r="Q217" s="265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5" t="n"/>
      <c r="AA217" s="263" t="n"/>
      <c r="AB217" s="263" t="n"/>
      <c r="AC217" s="263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2026-04-24T02:04:03Z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