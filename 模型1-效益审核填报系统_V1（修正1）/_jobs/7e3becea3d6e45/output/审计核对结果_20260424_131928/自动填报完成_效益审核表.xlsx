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73" authorId="1" shapeId="0">
      <text>
        <t xml:space="preserve">**同财务账面合同履约成本/工程施工成本/机械租赁费数据一致**
</t>
      </text>
    </comment>
    <comment ref="M82" authorId="0" shapeId="0">
      <text>
        <t>于:
**同财务账面合同履约成本/工程施工成本其他直接费数据一致**</t>
      </text>
    </comment>
    <comment ref="M117" authorId="1" shapeId="0">
      <text>
        <t>**同财务账面合同履约成本/工程施工成本/间接费数据一致**</t>
      </text>
    </comment>
    <comment ref="D125" authorId="2" shapeId="0">
      <text>
        <t>（在建：房建0.6%，其它0.4%；在保修期间的按0.3~0.5%自行确定;保修期结束为0）</t>
      </text>
    </comment>
    <comment ref="E13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7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ZGD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80558.22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33" t="n"/>
      <c r="B17" s="199" t="n"/>
      <c r="C17" s="199" t="n"/>
      <c r="D17" s="211" t="inlineStr">
        <is>
          <t>**财务未列部分需增列***</t>
        </is>
      </c>
      <c r="E17" s="212" t="n"/>
      <c r="F17" s="212" t="n"/>
      <c r="G17" s="212" t="n"/>
      <c r="H17" s="189" t="n"/>
      <c r="I17" s="189" t="n"/>
      <c r="J17" s="189" t="n"/>
      <c r="K17" s="201" t="n"/>
      <c r="L17" s="202" t="n"/>
      <c r="M17" s="189" t="n"/>
      <c r="N17" s="189" t="n"/>
      <c r="O17" s="189">
        <f>L17-M17</f>
        <v/>
      </c>
      <c r="P17" s="189">
        <f>K17-N17</f>
        <v/>
      </c>
      <c r="Q17" s="189">
        <f>M17+O17</f>
        <v/>
      </c>
      <c r="R17" s="189">
        <f>M17+N17+O17+P17</f>
        <v/>
      </c>
      <c r="S17" s="203">
        <f>SUM(T17:V17)</f>
        <v/>
      </c>
      <c r="T17" s="189" t="n"/>
      <c r="U17" s="189" t="n"/>
      <c r="V17" s="189" t="n"/>
      <c r="W17" s="189" t="n"/>
      <c r="X17" s="189" t="n"/>
      <c r="Y17" s="189" t="n"/>
      <c r="Z17" s="189">
        <f>SUM(AA16:AJ16)</f>
        <v/>
      </c>
      <c r="AA17" s="213" t="n"/>
      <c r="AB17" s="188" t="n"/>
      <c r="AC17" s="188" t="n"/>
      <c r="AD17" s="188" t="n"/>
      <c r="AE17" s="188" t="n"/>
      <c r="AF17" s="188" t="n"/>
      <c r="AG17" s="188" t="n"/>
      <c r="AH17" s="188" t="n"/>
      <c r="AI17" s="188" t="n"/>
      <c r="AJ17" s="188" t="n"/>
      <c r="AK17" s="188">
        <f>AB16/1.17*0.17+AC16/1.16*0.16+AD16/1.11*0.11+AE16/1.1*0.1+AF16/1.09*0.09+AI16/1.03*0.03</f>
        <v/>
      </c>
      <c r="AL17" s="214" t="n"/>
    </row>
    <row r="18" ht="14" customFormat="1" customHeight="1" s="180">
      <c r="A18" s="41" t="n"/>
      <c r="B18" s="215" t="n"/>
      <c r="C18" s="215" t="n"/>
      <c r="D18" s="216" t="inlineStr">
        <is>
          <t>人工费小计：</t>
        </is>
      </c>
      <c r="E18" s="217">
        <f>SUM(E12:E17)</f>
        <v/>
      </c>
      <c r="F18" s="217">
        <f>SUM(F12:F17)</f>
        <v/>
      </c>
      <c r="G18" s="217">
        <f>SUM(G12:G17)</f>
        <v/>
      </c>
      <c r="H18" s="217">
        <f>SUM(H12:H17)</f>
        <v/>
      </c>
      <c r="I18" s="217">
        <f>SUM(I12:I17)</f>
        <v/>
      </c>
      <c r="J18" s="217">
        <f>SUM(J12:J17)</f>
        <v/>
      </c>
      <c r="K18" s="217">
        <f>SUM(K12:K17)</f>
        <v/>
      </c>
      <c r="L18" s="217">
        <f>SUM(L12:L17)</f>
        <v/>
      </c>
      <c r="M18" s="217">
        <f>SUM(M12:M17)</f>
        <v/>
      </c>
      <c r="N18" s="217">
        <f>SUM(N12:N17)</f>
        <v/>
      </c>
      <c r="O18" s="217">
        <f>SUM(O12:O17)</f>
        <v/>
      </c>
      <c r="P18" s="217">
        <f>SUM(P12:P17)</f>
        <v/>
      </c>
      <c r="Q18" s="217">
        <f>SUM(Q12:Q17)</f>
        <v/>
      </c>
      <c r="R18" s="217">
        <f>SUM(R12:R17)</f>
        <v/>
      </c>
      <c r="S18" s="217">
        <f>SUM(S12:S17)</f>
        <v/>
      </c>
      <c r="T18" s="217">
        <f>SUM(T12:T17)</f>
        <v/>
      </c>
      <c r="U18" s="217">
        <f>SUM(U12:U17)</f>
        <v/>
      </c>
      <c r="V18" s="217">
        <f>SUM(V12:V17)</f>
        <v/>
      </c>
      <c r="W18" s="217">
        <f>SUM(W12:W17)</f>
        <v/>
      </c>
      <c r="X18" s="217">
        <f>SUM(X12:X17)</f>
        <v/>
      </c>
      <c r="Y18" s="217">
        <f>SUM(Y12:Y17)</f>
        <v/>
      </c>
      <c r="Z18" s="217">
        <f>SUM(Z12:Z17)</f>
        <v/>
      </c>
      <c r="AA18" s="217">
        <f>SUM(AA12:AA17)</f>
        <v/>
      </c>
      <c r="AB18" s="217">
        <f>SUM(AB12:AB17)</f>
        <v/>
      </c>
      <c r="AC18" s="217">
        <f>SUM(AC12:AC17)</f>
        <v/>
      </c>
      <c r="AD18" s="217">
        <f>SUM(AD12:AD17)</f>
        <v/>
      </c>
      <c r="AE18" s="217">
        <f>SUM(AE12:AE17)</f>
        <v/>
      </c>
      <c r="AF18" s="217">
        <f>SUM(AF12:AF17)</f>
        <v/>
      </c>
      <c r="AG18" s="217">
        <f>SUM(AG12:AG17)</f>
        <v/>
      </c>
      <c r="AH18" s="217">
        <f>SUM(AH12:AH17)</f>
        <v/>
      </c>
      <c r="AI18" s="217">
        <f>SUM(AI12:AI17)</f>
        <v/>
      </c>
      <c r="AJ18" s="217">
        <f>SUM(AJ12:AJ17)</f>
        <v/>
      </c>
      <c r="AK18" s="217">
        <f>SUM(AK12:AK17)</f>
        <v/>
      </c>
      <c r="AL18" s="204" t="n"/>
    </row>
    <row r="19" ht="14" customFormat="1" customHeight="1" s="180">
      <c r="A19" s="33" t="n"/>
      <c r="B19" s="199" t="n"/>
      <c r="C19" s="199" t="n"/>
      <c r="D19" s="218" t="inlineStr">
        <is>
          <t>（二）分包工程</t>
        </is>
      </c>
      <c r="E19" s="199" t="n"/>
      <c r="F19" s="199" t="n"/>
      <c r="G19" s="199" t="n"/>
      <c r="H19" s="189" t="n"/>
      <c r="I19" s="189" t="n"/>
      <c r="J19" s="189" t="n"/>
      <c r="K19" s="201" t="n"/>
      <c r="L19" s="202" t="n"/>
      <c r="M19" s="189" t="n"/>
      <c r="N19" s="189" t="n"/>
      <c r="O19" s="189">
        <f>L19-M19</f>
        <v/>
      </c>
      <c r="P19" s="189">
        <f>K19-N19</f>
        <v/>
      </c>
      <c r="Q19" s="189">
        <f>M19+O19</f>
        <v/>
      </c>
      <c r="R19" s="189">
        <f>M19+N19+O19+P19</f>
        <v/>
      </c>
      <c r="S19" s="203">
        <f>SUM(T19:V19)</f>
        <v/>
      </c>
      <c r="T19" s="203" t="n"/>
      <c r="U19" s="203" t="n"/>
      <c r="V19" s="203" t="n"/>
      <c r="W19" s="203" t="n"/>
      <c r="X19" s="203" t="n"/>
      <c r="Y19" s="203" t="n"/>
      <c r="Z19" s="203" t="n"/>
      <c r="AA19" s="203" t="n"/>
      <c r="AB19" s="203" t="n"/>
      <c r="AC19" s="203" t="n"/>
      <c r="AD19" s="203" t="n"/>
      <c r="AE19" s="203" t="n"/>
      <c r="AF19" s="203" t="n"/>
      <c r="AG19" s="203" t="n"/>
      <c r="AH19" s="203" t="n"/>
      <c r="AI19" s="203" t="n"/>
      <c r="AJ19" s="203" t="n"/>
      <c r="AK19" s="188">
        <f>AB18/1.17*0.17+AC18/1.16*0.16+AD18/1.11*0.11+AE18/1.1*0.1+AF18/1.09*0.09+AI18/1.03*0.03</f>
        <v/>
      </c>
      <c r="AL19" s="204" t="n"/>
    </row>
    <row r="20" ht="14" customFormat="1" customHeight="1" s="180">
      <c r="A20" s="206" t="n">
        <v>1</v>
      </c>
      <c r="B20" s="206" t="inlineStr">
        <is>
          <t>200147390</t>
        </is>
      </c>
      <c r="C20" s="207" t="inlineStr">
        <is>
          <t>中建四局0200202104503001</t>
        </is>
      </c>
      <c r="D20" s="207" t="inlineStr">
        <is>
          <t>佛山市劲辉鑫业建筑工程有限公司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2817692.82</v>
      </c>
      <c r="N20" s="210" t="n">
        <v>375692.37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1905250</v>
      </c>
      <c r="U20" s="206" t="n"/>
      <c r="V20" s="206" t="n"/>
    </row>
    <row r="21" ht="14" customFormat="1" customHeight="1" s="180">
      <c r="A21" s="206" t="n">
        <v>2</v>
      </c>
      <c r="B21" s="206" t="inlineStr">
        <is>
          <t>200199796</t>
        </is>
      </c>
      <c r="C21" s="207" t="inlineStr">
        <is>
          <t>中建四局0200202104503005</t>
        </is>
      </c>
      <c r="D21" s="207" t="inlineStr">
        <is>
          <t>佛山市喜润鑫建筑工程有限公司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778756.29</v>
      </c>
      <c r="N21" s="210" t="n">
        <v>23961.74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575800</v>
      </c>
      <c r="U21" s="206" t="n"/>
      <c r="V21" s="206" t="n"/>
    </row>
    <row r="22" ht="14" customFormat="1" customHeight="1" s="180">
      <c r="A22" s="206" t="n">
        <v>3</v>
      </c>
      <c r="B22" s="206" t="inlineStr">
        <is>
          <t>100217528</t>
        </is>
      </c>
      <c r="C22" s="207" t="inlineStr">
        <is>
          <t>中建四局0200202104503006</t>
        </is>
      </c>
      <c r="D22" s="207" t="inlineStr">
        <is>
          <t>佛山市耀盈活动房屋有限公司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271587.58</v>
      </c>
      <c r="N22" s="210" t="n">
        <v>36211.68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215000</v>
      </c>
      <c r="U22" s="206" t="n"/>
      <c r="V22" s="206" t="n"/>
    </row>
    <row r="23" ht="14" customFormat="1" customHeight="1" s="180">
      <c r="A23" s="206" t="n">
        <v>4</v>
      </c>
      <c r="B23" s="206" t="inlineStr">
        <is>
          <t>100174525</t>
        </is>
      </c>
      <c r="C23" s="207" t="inlineStr">
        <is>
          <t>中建四局0200202104503004</t>
        </is>
      </c>
      <c r="D23" s="207" t="inlineStr">
        <is>
          <t>四川湘盛建筑工程有限公司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2618349.91</v>
      </c>
      <c r="N23" s="210" t="n">
        <v>241571.53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1895600</v>
      </c>
      <c r="U23" s="206" t="n"/>
      <c r="V23" s="206" t="n"/>
    </row>
    <row r="24" ht="14" customFormat="1" customHeight="1" s="180">
      <c r="A24" s="206" t="n">
        <v>5</v>
      </c>
      <c r="B24" s="206" t="inlineStr">
        <is>
          <t>200540519</t>
        </is>
      </c>
      <c r="C24" s="207" t="inlineStr">
        <is>
          <t>中建四局0200202104503002</t>
        </is>
      </c>
      <c r="D24" s="207" t="inlineStr">
        <is>
          <t>广东湘庆建筑工程有限公司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1047869.29</v>
      </c>
      <c r="N24" s="210" t="n">
        <v>96726.39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819800</v>
      </c>
      <c r="U24" s="206" t="n"/>
      <c r="V24" s="206" t="n"/>
    </row>
    <row r="25" ht="14" customFormat="1" customHeight="1" s="180">
      <c r="A25" s="206" t="n">
        <v>6</v>
      </c>
      <c r="B25" s="206" t="inlineStr">
        <is>
          <t>200053581</t>
        </is>
      </c>
      <c r="C25" s="207" t="inlineStr">
        <is>
          <t>中建四局020020210045030002</t>
        </is>
      </c>
      <c r="D25" s="207" t="inlineStr">
        <is>
          <t>广东粤忠晟保安服务有限公司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546358.62</v>
      </c>
      <c r="N25" s="210" t="n">
        <v>28018.39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394070.52</v>
      </c>
      <c r="U25" s="206" t="n"/>
      <c r="V25" s="206" t="n"/>
    </row>
    <row r="26" ht="14" customFormat="1" customHeight="1" s="180">
      <c r="A26" s="206" t="n">
        <v>7</v>
      </c>
      <c r="B26" s="206" t="inlineStr">
        <is>
          <t>200436105</t>
        </is>
      </c>
      <c r="C26" s="207" t="inlineStr">
        <is>
          <t>中建四局0200202104503003</t>
        </is>
      </c>
      <c r="D26" s="207" t="inlineStr">
        <is>
          <t>广东纬地建筑劳务有限公司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46719399.14</v>
      </c>
      <c r="N26" s="210" t="n">
        <v>1437441.88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41605917</v>
      </c>
      <c r="U26" s="206" t="n"/>
      <c r="V26" s="206" t="n"/>
    </row>
    <row r="27" ht="14" customFormat="1" customHeight="1" s="180">
      <c r="A27" s="206" t="n">
        <v>8</v>
      </c>
      <c r="B27" s="206" t="inlineStr">
        <is>
          <t>100217071</t>
        </is>
      </c>
      <c r="C27" s="207" t="inlineStr">
        <is>
          <t>中建四局0200202104503007</t>
        </is>
      </c>
      <c r="D27" s="207" t="inlineStr">
        <is>
          <t>广东邵宇建筑安装工程有限公司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6451674.06</v>
      </c>
      <c r="N27" s="210" t="n">
        <v>595534.53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5353700</v>
      </c>
      <c r="U27" s="206" t="n"/>
      <c r="V27" s="206" t="n"/>
    </row>
    <row r="28" ht="14" customFormat="1" customHeight="1" s="180">
      <c r="A28" s="206" t="n">
        <v>9</v>
      </c>
      <c r="B28" s="206" t="inlineStr">
        <is>
          <t>100187703</t>
        </is>
      </c>
      <c r="C28" s="207" t="inlineStr">
        <is>
          <t>中建四局0200202104503008</t>
        </is>
      </c>
      <c r="D28" s="207" t="inlineStr">
        <is>
          <t>广州市金式广告有限公司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303433.81</v>
      </c>
      <c r="N28" s="210" t="n">
        <v>9336.42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100000</v>
      </c>
      <c r="U28" s="206" t="n"/>
      <c r="V28" s="206" t="n"/>
    </row>
    <row r="29" ht="14" customFormat="1" customHeight="1" s="180">
      <c r="A29" s="206" t="n">
        <v>10</v>
      </c>
      <c r="B29" s="206" t="inlineStr">
        <is>
          <t>200056273</t>
        </is>
      </c>
      <c r="C29" s="207" t="inlineStr">
        <is>
          <t>中建四局020020210045030001</t>
        </is>
      </c>
      <c r="D29" s="207" t="inlineStr">
        <is>
          <t>广州金的建设有限公司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95182.23</v>
      </c>
      <c r="N29" s="210" t="n">
        <v>8786.049999999999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74400</v>
      </c>
      <c r="U29" s="206" t="n"/>
      <c r="V29" s="206" t="n"/>
    </row>
    <row r="30" ht="14" customFormat="1" customHeight="1" s="180">
      <c r="A30" s="33" t="n"/>
      <c r="B30" s="199" t="n"/>
      <c r="C30" s="199" t="n"/>
      <c r="D30" s="211" t="inlineStr">
        <is>
          <t>**财务未列部分需增列***</t>
        </is>
      </c>
      <c r="E30" s="219" t="n"/>
      <c r="F30" s="219" t="n"/>
      <c r="G30" s="219" t="n"/>
      <c r="H30" s="189" t="n"/>
      <c r="I30" s="189" t="n"/>
      <c r="J30" s="189" t="n"/>
      <c r="K30" s="201" t="n"/>
      <c r="L30" s="202" t="n"/>
      <c r="M30" s="189" t="n"/>
      <c r="N30" s="189" t="n"/>
      <c r="O30" s="189">
        <f>L30-M30</f>
        <v/>
      </c>
      <c r="P30" s="189">
        <f>K30-N30</f>
        <v/>
      </c>
      <c r="Q30" s="189">
        <f>M30+O30</f>
        <v/>
      </c>
      <c r="R30" s="189">
        <f>M30+N30+O30+P30</f>
        <v/>
      </c>
      <c r="S30" s="203">
        <f>SUM(T30:V30)</f>
        <v/>
      </c>
      <c r="T30" s="189" t="n"/>
      <c r="U30" s="189" t="n"/>
      <c r="V30" s="189" t="n"/>
      <c r="W30" s="189" t="n"/>
      <c r="X30" s="189" t="n"/>
      <c r="Y30" s="189" t="n"/>
      <c r="Z30" s="203" t="n"/>
      <c r="AA30" s="203" t="n"/>
      <c r="AB30" s="188" t="n"/>
      <c r="AC30" s="188" t="n"/>
      <c r="AD30" s="188" t="n"/>
      <c r="AE30" s="188" t="n"/>
      <c r="AF30" s="188" t="n"/>
      <c r="AG30" s="188" t="n"/>
      <c r="AH30" s="188" t="n"/>
      <c r="AI30" s="188" t="n"/>
      <c r="AJ30" s="188" t="n"/>
      <c r="AK30" s="188">
        <f>AB22/1.17*0.17+AC22/1.16*0.16+AD22/1.11*0.11+AE22/1.1*0.1+AF22/1.09*0.09+AI22/1.03*0.03</f>
        <v/>
      </c>
      <c r="AL30" s="214" t="n"/>
    </row>
    <row r="31" ht="14" customFormat="1" customHeight="1" s="180">
      <c r="A31" s="41" t="n"/>
      <c r="B31" s="215" t="n"/>
      <c r="C31" s="215" t="n"/>
      <c r="D31" s="216" t="inlineStr">
        <is>
          <t>分包工程小计：</t>
        </is>
      </c>
      <c r="E31" s="217">
        <f>SUM(E19:E30)</f>
        <v/>
      </c>
      <c r="F31" s="217">
        <f>SUM(F19:F30)</f>
        <v/>
      </c>
      <c r="G31" s="217">
        <f>SUM(G19:G30)</f>
        <v/>
      </c>
      <c r="H31" s="217">
        <f>SUM(H19:H30)</f>
        <v/>
      </c>
      <c r="I31" s="217">
        <f>SUM(I19:I30)</f>
        <v/>
      </c>
      <c r="J31" s="217">
        <f>SUM(J19:J30)</f>
        <v/>
      </c>
      <c r="K31" s="217">
        <f>SUM(K19:K30)</f>
        <v/>
      </c>
      <c r="L31" s="217">
        <f>SUM(L19:L30)</f>
        <v/>
      </c>
      <c r="M31" s="217">
        <f>SUM(M19:M30)</f>
        <v/>
      </c>
      <c r="N31" s="217">
        <f>SUM(N19:N30)</f>
        <v/>
      </c>
      <c r="O31" s="217">
        <f>SUM(O19:O30)</f>
        <v/>
      </c>
      <c r="P31" s="217">
        <f>SUM(P19:P30)</f>
        <v/>
      </c>
      <c r="Q31" s="217">
        <f>SUM(Q19:Q30)</f>
        <v/>
      </c>
      <c r="R31" s="217">
        <f>SUM(R19:R30)</f>
        <v/>
      </c>
      <c r="S31" s="217">
        <f>SUM(S19:S30)</f>
        <v/>
      </c>
      <c r="T31" s="217">
        <f>SUM(T19:T30)</f>
        <v/>
      </c>
      <c r="U31" s="217">
        <f>SUM(U19:U30)</f>
        <v/>
      </c>
      <c r="V31" s="217">
        <f>SUM(V19:V30)</f>
        <v/>
      </c>
      <c r="W31" s="217">
        <f>SUM(W19:W30)</f>
        <v/>
      </c>
      <c r="X31" s="217">
        <f>SUM(X19:X30)</f>
        <v/>
      </c>
      <c r="Y31" s="217">
        <f>SUM(Y19:Y30)</f>
        <v/>
      </c>
      <c r="Z31" s="217">
        <f>SUM(Z19:Z30)</f>
        <v/>
      </c>
      <c r="AA31" s="217">
        <f>SUM(AA19:AA30)</f>
        <v/>
      </c>
      <c r="AB31" s="217">
        <f>SUM(AB19:AB30)</f>
        <v/>
      </c>
      <c r="AC31" s="217">
        <f>SUM(AC19:AC30)</f>
        <v/>
      </c>
      <c r="AD31" s="217">
        <f>SUM(AD19:AD30)</f>
        <v/>
      </c>
      <c r="AE31" s="217">
        <f>SUM(AE19:AE30)</f>
        <v/>
      </c>
      <c r="AF31" s="217">
        <f>SUM(AF19:AF30)</f>
        <v/>
      </c>
      <c r="AG31" s="217">
        <f>SUM(AG19:AG30)</f>
        <v/>
      </c>
      <c r="AH31" s="217">
        <f>SUM(AH19:AH30)</f>
        <v/>
      </c>
      <c r="AI31" s="217">
        <f>SUM(AI19:AI30)</f>
        <v/>
      </c>
      <c r="AJ31" s="217">
        <f>SUM(AJ19:AJ30)</f>
        <v/>
      </c>
      <c r="AK31" s="217">
        <f>SUM(AK19:AK30)</f>
        <v/>
      </c>
      <c r="AL31" s="204" t="n"/>
    </row>
    <row r="32" ht="26" customFormat="1" customHeight="1" s="180">
      <c r="A32" s="33" t="n"/>
      <c r="B32" s="199" t="n"/>
      <c r="C32" s="199" t="n"/>
      <c r="D32" s="218" t="inlineStr">
        <is>
          <t>(三)材料费</t>
        </is>
      </c>
      <c r="E32" s="199" t="n"/>
      <c r="F32" s="199" t="n"/>
      <c r="G32" s="19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203" t="n"/>
      <c r="U32" s="203" t="n"/>
      <c r="V32" s="203" t="n"/>
      <c r="W32" s="203" t="n"/>
      <c r="X32" s="203" t="n"/>
      <c r="Y32" s="203" t="n"/>
      <c r="Z32" s="203" t="n"/>
      <c r="AA32" s="203" t="n"/>
      <c r="AB32" s="220" t="n"/>
      <c r="AC32" s="220" t="n"/>
      <c r="AD32" s="220" t="n"/>
      <c r="AE32" s="220" t="n"/>
      <c r="AF32" s="220" t="n"/>
      <c r="AG32" s="220" t="n"/>
      <c r="AH32" s="220" t="n"/>
      <c r="AI32" s="220" t="n"/>
      <c r="AJ32" s="220" t="n"/>
      <c r="AK32" s="188">
        <f>AB24/1.17*0.17+AC24/1.16*0.16+AD24/1.11*0.11+AE24/1.1*0.1+AF24/1.09*0.09+AI24/1.03*0.03</f>
        <v/>
      </c>
      <c r="AL32" s="221" t="n"/>
    </row>
    <row r="33" ht="14" customFormat="1" customHeight="1" s="180">
      <c r="A33" s="33" t="n"/>
      <c r="B33" s="199" t="n"/>
      <c r="C33" s="199" t="n"/>
      <c r="D33" s="189" t="inlineStr">
        <is>
          <t>（1）集中采购</t>
        </is>
      </c>
      <c r="E33" s="199" t="n"/>
      <c r="F33" s="199" t="n"/>
      <c r="G33" s="199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203" t="n"/>
      <c r="U33" s="203" t="n"/>
      <c r="V33" s="203" t="n"/>
      <c r="W33" s="203" t="n"/>
      <c r="X33" s="203" t="n"/>
      <c r="Y33" s="203" t="n"/>
      <c r="Z33" s="203" t="n"/>
      <c r="AA33" s="203" t="n"/>
      <c r="AB33" s="220" t="n"/>
      <c r="AC33" s="220" t="n"/>
      <c r="AD33" s="220" t="n"/>
      <c r="AE33" s="220" t="n"/>
      <c r="AF33" s="220" t="n"/>
      <c r="AG33" s="220" t="n"/>
      <c r="AH33" s="220" t="n"/>
      <c r="AI33" s="220" t="n"/>
      <c r="AJ33" s="220" t="n"/>
      <c r="AK33" s="188">
        <f>AB25/1.17*0.17+AC25/1.16*0.16+AD25/1.11*0.11+AE25/1.1*0.1+AF25/1.09*0.09+AI25/1.03*0.03</f>
        <v/>
      </c>
      <c r="AL33" s="221" t="n"/>
    </row>
    <row r="34" ht="14" customFormat="1" customHeight="1" s="180">
      <c r="A34" s="33" t="n"/>
      <c r="B34" s="199" t="n"/>
      <c r="C34" s="199" t="n"/>
      <c r="D34" s="222" t="n"/>
      <c r="E34" s="213" t="n"/>
      <c r="F34" s="213" t="n"/>
      <c r="G34" s="213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189">
        <f>SUM(AA26:AJ26)</f>
        <v/>
      </c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AB26/1.17*0.17+AC26/1.16*0.16+AD26/1.11*0.11+AE26/1.1*0.1+AF26/1.09*0.09+AI26/1.03*0.03</f>
        <v/>
      </c>
      <c r="AL34" s="221" t="n"/>
    </row>
    <row r="35" ht="14" customFormat="1" customHeight="1" s="180">
      <c r="A35" s="33" t="n"/>
      <c r="B35" s="199" t="n"/>
      <c r="C35" s="199" t="n"/>
      <c r="D35" s="222" t="n"/>
      <c r="E35" s="213" t="n"/>
      <c r="F35" s="213" t="n"/>
      <c r="G35" s="213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189">
        <f>SUM(AA27:AJ27)</f>
        <v/>
      </c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AB27/1.17*0.17+AC27/1.16*0.16+AD27/1.11*0.11+AE27/1.1*0.1+AF27/1.09*0.09+AI27/1.03*0.03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SUM(AA28:AJ28)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AB28/1.17*0.17+AC28/1.16*0.16+AD28/1.11*0.11+AE28/1.1*0.1+AF28/1.09*0.09+AI28/1.03*0.03</f>
        <v/>
      </c>
      <c r="AL36" s="221" t="n"/>
    </row>
    <row r="37" ht="14" customFormat="1" customHeight="1" s="180">
      <c r="A37" s="33" t="n"/>
      <c r="B37" s="199" t="n"/>
      <c r="C37" s="199" t="n"/>
      <c r="D37" s="189" t="inlineStr">
        <is>
          <t>（2）自行采购</t>
        </is>
      </c>
      <c r="E37" s="219" t="n"/>
      <c r="F37" s="219" t="n"/>
      <c r="G37" s="219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SUM(AA29:AJ29)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AB29/1.17*0.17+AC29/1.16*0.16+AD29/1.11*0.11+AE29/1.1*0.1+AF29/1.09*0.09+AI29/1.03*0.03</f>
        <v/>
      </c>
      <c r="AL37" s="221" t="n"/>
    </row>
    <row r="38" ht="14" customFormat="1" customHeight="1" s="180">
      <c r="A38" s="206" t="n">
        <v>1</v>
      </c>
      <c r="B38" s="206" t="inlineStr">
        <is>
          <t>100237790</t>
        </is>
      </c>
      <c r="C38" s="207" t="inlineStr">
        <is>
          <t>中建四局0200202104506006</t>
        </is>
      </c>
      <c r="D38" s="207" t="inlineStr">
        <is>
          <t>佛山唐贵五金电器有限公司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36234</v>
      </c>
      <c r="N38" s="210" t="n">
        <v>4710.42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40944.42</v>
      </c>
      <c r="U38" s="206" t="n"/>
      <c r="V38" s="206" t="n"/>
    </row>
    <row r="39" ht="14" customFormat="1" customHeight="1" s="180">
      <c r="A39" s="206" t="n">
        <v>2</v>
      </c>
      <c r="B39" s="206" t="inlineStr">
        <is>
          <t>100082646</t>
        </is>
      </c>
      <c r="C39" s="207" t="inlineStr">
        <is>
          <t>中建四局0200202104506020</t>
        </is>
      </c>
      <c r="D39" s="207" t="inlineStr">
        <is>
          <t>佛山市南海升辉水泥预制件厂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88252.49000000001</v>
      </c>
      <c r="N39" s="210" t="n">
        <v>11472.83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20000</v>
      </c>
      <c r="U39" s="206" t="n"/>
      <c r="V39" s="206" t="n"/>
    </row>
    <row r="40" ht="14" customFormat="1" customHeight="1" s="180">
      <c r="A40" s="206" t="n">
        <v>3</v>
      </c>
      <c r="B40" s="206" t="inlineStr">
        <is>
          <t>200086855</t>
        </is>
      </c>
      <c r="C40" s="207" t="inlineStr">
        <is>
          <t>中建四局0200202104506011</t>
        </is>
      </c>
      <c r="D40" s="207" t="inlineStr">
        <is>
          <t>佛山市拓海电气设备有限公司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52325.54</v>
      </c>
      <c r="N40" s="210" t="n">
        <v>6802.32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20000</v>
      </c>
      <c r="U40" s="206" t="n"/>
      <c r="V40" s="206" t="n"/>
    </row>
    <row r="41" ht="14" customFormat="1" customHeight="1" s="180">
      <c r="A41" s="206" t="n">
        <v>4</v>
      </c>
      <c r="B41" s="206" t="inlineStr">
        <is>
          <t>200571072</t>
        </is>
      </c>
      <c r="C41" s="207" t="inlineStr">
        <is>
          <t>中建四局0200202104506023</t>
        </is>
      </c>
      <c r="D41" s="207" t="inlineStr">
        <is>
          <t>佛山市益晋建筑材料销售有限公司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32235427.77</v>
      </c>
      <c r="N41" s="210" t="n">
        <v>4190605.59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21170000</v>
      </c>
      <c r="U41" s="206" t="n"/>
      <c r="V41" s="206" t="n"/>
    </row>
    <row r="42" ht="14" customFormat="1" customHeight="1" s="180">
      <c r="A42" s="206" t="n">
        <v>5</v>
      </c>
      <c r="B42" s="206" t="inlineStr">
        <is>
          <t>200162951</t>
        </is>
      </c>
      <c r="C42" s="207" t="inlineStr">
        <is>
          <t>中建四局0200202104506004</t>
        </is>
      </c>
      <c r="D42" s="207" t="inlineStr">
        <is>
          <t>佛山市翊德通新型环保科技建材有限公司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500281.97</v>
      </c>
      <c r="N42" s="210" t="n">
        <v>65036.66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470000</v>
      </c>
      <c r="U42" s="206" t="n"/>
      <c r="V42" s="206" t="n"/>
    </row>
    <row r="43" ht="14" customFormat="1" customHeight="1" s="180">
      <c r="A43" s="206" t="n">
        <v>6</v>
      </c>
      <c r="B43" s="206" t="inlineStr">
        <is>
          <t>100217517</t>
        </is>
      </c>
      <c r="C43" s="207" t="inlineStr">
        <is>
          <t>中建四局020020210045060001</t>
        </is>
      </c>
      <c r="D43" s="207" t="inlineStr">
        <is>
          <t>佛山市顺德区恒锦源贸易有限公司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203010</v>
      </c>
      <c r="N43" s="210" t="n">
        <v>26391.3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7</v>
      </c>
      <c r="B44" s="206" t="inlineStr">
        <is>
          <t>100217517</t>
        </is>
      </c>
      <c r="C44" s="207" t="inlineStr">
        <is>
          <t>中建四局0200202104506005</t>
        </is>
      </c>
      <c r="D44" s="207" t="inlineStr">
        <is>
          <t>佛山市顺德区恒锦源贸易有限公司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776841.17</v>
      </c>
      <c r="N44" s="210" t="n">
        <v>100989.34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646000</v>
      </c>
      <c r="U44" s="206" t="n"/>
      <c r="V44" s="206" t="n"/>
    </row>
    <row r="45" ht="14" customFormat="1" customHeight="1" s="180">
      <c r="A45" s="206" t="n">
        <v>8</v>
      </c>
      <c r="B45" s="206" t="inlineStr">
        <is>
          <t>100217517</t>
        </is>
      </c>
      <c r="C45" s="207" t="inlineStr">
        <is>
          <t>中建四局0200202104506009</t>
        </is>
      </c>
      <c r="D45" s="207" t="inlineStr">
        <is>
          <t>佛山市顺德区恒锦源贸易有限公司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361593.1</v>
      </c>
      <c r="N45" s="210" t="n">
        <v>47007.09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140000</v>
      </c>
      <c r="U45" s="206" t="n"/>
      <c r="V45" s="206" t="n"/>
    </row>
    <row r="46" ht="14" customFormat="1" customHeight="1" s="180">
      <c r="A46" s="206" t="n">
        <v>9</v>
      </c>
      <c r="B46" s="206" t="inlineStr">
        <is>
          <t>200417828</t>
        </is>
      </c>
      <c r="C46" s="207" t="inlineStr">
        <is>
          <t>中建四局0200202104506015</t>
        </is>
      </c>
      <c r="D46" s="207" t="inlineStr">
        <is>
          <t>佛山市顺德区联皓科技开发有限公司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2661431.4</v>
      </c>
      <c r="N46" s="210" t="n">
        <v>345986.09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2100000</v>
      </c>
      <c r="U46" s="206" t="n"/>
      <c r="V46" s="206" t="n"/>
    </row>
    <row r="47" ht="14" customFormat="1" customHeight="1" s="180">
      <c r="A47" s="206" t="n">
        <v>10</v>
      </c>
      <c r="B47" s="206" t="inlineStr">
        <is>
          <t>100006706</t>
        </is>
      </c>
      <c r="C47" s="207" t="inlineStr">
        <is>
          <t>中建四局0200202104506025</t>
        </is>
      </c>
      <c r="D47" s="207" t="inlineStr">
        <is>
          <t>品茗科技股份有限公司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38641.38</v>
      </c>
      <c r="N47" s="210" t="n">
        <v>5023.38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39000</v>
      </c>
      <c r="U47" s="206" t="n"/>
      <c r="V47" s="206" t="n"/>
    </row>
    <row r="48" ht="14" customFormat="1" customHeight="1" s="180">
      <c r="A48" s="206" t="n">
        <v>11</v>
      </c>
      <c r="B48" s="206" t="inlineStr">
        <is>
          <t>200228960</t>
        </is>
      </c>
      <c r="C48" s="207" t="inlineStr">
        <is>
          <t>中建四局0200202104506010</t>
        </is>
      </c>
      <c r="D48" s="207" t="inlineStr">
        <is>
          <t>地兴实业（广州）有限公司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152645.27</v>
      </c>
      <c r="N48" s="210" t="n">
        <v>19843.86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120000</v>
      </c>
      <c r="U48" s="206" t="n"/>
      <c r="V48" s="206" t="n"/>
    </row>
    <row r="49" ht="14" customFormat="1" customHeight="1" s="180">
      <c r="A49" s="206" t="n">
        <v>12</v>
      </c>
      <c r="B49" s="206" t="inlineStr">
        <is>
          <t>200563704</t>
        </is>
      </c>
      <c r="C49" s="207" t="inlineStr">
        <is>
          <t>中建四局0200202104506022</t>
        </is>
      </c>
      <c r="D49" s="207" t="inlineStr">
        <is>
          <t>山东晟初供应链管理有限责任公司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5302261.73</v>
      </c>
      <c r="N49" s="210" t="n">
        <v>689294.02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4743834.61</v>
      </c>
      <c r="U49" s="206" t="n"/>
      <c r="V49" s="206" t="n"/>
    </row>
    <row r="50" ht="14" customFormat="1" customHeight="1" s="180">
      <c r="A50" s="206" t="n">
        <v>13</v>
      </c>
      <c r="B50" s="206" t="inlineStr">
        <is>
          <t>200486755</t>
        </is>
      </c>
      <c r="C50" s="207" t="inlineStr">
        <is>
          <t>中建四局0200202104506024</t>
        </is>
      </c>
      <c r="D50" s="207" t="inlineStr">
        <is>
          <t>广东冠祥新型建材有限公司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608304.67</v>
      </c>
      <c r="N50" s="210" t="n">
        <v>79079.60000000001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374000</v>
      </c>
      <c r="U50" s="206" t="n"/>
      <c r="V50" s="206" t="n"/>
    </row>
    <row r="51" ht="14" customFormat="1" customHeight="1" s="180">
      <c r="A51" s="206" t="n">
        <v>14</v>
      </c>
      <c r="B51" s="206" t="inlineStr">
        <is>
          <t>100217564</t>
        </is>
      </c>
      <c r="C51" s="207" t="inlineStr">
        <is>
          <t>中建四局0200202104506002</t>
        </is>
      </c>
      <c r="D51" s="207" t="inlineStr">
        <is>
          <t>广东顺德雍强贸易有限公司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475239.69</v>
      </c>
      <c r="N51" s="210" t="n">
        <v>61781.16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120000</v>
      </c>
      <c r="U51" s="206" t="n"/>
      <c r="V51" s="206" t="n"/>
    </row>
    <row r="52" ht="14" customFormat="1" customHeight="1" s="180">
      <c r="A52" s="206" t="n">
        <v>15</v>
      </c>
      <c r="B52" s="206" t="inlineStr">
        <is>
          <t>100217350</t>
        </is>
      </c>
      <c r="C52" s="207" t="inlineStr">
        <is>
          <t>中建四局0200202104506003</t>
        </is>
      </c>
      <c r="D52" s="207" t="inlineStr">
        <is>
          <t>广州市嘉宇金属制品有限公司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5220</v>
      </c>
      <c r="N52" s="210" t="n">
        <v>678.6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5898.6</v>
      </c>
      <c r="U52" s="206" t="n"/>
      <c r="V52" s="206" t="n"/>
    </row>
    <row r="53" ht="14" customFormat="1" customHeight="1" s="180">
      <c r="A53" s="206" t="n">
        <v>16</v>
      </c>
      <c r="B53" s="206" t="inlineStr">
        <is>
          <t>100006014</t>
        </is>
      </c>
      <c r="C53" s="207" t="inlineStr">
        <is>
          <t>中建四局0200202104506013</t>
        </is>
      </c>
      <c r="D53" s="207" t="inlineStr">
        <is>
          <t>广州市番禺区石楼镇沙南建材二厂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1393544.89</v>
      </c>
      <c r="N53" s="210" t="n">
        <v>181160.83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1031000</v>
      </c>
      <c r="U53" s="206" t="n"/>
      <c r="V53" s="206" t="n"/>
    </row>
    <row r="54" ht="14" customFormat="1" customHeight="1" s="180">
      <c r="A54" s="206" t="n">
        <v>17</v>
      </c>
      <c r="B54" s="206" t="inlineStr">
        <is>
          <t>100119801</t>
        </is>
      </c>
      <c r="C54" s="207" t="inlineStr">
        <is>
          <t>中建四局0200202104506014</t>
        </is>
      </c>
      <c r="D54" s="207" t="inlineStr">
        <is>
          <t>广州禄臻贸易有限公司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64927.94</v>
      </c>
      <c r="N54" s="210" t="n">
        <v>8440.610000000001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54000</v>
      </c>
      <c r="U54" s="206" t="n"/>
      <c r="V54" s="206" t="n"/>
    </row>
    <row r="55" ht="14" customFormat="1" customHeight="1" s="180">
      <c r="A55" s="206" t="n">
        <v>18</v>
      </c>
      <c r="B55" s="206" t="inlineStr">
        <is>
          <t>100237088</t>
        </is>
      </c>
      <c r="C55" s="207" t="inlineStr">
        <is>
          <t>中建四局0200202104506021</t>
        </is>
      </c>
      <c r="D55" s="207" t="inlineStr">
        <is>
          <t>无锡市恒顺金属材料有限公司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18441166.94</v>
      </c>
      <c r="N55" s="210" t="n">
        <v>2397351.73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9585000</v>
      </c>
      <c r="U55" s="206" t="n"/>
      <c r="V55" s="206" t="n"/>
    </row>
    <row r="56" ht="14" customFormat="1" customHeight="1" s="180">
      <c r="A56" s="206" t="n">
        <v>19</v>
      </c>
      <c r="B56" s="206" t="inlineStr">
        <is>
          <t>200132050</t>
        </is>
      </c>
      <c r="C56" s="207" t="inlineStr">
        <is>
          <t>中建四局0200202104506019</t>
        </is>
      </c>
      <c r="D56" s="207" t="inlineStr">
        <is>
          <t>江门市擎宏科技实业有限公司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513151.15</v>
      </c>
      <c r="N56" s="210" t="n">
        <v>66709.64999999999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396000</v>
      </c>
      <c r="U56" s="206" t="n"/>
      <c r="V56" s="206" t="n"/>
    </row>
    <row r="57" ht="14" customFormat="1" customHeight="1" s="180">
      <c r="A57" s="206" t="n">
        <v>20</v>
      </c>
      <c r="B57" s="206" t="inlineStr">
        <is>
          <t>100022585</t>
        </is>
      </c>
      <c r="C57" s="207" t="inlineStr">
        <is>
          <t>中建四局0200202104506001</t>
        </is>
      </c>
      <c r="D57" s="207" t="inlineStr">
        <is>
          <t>漳州路桥物资发展有限公司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4104767.08</v>
      </c>
      <c r="N57" s="210" t="n">
        <v>533619.72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3321130.53</v>
      </c>
      <c r="U57" s="206" t="n"/>
      <c r="V57" s="206" t="n"/>
    </row>
    <row r="58" ht="14" customFormat="1" customHeight="1" s="180">
      <c r="A58" s="206" t="n">
        <v>21</v>
      </c>
      <c r="B58" s="206" t="inlineStr">
        <is>
          <t>100199057</t>
        </is>
      </c>
      <c r="C58" s="207" t="inlineStr">
        <is>
          <t>中建四局0200202104506007</t>
        </is>
      </c>
      <c r="D58" s="207" t="inlineStr">
        <is>
          <t>福建省莆田市龙兴劳保用品有限公司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96272</v>
      </c>
      <c r="N58" s="210" t="n">
        <v>12515.36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22</v>
      </c>
      <c r="B59" s="206" t="inlineStr">
        <is>
          <t>100199057</t>
        </is>
      </c>
      <c r="C59" s="207" t="inlineStr">
        <is>
          <t>中建四局0200202104506008</t>
        </is>
      </c>
      <c r="D59" s="207" t="inlineStr">
        <is>
          <t>福建省莆田市龙兴劳保用品有限公司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87520</v>
      </c>
      <c r="N59" s="210" t="n">
        <v>11377.6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23</v>
      </c>
      <c r="B60" s="206" t="n"/>
      <c r="C60" s="207" t="n"/>
      <c r="D60" s="207" t="inlineStr">
        <is>
          <t>研发支出-材料费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-8056947.95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33" t="n">
        <v>24</v>
      </c>
      <c r="B61" s="199" t="n"/>
      <c r="C61" s="199" t="n"/>
      <c r="D61" s="218" t="inlineStr">
        <is>
          <t>材料调入</t>
        </is>
      </c>
      <c r="E61" s="199" t="n"/>
      <c r="F61" s="199" t="n"/>
      <c r="G61" s="199" t="n"/>
      <c r="H61" s="189" t="n"/>
      <c r="I61" s="189" t="n"/>
      <c r="J61" s="189" t="n"/>
      <c r="K61" s="201" t="n"/>
      <c r="L61" s="202" t="n"/>
      <c r="M61" s="223" t="n">
        <v>7208164.12</v>
      </c>
      <c r="N61" s="189" t="n"/>
      <c r="O61" s="189">
        <f>L61-M61</f>
        <v/>
      </c>
      <c r="P61" s="189">
        <f>K61-N61</f>
        <v/>
      </c>
      <c r="Q61" s="189">
        <f>M61+O61</f>
        <v/>
      </c>
      <c r="R61" s="189">
        <f>M61+N61+O61+P61</f>
        <v/>
      </c>
      <c r="S61" s="203">
        <f>SUM(T61:V61)</f>
        <v/>
      </c>
      <c r="T61" s="203" t="n"/>
      <c r="U61" s="203" t="n"/>
      <c r="V61" s="203" t="n"/>
      <c r="W61" s="203" t="n"/>
      <c r="X61" s="203" t="n"/>
      <c r="Y61" s="203" t="n"/>
      <c r="Z61" s="189">
        <f>SUM(AA30:AJ30)</f>
        <v/>
      </c>
      <c r="AA61" s="203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188">
        <f>AB30/1.17*0.17+AC30/1.16*0.16+AD30/1.11*0.11+AE30/1.1*0.1+AF30/1.09*0.09+AI30/1.03*0.03</f>
        <v/>
      </c>
      <c r="AL61" s="221" t="n"/>
    </row>
    <row r="62" ht="14" customFormat="1" customHeight="1" s="180">
      <c r="A62" s="33" t="n">
        <v>25</v>
      </c>
      <c r="B62" s="199" t="n"/>
      <c r="C62" s="199" t="n"/>
      <c r="D62" s="218" t="inlineStr">
        <is>
          <t>材料调出（注：负数填报）</t>
        </is>
      </c>
      <c r="E62" s="224" t="n"/>
      <c r="F62" s="224" t="n"/>
      <c r="G62" s="224" t="n"/>
      <c r="H62" s="225" t="n"/>
      <c r="I62" s="225" t="n"/>
      <c r="J62" s="189" t="n"/>
      <c r="K62" s="201" t="n"/>
      <c r="L62" s="202" t="n"/>
      <c r="M62" s="226" t="n">
        <v>-2516875.22</v>
      </c>
      <c r="N62" s="225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25" t="n"/>
      <c r="U62" s="225" t="n"/>
      <c r="V62" s="225" t="n"/>
      <c r="W62" s="225" t="n"/>
      <c r="X62" s="225" t="n"/>
      <c r="Y62" s="225" t="n"/>
      <c r="Z62" s="189">
        <f>SUM(AA31:AJ31)</f>
        <v/>
      </c>
      <c r="AA62" s="225" t="n"/>
      <c r="AB62" s="227" t="n"/>
      <c r="AC62" s="227" t="n"/>
      <c r="AD62" s="227" t="n"/>
      <c r="AE62" s="227" t="n"/>
      <c r="AF62" s="227" t="n"/>
      <c r="AG62" s="227" t="n"/>
      <c r="AH62" s="227" t="n"/>
      <c r="AI62" s="227" t="n"/>
      <c r="AJ62" s="227" t="n"/>
      <c r="AK62" s="188">
        <f>AB31/1.17*0.17+AC31/1.16*0.16+AD31/1.11*0.11+AE31/1.1*0.1+AF31/1.09*0.09+AI31/1.03*0.03</f>
        <v/>
      </c>
      <c r="AL62" s="228" t="n"/>
    </row>
    <row r="63" ht="14" customFormat="1" customHeight="1" s="180">
      <c r="A63" s="33" t="n"/>
      <c r="B63" s="199" t="n"/>
      <c r="C63" s="199" t="n"/>
      <c r="D63" s="218" t="inlineStr">
        <is>
          <t>材料库存（注：项目已结算未使用材料冲减项目成本，负数填报）</t>
        </is>
      </c>
      <c r="E63" s="224" t="n"/>
      <c r="F63" s="224" t="n"/>
      <c r="G63" s="224" t="n"/>
      <c r="H63" s="225" t="n"/>
      <c r="I63" s="225" t="n"/>
      <c r="J63" s="189" t="n"/>
      <c r="K63" s="201" t="n"/>
      <c r="L63" s="202" t="n"/>
      <c r="M63" s="225" t="n"/>
      <c r="N63" s="225" t="n"/>
      <c r="O63" s="189" t="n"/>
      <c r="P63" s="189" t="n"/>
      <c r="Q63" s="189" t="n"/>
      <c r="R63" s="189" t="n"/>
      <c r="S63" s="203" t="n"/>
      <c r="T63" s="225" t="n"/>
      <c r="U63" s="225" t="n"/>
      <c r="V63" s="225" t="n"/>
      <c r="W63" s="225" t="n"/>
      <c r="X63" s="225" t="n"/>
      <c r="Y63" s="225" t="n"/>
      <c r="Z63" s="189" t="n"/>
      <c r="AA63" s="225" t="n"/>
      <c r="AB63" s="227" t="n"/>
      <c r="AC63" s="227" t="n"/>
      <c r="AD63" s="227" t="n"/>
      <c r="AE63" s="227" t="n"/>
      <c r="AF63" s="227" t="n"/>
      <c r="AG63" s="227" t="n"/>
      <c r="AH63" s="227" t="n"/>
      <c r="AI63" s="227" t="n"/>
      <c r="AJ63" s="227" t="n"/>
      <c r="AK63" s="188" t="n"/>
      <c r="AL63" s="228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20" t="n"/>
      <c r="AC64" s="220" t="n"/>
      <c r="AD64" s="220" t="n"/>
      <c r="AE64" s="220" t="n"/>
      <c r="AF64" s="220" t="n"/>
      <c r="AG64" s="220" t="n"/>
      <c r="AH64" s="220" t="n"/>
      <c r="AI64" s="220" t="n"/>
      <c r="AJ64" s="220" t="n"/>
      <c r="AK64" s="188">
        <f>AB33/1.17*0.17+AC33/1.16*0.16+AD33/1.11*0.11+AE33/1.1*0.1+AF33/1.09*0.09+AI33/1.03*0.03</f>
        <v/>
      </c>
      <c r="AL64" s="221" t="n"/>
    </row>
    <row r="65" ht="14" customFormat="1" customHeight="1" s="180">
      <c r="A65" s="41" t="n"/>
      <c r="B65" s="215" t="n"/>
      <c r="C65" s="215" t="n"/>
      <c r="D65" s="216" t="inlineStr">
        <is>
          <t>材料费小计：</t>
        </is>
      </c>
      <c r="E65" s="217">
        <f>SUM(E32:E64)</f>
        <v/>
      </c>
      <c r="F65" s="217">
        <f>SUM(F32:F64)</f>
        <v/>
      </c>
      <c r="G65" s="217">
        <f>SUM(G32:G64)</f>
        <v/>
      </c>
      <c r="H65" s="217">
        <f>SUM(H32:H64)</f>
        <v/>
      </c>
      <c r="I65" s="217">
        <f>SUM(I32:I64)</f>
        <v/>
      </c>
      <c r="J65" s="217">
        <f>SUM(J32:J64)</f>
        <v/>
      </c>
      <c r="K65" s="217">
        <f>SUM(K32:K64)</f>
        <v/>
      </c>
      <c r="L65" s="217">
        <f>SUM(L32:L64)</f>
        <v/>
      </c>
      <c r="M65" s="217">
        <f>SUM(M32:M64)</f>
        <v/>
      </c>
      <c r="N65" s="217">
        <f>SUM(N32:N64)</f>
        <v/>
      </c>
      <c r="O65" s="217">
        <f>SUM(O32:O64)</f>
        <v/>
      </c>
      <c r="P65" s="217">
        <f>SUM(P32:P64)</f>
        <v/>
      </c>
      <c r="Q65" s="217">
        <f>SUM(Q32:Q64)</f>
        <v/>
      </c>
      <c r="R65" s="217">
        <f>SUM(R32:R64)</f>
        <v/>
      </c>
      <c r="S65" s="217">
        <f>SUM(S32:S64)</f>
        <v/>
      </c>
      <c r="T65" s="217">
        <f>SUM(T32:T64)</f>
        <v/>
      </c>
      <c r="U65" s="217">
        <f>SUM(U32:U64)</f>
        <v/>
      </c>
      <c r="V65" s="217">
        <f>SUM(V32:V64)</f>
        <v/>
      </c>
      <c r="W65" s="217">
        <f>SUM(W32:W64)</f>
        <v/>
      </c>
      <c r="X65" s="217">
        <f>SUM(X32:X64)</f>
        <v/>
      </c>
      <c r="Y65" s="217">
        <f>SUM(Y32:Y64)</f>
        <v/>
      </c>
      <c r="Z65" s="217">
        <f>SUM(Z32:Z64)</f>
        <v/>
      </c>
      <c r="AA65" s="217">
        <f>SUM(AA32:AA64)</f>
        <v/>
      </c>
      <c r="AB65" s="217">
        <f>SUM(AB32:AB64)</f>
        <v/>
      </c>
      <c r="AC65" s="217">
        <f>SUM(AC32:AC64)</f>
        <v/>
      </c>
      <c r="AD65" s="217">
        <f>SUM(AD32:AD64)</f>
        <v/>
      </c>
      <c r="AE65" s="217">
        <f>SUM(AE32:AE64)</f>
        <v/>
      </c>
      <c r="AF65" s="217">
        <f>SUM(AF32:AF64)</f>
        <v/>
      </c>
      <c r="AG65" s="217">
        <f>SUM(AG32:AG64)</f>
        <v/>
      </c>
      <c r="AH65" s="217">
        <f>SUM(AH32:AH64)</f>
        <v/>
      </c>
      <c r="AI65" s="217">
        <f>SUM(AI32:AI64)</f>
        <v/>
      </c>
      <c r="AJ65" s="217">
        <f>SUM(AJ32:AJ64)</f>
        <v/>
      </c>
      <c r="AK65" s="217">
        <f>SUM(AK32:AK64)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(四）机械租赁费</t>
        </is>
      </c>
      <c r="E66" s="212" t="n"/>
      <c r="F66" s="212" t="n"/>
      <c r="G66" s="212" t="n"/>
      <c r="H66" s="189" t="n"/>
      <c r="I66" s="189" t="n"/>
      <c r="J66" s="189" t="n"/>
      <c r="K66" s="201" t="n">
        <v>0</v>
      </c>
      <c r="L66" s="202">
        <f>J66-K66</f>
        <v/>
      </c>
      <c r="M66" s="184" t="n"/>
      <c r="N66" s="184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03" t="n"/>
      <c r="AC66" s="203" t="n"/>
      <c r="AD66" s="203" t="n"/>
      <c r="AE66" s="203" t="n"/>
      <c r="AF66" s="203" t="n"/>
      <c r="AG66" s="203" t="n"/>
      <c r="AH66" s="203" t="n"/>
      <c r="AI66" s="203" t="n"/>
      <c r="AJ66" s="203" t="n"/>
      <c r="AK66" s="188">
        <f>AB35/1.17*0.17+AC35/1.16*0.16+AD35/1.11*0.11+AE35/1.1*0.1+AF35/1.09*0.09+AI35/1.03*0.03</f>
        <v/>
      </c>
      <c r="AL66" s="204" t="n"/>
    </row>
    <row r="67" ht="14" customFormat="1" customHeight="1" s="180">
      <c r="A67" s="206" t="n">
        <v>1</v>
      </c>
      <c r="B67" s="206" t="inlineStr">
        <is>
          <t>200210767</t>
        </is>
      </c>
      <c r="C67" s="207" t="inlineStr">
        <is>
          <t>中建四局0200202104505005</t>
        </is>
      </c>
      <c r="D67" s="207" t="inlineStr">
        <is>
          <t>佛山市格瑞卡工程机械有限公司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525678.79</v>
      </c>
      <c r="N67" s="210" t="n">
        <v>68338.25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500000</v>
      </c>
      <c r="U67" s="206" t="n"/>
      <c r="V67" s="206" t="n"/>
    </row>
    <row r="68" ht="14" customFormat="1" customHeight="1" s="180">
      <c r="A68" s="206" t="n">
        <v>2</v>
      </c>
      <c r="B68" s="206" t="inlineStr">
        <is>
          <t>100051486</t>
        </is>
      </c>
      <c r="C68" s="207" t="inlineStr">
        <is>
          <t>中建四局0200202104505001</t>
        </is>
      </c>
      <c r="D68" s="207" t="inlineStr">
        <is>
          <t>佛山市赢鑫建筑机械租赁有限公司</t>
        </is>
      </c>
      <c r="E68" s="206" t="n"/>
      <c r="F68" s="206" t="n"/>
      <c r="G68" s="206" t="n"/>
      <c r="H68" s="206" t="n"/>
      <c r="I68" s="206" t="n"/>
      <c r="J68" s="206">
        <f>H68+I68</f>
        <v/>
      </c>
      <c r="K68" s="208" t="n"/>
      <c r="L68" s="209">
        <f>J68-K68</f>
        <v/>
      </c>
      <c r="M68" s="210" t="n">
        <v>2664395.77</v>
      </c>
      <c r="N68" s="210" t="n">
        <v>384884.26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2589487</v>
      </c>
      <c r="U68" s="206" t="n"/>
      <c r="V68" s="206" t="n"/>
    </row>
    <row r="69" ht="39" customFormat="1" customHeight="1" s="180">
      <c r="A69" s="206" t="n">
        <v>3</v>
      </c>
      <c r="B69" s="206" t="inlineStr">
        <is>
          <t>100051486</t>
        </is>
      </c>
      <c r="C69" s="207" t="inlineStr">
        <is>
          <t>中建四局0200202104505006</t>
        </is>
      </c>
      <c r="D69" s="207" t="inlineStr">
        <is>
          <t>佛山市赢鑫建筑机械租赁有限公司</t>
        </is>
      </c>
      <c r="E69" s="206" t="n"/>
      <c r="F69" s="206" t="n"/>
      <c r="G69" s="206" t="n"/>
      <c r="H69" s="206" t="n"/>
      <c r="I69" s="206" t="n"/>
      <c r="J69" s="206">
        <f>H69+I69</f>
        <v/>
      </c>
      <c r="K69" s="208" t="n"/>
      <c r="L69" s="209">
        <f>J69-K69</f>
        <v/>
      </c>
      <c r="M69" s="210" t="n">
        <v>1649466.49</v>
      </c>
      <c r="N69" s="210" t="n">
        <v>209938.79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1200000</v>
      </c>
      <c r="U69" s="206" t="n"/>
      <c r="V69" s="206" t="n"/>
    </row>
    <row r="70" ht="14" customFormat="1" customHeight="1" s="180">
      <c r="A70" s="206" t="n">
        <v>4</v>
      </c>
      <c r="B70" s="206" t="inlineStr">
        <is>
          <t>100117504</t>
        </is>
      </c>
      <c r="C70" s="207" t="inlineStr">
        <is>
          <t>中建四局0200202104505003</t>
        </is>
      </c>
      <c r="D70" s="207" t="inlineStr">
        <is>
          <t>广州大丰工程机械设备有限公司</t>
        </is>
      </c>
      <c r="E70" s="206" t="n"/>
      <c r="F70" s="206" t="n"/>
      <c r="G70" s="206" t="n"/>
      <c r="H70" s="206" t="n"/>
      <c r="I70" s="206" t="n"/>
      <c r="J70" s="206">
        <f>H70+I70</f>
        <v/>
      </c>
      <c r="K70" s="208" t="n"/>
      <c r="L70" s="209">
        <f>J70-K70</f>
        <v/>
      </c>
      <c r="M70" s="210" t="n">
        <v>74299.99000000001</v>
      </c>
      <c r="N70" s="210" t="n">
        <v>9659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83958.99000000001</v>
      </c>
      <c r="U70" s="206" t="n"/>
      <c r="V70" s="206" t="n"/>
    </row>
    <row r="71" ht="14" customFormat="1" customHeight="1" s="180">
      <c r="A71" s="206" t="n">
        <v>5</v>
      </c>
      <c r="B71" s="206" t="inlineStr">
        <is>
          <t>100217502</t>
        </is>
      </c>
      <c r="C71" s="207" t="inlineStr">
        <is>
          <t>中建四局0200202104505004</t>
        </is>
      </c>
      <c r="D71" s="207" t="inlineStr">
        <is>
          <t>广州湘亿货运代理有限公司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14793</v>
      </c>
      <c r="N71" s="210" t="n">
        <v>1331.37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16124.37</v>
      </c>
      <c r="U71" s="206" t="n"/>
      <c r="V71" s="206" t="n"/>
    </row>
    <row r="72" ht="14" customFormat="1" customHeight="1" s="180">
      <c r="A72" s="33" t="n"/>
      <c r="B72" s="199" t="n"/>
      <c r="C72" s="199" t="n"/>
      <c r="D72" s="211" t="inlineStr">
        <is>
          <t>**财务未列部分需增列***</t>
        </is>
      </c>
      <c r="E72" s="229" t="n"/>
      <c r="F72" s="229" t="n"/>
      <c r="G72" s="229" t="n"/>
      <c r="H72" s="189" t="n"/>
      <c r="I72" s="189" t="n"/>
      <c r="J72" s="189" t="n"/>
      <c r="K72" s="201" t="n">
        <v>0</v>
      </c>
      <c r="L72" s="202">
        <f>J72-K72</f>
        <v/>
      </c>
      <c r="M72" s="230" t="n"/>
      <c r="N72" s="230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30" t="n"/>
      <c r="U72" s="230" t="n"/>
      <c r="V72" s="230" t="n"/>
      <c r="W72" s="230" t="n"/>
      <c r="X72" s="230" t="n"/>
      <c r="Y72" s="230" t="n"/>
      <c r="Z72" s="230" t="n"/>
      <c r="AA72" s="203" t="n"/>
      <c r="AB72" s="188" t="n"/>
      <c r="AC72" s="188" t="n"/>
      <c r="AD72" s="188" t="n"/>
      <c r="AE72" s="188" t="n"/>
      <c r="AF72" s="188" t="n"/>
      <c r="AG72" s="188" t="n"/>
      <c r="AH72" s="188" t="n"/>
      <c r="AI72" s="188" t="n"/>
      <c r="AJ72" s="188" t="n"/>
      <c r="AK72" s="188">
        <f>AB37/1.17*0.17+AC37/1.16*0.16+AD37/1.11*0.11+AE37/1.1*0.1+AF37/1.09*0.09+AI37/1.03*0.03</f>
        <v/>
      </c>
      <c r="AL72" s="214" t="n"/>
    </row>
    <row r="73" ht="14" customFormat="1" customHeight="1" s="180">
      <c r="A73" s="41" t="n"/>
      <c r="B73" s="215" t="n"/>
      <c r="C73" s="215" t="n"/>
      <c r="D73" s="231" t="inlineStr">
        <is>
          <t>机械费小计：</t>
        </is>
      </c>
      <c r="E73" s="232" t="n"/>
      <c r="F73" s="232" t="n"/>
      <c r="G73" s="232" t="n"/>
      <c r="H73" s="217">
        <f>SUM(H66:H72)</f>
        <v/>
      </c>
      <c r="I73" s="217">
        <f>SUM(I66:I72)</f>
        <v/>
      </c>
      <c r="J73" s="217">
        <f>SUM(J66:J72)</f>
        <v/>
      </c>
      <c r="K73" s="217">
        <f>SUM(K66:K72)</f>
        <v/>
      </c>
      <c r="L73" s="233">
        <f>SUM(L66:L72)</f>
        <v/>
      </c>
      <c r="M73" s="217">
        <f>SUM(M66:M72)</f>
        <v/>
      </c>
      <c r="N73" s="217">
        <f>SUM(N66:N72)</f>
        <v/>
      </c>
      <c r="O73" s="217">
        <f>SUM(O66:O72)</f>
        <v/>
      </c>
      <c r="P73" s="217">
        <f>SUM(P66:P72)</f>
        <v/>
      </c>
      <c r="Q73" s="217">
        <f>SUM(Q66:Q72)</f>
        <v/>
      </c>
      <c r="R73" s="217">
        <f>SUM(R66:R72)</f>
        <v/>
      </c>
      <c r="S73" s="217">
        <f>SUM(S66:S72)</f>
        <v/>
      </c>
      <c r="T73" s="217" t="n"/>
      <c r="U73" s="217" t="n"/>
      <c r="V73" s="217" t="n"/>
      <c r="W73" s="217" t="n"/>
      <c r="X73" s="217" t="n"/>
      <c r="Y73" s="217" t="n"/>
      <c r="Z73" s="217">
        <f>SUM(Z66:Z72)</f>
        <v/>
      </c>
      <c r="AA73" s="217">
        <f>SUM(AA66:AA72)</f>
        <v/>
      </c>
      <c r="AB73" s="217" t="n"/>
      <c r="AC73" s="217" t="n"/>
      <c r="AD73" s="217" t="n"/>
      <c r="AE73" s="217" t="n"/>
      <c r="AF73" s="217" t="n"/>
      <c r="AG73" s="217" t="n"/>
      <c r="AH73" s="217" t="n"/>
      <c r="AI73" s="217" t="n"/>
      <c r="AJ73" s="217" t="n"/>
      <c r="AK73" s="217" t="n"/>
      <c r="AL73" s="204" t="n"/>
    </row>
    <row r="74" ht="14" customFormat="1" customHeight="1" s="180">
      <c r="A74" s="33" t="n"/>
      <c r="B74" s="199" t="n"/>
      <c r="C74" s="199" t="n"/>
      <c r="D74" s="218" t="inlineStr">
        <is>
          <t>（五）其他直接费</t>
        </is>
      </c>
      <c r="E74" s="212" t="n"/>
      <c r="F74" s="212" t="n"/>
      <c r="G74" s="212" t="n"/>
      <c r="H74" s="189" t="n"/>
      <c r="I74" s="189" t="n"/>
      <c r="J74" s="184" t="n">
        <v>0</v>
      </c>
      <c r="K74" s="201" t="n">
        <v>0</v>
      </c>
      <c r="L74" s="202">
        <f>J74-N74-P74</f>
        <v/>
      </c>
      <c r="M74" s="234" t="n">
        <v>1769.91</v>
      </c>
      <c r="N74" s="184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03" t="n"/>
      <c r="U74" s="203" t="n"/>
      <c r="V74" s="203" t="n"/>
      <c r="W74" s="203" t="n"/>
      <c r="X74" s="203" t="n"/>
      <c r="Y74" s="203" t="n"/>
      <c r="Z74" s="203" t="n"/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188" t="n"/>
      <c r="AL74" s="204" t="n"/>
    </row>
    <row r="75" ht="14" customFormat="1" customHeight="1" s="180">
      <c r="A75" s="206" t="n"/>
      <c r="B75" s="206" t="n"/>
      <c r="C75" s="207" t="n"/>
      <c r="D75" s="207" t="inlineStr">
        <is>
          <t>保险费</t>
        </is>
      </c>
      <c r="E75" s="206" t="n"/>
      <c r="F75" s="206" t="n"/>
      <c r="G75" s="206" t="n"/>
      <c r="H75" s="206" t="n"/>
      <c r="I75" s="206" t="n"/>
      <c r="J75" s="206">
        <f>H75+I75</f>
        <v/>
      </c>
      <c r="K75" s="208" t="n"/>
      <c r="L75" s="209">
        <f>J75-K75</f>
        <v/>
      </c>
      <c r="M75" s="210" t="n">
        <v>724899.0600000001</v>
      </c>
      <c r="N75" s="206" t="n"/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06" t="n"/>
      <c r="U75" s="206" t="n"/>
      <c r="V75" s="206" t="n"/>
    </row>
    <row r="76" ht="14" customFormat="1" customHeight="1" s="180">
      <c r="A76" s="206" t="n"/>
      <c r="B76" s="206" t="n"/>
      <c r="C76" s="207" t="n"/>
      <c r="D76" s="207" t="inlineStr">
        <is>
          <t>其他</t>
        </is>
      </c>
      <c r="E76" s="206" t="n"/>
      <c r="F76" s="206" t="n"/>
      <c r="G76" s="206" t="n"/>
      <c r="H76" s="206" t="n"/>
      <c r="I76" s="206" t="n"/>
      <c r="J76" s="206">
        <f>H76+I76</f>
        <v/>
      </c>
      <c r="K76" s="208" t="n"/>
      <c r="L76" s="209">
        <f>J76-K76</f>
        <v/>
      </c>
      <c r="M76" s="210" t="n">
        <v>79235.21000000001</v>
      </c>
      <c r="N76" s="206" t="n"/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06" t="n"/>
      <c r="U76" s="206" t="n"/>
      <c r="V76" s="206" t="n"/>
    </row>
    <row r="77" ht="14" customFormat="1" customHeight="1" s="180">
      <c r="A77" s="206" t="n"/>
      <c r="B77" s="206" t="n"/>
      <c r="C77" s="207" t="n"/>
      <c r="D77" s="207" t="inlineStr">
        <is>
          <t>咨询费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39798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检验试验费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811573.96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水电费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1550912.85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测量费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12460.82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33" t="n"/>
      <c r="B81" s="199" t="n"/>
      <c r="C81" s="199" t="n"/>
      <c r="D81" s="211" t="inlineStr">
        <is>
          <t>**财务未列部分需增列***</t>
        </is>
      </c>
      <c r="E81" s="212" t="n"/>
      <c r="F81" s="212" t="n"/>
      <c r="G81" s="212" t="n"/>
      <c r="H81" s="189" t="n"/>
      <c r="I81" s="189" t="n"/>
      <c r="J81" s="184" t="n"/>
      <c r="K81" s="201" t="n"/>
      <c r="L81" s="202">
        <f>J81-K81</f>
        <v/>
      </c>
      <c r="M81" s="235" t="n"/>
      <c r="N81" s="235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35" t="n"/>
      <c r="U81" s="235" t="n"/>
      <c r="V81" s="235" t="n"/>
      <c r="W81" s="235" t="n"/>
      <c r="X81" s="235" t="n"/>
      <c r="Y81" s="235" t="n"/>
      <c r="Z81" s="189">
        <f>SUM(AA45:AJ45)</f>
        <v/>
      </c>
      <c r="AA81" s="203" t="n"/>
      <c r="AB81" s="203" t="n"/>
      <c r="AC81" s="203" t="n"/>
      <c r="AD81" s="203" t="n"/>
      <c r="AE81" s="203" t="n"/>
      <c r="AF81" s="203" t="n"/>
      <c r="AG81" s="203" t="n"/>
      <c r="AH81" s="203" t="n"/>
      <c r="AI81" s="203" t="n"/>
      <c r="AJ81" s="203" t="n"/>
      <c r="AK81" s="188" t="n"/>
      <c r="AL81" s="204" t="n"/>
    </row>
    <row r="82" ht="14" customHeight="1" s="159">
      <c r="A82" s="55" t="n"/>
      <c r="B82" s="236" t="n"/>
      <c r="C82" s="236" t="n"/>
      <c r="D82" s="231" t="inlineStr">
        <is>
          <t>其他直接费小计：</t>
        </is>
      </c>
      <c r="E82" s="237" t="n"/>
      <c r="F82" s="237" t="n"/>
      <c r="G82" s="237" t="n"/>
      <c r="H82" s="217">
        <f>SUM(H74:H81)</f>
        <v/>
      </c>
      <c r="I82" s="217">
        <f>SUM(I74:I81)</f>
        <v/>
      </c>
      <c r="J82" s="217">
        <f>SUM(J74:J81)</f>
        <v/>
      </c>
      <c r="K82" s="217">
        <f>SUM(K74:K81)</f>
        <v/>
      </c>
      <c r="L82" s="233">
        <f>SUM(L74:L81)</f>
        <v/>
      </c>
      <c r="M82" s="217">
        <f>SUM(M74:M81)</f>
        <v/>
      </c>
      <c r="N82" s="217">
        <f>SUM(N74:N81)</f>
        <v/>
      </c>
      <c r="O82" s="217">
        <f>L82-M82</f>
        <v/>
      </c>
      <c r="P82" s="217">
        <f>SUM(P74:P81)</f>
        <v/>
      </c>
      <c r="Q82" s="217">
        <f>M82+O82</f>
        <v/>
      </c>
      <c r="R82" s="217">
        <f>SUM(R74:R81)</f>
        <v/>
      </c>
      <c r="S82" s="217">
        <f>SUM(S74:S81)</f>
        <v/>
      </c>
      <c r="T82" s="217" t="n"/>
      <c r="U82" s="217" t="n"/>
      <c r="V82" s="217" t="n"/>
      <c r="W82" s="217" t="n"/>
      <c r="X82" s="217" t="n"/>
      <c r="Y82" s="217" t="n"/>
      <c r="Z82" s="217">
        <f>SUM(Z74:Z81)</f>
        <v/>
      </c>
      <c r="AA82" s="217">
        <f>SUM(AA74:AA81)</f>
        <v/>
      </c>
      <c r="AB82" s="217">
        <f>SUM(AB74:AB81)</f>
        <v/>
      </c>
      <c r="AC82" s="217">
        <f>SUM(AC74:AC81)</f>
        <v/>
      </c>
      <c r="AD82" s="217">
        <f>SUM(AD74:AD81)</f>
        <v/>
      </c>
      <c r="AE82" s="217">
        <f>SUM(AE74:AE81)</f>
        <v/>
      </c>
      <c r="AF82" s="217">
        <f>SUM(AF74:AF81)</f>
        <v/>
      </c>
      <c r="AG82" s="217" t="n"/>
      <c r="AH82" s="217" t="n"/>
      <c r="AI82" s="217">
        <f>SUM(AI74:AI81)</f>
        <v/>
      </c>
      <c r="AJ82" s="217">
        <f>SUM(AJ74:AJ81)</f>
        <v/>
      </c>
      <c r="AK82" s="217">
        <f>SUM(AK74:AK81)</f>
        <v/>
      </c>
      <c r="AL82" s="204" t="n"/>
    </row>
    <row r="83" ht="14" customHeight="1" s="159">
      <c r="A83" s="33" t="n"/>
      <c r="B83" s="199" t="n"/>
      <c r="C83" s="199" t="n"/>
      <c r="D83" s="218" t="inlineStr">
        <is>
          <t>（六）间接费</t>
        </is>
      </c>
      <c r="E83" s="212" t="n"/>
      <c r="F83" s="212" t="n"/>
      <c r="G83" s="212" t="n"/>
      <c r="H83" s="184" t="n"/>
      <c r="I83" s="189" t="n"/>
      <c r="J83" s="189" t="n">
        <v>0</v>
      </c>
      <c r="K83" s="201" t="n">
        <v>0</v>
      </c>
      <c r="L83" s="202">
        <f>J83-N83-P83</f>
        <v/>
      </c>
      <c r="M83" s="184" t="n"/>
      <c r="N83" s="184" t="n"/>
      <c r="O83" s="189">
        <f>L83-M83</f>
        <v/>
      </c>
      <c r="P83" s="189">
        <f>K83-N83</f>
        <v/>
      </c>
      <c r="Q83" s="189">
        <f>M83+O83</f>
        <v/>
      </c>
      <c r="R83" s="189">
        <f>M83+N83+O83+P83</f>
        <v/>
      </c>
      <c r="S83" s="203">
        <f>SUM(T83:V83)</f>
        <v/>
      </c>
      <c r="T83" s="203" t="n"/>
      <c r="U83" s="203" t="n"/>
      <c r="V83" s="203" t="n"/>
      <c r="W83" s="203" t="n"/>
      <c r="X83" s="203" t="n"/>
      <c r="Y83" s="203" t="n"/>
      <c r="Z83" s="203" t="n"/>
      <c r="AA83" s="203" t="n"/>
      <c r="AB83" s="203" t="n"/>
      <c r="AC83" s="203" t="n"/>
      <c r="AD83" s="203" t="n"/>
      <c r="AE83" s="203" t="n"/>
      <c r="AF83" s="203" t="n"/>
      <c r="AG83" s="203" t="n"/>
      <c r="AH83" s="203" t="n"/>
      <c r="AI83" s="203" t="n"/>
      <c r="AJ83" s="203" t="n"/>
      <c r="AK83" s="188" t="n"/>
      <c r="AL83" s="204" t="n"/>
    </row>
    <row r="84">
      <c r="A84" s="206" t="n"/>
      <c r="B84" s="206" t="n"/>
      <c r="C84" s="207" t="n"/>
      <c r="D84" s="207" t="inlineStr">
        <is>
          <t>ZGD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49349.87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企业年金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74494.24000000001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住房公积金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221838.06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保安保洁费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9375.23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修理费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35150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其他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154505.75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冲晒印刷费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27505.96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办公用品费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136910.72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医疗保险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141031.37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咨询认证费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6886.8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基本养老保险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278130.95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境内差旅费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19963.39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失业保险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12392.32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工伤保险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7990.81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工资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3449526.47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市内交通费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1605.51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排污费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1700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水电费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47486.27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燃油费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13463.44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物业租赁费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107763.8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物业管理费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233637.28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社保及公积金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126801.25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租车费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87891.39999999999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绿化绿植费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33744.04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网络使用费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40931.39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206" t="n"/>
      <c r="B109" s="206" t="n"/>
      <c r="C109" s="207" t="n"/>
      <c r="D109" s="207" t="inlineStr">
        <is>
          <t>职工教育经费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9">
        <f>J109-K109</f>
        <v/>
      </c>
      <c r="M109" s="210" t="n">
        <v>10809.19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</row>
    <row r="110">
      <c r="A110" s="206" t="n"/>
      <c r="B110" s="206" t="n"/>
      <c r="C110" s="207" t="n"/>
      <c r="D110" s="207" t="inlineStr">
        <is>
          <t>职工福利费</t>
        </is>
      </c>
      <c r="E110" s="206" t="n"/>
      <c r="F110" s="206" t="n"/>
      <c r="G110" s="206" t="n"/>
      <c r="H110" s="206" t="n"/>
      <c r="I110" s="206" t="n"/>
      <c r="J110" s="206">
        <f>H110+I110</f>
        <v/>
      </c>
      <c r="K110" s="208" t="n"/>
      <c r="L110" s="209">
        <f>J110-K110</f>
        <v/>
      </c>
      <c r="M110" s="210" t="n">
        <v>654227.63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</row>
    <row r="111">
      <c r="A111" s="206" t="n"/>
      <c r="B111" s="206" t="n"/>
      <c r="C111" s="207" t="n"/>
      <c r="D111" s="207" t="inlineStr">
        <is>
          <t>补充医疗保险</t>
        </is>
      </c>
      <c r="E111" s="206" t="n"/>
      <c r="F111" s="206" t="n"/>
      <c r="G111" s="206" t="n"/>
      <c r="H111" s="206" t="n"/>
      <c r="I111" s="206" t="n"/>
      <c r="J111" s="206">
        <f>H111+I111</f>
        <v/>
      </c>
      <c r="K111" s="208" t="n"/>
      <c r="L111" s="209">
        <f>J111-K111</f>
        <v/>
      </c>
      <c r="M111" s="210" t="n">
        <v>1688.96</v>
      </c>
      <c r="N111" s="206" t="n"/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06" t="n"/>
      <c r="U111" s="206" t="n"/>
      <c r="V111" s="206" t="n"/>
    </row>
    <row r="112">
      <c r="A112" s="206" t="n"/>
      <c r="B112" s="206" t="n"/>
      <c r="C112" s="207" t="n"/>
      <c r="D112" s="207" t="inlineStr">
        <is>
          <t>路桥及停车费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22274.68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</row>
    <row r="113">
      <c r="A113" s="206" t="n"/>
      <c r="B113" s="206" t="n"/>
      <c r="C113" s="207" t="n"/>
      <c r="D113" s="207" t="inlineStr">
        <is>
          <t>软件费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2089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通信费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9800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/>
      <c r="B115" s="206" t="n"/>
      <c r="C115" s="207" t="n"/>
      <c r="D115" s="207" t="inlineStr">
        <is>
          <t>邮寄费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3306.35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33" t="n"/>
      <c r="B116" s="199" t="n"/>
      <c r="C116" s="199" t="n"/>
      <c r="D116" s="211" t="inlineStr">
        <is>
          <t>**财务未列部分需增列***</t>
        </is>
      </c>
      <c r="E116" s="212" t="n"/>
      <c r="F116" s="212" t="n"/>
      <c r="G116" s="212" t="n"/>
      <c r="H116" s="235" t="n"/>
      <c r="I116" s="189" t="n"/>
      <c r="J116" s="235" t="n"/>
      <c r="K116" s="201" t="n"/>
      <c r="L116" s="202" t="n"/>
      <c r="M116" s="235" t="n"/>
      <c r="N116" s="189" t="n"/>
      <c r="O116" s="189">
        <f>L116-M116</f>
        <v/>
      </c>
      <c r="P116" s="189">
        <f>K116-N116</f>
        <v/>
      </c>
      <c r="Q116" s="189">
        <f>M116+O116</f>
        <v/>
      </c>
      <c r="R116" s="189">
        <f>M116+N116+O116+P116</f>
        <v/>
      </c>
      <c r="S116" s="203">
        <f>SUM(T116:V116)</f>
        <v/>
      </c>
      <c r="T116" s="235" t="n"/>
      <c r="U116" s="235" t="n"/>
      <c r="V116" s="235" t="n"/>
      <c r="W116" s="235" t="n"/>
      <c r="X116" s="235" t="n"/>
      <c r="Y116" s="235" t="n"/>
      <c r="Z116" s="235" t="n"/>
      <c r="AA116" s="203" t="n"/>
      <c r="AB116" s="188" t="n"/>
      <c r="AC116" s="188" t="n"/>
      <c r="AD116" s="188" t="n"/>
      <c r="AE116" s="188" t="n"/>
      <c r="AF116" s="188" t="n"/>
      <c r="AG116" s="188" t="n"/>
      <c r="AH116" s="188" t="n"/>
      <c r="AI116" s="188" t="n"/>
      <c r="AJ116" s="188" t="n"/>
      <c r="AK116" s="188" t="n"/>
      <c r="AL116" s="214" t="n"/>
    </row>
    <row r="117">
      <c r="A117" s="55" t="n"/>
      <c r="B117" s="236" t="n"/>
      <c r="C117" s="236" t="n"/>
      <c r="D117" s="231" t="inlineStr">
        <is>
          <t>间接费小计：</t>
        </is>
      </c>
      <c r="E117" s="237" t="n"/>
      <c r="F117" s="237" t="n"/>
      <c r="G117" s="237" t="n"/>
      <c r="H117" s="217">
        <f>SUM(H83:H116)</f>
        <v/>
      </c>
      <c r="I117" s="217">
        <f>SUM(I83:I116)</f>
        <v/>
      </c>
      <c r="J117" s="217">
        <f>SUM(J83:J116)</f>
        <v/>
      </c>
      <c r="K117" s="217">
        <f>SUM(K83:K116)</f>
        <v/>
      </c>
      <c r="L117" s="233">
        <f>SUM(L83:L116)</f>
        <v/>
      </c>
      <c r="M117" s="233">
        <f>SUM(M83:M116)</f>
        <v/>
      </c>
      <c r="N117" s="233">
        <f>SUM(N83:N116)</f>
        <v/>
      </c>
      <c r="O117" s="233">
        <f>SUM(O83:O116)</f>
        <v/>
      </c>
      <c r="P117" s="233">
        <f>SUM(P83:P116)</f>
        <v/>
      </c>
      <c r="Q117" s="233">
        <f>SUM(Q83:Q116)</f>
        <v/>
      </c>
      <c r="R117" s="233">
        <f>SUM(R83:R116)</f>
        <v/>
      </c>
      <c r="S117" s="233">
        <f>SUM(S83:S116)</f>
        <v/>
      </c>
      <c r="T117" s="233" t="n"/>
      <c r="U117" s="233" t="n"/>
      <c r="V117" s="233" t="n"/>
      <c r="W117" s="233" t="n"/>
      <c r="X117" s="233" t="n"/>
      <c r="Y117" s="233" t="n"/>
      <c r="Z117" s="233">
        <f>SUM(Z83:Z116)</f>
        <v/>
      </c>
      <c r="AA117" s="233">
        <f>SUM(AA83:AA116)</f>
        <v/>
      </c>
      <c r="AB117" s="233">
        <f>SUM(AB83:AB116)</f>
        <v/>
      </c>
      <c r="AC117" s="233">
        <f>SUM(AC83:AC116)</f>
        <v/>
      </c>
      <c r="AD117" s="233">
        <f>SUM(AD83:AD116)</f>
        <v/>
      </c>
      <c r="AE117" s="233">
        <f>SUM(AE83:AE116)</f>
        <v/>
      </c>
      <c r="AF117" s="233">
        <f>SUM(AF83:AF116)</f>
        <v/>
      </c>
      <c r="AG117" s="233" t="n"/>
      <c r="AH117" s="233" t="n"/>
      <c r="AI117" s="233">
        <f>SUM(AI83:AI116)</f>
        <v/>
      </c>
      <c r="AJ117" s="233">
        <f>SUM(AJ83:AJ116)</f>
        <v/>
      </c>
      <c r="AK117" s="233">
        <f>SUM(AK83:AK116)</f>
        <v/>
      </c>
      <c r="AL117" s="214" t="n"/>
    </row>
    <row r="118">
      <c r="A118" s="33" t="n"/>
      <c r="B118" s="199" t="n"/>
      <c r="C118" s="199" t="n"/>
      <c r="D118" s="218" t="inlineStr">
        <is>
          <t>（七）安全费</t>
        </is>
      </c>
      <c r="E118" s="212" t="n"/>
      <c r="F118" s="212" t="n"/>
      <c r="G118" s="212" t="n"/>
      <c r="H118" s="189" t="n"/>
      <c r="I118" s="189" t="n"/>
      <c r="J118" s="184" t="n">
        <v>0</v>
      </c>
      <c r="K118" s="238" t="n"/>
      <c r="L118" s="202">
        <f>J118-N118-P118</f>
        <v/>
      </c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35" t="n"/>
      <c r="U118" s="235" t="n"/>
      <c r="V118" s="235" t="n"/>
      <c r="W118" s="235" t="n"/>
      <c r="X118" s="235" t="n"/>
      <c r="Y118" s="235" t="n"/>
      <c r="Z118" s="230" t="n"/>
      <c r="AA118" s="203" t="n"/>
      <c r="AB118" s="188" t="n"/>
      <c r="AC118" s="188" t="n"/>
      <c r="AD118" s="188" t="n"/>
      <c r="AE118" s="188" t="n"/>
      <c r="AF118" s="188" t="n"/>
      <c r="AG118" s="188" t="n"/>
      <c r="AH118" s="188" t="n"/>
      <c r="AI118" s="188" t="n"/>
      <c r="AJ118" s="188" t="n"/>
      <c r="AK118" s="188" t="n"/>
      <c r="AL118" s="214" t="n"/>
    </row>
    <row r="119">
      <c r="A119" s="206" t="n"/>
      <c r="B119" s="206" t="n"/>
      <c r="C119" s="207" t="n"/>
      <c r="D119" s="207" t="inlineStr">
        <is>
          <t>安全生产-人工费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9">
        <f>J119-K119</f>
        <v/>
      </c>
      <c r="M119" s="210" t="n">
        <v>90683.96000000001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206" t="n"/>
      <c r="B120" s="206" t="n"/>
      <c r="C120" s="207" t="n"/>
      <c r="D120" s="207" t="inlineStr">
        <is>
          <t>安全生产-分包工程</t>
        </is>
      </c>
      <c r="E120" s="206" t="n"/>
      <c r="F120" s="206" t="n"/>
      <c r="G120" s="206" t="n"/>
      <c r="H120" s="206" t="n"/>
      <c r="I120" s="206" t="n"/>
      <c r="J120" s="206">
        <f>H120+I120</f>
        <v/>
      </c>
      <c r="K120" s="208" t="n"/>
      <c r="L120" s="209">
        <f>J120-K120</f>
        <v/>
      </c>
      <c r="M120" s="210" t="n">
        <v>1576764.52</v>
      </c>
      <c r="N120" s="206" t="n"/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06" t="n"/>
      <c r="U120" s="206" t="n"/>
      <c r="V120" s="206" t="n"/>
    </row>
    <row r="121">
      <c r="A121" s="206" t="n"/>
      <c r="B121" s="206" t="n"/>
      <c r="C121" s="207" t="n"/>
      <c r="D121" s="207" t="inlineStr">
        <is>
          <t>安全生产-机械使用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9">
        <f>J121-K121</f>
        <v/>
      </c>
      <c r="M121" s="210" t="n">
        <v>81500.96000000001</v>
      </c>
      <c r="N121" s="206" t="n"/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06" t="n"/>
      <c r="U121" s="206" t="n"/>
      <c r="V121" s="206" t="n"/>
    </row>
    <row r="122">
      <c r="A122" s="206" t="n"/>
      <c r="B122" s="206" t="n"/>
      <c r="C122" s="207" t="n"/>
      <c r="D122" s="207" t="inlineStr">
        <is>
          <t>安全生产费-报销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33278.8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</row>
    <row r="123">
      <c r="A123" s="55" t="n"/>
      <c r="B123" s="236" t="n"/>
      <c r="C123" s="236" t="n"/>
      <c r="D123" s="231" t="inlineStr">
        <is>
          <t>安全费小计：</t>
        </is>
      </c>
      <c r="E123" s="231" t="n"/>
      <c r="F123" s="231" t="n"/>
      <c r="G123" s="231" t="n"/>
      <c r="H123" s="217">
        <f>SUM(H118:H122)</f>
        <v/>
      </c>
      <c r="I123" s="217">
        <f>SUM(I118:I122)</f>
        <v/>
      </c>
      <c r="J123" s="217" t="n">
        <v>0</v>
      </c>
      <c r="K123" s="217" t="n">
        <v>0</v>
      </c>
      <c r="L123" s="202">
        <f>J123-K123</f>
        <v/>
      </c>
      <c r="M123" s="233">
        <f>SUM(M118:M122)</f>
        <v/>
      </c>
      <c r="N123" s="233">
        <f>SUM(N118:N122)</f>
        <v/>
      </c>
      <c r="O123" s="233">
        <f>SUM(O118:O122)</f>
        <v/>
      </c>
      <c r="P123" s="233">
        <f>SUM(P118:P122)</f>
        <v/>
      </c>
      <c r="Q123" s="233">
        <f>SUM(Q118:Q122)</f>
        <v/>
      </c>
      <c r="R123" s="233">
        <f>SUM(R118:R122)</f>
        <v/>
      </c>
      <c r="S123" s="233">
        <f>SUM(S118:S122)</f>
        <v/>
      </c>
      <c r="T123" s="239" t="n"/>
      <c r="U123" s="239" t="n"/>
      <c r="V123" s="239" t="n"/>
      <c r="W123" s="239" t="n"/>
      <c r="X123" s="239" t="n"/>
      <c r="Y123" s="239" t="n"/>
      <c r="Z123" s="239" t="n"/>
      <c r="AA123" s="239">
        <f>SUM(AA118:AA122)</f>
        <v/>
      </c>
      <c r="AB123" s="239">
        <f>SUM(AB118:AB122)</f>
        <v/>
      </c>
      <c r="AC123" s="239">
        <f>SUM(AC118:AC122)</f>
        <v/>
      </c>
      <c r="AD123" s="239">
        <f>SUM(AD118:AD122)</f>
        <v/>
      </c>
      <c r="AE123" s="239">
        <f>SUM(AE118:AE122)</f>
        <v/>
      </c>
      <c r="AF123" s="239">
        <f>SUM(AF118:AF122)</f>
        <v/>
      </c>
      <c r="AG123" s="239" t="n"/>
      <c r="AH123" s="239" t="n"/>
      <c r="AI123" s="239">
        <f>SUM(AI118:AI122)</f>
        <v/>
      </c>
      <c r="AJ123" s="239">
        <f>SUM(AJ118:AJ122)</f>
        <v/>
      </c>
      <c r="AK123" s="239">
        <f>SUM(AK118:AK122)</f>
        <v/>
      </c>
      <c r="AL123" s="240" t="n"/>
    </row>
    <row r="124">
      <c r="A124" s="55" t="n"/>
      <c r="B124" s="236" t="n"/>
      <c r="C124" s="236" t="n"/>
      <c r="D124" s="231" t="inlineStr">
        <is>
          <t>三、成本合计：</t>
        </is>
      </c>
      <c r="E124" s="237" t="n"/>
      <c r="F124" s="237" t="n"/>
      <c r="G124" s="237" t="n"/>
      <c r="H124" s="217">
        <f>H18+H31+H65+H73+H82+H117+H123</f>
        <v/>
      </c>
      <c r="I124" s="217">
        <f>I18+I31+I65+I73+I82+I117+I123</f>
        <v/>
      </c>
      <c r="J124" s="217">
        <f>J18+J31+J65+J73+J82+J117+J123</f>
        <v/>
      </c>
      <c r="K124" s="217">
        <f>K18+K31+K65+K73+K82+K117+K123</f>
        <v/>
      </c>
      <c r="L124" s="233">
        <f>L18+L31+L65+L73+L82+L117+L123</f>
        <v/>
      </c>
      <c r="M124" s="239">
        <f>M18+M31+M65+M73+M82+M117+M123</f>
        <v/>
      </c>
      <c r="N124" s="239">
        <f>N18+N31+N65+N73+N82+N117+N123</f>
        <v/>
      </c>
      <c r="O124" s="239">
        <f>O18+O31+O65+O73+O82+O117+O123</f>
        <v/>
      </c>
      <c r="P124" s="239">
        <f>P18+P31+P65+P73+P82+P117+P123</f>
        <v/>
      </c>
      <c r="Q124" s="239">
        <f>Q18+Q31+Q65+Q73+Q82+Q117+Q123</f>
        <v/>
      </c>
      <c r="R124" s="239">
        <f>R18+R31+R65+R73+R82+R117+R123</f>
        <v/>
      </c>
      <c r="S124" s="239">
        <f>S18+S31+S65+S73+S82+S117+S123</f>
        <v/>
      </c>
      <c r="T124" s="239" t="n"/>
      <c r="U124" s="239" t="n"/>
      <c r="V124" s="239" t="n"/>
      <c r="W124" s="239" t="n"/>
      <c r="X124" s="239" t="n"/>
      <c r="Y124" s="239" t="n"/>
      <c r="Z124" s="239">
        <f>Z18+Z31+Z65+Z73+Z82+Z117+Z123</f>
        <v/>
      </c>
      <c r="AA124" s="239">
        <f>AA18+AA31+AA65+AA73+AA82+AA117+AA123</f>
        <v/>
      </c>
      <c r="AB124" s="239">
        <f>AB18+AB31+AB65+AB73+AB82+AB117+AB123</f>
        <v/>
      </c>
      <c r="AC124" s="239">
        <f>AC18+AC31+AC65+AC73+AC82+AC117+AC123</f>
        <v/>
      </c>
      <c r="AD124" s="239">
        <f>AD18+AD31+AD65+AD73+AD82+AD117+AD123</f>
        <v/>
      </c>
      <c r="AE124" s="239">
        <f>AE18+AE31+AE65+AE73+AE82+AE117+AE123</f>
        <v/>
      </c>
      <c r="AF124" s="239">
        <f>AF18+AF31+AF65+AF73+AF82+AF117+AF123</f>
        <v/>
      </c>
      <c r="AG124" s="239" t="n"/>
      <c r="AH124" s="239" t="n"/>
      <c r="AI124" s="239">
        <f>AI18+AI31+AI65+AI73+AI82+AI117+AI123</f>
        <v/>
      </c>
      <c r="AJ124" s="239">
        <f>AJ18+AJ31+AJ65+AJ73+AJ82+AJ117+AJ123</f>
        <v/>
      </c>
      <c r="AK124" s="239">
        <f>AK18+AK31+AK65+AK73+AK82+AK117+AK123</f>
        <v/>
      </c>
      <c r="AL124" s="240" t="n"/>
    </row>
    <row r="125">
      <c r="A125" s="33" t="n"/>
      <c r="B125" s="199" t="n"/>
      <c r="C125" s="199" t="n"/>
      <c r="D125" s="218" t="inlineStr">
        <is>
          <t>四、计提保修金</t>
        </is>
      </c>
      <c r="E125" s="241" t="inlineStr">
        <is>
          <t>（在建：房建0.6%，其它0.4%；在保修期间的按0.3~0.5%自行确定;保修期结束为0）</t>
        </is>
      </c>
      <c r="F125" s="241" t="n"/>
      <c r="G125" s="241" t="n"/>
      <c r="H125" s="184" t="n"/>
      <c r="I125" s="184" t="n"/>
      <c r="J125" s="184">
        <f>H125+I125</f>
        <v/>
      </c>
      <c r="K125" s="184" t="n"/>
      <c r="L125" s="202">
        <f>J125-K125</f>
        <v/>
      </c>
      <c r="M125" s="189" t="n"/>
      <c r="N125" s="189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>
        <f>Q69-S69</f>
        <v/>
      </c>
      <c r="AB125" s="242" t="n"/>
      <c r="AC125" s="242" t="n"/>
      <c r="AD125" s="242" t="n"/>
      <c r="AE125" s="242" t="n"/>
      <c r="AF125" s="242" t="n"/>
      <c r="AG125" s="242" t="n"/>
      <c r="AH125" s="242" t="n"/>
      <c r="AI125" s="242" t="n"/>
      <c r="AJ125" s="242" t="n"/>
      <c r="AK125" s="188" t="n"/>
      <c r="AL125" s="240" t="n"/>
    </row>
    <row r="126">
      <c r="A126" s="33" t="n"/>
      <c r="B126" s="199" t="n"/>
      <c r="C126" s="199" t="n"/>
      <c r="D126" s="218" t="inlineStr">
        <is>
          <t>五、过程节点奖金</t>
        </is>
      </c>
      <c r="E126" s="212" t="n"/>
      <c r="F126" s="212" t="n"/>
      <c r="G126" s="212" t="n"/>
      <c r="H126" s="184" t="n"/>
      <c r="I126" s="184" t="n"/>
      <c r="J126" s="184">
        <f>H126+I126</f>
        <v/>
      </c>
      <c r="K126" s="184" t="n"/>
      <c r="L126" s="202">
        <f>J126-K126</f>
        <v/>
      </c>
      <c r="M126" s="189" t="n"/>
      <c r="N126" s="189" t="n"/>
      <c r="O126" s="189">
        <f>L126-M126</f>
        <v/>
      </c>
      <c r="P126" s="189">
        <f>K126-N126</f>
        <v/>
      </c>
      <c r="Q126" s="189">
        <f>M126+O126</f>
        <v/>
      </c>
      <c r="R126" s="189">
        <f>M126+N126+O126+P126</f>
        <v/>
      </c>
      <c r="S126" s="203">
        <f>SUM(T126:V126)</f>
        <v/>
      </c>
      <c r="T126" s="203" t="n"/>
      <c r="U126" s="203" t="n"/>
      <c r="V126" s="203" t="n"/>
      <c r="W126" s="203" t="n"/>
      <c r="X126" s="203" t="n"/>
      <c r="Y126" s="203" t="n"/>
      <c r="Z126" s="203" t="n"/>
      <c r="AA126" s="203" t="n"/>
      <c r="AB126" s="188" t="n"/>
      <c r="AC126" s="188" t="n"/>
      <c r="AD126" s="188" t="n"/>
      <c r="AE126" s="188" t="n"/>
      <c r="AF126" s="188" t="n"/>
      <c r="AG126" s="188" t="n"/>
      <c r="AH126" s="188" t="n"/>
      <c r="AI126" s="188" t="n"/>
      <c r="AJ126" s="188" t="n"/>
      <c r="AK126" s="188" t="n"/>
      <c r="AL126" s="214" t="n"/>
    </row>
    <row r="127">
      <c r="A127" s="33" t="n"/>
      <c r="B127" s="199" t="n"/>
      <c r="C127" s="199" t="n"/>
      <c r="D127" s="218" t="inlineStr">
        <is>
          <t>六、资金占用费用</t>
        </is>
      </c>
      <c r="E127" s="212" t="n"/>
      <c r="F127" s="212" t="n"/>
      <c r="G127" s="212" t="n"/>
      <c r="H127" s="189" t="n"/>
      <c r="I127" s="189" t="n"/>
      <c r="J127" s="184">
        <f>H127+I127</f>
        <v/>
      </c>
      <c r="K127" s="189" t="n"/>
      <c r="L127" s="202">
        <f>J127-K127</f>
        <v/>
      </c>
      <c r="M127" s="223" t="n">
        <v>1942071.27</v>
      </c>
      <c r="N127" s="189" t="n"/>
      <c r="O127" s="189">
        <f>L127-M127</f>
        <v/>
      </c>
      <c r="P127" s="189">
        <f>K127-N127</f>
        <v/>
      </c>
      <c r="Q127" s="189">
        <f>M127+O127</f>
        <v/>
      </c>
      <c r="R127" s="189">
        <f>M127+N127+O127+P127</f>
        <v/>
      </c>
      <c r="S127" s="203">
        <f>SUM(T127:V127)</f>
        <v/>
      </c>
      <c r="T127" s="203" t="n"/>
      <c r="U127" s="203" t="n"/>
      <c r="V127" s="203" t="n"/>
      <c r="W127" s="203" t="n"/>
      <c r="X127" s="203" t="n"/>
      <c r="Y127" s="203" t="n"/>
      <c r="Z127" s="203" t="n"/>
      <c r="AA127" s="203" t="n"/>
      <c r="AB127" s="188" t="n"/>
      <c r="AC127" s="188" t="n"/>
      <c r="AD127" s="188" t="n"/>
      <c r="AE127" s="188" t="n"/>
      <c r="AF127" s="188" t="n"/>
      <c r="AG127" s="188" t="n"/>
      <c r="AH127" s="188" t="n"/>
      <c r="AI127" s="188" t="n"/>
      <c r="AJ127" s="188" t="n"/>
      <c r="AK127" s="188" t="n"/>
      <c r="AL127" s="214" t="n"/>
    </row>
    <row r="128">
      <c r="A128" s="33" t="n"/>
      <c r="B128" s="199" t="n"/>
      <c r="C128" s="199" t="n"/>
      <c r="D128" s="218" t="inlineStr">
        <is>
          <t>七、局投资收益（局投资项目选填）</t>
        </is>
      </c>
      <c r="E128" s="212" t="n"/>
      <c r="F128" s="212" t="n"/>
      <c r="G128" s="212" t="n"/>
      <c r="H128" s="189" t="n"/>
      <c r="I128" s="189" t="n"/>
      <c r="J128" s="184">
        <f>H128+I128</f>
        <v/>
      </c>
      <c r="K128" s="189" t="n"/>
      <c r="L128" s="202">
        <f>J128-K128</f>
        <v/>
      </c>
      <c r="M128" s="189" t="n"/>
      <c r="N128" s="189" t="n"/>
      <c r="O128" s="189">
        <f>L128-M128</f>
        <v/>
      </c>
      <c r="P128" s="189">
        <f>K128-N128</f>
        <v/>
      </c>
      <c r="Q128" s="189">
        <f>M128+O128</f>
        <v/>
      </c>
      <c r="R128" s="189">
        <f>M128+N128+O128+P128</f>
        <v/>
      </c>
      <c r="S128" s="203">
        <f>SUM(T128:V128)</f>
        <v/>
      </c>
      <c r="T128" s="203" t="n"/>
      <c r="U128" s="203" t="n"/>
      <c r="V128" s="203" t="n"/>
      <c r="W128" s="203" t="n"/>
      <c r="X128" s="203" t="n"/>
      <c r="Y128" s="203" t="n"/>
      <c r="Z128" s="203" t="n"/>
      <c r="AA128" s="203" t="n"/>
      <c r="AB128" s="188" t="n"/>
      <c r="AC128" s="188" t="n"/>
      <c r="AD128" s="188" t="n"/>
      <c r="AE128" s="188" t="n"/>
      <c r="AF128" s="188" t="n"/>
      <c r="AG128" s="188" t="n"/>
      <c r="AH128" s="188" t="n"/>
      <c r="AI128" s="188" t="n"/>
      <c r="AJ128" s="188" t="n"/>
      <c r="AK128" s="188" t="n"/>
      <c r="AL128" s="214" t="n"/>
    </row>
    <row r="129">
      <c r="A129" s="55" t="n"/>
      <c r="B129" s="236" t="n"/>
      <c r="C129" s="236" t="n"/>
      <c r="D129" s="231" t="inlineStr">
        <is>
          <t>八、研发费用</t>
        </is>
      </c>
      <c r="E129" s="237" t="n"/>
      <c r="F129" s="237" t="n"/>
      <c r="G129" s="237" t="n"/>
      <c r="H129" s="217" t="n"/>
      <c r="I129" s="217" t="n"/>
      <c r="J129" s="217">
        <f>H129+I129</f>
        <v/>
      </c>
      <c r="K129" s="217" t="n"/>
      <c r="L129" s="233">
        <f>J129-K129</f>
        <v/>
      </c>
      <c r="M129" s="239">
        <f>SUM(M74:M76)</f>
        <v/>
      </c>
      <c r="N129" s="239">
        <f>SUM(N74:N76)</f>
        <v/>
      </c>
      <c r="O129" s="239">
        <f>SUM(O74:O76)</f>
        <v/>
      </c>
      <c r="P129" s="239">
        <f>SUM(P74:P76)</f>
        <v/>
      </c>
      <c r="Q129" s="239">
        <f>SUM(Q74:Q76)</f>
        <v/>
      </c>
      <c r="R129" s="239">
        <f>SUM(R74:R76)</f>
        <v/>
      </c>
      <c r="S129" s="239">
        <f>SUM(S74:S76)</f>
        <v/>
      </c>
      <c r="T129" s="239">
        <f>SUM(T74:T76)</f>
        <v/>
      </c>
      <c r="U129" s="239">
        <f>SUM(U74:U76)</f>
        <v/>
      </c>
      <c r="V129" s="239">
        <f>SUM(V74:V76)</f>
        <v/>
      </c>
      <c r="W129" s="239">
        <f>SUM(W74:W76)</f>
        <v/>
      </c>
      <c r="X129" s="239">
        <f>SUM(X74:X76)</f>
        <v/>
      </c>
      <c r="Y129" s="239">
        <f>SUM(Y74:Y76)</f>
        <v/>
      </c>
      <c r="Z129" s="239">
        <f>SUM(Z74:Z76)</f>
        <v/>
      </c>
      <c r="AA129" s="239">
        <f>SUM(AA74:AA76)</f>
        <v/>
      </c>
      <c r="AB129" s="239">
        <f>SUM(AB74:AB76)</f>
        <v/>
      </c>
      <c r="AC129" s="239">
        <f>SUM(AC74:AC76)</f>
        <v/>
      </c>
      <c r="AD129" s="239">
        <f>SUM(AD74:AD76)</f>
        <v/>
      </c>
      <c r="AE129" s="239">
        <f>SUM(AE74:AE76)</f>
        <v/>
      </c>
      <c r="AF129" s="239">
        <f>SUM(AF74:AF76)</f>
        <v/>
      </c>
      <c r="AG129" s="239">
        <f>SUM(AG74:AG76)</f>
        <v/>
      </c>
      <c r="AH129" s="239">
        <f>SUM(AH74:AH76)</f>
        <v/>
      </c>
      <c r="AI129" s="239">
        <f>SUM(AI74:AI76)</f>
        <v/>
      </c>
      <c r="AJ129" s="239">
        <f>SUM(AJ74:AJ76)</f>
        <v/>
      </c>
      <c r="AK129" s="239">
        <f>SUM(AK74:AK76)</f>
        <v/>
      </c>
      <c r="AL129" s="240" t="n"/>
    </row>
    <row r="130">
      <c r="A130" s="206" t="n"/>
      <c r="B130" s="206" t="n"/>
      <c r="C130" s="207" t="n"/>
      <c r="D130" s="207" t="inlineStr">
        <is>
          <t>ZGD</t>
        </is>
      </c>
      <c r="E130" s="206" t="n"/>
      <c r="F130" s="206" t="n"/>
      <c r="G130" s="206" t="n"/>
      <c r="H130" s="206" t="n"/>
      <c r="I130" s="206" t="n"/>
      <c r="J130" s="206" t="n"/>
      <c r="K130" s="206" t="n"/>
      <c r="L130" s="206" t="n"/>
      <c r="M130" s="210" t="n">
        <v>-4412325.31</v>
      </c>
      <c r="N130" s="206" t="n"/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06" t="n"/>
      <c r="U130" s="206" t="n"/>
      <c r="V130" s="206" t="n"/>
    </row>
    <row r="131">
      <c r="A131" s="206" t="n"/>
      <c r="B131" s="206" t="n"/>
      <c r="C131" s="207" t="n"/>
      <c r="D131" s="207" t="inlineStr">
        <is>
          <t>研发费用-人工成本</t>
        </is>
      </c>
      <c r="E131" s="206" t="n"/>
      <c r="F131" s="206" t="n"/>
      <c r="G131" s="206" t="n"/>
      <c r="H131" s="206" t="n"/>
      <c r="I131" s="206" t="n"/>
      <c r="J131" s="206" t="n"/>
      <c r="K131" s="206" t="n"/>
      <c r="L131" s="206" t="n"/>
      <c r="M131" s="210" t="n">
        <v>687440.63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206" t="n"/>
      <c r="B132" s="206" t="n"/>
      <c r="C132" s="207" t="n"/>
      <c r="D132" s="207" t="inlineStr">
        <is>
          <t>研发费用-机械租赁</t>
        </is>
      </c>
      <c r="E132" s="206" t="n"/>
      <c r="F132" s="206" t="n"/>
      <c r="G132" s="206" t="n"/>
      <c r="H132" s="206" t="n"/>
      <c r="I132" s="206" t="n"/>
      <c r="J132" s="206" t="n"/>
      <c r="K132" s="206" t="n"/>
      <c r="L132" s="206" t="n"/>
      <c r="M132" s="210" t="n">
        <v>284623.4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/>
      <c r="B133" s="206" t="n"/>
      <c r="C133" s="207" t="n"/>
      <c r="D133" s="207" t="inlineStr">
        <is>
          <t>研发费用-材料费</t>
        </is>
      </c>
      <c r="E133" s="206" t="n"/>
      <c r="F133" s="206" t="n"/>
      <c r="G133" s="206" t="n"/>
      <c r="H133" s="206" t="n"/>
      <c r="I133" s="206" t="n"/>
      <c r="J133" s="206" t="n"/>
      <c r="K133" s="206" t="n"/>
      <c r="L133" s="206" t="n"/>
      <c r="M133" s="210" t="n">
        <v>12339365.17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33" t="n">
        <v>1</v>
      </c>
      <c r="B134" s="199" t="n"/>
      <c r="C134" s="199" t="n"/>
      <c r="D134" s="218" t="n"/>
      <c r="E134" s="212" t="n"/>
      <c r="F134" s="212" t="n"/>
      <c r="G134" s="212" t="n"/>
      <c r="H134" s="189" t="n"/>
      <c r="I134" s="189" t="n"/>
      <c r="J134" s="184">
        <f>H134+I134</f>
        <v/>
      </c>
      <c r="K134" s="189" t="n"/>
      <c r="L134" s="202">
        <f>J134-K134</f>
        <v/>
      </c>
      <c r="M134" s="189" t="n"/>
      <c r="N134" s="189" t="n"/>
      <c r="O134" s="189">
        <f>L134-M134</f>
        <v/>
      </c>
      <c r="P134" s="189">
        <f>K134-N134</f>
        <v/>
      </c>
      <c r="Q134" s="189">
        <f>M134+O134</f>
        <v/>
      </c>
      <c r="R134" s="189">
        <f>M134+N134+O134+P134</f>
        <v/>
      </c>
      <c r="S134" s="203">
        <f>SUM(T134:V134)</f>
        <v/>
      </c>
      <c r="T134" s="203" t="n"/>
      <c r="U134" s="203" t="n"/>
      <c r="V134" s="203" t="n"/>
      <c r="W134" s="203" t="n"/>
      <c r="X134" s="203" t="n"/>
      <c r="Y134" s="203" t="n"/>
      <c r="Z134" s="203" t="n"/>
      <c r="AA134" s="203" t="n"/>
      <c r="AB134" s="188" t="n"/>
      <c r="AC134" s="188" t="n"/>
      <c r="AD134" s="188" t="n"/>
      <c r="AE134" s="188" t="n"/>
      <c r="AF134" s="188" t="n"/>
      <c r="AG134" s="188" t="n"/>
      <c r="AH134" s="188" t="n"/>
      <c r="AI134" s="188" t="n"/>
      <c r="AJ134" s="188" t="n"/>
      <c r="AK134" s="188" t="n"/>
      <c r="AL134" s="214" t="n"/>
    </row>
    <row r="135">
      <c r="A135" s="33" t="n">
        <v>2</v>
      </c>
      <c r="B135" s="199" t="n"/>
      <c r="C135" s="199" t="n"/>
      <c r="D135" s="218" t="n"/>
      <c r="E135" s="212" t="n"/>
      <c r="F135" s="212" t="n"/>
      <c r="G135" s="212" t="n"/>
      <c r="H135" s="189" t="n"/>
      <c r="I135" s="189" t="n"/>
      <c r="J135" s="184" t="n"/>
      <c r="K135" s="189" t="n"/>
      <c r="L135" s="202" t="n"/>
      <c r="M135" s="189" t="n"/>
      <c r="N135" s="189" t="n"/>
      <c r="O135" s="189">
        <f>L135-M135</f>
        <v/>
      </c>
      <c r="P135" s="189">
        <f>K135-N135</f>
        <v/>
      </c>
      <c r="Q135" s="189">
        <f>M135+O135</f>
        <v/>
      </c>
      <c r="R135" s="189">
        <f>M135+N135+O135+P135</f>
        <v/>
      </c>
      <c r="S135" s="203">
        <f>SUM(T135:V135)</f>
        <v/>
      </c>
      <c r="T135" s="203" t="n"/>
      <c r="U135" s="203" t="n"/>
      <c r="V135" s="203" t="n"/>
      <c r="W135" s="203" t="n"/>
      <c r="X135" s="203" t="n"/>
      <c r="Y135" s="203" t="n"/>
      <c r="Z135" s="203" t="n"/>
      <c r="AA135" s="203" t="n"/>
      <c r="AB135" s="188" t="n"/>
      <c r="AC135" s="188" t="n"/>
      <c r="AD135" s="188" t="n"/>
      <c r="AE135" s="188" t="n"/>
      <c r="AF135" s="188" t="n"/>
      <c r="AG135" s="188" t="n"/>
      <c r="AH135" s="188" t="n"/>
      <c r="AI135" s="188" t="n"/>
      <c r="AJ135" s="188" t="n"/>
      <c r="AK135" s="188" t="n"/>
      <c r="AL135" s="214" t="n"/>
    </row>
    <row r="136">
      <c r="A136" s="33" t="n">
        <v>3</v>
      </c>
      <c r="B136" s="199" t="n"/>
      <c r="C136" s="199" t="n"/>
      <c r="D136" s="218" t="n"/>
      <c r="E136" s="212" t="n"/>
      <c r="F136" s="212" t="n"/>
      <c r="G136" s="212" t="n"/>
      <c r="H136" s="189" t="n"/>
      <c r="I136" s="189" t="n"/>
      <c r="J136" s="184" t="n"/>
      <c r="K136" s="189" t="n"/>
      <c r="L136" s="202" t="n"/>
      <c r="M136" s="189" t="n"/>
      <c r="N136" s="189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03" t="n"/>
      <c r="U136" s="203" t="n"/>
      <c r="V136" s="203" t="n"/>
      <c r="W136" s="203" t="n"/>
      <c r="X136" s="203" t="n"/>
      <c r="Y136" s="203" t="n"/>
      <c r="Z136" s="203" t="n"/>
      <c r="AA136" s="203" t="n"/>
      <c r="AB136" s="188" t="n"/>
      <c r="AC136" s="188" t="n"/>
      <c r="AD136" s="188" t="n"/>
      <c r="AE136" s="188" t="n"/>
      <c r="AF136" s="188" t="n"/>
      <c r="AG136" s="188" t="n"/>
      <c r="AH136" s="188" t="n"/>
      <c r="AI136" s="188" t="n"/>
      <c r="AJ136" s="188" t="n"/>
      <c r="AK136" s="188" t="n"/>
      <c r="AL136" s="214" t="n"/>
    </row>
    <row r="137">
      <c r="A137" s="41" t="n"/>
      <c r="B137" s="215" t="n"/>
      <c r="C137" s="215" t="n"/>
      <c r="D137" s="231" t="inlineStr">
        <is>
          <t>九、成本及费用合计（三+四+五+六+七）</t>
        </is>
      </c>
      <c r="E137" s="232" t="n"/>
      <c r="F137" s="232" t="n"/>
      <c r="G137" s="232" t="n"/>
      <c r="H137" s="217">
        <f>H68+H69+H70+H71+#REF!</f>
        <v/>
      </c>
      <c r="I137" s="217">
        <f>I68+I69+I70+I71+#REF!</f>
        <v/>
      </c>
      <c r="J137" s="243">
        <f>J68+J69+J70+J71+#REF!</f>
        <v/>
      </c>
      <c r="K137" s="217">
        <f>K68+K69+K70+K71+#REF!</f>
        <v/>
      </c>
      <c r="L137" s="244">
        <f>L68+L69+L70+L71+#REF!</f>
        <v/>
      </c>
      <c r="M137" s="244">
        <f>M68+M69+M70+M71</f>
        <v/>
      </c>
      <c r="N137" s="244">
        <f>N68+N69+N70+N71</f>
        <v/>
      </c>
      <c r="O137" s="244">
        <f>O68+O69+O70+O71</f>
        <v/>
      </c>
      <c r="P137" s="244">
        <f>P68+P69+P70+P71</f>
        <v/>
      </c>
      <c r="Q137" s="244">
        <f>Q68+Q69+Q70+Q71</f>
        <v/>
      </c>
      <c r="R137" s="244">
        <f>R68+R69+R70+R71</f>
        <v/>
      </c>
      <c r="S137" s="239">
        <f>S68+S69+S70+S71</f>
        <v/>
      </c>
      <c r="T137" s="239" t="n"/>
      <c r="U137" s="239" t="n"/>
      <c r="V137" s="239" t="n"/>
      <c r="W137" s="239" t="n"/>
      <c r="X137" s="239" t="n"/>
      <c r="Y137" s="239" t="n"/>
      <c r="Z137" s="239">
        <f>Z68+Z69+Z70+Z71</f>
        <v/>
      </c>
      <c r="AA137" s="239">
        <f>AA68+AA69+AA70+AA71</f>
        <v/>
      </c>
      <c r="AB137" s="245" t="n"/>
      <c r="AC137" s="245" t="n"/>
      <c r="AD137" s="245" t="n"/>
      <c r="AE137" s="245" t="n"/>
      <c r="AF137" s="245" t="n"/>
      <c r="AG137" s="245" t="n"/>
      <c r="AH137" s="245" t="n"/>
      <c r="AI137" s="245" t="n"/>
      <c r="AJ137" s="245" t="n"/>
      <c r="AK137" s="246" t="n"/>
      <c r="AL137" s="247" t="n"/>
    </row>
    <row r="138">
      <c r="A138" s="41" t="n"/>
      <c r="B138" s="215" t="n"/>
      <c r="C138" s="215" t="n"/>
      <c r="D138" s="231" t="inlineStr">
        <is>
          <t>十、增值税实际税负（按财务数据）</t>
        </is>
      </c>
      <c r="E138" s="232" t="inlineStr">
        <is>
          <t>根据财务账面实际已缴纳增值税额+尚需缴纳的增值税额</t>
        </is>
      </c>
      <c r="F138" s="232" t="n"/>
      <c r="G138" s="232" t="n"/>
      <c r="H138" s="217" t="n"/>
      <c r="I138" s="217" t="n"/>
      <c r="J138" s="243">
        <f>H78+I78</f>
        <v/>
      </c>
      <c r="K138" s="217" t="inlineStr">
        <is>
          <t>/</t>
        </is>
      </c>
      <c r="L138" s="244" t="inlineStr">
        <is>
          <t>/</t>
        </is>
      </c>
      <c r="M138" s="244" t="n"/>
      <c r="N138" s="244">
        <f>N6-N77</f>
        <v/>
      </c>
      <c r="O138" s="244" t="n"/>
      <c r="P138" s="244" t="n"/>
      <c r="Q138" s="244" t="inlineStr">
        <is>
          <t>/</t>
        </is>
      </c>
      <c r="R138" s="244">
        <f>N78+P78</f>
        <v/>
      </c>
      <c r="S138" s="239" t="n"/>
      <c r="T138" s="239" t="n"/>
      <c r="U138" s="239" t="n"/>
      <c r="V138" s="239" t="n"/>
      <c r="W138" s="239" t="n"/>
      <c r="X138" s="239" t="n"/>
      <c r="Y138" s="239" t="n"/>
      <c r="Z138" s="239" t="n"/>
      <c r="AA138" s="239" t="n"/>
      <c r="AB138" s="245" t="n"/>
      <c r="AC138" s="245" t="n"/>
      <c r="AD138" s="245" t="n"/>
      <c r="AE138" s="245" t="n"/>
      <c r="AF138" s="245" t="n"/>
      <c r="AG138" s="245" t="n"/>
      <c r="AH138" s="245" t="n"/>
      <c r="AI138" s="245" t="n"/>
      <c r="AJ138" s="245" t="n"/>
      <c r="AK138" s="246" t="n"/>
      <c r="AL138" s="247" t="n"/>
    </row>
    <row r="139">
      <c r="A139" s="41" t="n"/>
      <c r="B139" s="215" t="n"/>
      <c r="C139" s="215" t="n"/>
      <c r="D139" s="231" t="inlineStr">
        <is>
          <t>十一、税金及附加（按财务数据）</t>
        </is>
      </c>
      <c r="E139" s="232" t="inlineStr">
        <is>
          <t>根据财务账面实际已缴纳税金及附加+尚需缴纳的税金及附加</t>
        </is>
      </c>
      <c r="F139" s="232" t="n"/>
      <c r="G139" s="232" t="n"/>
      <c r="H139" s="217" t="n"/>
      <c r="I139" s="217" t="n"/>
      <c r="J139" s="243">
        <f>H79+I79</f>
        <v/>
      </c>
      <c r="K139" s="217" t="n"/>
      <c r="L139" s="244">
        <f>J79</f>
        <v/>
      </c>
      <c r="M139" s="248" t="n">
        <v>385874.26</v>
      </c>
      <c r="N139" s="244" t="n"/>
      <c r="O139" s="244">
        <f>L79-M79</f>
        <v/>
      </c>
      <c r="P139" s="244" t="n"/>
      <c r="Q139" s="244">
        <f>M79+O79</f>
        <v/>
      </c>
      <c r="R139" s="244">
        <f>Q79</f>
        <v/>
      </c>
      <c r="S139" s="239" t="n"/>
      <c r="T139" s="239" t="n"/>
      <c r="U139" s="239" t="n"/>
      <c r="V139" s="239" t="n"/>
      <c r="W139" s="239" t="n"/>
      <c r="X139" s="239" t="n"/>
      <c r="Y139" s="239" t="n"/>
      <c r="Z139" s="239" t="n"/>
      <c r="AA139" s="239" t="n"/>
      <c r="AB139" s="245" t="n"/>
      <c r="AC139" s="245" t="n"/>
      <c r="AD139" s="245" t="n"/>
      <c r="AE139" s="245" t="n"/>
      <c r="AF139" s="245" t="n"/>
      <c r="AG139" s="245" t="n"/>
      <c r="AH139" s="245" t="n"/>
      <c r="AI139" s="245" t="n"/>
      <c r="AJ139" s="245" t="n"/>
      <c r="AK139" s="246" t="n"/>
      <c r="AL139" s="247" t="n"/>
    </row>
    <row r="140">
      <c r="A140" s="41" t="n"/>
      <c r="B140" s="215" t="n"/>
      <c r="C140" s="215" t="n"/>
      <c r="D140" s="231" t="inlineStr">
        <is>
          <t>十二、利润</t>
        </is>
      </c>
      <c r="E140" s="232" t="n"/>
      <c r="F140" s="232" t="n"/>
      <c r="G140" s="232" t="n"/>
      <c r="H140" s="217" t="n"/>
      <c r="I140" s="217" t="n"/>
      <c r="J140" s="243">
        <f>J6-J77-J78-J79</f>
        <v/>
      </c>
      <c r="K140" s="217" t="n"/>
      <c r="L140" s="244" t="n"/>
      <c r="M140" s="244" t="n"/>
      <c r="N140" s="244" t="n"/>
      <c r="O140" s="244" t="n"/>
      <c r="P140" s="244" t="n"/>
      <c r="Q140" s="244" t="n"/>
      <c r="R140" s="244" t="n"/>
      <c r="S140" s="239" t="n"/>
      <c r="T140" s="239" t="n"/>
      <c r="U140" s="239" t="n"/>
      <c r="V140" s="239" t="n"/>
      <c r="W140" s="239" t="n"/>
      <c r="X140" s="239" t="n"/>
      <c r="Y140" s="239" t="n"/>
      <c r="Z140" s="239" t="n"/>
      <c r="AA140" s="239" t="n"/>
      <c r="AB140" s="245" t="n"/>
      <c r="AC140" s="245" t="n"/>
      <c r="AD140" s="245" t="n"/>
      <c r="AE140" s="245" t="n"/>
      <c r="AF140" s="245" t="n"/>
      <c r="AG140" s="245" t="n"/>
      <c r="AH140" s="245" t="n"/>
      <c r="AI140" s="245" t="n"/>
      <c r="AJ140" s="245" t="n"/>
      <c r="AK140" s="246" t="n"/>
      <c r="AL140" s="247" t="n"/>
    </row>
    <row r="141">
      <c r="A141" s="105" t="n"/>
      <c r="B141" s="106" t="n"/>
      <c r="C141" s="106" t="n"/>
      <c r="D141" s="107" t="inlineStr">
        <is>
          <t>十三、利润率</t>
        </is>
      </c>
      <c r="E141" s="108" t="n"/>
      <c r="F141" s="108" t="n"/>
      <c r="G141" s="108" t="n"/>
      <c r="H141" s="109" t="n"/>
      <c r="I141" s="109" t="n"/>
      <c r="J141" s="109">
        <f>J80/J6</f>
        <v/>
      </c>
      <c r="K141" s="109" t="n"/>
      <c r="L141" s="127">
        <f>L80/L6</f>
        <v/>
      </c>
      <c r="M141" s="127">
        <f>M80/M6</f>
        <v/>
      </c>
      <c r="N141" s="127" t="n"/>
      <c r="O141" s="127" t="n"/>
      <c r="P141" s="127" t="n"/>
      <c r="Q141" s="127">
        <f>Q80/Q6</f>
        <v/>
      </c>
      <c r="R141" s="127">
        <f>R80/R6</f>
        <v/>
      </c>
      <c r="S141" s="142" t="n"/>
      <c r="T141" s="142" t="n"/>
      <c r="U141" s="142" t="n"/>
      <c r="V141" s="142" t="n"/>
      <c r="W141" s="142" t="n"/>
      <c r="X141" s="142" t="n"/>
      <c r="Y141" s="142" t="n"/>
      <c r="Z141" s="142" t="n"/>
      <c r="AA141" s="142" t="n"/>
      <c r="AB141" s="146" t="n"/>
      <c r="AC141" s="146" t="n"/>
      <c r="AD141" s="146" t="n"/>
      <c r="AE141" s="146" t="n"/>
      <c r="AF141" s="146" t="n"/>
      <c r="AG141" s="146" t="n"/>
      <c r="AH141" s="146" t="n"/>
      <c r="AI141" s="146" t="n"/>
      <c r="AJ141" s="146" t="n"/>
      <c r="AK141" s="154" t="n"/>
      <c r="AL141" s="155" t="n"/>
    </row>
    <row r="142">
      <c r="A142" s="111" t="n"/>
      <c r="B142" s="111" t="n"/>
      <c r="C142" s="111" t="n"/>
      <c r="D142" s="112" t="n"/>
      <c r="E142" s="113" t="n"/>
      <c r="F142" s="113" t="n"/>
      <c r="G142" s="113" t="n"/>
      <c r="H142" s="249" t="n"/>
      <c r="I142" s="249" t="n"/>
      <c r="J142" s="250" t="inlineStr">
        <is>
          <t>含税利润率</t>
        </is>
      </c>
      <c r="K142" s="251" t="n"/>
      <c r="L142" s="252" t="inlineStr">
        <is>
          <t>不含税利润率</t>
        </is>
      </c>
      <c r="M142" s="253" t="n"/>
      <c r="N142" s="253" t="n"/>
      <c r="O142" s="253" t="n"/>
      <c r="P142" s="253" t="n"/>
      <c r="Q142" s="253" t="n"/>
      <c r="R142" s="253" t="n"/>
      <c r="S142" s="253" t="n"/>
      <c r="T142" s="253" t="n"/>
      <c r="U142" s="253" t="n"/>
      <c r="V142" s="253" t="n"/>
      <c r="W142" s="253" t="n"/>
      <c r="X142" s="253" t="n"/>
      <c r="Y142" s="253" t="n"/>
      <c r="Z142" s="254" t="n"/>
      <c r="AA142" s="162" t="n"/>
      <c r="AB142" s="255" t="n"/>
      <c r="AC142" s="255" t="n"/>
      <c r="AD142" s="255" t="n"/>
      <c r="AE142" s="255" t="n"/>
      <c r="AF142" s="255" t="n"/>
      <c r="AG142" s="255" t="n"/>
      <c r="AH142" s="255" t="n"/>
      <c r="AI142" s="255" t="n"/>
      <c r="AJ142" s="255" t="n"/>
      <c r="AK142" s="255" t="n"/>
      <c r="AL142" s="156" t="n"/>
    </row>
    <row r="143">
      <c r="A143" s="111" t="n"/>
      <c r="B143" s="111" t="n"/>
      <c r="C143" s="111" t="n"/>
      <c r="D143" s="112" t="n"/>
      <c r="E143" s="113" t="n"/>
      <c r="F143" s="113" t="n"/>
      <c r="G143" s="113" t="n"/>
      <c r="H143" s="249" t="n"/>
      <c r="I143" s="249" t="n"/>
      <c r="J143" s="256" t="n"/>
      <c r="K143" s="249" t="n"/>
      <c r="L143" s="257" t="n"/>
      <c r="M143" s="253" t="n"/>
      <c r="N143" s="253" t="n"/>
      <c r="O143" s="253" t="n"/>
      <c r="P143" s="253" t="n"/>
      <c r="Q143" s="253" t="n"/>
      <c r="R143" s="253" t="n"/>
      <c r="S143" s="253" t="n"/>
      <c r="T143" s="253" t="n"/>
      <c r="U143" s="253" t="n"/>
      <c r="V143" s="253" t="n"/>
      <c r="W143" s="253" t="n"/>
      <c r="X143" s="253" t="n"/>
      <c r="Y143" s="253" t="n"/>
      <c r="Z143" s="254" t="n"/>
      <c r="AA143" s="162" t="n"/>
      <c r="AB143" s="255" t="n"/>
      <c r="AC143" s="255" t="n"/>
      <c r="AD143" s="255" t="n"/>
      <c r="AE143" s="255" t="n"/>
      <c r="AF143" s="255" t="n"/>
      <c r="AG143" s="255" t="n"/>
      <c r="AH143" s="255" t="n"/>
      <c r="AI143" s="255" t="n"/>
      <c r="AJ143" s="255" t="n"/>
      <c r="AK143" s="255" t="n"/>
      <c r="AL143" s="156" t="n"/>
    </row>
    <row r="144">
      <c r="A144" s="116" t="n"/>
      <c r="B144" s="116" t="n"/>
      <c r="C144" s="116" t="n"/>
      <c r="D144" s="117" t="n"/>
      <c r="E144" s="118" t="n"/>
      <c r="F144" s="118" t="n"/>
      <c r="G144" s="118" t="n"/>
      <c r="H144" s="119" t="n"/>
      <c r="I144" s="119" t="n"/>
      <c r="J144" s="134" t="n"/>
      <c r="K144" s="258" t="n"/>
      <c r="L144" s="258" t="n"/>
      <c r="M144" s="259" t="n"/>
      <c r="N144" s="258" t="n"/>
      <c r="O144" s="258" t="n"/>
      <c r="P144" s="260" t="n"/>
      <c r="Q144" s="260" t="n"/>
      <c r="R144" s="258" t="n"/>
      <c r="S144" s="261" t="n"/>
      <c r="T144" s="261" t="n"/>
      <c r="U144" s="261" t="n"/>
      <c r="V144" s="261" t="n"/>
      <c r="W144" s="261" t="n"/>
      <c r="X144" s="261" t="n"/>
      <c r="Y144" s="261" t="n"/>
      <c r="Z144" s="262" t="n"/>
      <c r="AA144" s="263" t="n"/>
      <c r="AD144" s="264" t="n"/>
      <c r="AE144" s="264" t="n"/>
      <c r="AF144" s="264" t="n"/>
      <c r="AG144" s="264" t="n"/>
      <c r="AH144" s="264" t="n"/>
      <c r="AI144" s="264" t="n"/>
      <c r="AJ144" s="264" t="n"/>
      <c r="AK144" s="264" t="n"/>
      <c r="AL144" s="121" t="n"/>
    </row>
    <row r="145">
      <c r="A145" s="121" t="n"/>
      <c r="B145" s="121" t="n"/>
      <c r="C145" s="121" t="n"/>
      <c r="D145" s="121" t="n"/>
      <c r="E145" s="122" t="n"/>
      <c r="F145" s="122" t="n"/>
      <c r="G145" s="122" t="n"/>
      <c r="H145" s="122" t="n"/>
      <c r="I145" s="122" t="n"/>
      <c r="J145" s="122" t="n"/>
      <c r="K145" s="265" t="n"/>
      <c r="L145" s="122" t="n"/>
      <c r="M145" s="266" t="n"/>
      <c r="N145" s="266" t="n"/>
      <c r="O145" s="266" t="n"/>
      <c r="P145" s="266" t="n"/>
      <c r="Q145" s="266" t="n"/>
      <c r="R145" s="266" t="n"/>
      <c r="S145" s="261" t="n"/>
      <c r="T145" s="261" t="n"/>
      <c r="U145" s="261" t="n"/>
      <c r="V145" s="261" t="n"/>
      <c r="W145" s="261" t="n"/>
      <c r="X145" s="261" t="n"/>
      <c r="Y145" s="261" t="n"/>
      <c r="Z145" s="266" t="n"/>
      <c r="AA145" s="264" t="n"/>
      <c r="AB145" s="264" t="n"/>
      <c r="AC145" s="264" t="n"/>
      <c r="AD145" s="264" t="n"/>
      <c r="AE145" s="264" t="n"/>
      <c r="AF145" s="264" t="n"/>
      <c r="AG145" s="264" t="n"/>
      <c r="AH145" s="264" t="n"/>
      <c r="AI145" s="264" t="n"/>
      <c r="AJ145" s="264" t="n"/>
      <c r="AK145" s="264" t="n"/>
      <c r="AL145" s="121" t="n"/>
    </row>
    <row r="146">
      <c r="A146" s="121" t="n"/>
      <c r="B146" s="121" t="n"/>
      <c r="C146" s="121" t="n"/>
      <c r="D146" s="121" t="n"/>
      <c r="E146" s="122" t="n"/>
      <c r="F146" s="122" t="n"/>
      <c r="G146" s="122" t="n"/>
      <c r="H146" s="122" t="n"/>
      <c r="I146" s="122" t="n"/>
      <c r="J146" s="122" t="n"/>
      <c r="K146" s="265" t="n"/>
      <c r="L146" s="122" t="n"/>
      <c r="M146" s="266" t="n"/>
      <c r="N146" s="266" t="n"/>
      <c r="O146" s="266" t="n"/>
      <c r="P146" s="266" t="n"/>
      <c r="Q146" s="266" t="n"/>
      <c r="R146" s="266" t="n"/>
      <c r="S146" s="261" t="n"/>
      <c r="T146" s="261" t="n"/>
      <c r="U146" s="261" t="n"/>
      <c r="V146" s="261" t="n"/>
      <c r="W146" s="261" t="n"/>
      <c r="X146" s="261" t="n"/>
      <c r="Y146" s="261" t="n"/>
      <c r="Z146" s="266" t="n"/>
      <c r="AA146" s="264" t="n"/>
      <c r="AB146" s="264" t="n"/>
      <c r="AC146" s="264" t="n"/>
      <c r="AD146" s="264" t="n"/>
      <c r="AE146" s="264" t="n"/>
      <c r="AF146" s="264" t="n"/>
      <c r="AG146" s="264" t="n"/>
      <c r="AH146" s="264" t="n"/>
      <c r="AI146" s="264" t="n"/>
      <c r="AJ146" s="264" t="n"/>
      <c r="AK146" s="264" t="n"/>
      <c r="AL146" s="121" t="n"/>
    </row>
    <row r="147">
      <c r="A147" s="121" t="n"/>
      <c r="B147" s="121" t="n"/>
      <c r="C147" s="121" t="n"/>
      <c r="D147" s="121" t="n"/>
      <c r="E147" s="123" t="n"/>
      <c r="F147" s="123" t="n"/>
      <c r="G147" s="123" t="n"/>
      <c r="H147" s="122" t="n"/>
      <c r="I147" s="122" t="n"/>
      <c r="J147" s="122" t="n"/>
      <c r="K147" s="123" t="n"/>
      <c r="L147" s="122" t="n"/>
      <c r="M147" s="266" t="n"/>
      <c r="N147" s="262" t="n"/>
      <c r="O147" s="266" t="n"/>
      <c r="P147" s="266" t="n"/>
      <c r="Q147" s="266" t="n"/>
      <c r="R147" s="258" t="n"/>
      <c r="S147" s="261" t="n"/>
      <c r="T147" s="261" t="n"/>
      <c r="U147" s="261" t="n"/>
      <c r="V147" s="261" t="n"/>
      <c r="W147" s="261" t="n"/>
      <c r="X147" s="261" t="n"/>
      <c r="Y147" s="261" t="n"/>
      <c r="Z147" s="266" t="n"/>
      <c r="AA147" s="264" t="n"/>
      <c r="AB147" s="264" t="n"/>
      <c r="AC147" s="264" t="n"/>
      <c r="AD147" s="264" t="n"/>
      <c r="AE147" s="264" t="n"/>
      <c r="AF147" s="264" t="n"/>
      <c r="AG147" s="264" t="n"/>
      <c r="AH147" s="264" t="n"/>
      <c r="AI147" s="264" t="n"/>
      <c r="AJ147" s="264" t="n"/>
      <c r="AK147" s="264" t="n"/>
      <c r="AL147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2026-04-24T05:21:15Z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