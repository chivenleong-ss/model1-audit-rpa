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2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4" fontId="6" fillId="0" borderId="17" applyAlignment="1" applyProtection="1" pivotButton="0" quotePrefix="0" xfId="1">
      <alignment vertical="center"/>
      <protection locked="0" hidden="0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8" authorId="0" shapeId="0">
      <text>
        <t>于:
**同财务账面合同履约成本/工程施工成本/直接人工费数据一致**</t>
      </text>
    </comment>
    <comment ref="F18" authorId="0" shapeId="0">
      <text>
        <t>于:
**同财务账面合同履约成本/工程施工成本/直接人工费数据一致**</t>
      </text>
    </comment>
    <comment ref="G18" authorId="0" shapeId="0">
      <text>
        <t>于:
**同财务账面合同履约成本/工程施工成本/直接人工费数据一致**</t>
      </text>
    </comment>
    <comment ref="H18" authorId="0" shapeId="0">
      <text>
        <t>于:
**同财务账面合同履约成本/工程施工成本/直接人工费数据一致**</t>
      </text>
    </comment>
    <comment ref="I18" authorId="0" shapeId="0">
      <text>
        <t>于:
**同财务账面合同履约成本/工程施工成本/直接人工费数据一致**</t>
      </text>
    </comment>
    <comment ref="J18" authorId="0" shapeId="0">
      <text>
        <t>于:
**同财务账面合同履约成本/工程施工成本/直接人工费数据一致**</t>
      </text>
    </comment>
    <comment ref="K18" authorId="0" shapeId="0">
      <text>
        <t>于:
**同财务账面合同履约成本/工程施工成本/直接人工费数据一致**</t>
      </text>
    </comment>
    <comment ref="L18" authorId="0" shapeId="0">
      <text>
        <t>于:
**同财务账面合同履约成本/工程施工成本/直接人工费数据一致**</t>
      </text>
    </comment>
    <comment ref="M18" authorId="0" shapeId="0">
      <text>
        <t>于:
**同财务账面合同履约成本/工程施工成本/直接人工费数据一致**</t>
      </text>
    </comment>
    <comment ref="N18" authorId="0" shapeId="0">
      <text>
        <t>于:
**同财务账面合同履约成本/工程施工成本/直接人工费数据一致**</t>
      </text>
    </comment>
    <comment ref="O18" authorId="0" shapeId="0">
      <text>
        <t>于:
**同财务账面合同履约成本/工程施工成本/直接人工费数据一致**</t>
      </text>
    </comment>
    <comment ref="P18" authorId="0" shapeId="0">
      <text>
        <t>于:
**同财务账面合同履约成本/工程施工成本/直接人工费数据一致**</t>
      </text>
    </comment>
    <comment ref="Q18" authorId="0" shapeId="0">
      <text>
        <t>于:
**同财务账面合同履约成本/工程施工成本/直接人工费数据一致**</t>
      </text>
    </comment>
    <comment ref="R18" authorId="0" shapeId="0">
      <text>
        <t>于:
**同财务账面合同履约成本/工程施工成本/直接人工费数据一致**</t>
      </text>
    </comment>
    <comment ref="S18" authorId="0" shapeId="0">
      <text>
        <t>于:
**同财务账面合同履约成本/工程施工成本/直接人工费数据一致**</t>
      </text>
    </comment>
    <comment ref="T18" authorId="0" shapeId="0">
      <text>
        <t>于:
**同财务账面合同履约成本/工程施工成本/直接人工费数据一致**</t>
      </text>
    </comment>
    <comment ref="U18" authorId="0" shapeId="0">
      <text>
        <t>于:
**同财务账面合同履约成本/工程施工成本/直接人工费数据一致**</t>
      </text>
    </comment>
    <comment ref="V18" authorId="0" shapeId="0">
      <text>
        <t>于:
**同财务账面合同履约成本/工程施工成本/直接人工费数据一致**</t>
      </text>
    </comment>
    <comment ref="W18" authorId="0" shapeId="0">
      <text>
        <t>于:
**同财务账面合同履约成本/工程施工成本/直接人工费数据一致**</t>
      </text>
    </comment>
    <comment ref="X18" authorId="0" shapeId="0">
      <text>
        <t>于:
**同财务账面合同履约成本/工程施工成本/直接人工费数据一致**</t>
      </text>
    </comment>
    <comment ref="Y18" authorId="0" shapeId="0">
      <text>
        <t>于:
**同财务账面合同履约成本/工程施工成本/直接人工费数据一致**</t>
      </text>
    </comment>
    <comment ref="Z18" authorId="0" shapeId="0">
      <text>
        <t>于:
**同财务账面合同履约成本/工程施工成本/直接人工费数据一致**</t>
      </text>
    </comment>
    <comment ref="AA18" authorId="0" shapeId="0">
      <text>
        <t>于:
**同财务账面合同履约成本/工程施工成本/直接人工费数据一致**</t>
      </text>
    </comment>
    <comment ref="AB18" authorId="0" shapeId="0">
      <text>
        <t>于:
**同财务账面合同履约成本/工程施工成本/直接人工费数据一致**</t>
      </text>
    </comment>
    <comment ref="AC18" authorId="0" shapeId="0">
      <text>
        <t>于:
**同财务账面合同履约成本/工程施工成本/直接人工费数据一致**</t>
      </text>
    </comment>
    <comment ref="AD18" authorId="0" shapeId="0">
      <text>
        <t>于:
**同财务账面合同履约成本/工程施工成本/直接人工费数据一致**</t>
      </text>
    </comment>
    <comment ref="AE18" authorId="0" shapeId="0">
      <text>
        <t>于:
**同财务账面合同履约成本/工程施工成本/直接人工费数据一致**</t>
      </text>
    </comment>
    <comment ref="AF18" authorId="0" shapeId="0">
      <text>
        <t>于:
**同财务账面合同履约成本/工程施工成本/直接人工费数据一致**</t>
      </text>
    </comment>
    <comment ref="AG18" authorId="0" shapeId="0">
      <text>
        <t>于:
**同财务账面合同履约成本/工程施工成本/直接人工费数据一致**</t>
      </text>
    </comment>
    <comment ref="AH18" authorId="0" shapeId="0">
      <text>
        <t>于:
**同财务账面合同履约成本/工程施工成本/直接人工费数据一致**</t>
      </text>
    </comment>
    <comment ref="AI18" authorId="0" shapeId="0">
      <text>
        <t>于:
**同财务账面合同履约成本/工程施工成本/直接人工费数据一致**</t>
      </text>
    </comment>
    <comment ref="AJ18" authorId="0" shapeId="0">
      <text>
        <t>于:
**同财务账面合同履约成本/工程施工成本/直接人工费数据一致**</t>
      </text>
    </comment>
    <comment ref="AK18" authorId="0" shapeId="0">
      <text>
        <t>于:
**同财务账面合同履约成本/工程施工成本/直接人工费数据一致**</t>
      </text>
    </comment>
    <comment ref="M73" authorId="1" shapeId="0">
      <text>
        <t xml:space="preserve">**同财务账面合同履约成本/工程施工成本/机械租赁费数据一致**
</t>
      </text>
    </comment>
    <comment ref="M82" authorId="0" shapeId="0">
      <text>
        <t>于:
**同财务账面合同履约成本/工程施工成本其他直接费数据一致**</t>
      </text>
    </comment>
    <comment ref="M117" authorId="1" shapeId="0">
      <text>
        <t>**同财务账面合同履约成本/工程施工成本/间接费数据一致**</t>
      </text>
    </comment>
    <comment ref="D125" authorId="2" shapeId="0">
      <text>
        <t>（在建：房建0.6%，其它0.4%；在保修期间的按0.3~0.5%自行确定;保修期结束为0）</t>
      </text>
    </comment>
    <comment ref="E135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36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9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7" t="n"/>
      <c r="B7" s="268" t="inlineStr">
        <is>
          <t>客商编码</t>
        </is>
      </c>
      <c r="C7" s="268" t="inlineStr">
        <is>
          <t>合同编码</t>
        </is>
      </c>
      <c r="D7" s="269" t="inlineStr">
        <is>
          <t>客商名称</t>
        </is>
      </c>
      <c r="E7" s="270" t="inlineStr">
        <is>
          <t>主要工作内容</t>
        </is>
      </c>
      <c r="F7" s="270" t="inlineStr">
        <is>
          <t>是否办理最终结算</t>
        </is>
      </c>
      <c r="G7" s="271" t="inlineStr">
        <is>
          <t>最终结算时间</t>
        </is>
      </c>
      <c r="H7" s="272" t="inlineStr">
        <is>
          <t>商务、物资确认</t>
        </is>
      </c>
      <c r="I7" s="267" t="n"/>
      <c r="J7" s="267" t="n"/>
      <c r="K7" s="267" t="n"/>
      <c r="L7" s="267" t="n"/>
      <c r="M7" s="273" t="inlineStr">
        <is>
          <t>财务确认</t>
        </is>
      </c>
      <c r="N7" s="267" t="n"/>
      <c r="O7" s="267" t="n"/>
      <c r="P7" s="267" t="n"/>
      <c r="Q7" s="267" t="n"/>
      <c r="R7" s="267" t="n"/>
      <c r="S7" s="274" t="inlineStr">
        <is>
          <t>债务情况</t>
        </is>
      </c>
      <c r="T7" s="267" t="n"/>
      <c r="U7" s="267" t="n"/>
      <c r="V7" s="267" t="n"/>
      <c r="W7" s="267" t="n"/>
      <c r="X7" s="267" t="n"/>
      <c r="Y7" s="267" t="n"/>
      <c r="Z7" s="275" t="inlineStr">
        <is>
          <t>税务情况</t>
        </is>
      </c>
      <c r="AA7" s="267" t="n"/>
      <c r="AB7" s="267" t="n"/>
      <c r="AC7" s="267" t="n"/>
      <c r="AD7" s="267" t="n"/>
      <c r="AE7" s="267" t="n"/>
      <c r="AF7" s="267" t="n"/>
      <c r="AG7" s="267" t="n"/>
      <c r="AH7" s="267" t="n"/>
      <c r="AI7" s="267" t="n"/>
      <c r="AJ7" s="267" t="n"/>
      <c r="AK7" s="267" t="n"/>
      <c r="AL7" s="267" t="n"/>
    </row>
    <row r="8" ht="14" customHeight="1" s="159">
      <c r="A8" s="267" t="n"/>
      <c r="B8" s="267" t="n"/>
      <c r="C8" s="267" t="n"/>
      <c r="D8" s="267" t="n"/>
      <c r="E8" s="267" t="n"/>
      <c r="F8" s="267" t="n"/>
      <c r="G8" s="267" t="n"/>
      <c r="H8" s="272" t="inlineStr">
        <is>
          <t>商务已结(含税)</t>
        </is>
      </c>
      <c r="I8" s="272" t="inlineStr">
        <is>
          <t>截止目前应结未结(含税)</t>
        </is>
      </c>
      <c r="J8" s="272" t="inlineStr">
        <is>
          <t>实际诶计成本(含税)</t>
        </is>
      </c>
      <c r="K8" s="270" t="inlineStr">
        <is>
          <t>累计成本可抵扣增值税税金</t>
        </is>
      </c>
      <c r="L8" s="270" t="inlineStr">
        <is>
          <t>实际累计成本
（不含可抵扣税金）</t>
        </is>
      </c>
      <c r="M8" s="276" t="inlineStr">
        <is>
          <t>截止目前财务已入账成本（不含增值税）
**同财务账面合同履约成本/工程施工成本一致**</t>
        </is>
      </c>
      <c r="N8" s="276" t="inlineStr">
        <is>
          <t>已价税分离的增值税金
（财务账面数据）</t>
        </is>
      </c>
      <c r="O8" s="276" t="inlineStr">
        <is>
          <t>应入未入账成本（不含增值税）</t>
        </is>
      </c>
      <c r="P8" s="276" t="inlineStr">
        <is>
          <t>尚未价税分离的增值税金</t>
        </is>
      </c>
      <c r="Q8" s="276" t="inlineStr">
        <is>
          <t>实际成本
（不含增值税）</t>
        </is>
      </c>
      <c r="R8" s="276" t="inlineStr">
        <is>
          <t>实际成本
（含增值税）</t>
        </is>
      </c>
      <c r="S8" s="277" t="inlineStr">
        <is>
          <t>累计付款</t>
        </is>
      </c>
      <c r="T8" s="277" t="inlineStr">
        <is>
          <t>其中：财务账面已列报付款</t>
        </is>
      </c>
      <c r="U8" s="277" t="inlineStr">
        <is>
          <t>其中：已办理供应链或票据背书未入账付款</t>
        </is>
      </c>
      <c r="V8" s="277" t="inlineStr">
        <is>
          <t>其中：其他未入账付款</t>
        </is>
      </c>
      <c r="W8" s="277" t="inlineStr">
        <is>
          <t>债务总额</t>
        </is>
      </c>
      <c r="X8" s="277" t="inlineStr">
        <is>
          <t>其中：应付总额</t>
        </is>
      </c>
      <c r="Y8" s="277" t="inlineStr">
        <is>
          <t>是否已取得对账单
（以取得双方用印对账单为准）</t>
        </is>
      </c>
      <c r="Z8" s="278" t="inlineStr">
        <is>
          <t>累计已收取发票（含税）</t>
        </is>
      </c>
      <c r="AA8" s="278" t="inlineStr">
        <is>
          <t>其中：累计已收取营业税发票额</t>
        </is>
      </c>
      <c r="AB8" s="278" t="inlineStr">
        <is>
          <t>其中：累计已收取增值税发票额</t>
        </is>
      </c>
      <c r="AC8" s="278" t="inlineStr">
        <is>
          <t>其中：营业税及增值税预缴时已抵扣发票额</t>
        </is>
      </c>
      <c r="AD8" s="278" t="inlineStr">
        <is>
          <t>已收取增值税发票对应税额</t>
        </is>
      </c>
      <c r="AE8" s="278" t="inlineStr">
        <is>
          <t>其中：已认证税额</t>
        </is>
      </c>
      <c r="AF8" s="278" t="inlineStr">
        <is>
          <t>已收取待认证税额</t>
        </is>
      </c>
      <c r="AG8" s="278" t="n"/>
      <c r="AH8" s="278" t="inlineStr">
        <is>
          <t>按结算未收取发票额</t>
        </is>
      </c>
      <c r="AI8" s="278" t="inlineStr">
        <is>
          <t>按付款未收取发票额</t>
        </is>
      </c>
      <c r="AJ8" s="278" t="inlineStr">
        <is>
          <t>当前适用税率</t>
        </is>
      </c>
      <c r="AK8" s="278" t="inlineStr">
        <is>
          <t>其他应收-待扣减税额</t>
        </is>
      </c>
      <c r="AL8" s="267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9" t="n"/>
      <c r="B10" s="279" t="n">
        <v>1</v>
      </c>
      <c r="C10" s="279" t="n">
        <v>2</v>
      </c>
      <c r="D10" s="279" t="n">
        <v>3</v>
      </c>
      <c r="E10" s="279" t="n">
        <v>4</v>
      </c>
      <c r="F10" s="279" t="n">
        <v>5</v>
      </c>
      <c r="G10" s="279" t="n">
        <v>6</v>
      </c>
      <c r="H10" s="279" t="n">
        <v>7</v>
      </c>
      <c r="I10" s="279" t="n">
        <v>8</v>
      </c>
      <c r="J10" s="279" t="inlineStr">
        <is>
          <t>9=7+8</t>
        </is>
      </c>
      <c r="K10" s="279" t="n">
        <v>10</v>
      </c>
      <c r="L10" s="279" t="inlineStr">
        <is>
          <t>11=9-10</t>
        </is>
      </c>
      <c r="M10" s="279" t="n">
        <v>12</v>
      </c>
      <c r="N10" s="279" t="n">
        <v>13</v>
      </c>
      <c r="O10" s="279" t="inlineStr">
        <is>
          <t>14=11-12</t>
        </is>
      </c>
      <c r="P10" s="279" t="inlineStr">
        <is>
          <t>15=10-13</t>
        </is>
      </c>
      <c r="Q10" s="279" t="inlineStr">
        <is>
          <t>16=12+14</t>
        </is>
      </c>
      <c r="R10" s="279" t="inlineStr">
        <is>
          <t>17=12+13+14+15</t>
        </is>
      </c>
      <c r="S10" s="279" t="n">
        <v>18</v>
      </c>
      <c r="T10" s="279" t="n">
        <v>19</v>
      </c>
      <c r="U10" s="279" t="n">
        <v>20</v>
      </c>
      <c r="V10" s="279" t="n">
        <v>21</v>
      </c>
      <c r="W10" s="279" t="n">
        <v>22</v>
      </c>
      <c r="X10" s="279" t="n">
        <v>23</v>
      </c>
      <c r="Y10" s="279" t="n">
        <v>24</v>
      </c>
      <c r="Z10" s="279" t="n">
        <v>25</v>
      </c>
      <c r="AA10" s="279" t="n">
        <v>26</v>
      </c>
      <c r="AB10" s="279" t="n">
        <v>27</v>
      </c>
      <c r="AC10" s="279" t="n">
        <v>28</v>
      </c>
      <c r="AD10" s="279" t="n">
        <v>29</v>
      </c>
      <c r="AE10" s="279" t="n">
        <v>30</v>
      </c>
      <c r="AF10" s="279" t="n">
        <v>31</v>
      </c>
      <c r="AG10" s="279" t="n">
        <v>32</v>
      </c>
      <c r="AH10" s="279" t="n">
        <v>33</v>
      </c>
      <c r="AI10" s="279" t="n">
        <v>34</v>
      </c>
      <c r="AJ10" s="279" t="n">
        <v>35</v>
      </c>
      <c r="AK10" s="279" t="n">
        <v>36</v>
      </c>
      <c r="AL10" s="267" t="n"/>
    </row>
    <row r="11" ht="14" customFormat="1" customHeight="1" s="180">
      <c r="A11" s="280" t="n"/>
      <c r="B11" s="281" t="n"/>
      <c r="C11" s="281" t="n"/>
      <c r="D11" s="282" t="inlineStr">
        <is>
          <t>二、成本</t>
        </is>
      </c>
      <c r="E11" s="281" t="n"/>
      <c r="F11" s="281" t="n"/>
      <c r="G11" s="281" t="n"/>
      <c r="H11" s="283" t="n"/>
      <c r="I11" s="283" t="n"/>
      <c r="J11" s="283" t="n"/>
      <c r="K11" s="284" t="n"/>
      <c r="L11" s="285" t="n"/>
      <c r="M11" s="286" t="n"/>
      <c r="N11" s="286" t="n"/>
      <c r="O11" s="283">
        <f>L11-M11</f>
        <v/>
      </c>
      <c r="P11" s="283">
        <f>K11-N11</f>
        <v/>
      </c>
      <c r="Q11" s="283">
        <f>M11+O11</f>
        <v/>
      </c>
      <c r="R11" s="283">
        <f>M11+N11+O11+P11</f>
        <v/>
      </c>
      <c r="S11" s="287">
        <f>SUM(T11:V11)</f>
        <v/>
      </c>
      <c r="T11" s="287" t="n"/>
      <c r="U11" s="287" t="n"/>
      <c r="V11" s="287" t="n"/>
      <c r="W11" s="287" t="n"/>
      <c r="X11" s="287" t="n"/>
      <c r="Y11" s="287" t="n"/>
      <c r="Z11" s="287" t="n"/>
      <c r="AA11" s="287" t="n"/>
      <c r="AB11" s="287" t="n"/>
      <c r="AC11" s="287" t="n"/>
      <c r="AD11" s="287" t="n"/>
      <c r="AE11" s="287" t="n"/>
      <c r="AF11" s="287" t="n"/>
      <c r="AG11" s="287" t="n"/>
      <c r="AH11" s="287" t="n"/>
      <c r="AI11" s="287" t="n"/>
      <c r="AJ11" s="287" t="n"/>
      <c r="AK11" s="288">
        <f>AB11/1.17*0.17+AC11/1.16*0.16+AD11/1.11*0.11+AE11/1.1*0.1+AF11/1.09*0.09+AI11/1.03*0.03</f>
        <v/>
      </c>
      <c r="AL11" s="289" t="n"/>
    </row>
    <row r="12" ht="14" customFormat="1" customHeight="1" s="180">
      <c r="A12" s="280" t="n"/>
      <c r="B12" s="281" t="n"/>
      <c r="C12" s="281" t="n"/>
      <c r="D12" s="290" t="inlineStr">
        <is>
          <t>（一）人工费</t>
        </is>
      </c>
      <c r="E12" s="281" t="n"/>
      <c r="F12" s="281" t="n"/>
      <c r="G12" s="281" t="n"/>
      <c r="H12" s="283" t="n"/>
      <c r="I12" s="283" t="n"/>
      <c r="J12" s="283" t="n"/>
      <c r="K12" s="284" t="n"/>
      <c r="L12" s="285" t="n"/>
      <c r="M12" s="286" t="n"/>
      <c r="N12" s="286" t="n"/>
      <c r="O12" s="283">
        <f>L12-M12</f>
        <v/>
      </c>
      <c r="P12" s="283">
        <f>K12-N12</f>
        <v/>
      </c>
      <c r="Q12" s="283">
        <f>M12+O12</f>
        <v/>
      </c>
      <c r="R12" s="283">
        <f>M12+N12+O12+P12</f>
        <v/>
      </c>
      <c r="S12" s="287">
        <f>SUM(T12:V12)</f>
        <v/>
      </c>
      <c r="T12" s="288" t="n"/>
      <c r="U12" s="288" t="n"/>
      <c r="V12" s="288" t="n"/>
      <c r="W12" s="288" t="n"/>
      <c r="X12" s="288" t="n"/>
      <c r="Y12" s="288" t="n"/>
      <c r="Z12" s="288" t="n"/>
      <c r="AA12" s="287" t="n"/>
      <c r="AB12" s="287" t="n"/>
      <c r="AC12" s="287" t="n"/>
      <c r="AD12" s="287" t="n"/>
      <c r="AE12" s="287" t="n"/>
      <c r="AF12" s="287" t="n"/>
      <c r="AG12" s="287" t="n"/>
      <c r="AH12" s="287" t="n"/>
      <c r="AI12" s="287" t="n"/>
      <c r="AJ12" s="287" t="n"/>
      <c r="AK12" s="288">
        <f>AB12/1.17*0.17+AC12/1.16*0.16+AD12/1.11*0.11+AE12/1.1*0.1+AF12/1.09*0.09+AI12/1.03*0.03</f>
        <v/>
      </c>
      <c r="AL12" s="289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  <c r="W13" s="291" t="n"/>
      <c r="X13" s="291" t="n"/>
      <c r="Y13" s="291" t="n"/>
      <c r="Z13" s="291" t="n"/>
      <c r="AA13" s="291" t="n"/>
      <c r="AB13" s="291" t="n"/>
      <c r="AC13" s="291" t="n"/>
      <c r="AD13" s="291" t="n"/>
      <c r="AE13" s="291" t="n"/>
      <c r="AF13" s="291" t="n"/>
      <c r="AG13" s="291" t="n"/>
      <c r="AH13" s="291" t="n"/>
      <c r="AI13" s="291" t="n"/>
      <c r="AJ13" s="291" t="n"/>
      <c r="AK13" s="291" t="n"/>
      <c r="AL13" s="291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  <c r="W14" s="291" t="n"/>
      <c r="X14" s="291" t="n"/>
      <c r="Y14" s="291" t="n"/>
      <c r="Z14" s="291" t="n"/>
      <c r="AA14" s="291" t="n"/>
      <c r="AB14" s="291" t="n"/>
      <c r="AC14" s="291" t="n"/>
      <c r="AD14" s="291" t="n"/>
      <c r="AE14" s="291" t="n"/>
      <c r="AF14" s="291" t="n"/>
      <c r="AG14" s="291" t="n"/>
      <c r="AH14" s="291" t="n"/>
      <c r="AI14" s="291" t="n"/>
      <c r="AJ14" s="291" t="n"/>
      <c r="AK14" s="291" t="n"/>
      <c r="AL14" s="291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1" t="n"/>
      <c r="X15" s="291" t="n"/>
      <c r="Y15" s="291" t="n"/>
      <c r="Z15" s="291" t="n"/>
      <c r="AA15" s="291" t="n"/>
      <c r="AB15" s="291" t="n"/>
      <c r="AC15" s="291" t="n"/>
      <c r="AD15" s="291" t="n"/>
      <c r="AE15" s="291" t="n"/>
      <c r="AF15" s="291" t="n"/>
      <c r="AG15" s="291" t="n"/>
      <c r="AH15" s="291" t="n"/>
      <c r="AI15" s="291" t="n"/>
      <c r="AJ15" s="291" t="n"/>
      <c r="AK15" s="291" t="n"/>
      <c r="AL15" s="291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ZGD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80558.22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1" t="n"/>
      <c r="X16" s="291" t="n"/>
      <c r="Y16" s="291" t="n"/>
      <c r="Z16" s="291" t="n"/>
      <c r="AA16" s="291" t="n"/>
      <c r="AB16" s="291" t="n"/>
      <c r="AC16" s="291" t="n"/>
      <c r="AD16" s="291" t="n"/>
      <c r="AE16" s="291" t="n"/>
      <c r="AF16" s="291" t="n"/>
      <c r="AG16" s="291" t="n"/>
      <c r="AH16" s="291" t="n"/>
      <c r="AI16" s="291" t="n"/>
      <c r="AJ16" s="291" t="n"/>
      <c r="AK16" s="291" t="n"/>
      <c r="AL16" s="291" t="n"/>
    </row>
    <row r="17" ht="14" customFormat="1" customHeight="1" s="180">
      <c r="A17" s="280" t="n"/>
      <c r="B17" s="281" t="n"/>
      <c r="C17" s="281" t="n"/>
      <c r="D17" s="292" t="inlineStr">
        <is>
          <t>**财务未列部分需增列***</t>
        </is>
      </c>
      <c r="E17" s="293" t="n"/>
      <c r="F17" s="293" t="n"/>
      <c r="G17" s="293" t="n"/>
      <c r="H17" s="283" t="n"/>
      <c r="I17" s="283" t="n"/>
      <c r="J17" s="283" t="n"/>
      <c r="K17" s="284" t="n"/>
      <c r="L17" s="285" t="n"/>
      <c r="M17" s="283" t="n"/>
      <c r="N17" s="283" t="n"/>
      <c r="O17" s="283">
        <f>L17-M17</f>
        <v/>
      </c>
      <c r="P17" s="283">
        <f>K17-N17</f>
        <v/>
      </c>
      <c r="Q17" s="283">
        <f>M17+O17</f>
        <v/>
      </c>
      <c r="R17" s="283">
        <f>M17+N17+O17+P17</f>
        <v/>
      </c>
      <c r="S17" s="287">
        <f>SUM(T17:V17)</f>
        <v/>
      </c>
      <c r="T17" s="283" t="n"/>
      <c r="U17" s="283" t="n"/>
      <c r="V17" s="283" t="n"/>
      <c r="W17" s="283" t="n"/>
      <c r="X17" s="283" t="n"/>
      <c r="Y17" s="283" t="n"/>
      <c r="Z17" s="283">
        <f>SUM(AA16:AJ16)</f>
        <v/>
      </c>
      <c r="AA17" s="294" t="n"/>
      <c r="AB17" s="288" t="n"/>
      <c r="AC17" s="288" t="n"/>
      <c r="AD17" s="288" t="n"/>
      <c r="AE17" s="288" t="n"/>
      <c r="AF17" s="288" t="n"/>
      <c r="AG17" s="288" t="n"/>
      <c r="AH17" s="288" t="n"/>
      <c r="AI17" s="288" t="n"/>
      <c r="AJ17" s="288" t="n"/>
      <c r="AK17" s="288">
        <f>AB16/1.17*0.17+AC16/1.16*0.16+AD16/1.11*0.11+AE16/1.1*0.1+AF16/1.09*0.09+AI16/1.03*0.03</f>
        <v/>
      </c>
      <c r="AL17" s="295" t="n"/>
    </row>
    <row r="18" ht="14" customFormat="1" customHeight="1" s="180">
      <c r="A18" s="296" t="n"/>
      <c r="B18" s="297" t="n"/>
      <c r="C18" s="297" t="n"/>
      <c r="D18" s="298" t="inlineStr">
        <is>
          <t>人工费小计：</t>
        </is>
      </c>
      <c r="E18" s="299">
        <f>SUM(E12:E17)</f>
        <v/>
      </c>
      <c r="F18" s="299">
        <f>SUM(F12:F17)</f>
        <v/>
      </c>
      <c r="G18" s="299">
        <f>SUM(G12:G17)</f>
        <v/>
      </c>
      <c r="H18" s="299">
        <f>SUM(H12:H17)</f>
        <v/>
      </c>
      <c r="I18" s="299">
        <f>SUM(I12:I17)</f>
        <v/>
      </c>
      <c r="J18" s="299">
        <f>SUM(J12:J17)</f>
        <v/>
      </c>
      <c r="K18" s="299">
        <f>SUM(K12:K17)</f>
        <v/>
      </c>
      <c r="L18" s="299">
        <f>SUM(L12:L17)</f>
        <v/>
      </c>
      <c r="M18" s="299">
        <f>SUM(M12:M17)</f>
        <v/>
      </c>
      <c r="N18" s="299">
        <f>SUM(N12:N17)</f>
        <v/>
      </c>
      <c r="O18" s="299">
        <f>SUM(O12:O17)</f>
        <v/>
      </c>
      <c r="P18" s="299">
        <f>SUM(P12:P17)</f>
        <v/>
      </c>
      <c r="Q18" s="299">
        <f>SUM(Q12:Q17)</f>
        <v/>
      </c>
      <c r="R18" s="299">
        <f>SUM(R12:R17)</f>
        <v/>
      </c>
      <c r="S18" s="299">
        <f>SUM(S12:S17)</f>
        <v/>
      </c>
      <c r="T18" s="299">
        <f>SUM(T12:T17)</f>
        <v/>
      </c>
      <c r="U18" s="299">
        <f>SUM(U12:U17)</f>
        <v/>
      </c>
      <c r="V18" s="299">
        <f>SUM(V12:V17)</f>
        <v/>
      </c>
      <c r="W18" s="299">
        <f>SUM(W12:W17)</f>
        <v/>
      </c>
      <c r="X18" s="299">
        <f>SUM(X12:X17)</f>
        <v/>
      </c>
      <c r="Y18" s="299">
        <f>SUM(Y12:Y17)</f>
        <v/>
      </c>
      <c r="Z18" s="299">
        <f>SUM(Z12:Z17)</f>
        <v/>
      </c>
      <c r="AA18" s="299">
        <f>SUM(AA12:AA17)</f>
        <v/>
      </c>
      <c r="AB18" s="299">
        <f>SUM(AB12:AB17)</f>
        <v/>
      </c>
      <c r="AC18" s="299">
        <f>SUM(AC12:AC17)</f>
        <v/>
      </c>
      <c r="AD18" s="299">
        <f>SUM(AD12:AD17)</f>
        <v/>
      </c>
      <c r="AE18" s="299">
        <f>SUM(AE12:AE17)</f>
        <v/>
      </c>
      <c r="AF18" s="299">
        <f>SUM(AF12:AF17)</f>
        <v/>
      </c>
      <c r="AG18" s="299">
        <f>SUM(AG12:AG17)</f>
        <v/>
      </c>
      <c r="AH18" s="299">
        <f>SUM(AH12:AH17)</f>
        <v/>
      </c>
      <c r="AI18" s="299">
        <f>SUM(AI12:AI17)</f>
        <v/>
      </c>
      <c r="AJ18" s="299">
        <f>SUM(AJ12:AJ17)</f>
        <v/>
      </c>
      <c r="AK18" s="299">
        <f>SUM(AK12:AK17)</f>
        <v/>
      </c>
      <c r="AL18" s="289" t="n"/>
    </row>
    <row r="19" ht="14" customFormat="1" customHeight="1" s="180">
      <c r="A19" s="280" t="n"/>
      <c r="B19" s="281" t="n"/>
      <c r="C19" s="281" t="n"/>
      <c r="D19" s="300" t="inlineStr">
        <is>
          <t>（二）分包工程</t>
        </is>
      </c>
      <c r="E19" s="281" t="n"/>
      <c r="F19" s="281" t="n"/>
      <c r="G19" s="281" t="n"/>
      <c r="H19" s="283" t="n"/>
      <c r="I19" s="283" t="n"/>
      <c r="J19" s="283" t="n"/>
      <c r="K19" s="284" t="n"/>
      <c r="L19" s="285" t="n"/>
      <c r="M19" s="283" t="n"/>
      <c r="N19" s="283" t="n"/>
      <c r="O19" s="283">
        <f>L19-M19</f>
        <v/>
      </c>
      <c r="P19" s="283">
        <f>K19-N19</f>
        <v/>
      </c>
      <c r="Q19" s="283">
        <f>M19+O19</f>
        <v/>
      </c>
      <c r="R19" s="283">
        <f>M19+N19+O19+P19</f>
        <v/>
      </c>
      <c r="S19" s="287">
        <f>SUM(T19:V19)</f>
        <v/>
      </c>
      <c r="T19" s="287" t="n"/>
      <c r="U19" s="287" t="n"/>
      <c r="V19" s="287" t="n"/>
      <c r="W19" s="287" t="n"/>
      <c r="X19" s="287" t="n"/>
      <c r="Y19" s="287" t="n"/>
      <c r="Z19" s="287" t="n"/>
      <c r="AA19" s="287" t="n"/>
      <c r="AB19" s="287" t="n"/>
      <c r="AC19" s="287" t="n"/>
      <c r="AD19" s="287" t="n"/>
      <c r="AE19" s="287" t="n"/>
      <c r="AF19" s="287" t="n"/>
      <c r="AG19" s="287" t="n"/>
      <c r="AH19" s="287" t="n"/>
      <c r="AI19" s="287" t="n"/>
      <c r="AJ19" s="287" t="n"/>
      <c r="AK19" s="288">
        <f>AB18/1.17*0.17+AC18/1.16*0.16+AD18/1.11*0.11+AE18/1.1*0.1+AF18/1.09*0.09+AI18/1.03*0.03</f>
        <v/>
      </c>
      <c r="AL19" s="289" t="n"/>
    </row>
    <row r="20" ht="14" customFormat="1" customHeight="1" s="180">
      <c r="A20" s="206" t="n">
        <v>1</v>
      </c>
      <c r="B20" s="206" t="inlineStr">
        <is>
          <t>200147390</t>
        </is>
      </c>
      <c r="C20" s="207" t="inlineStr">
        <is>
          <t>中建四局0200202104503001</t>
        </is>
      </c>
      <c r="D20" s="207" t="inlineStr">
        <is>
          <t>佛山市劲辉鑫业建筑工程有限公司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2817692.82</v>
      </c>
      <c r="N20" s="210" t="n">
        <v>375692.37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1905250</v>
      </c>
      <c r="U20" s="206" t="n"/>
      <c r="V20" s="206" t="n"/>
      <c r="W20" s="291" t="n"/>
      <c r="X20" s="291" t="n"/>
      <c r="Y20" s="291" t="n"/>
      <c r="Z20" s="291" t="n"/>
      <c r="AA20" s="291" t="n"/>
      <c r="AB20" s="291" t="n"/>
      <c r="AC20" s="291" t="n"/>
      <c r="AD20" s="291" t="n"/>
      <c r="AE20" s="291" t="n"/>
      <c r="AF20" s="291" t="n"/>
      <c r="AG20" s="291" t="n"/>
      <c r="AH20" s="291" t="n"/>
      <c r="AI20" s="291" t="n"/>
      <c r="AJ20" s="291" t="n"/>
      <c r="AK20" s="291" t="n"/>
      <c r="AL20" s="291" t="n"/>
    </row>
    <row r="21" ht="14" customFormat="1" customHeight="1" s="180">
      <c r="A21" s="206" t="n">
        <v>2</v>
      </c>
      <c r="B21" s="206" t="inlineStr">
        <is>
          <t>200199796</t>
        </is>
      </c>
      <c r="C21" s="207" t="inlineStr">
        <is>
          <t>中建四局0200202104503005</t>
        </is>
      </c>
      <c r="D21" s="207" t="inlineStr">
        <is>
          <t>佛山市喜润鑫建筑工程有限公司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778756.29</v>
      </c>
      <c r="N21" s="210" t="n">
        <v>23961.74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575800</v>
      </c>
      <c r="U21" s="206" t="n"/>
      <c r="V21" s="206" t="n"/>
      <c r="W21" s="291" t="n"/>
      <c r="X21" s="291" t="n"/>
      <c r="Y21" s="291" t="n"/>
      <c r="Z21" s="291" t="n"/>
      <c r="AA21" s="291" t="n"/>
      <c r="AB21" s="291" t="n"/>
      <c r="AC21" s="291" t="n"/>
      <c r="AD21" s="291" t="n"/>
      <c r="AE21" s="291" t="n"/>
      <c r="AF21" s="291" t="n"/>
      <c r="AG21" s="291" t="n"/>
      <c r="AH21" s="291" t="n"/>
      <c r="AI21" s="291" t="n"/>
      <c r="AJ21" s="291" t="n"/>
      <c r="AK21" s="291" t="n"/>
      <c r="AL21" s="291" t="n"/>
    </row>
    <row r="22" ht="14" customFormat="1" customHeight="1" s="180">
      <c r="A22" s="206" t="n">
        <v>3</v>
      </c>
      <c r="B22" s="206" t="inlineStr">
        <is>
          <t>100217528</t>
        </is>
      </c>
      <c r="C22" s="207" t="inlineStr">
        <is>
          <t>中建四局0200202104503006</t>
        </is>
      </c>
      <c r="D22" s="207" t="inlineStr">
        <is>
          <t>佛山市耀盈活动房屋有限公司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271587.58</v>
      </c>
      <c r="N22" s="210" t="n">
        <v>36211.68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215000</v>
      </c>
      <c r="U22" s="206" t="n"/>
      <c r="V22" s="206" t="n"/>
      <c r="W22" s="291" t="n"/>
      <c r="X22" s="291" t="n"/>
      <c r="Y22" s="291" t="n"/>
      <c r="Z22" s="291" t="n"/>
      <c r="AA22" s="291" t="n"/>
      <c r="AB22" s="291" t="n"/>
      <c r="AC22" s="291" t="n"/>
      <c r="AD22" s="291" t="n"/>
      <c r="AE22" s="291" t="n"/>
      <c r="AF22" s="291" t="n"/>
      <c r="AG22" s="291" t="n"/>
      <c r="AH22" s="291" t="n"/>
      <c r="AI22" s="291" t="n"/>
      <c r="AJ22" s="291" t="n"/>
      <c r="AK22" s="291" t="n"/>
      <c r="AL22" s="291" t="n"/>
    </row>
    <row r="23" ht="14" customFormat="1" customHeight="1" s="180">
      <c r="A23" s="206" t="n">
        <v>4</v>
      </c>
      <c r="B23" s="206" t="inlineStr">
        <is>
          <t>100174525</t>
        </is>
      </c>
      <c r="C23" s="207" t="inlineStr">
        <is>
          <t>中建四局0200202104503004</t>
        </is>
      </c>
      <c r="D23" s="207" t="inlineStr">
        <is>
          <t>四川湘盛建筑工程有限公司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2618349.91</v>
      </c>
      <c r="N23" s="210" t="n">
        <v>241571.53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1895600</v>
      </c>
      <c r="U23" s="206" t="n"/>
      <c r="V23" s="206" t="n"/>
      <c r="W23" s="291" t="n"/>
      <c r="X23" s="291" t="n"/>
      <c r="Y23" s="291" t="n"/>
      <c r="Z23" s="291" t="n"/>
      <c r="AA23" s="291" t="n"/>
      <c r="AB23" s="291" t="n"/>
      <c r="AC23" s="291" t="n"/>
      <c r="AD23" s="291" t="n"/>
      <c r="AE23" s="291" t="n"/>
      <c r="AF23" s="291" t="n"/>
      <c r="AG23" s="291" t="n"/>
      <c r="AH23" s="291" t="n"/>
      <c r="AI23" s="291" t="n"/>
      <c r="AJ23" s="291" t="n"/>
      <c r="AK23" s="291" t="n"/>
      <c r="AL23" s="291" t="n"/>
    </row>
    <row r="24" ht="14" customFormat="1" customHeight="1" s="180">
      <c r="A24" s="206" t="n">
        <v>5</v>
      </c>
      <c r="B24" s="206" t="inlineStr">
        <is>
          <t>200540519</t>
        </is>
      </c>
      <c r="C24" s="207" t="inlineStr">
        <is>
          <t>中建四局0200202104503002</t>
        </is>
      </c>
      <c r="D24" s="207" t="inlineStr">
        <is>
          <t>广东湘庆建筑工程有限公司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1047869.29</v>
      </c>
      <c r="N24" s="210" t="n">
        <v>96726.39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819800</v>
      </c>
      <c r="U24" s="206" t="n"/>
      <c r="V24" s="206" t="n"/>
      <c r="W24" s="291" t="n"/>
      <c r="X24" s="291" t="n"/>
      <c r="Y24" s="291" t="n"/>
      <c r="Z24" s="291" t="n"/>
      <c r="AA24" s="291" t="n"/>
      <c r="AB24" s="291" t="n"/>
      <c r="AC24" s="291" t="n"/>
      <c r="AD24" s="291" t="n"/>
      <c r="AE24" s="291" t="n"/>
      <c r="AF24" s="291" t="n"/>
      <c r="AG24" s="291" t="n"/>
      <c r="AH24" s="291" t="n"/>
      <c r="AI24" s="291" t="n"/>
      <c r="AJ24" s="291" t="n"/>
      <c r="AK24" s="291" t="n"/>
      <c r="AL24" s="291" t="n"/>
    </row>
    <row r="25" ht="14" customFormat="1" customHeight="1" s="180">
      <c r="A25" s="206" t="n">
        <v>6</v>
      </c>
      <c r="B25" s="206" t="inlineStr">
        <is>
          <t>200053581</t>
        </is>
      </c>
      <c r="C25" s="207" t="inlineStr">
        <is>
          <t>中建四局020020210045030002</t>
        </is>
      </c>
      <c r="D25" s="207" t="inlineStr">
        <is>
          <t>广东粤忠晟保安服务有限公司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546358.62</v>
      </c>
      <c r="N25" s="210" t="n">
        <v>28018.39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394070.52</v>
      </c>
      <c r="U25" s="206" t="n"/>
      <c r="V25" s="206" t="n"/>
      <c r="W25" s="291" t="n"/>
      <c r="X25" s="291" t="n"/>
      <c r="Y25" s="291" t="n"/>
      <c r="Z25" s="291" t="n"/>
      <c r="AA25" s="291" t="n"/>
      <c r="AB25" s="291" t="n"/>
      <c r="AC25" s="291" t="n"/>
      <c r="AD25" s="291" t="n"/>
      <c r="AE25" s="291" t="n"/>
      <c r="AF25" s="291" t="n"/>
      <c r="AG25" s="291" t="n"/>
      <c r="AH25" s="291" t="n"/>
      <c r="AI25" s="291" t="n"/>
      <c r="AJ25" s="291" t="n"/>
      <c r="AK25" s="291" t="n"/>
      <c r="AL25" s="291" t="n"/>
    </row>
    <row r="26" ht="14" customFormat="1" customHeight="1" s="180">
      <c r="A26" s="206" t="n">
        <v>7</v>
      </c>
      <c r="B26" s="206" t="inlineStr">
        <is>
          <t>200436105</t>
        </is>
      </c>
      <c r="C26" s="207" t="inlineStr">
        <is>
          <t>中建四局0200202104503003</t>
        </is>
      </c>
      <c r="D26" s="207" t="inlineStr">
        <is>
          <t>广东纬地建筑劳务有限公司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46719399.14</v>
      </c>
      <c r="N26" s="210" t="n">
        <v>1437441.88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41605917</v>
      </c>
      <c r="U26" s="206" t="n"/>
      <c r="V26" s="206" t="n"/>
      <c r="W26" s="291" t="n"/>
      <c r="X26" s="291" t="n"/>
      <c r="Y26" s="291" t="n"/>
      <c r="Z26" s="291" t="n"/>
      <c r="AA26" s="291" t="n"/>
      <c r="AB26" s="291" t="n"/>
      <c r="AC26" s="291" t="n"/>
      <c r="AD26" s="291" t="n"/>
      <c r="AE26" s="291" t="n"/>
      <c r="AF26" s="291" t="n"/>
      <c r="AG26" s="291" t="n"/>
      <c r="AH26" s="291" t="n"/>
      <c r="AI26" s="291" t="n"/>
      <c r="AJ26" s="291" t="n"/>
      <c r="AK26" s="291" t="n"/>
      <c r="AL26" s="291" t="n"/>
    </row>
    <row r="27" ht="14" customFormat="1" customHeight="1" s="180">
      <c r="A27" s="206" t="n">
        <v>8</v>
      </c>
      <c r="B27" s="206" t="inlineStr">
        <is>
          <t>100217071</t>
        </is>
      </c>
      <c r="C27" s="207" t="inlineStr">
        <is>
          <t>中建四局0200202104503007</t>
        </is>
      </c>
      <c r="D27" s="207" t="inlineStr">
        <is>
          <t>广东邵宇建筑安装工程有限公司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6451674.06</v>
      </c>
      <c r="N27" s="210" t="n">
        <v>595534.53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5353700</v>
      </c>
      <c r="U27" s="206" t="n"/>
      <c r="V27" s="206" t="n"/>
      <c r="W27" s="291" t="n"/>
      <c r="X27" s="291" t="n"/>
      <c r="Y27" s="291" t="n"/>
      <c r="Z27" s="291" t="n"/>
      <c r="AA27" s="291" t="n"/>
      <c r="AB27" s="291" t="n"/>
      <c r="AC27" s="291" t="n"/>
      <c r="AD27" s="291" t="n"/>
      <c r="AE27" s="291" t="n"/>
      <c r="AF27" s="291" t="n"/>
      <c r="AG27" s="291" t="n"/>
      <c r="AH27" s="291" t="n"/>
      <c r="AI27" s="291" t="n"/>
      <c r="AJ27" s="291" t="n"/>
      <c r="AK27" s="291" t="n"/>
      <c r="AL27" s="291" t="n"/>
    </row>
    <row r="28" ht="14" customFormat="1" customHeight="1" s="180">
      <c r="A28" s="206" t="n">
        <v>9</v>
      </c>
      <c r="B28" s="206" t="inlineStr">
        <is>
          <t>100187703</t>
        </is>
      </c>
      <c r="C28" s="207" t="inlineStr">
        <is>
          <t>中建四局0200202104503008</t>
        </is>
      </c>
      <c r="D28" s="207" t="inlineStr">
        <is>
          <t>广州市金式广告有限公司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303433.81</v>
      </c>
      <c r="N28" s="210" t="n">
        <v>9336.42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100000</v>
      </c>
      <c r="U28" s="206" t="n"/>
      <c r="V28" s="206" t="n"/>
      <c r="W28" s="291" t="n"/>
      <c r="X28" s="291" t="n"/>
      <c r="Y28" s="291" t="n"/>
      <c r="Z28" s="291" t="n"/>
      <c r="AA28" s="291" t="n"/>
      <c r="AB28" s="291" t="n"/>
      <c r="AC28" s="291" t="n"/>
      <c r="AD28" s="291" t="n"/>
      <c r="AE28" s="291" t="n"/>
      <c r="AF28" s="291" t="n"/>
      <c r="AG28" s="291" t="n"/>
      <c r="AH28" s="291" t="n"/>
      <c r="AI28" s="291" t="n"/>
      <c r="AJ28" s="291" t="n"/>
      <c r="AK28" s="291" t="n"/>
      <c r="AL28" s="291" t="n"/>
    </row>
    <row r="29" ht="14" customFormat="1" customHeight="1" s="180">
      <c r="A29" s="206" t="n">
        <v>10</v>
      </c>
      <c r="B29" s="206" t="inlineStr">
        <is>
          <t>200056273</t>
        </is>
      </c>
      <c r="C29" s="207" t="inlineStr">
        <is>
          <t>中建四局020020210045030001</t>
        </is>
      </c>
      <c r="D29" s="207" t="inlineStr">
        <is>
          <t>广州金的建设有限公司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95182.23</v>
      </c>
      <c r="N29" s="210" t="n">
        <v>8786.049999999999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74400</v>
      </c>
      <c r="U29" s="206" t="n"/>
      <c r="V29" s="206" t="n"/>
      <c r="W29" s="291" t="n"/>
      <c r="X29" s="291" t="n"/>
      <c r="Y29" s="291" t="n"/>
      <c r="Z29" s="291" t="n"/>
      <c r="AA29" s="291" t="n"/>
      <c r="AB29" s="291" t="n"/>
      <c r="AC29" s="291" t="n"/>
      <c r="AD29" s="291" t="n"/>
      <c r="AE29" s="291" t="n"/>
      <c r="AF29" s="291" t="n"/>
      <c r="AG29" s="291" t="n"/>
      <c r="AH29" s="291" t="n"/>
      <c r="AI29" s="291" t="n"/>
      <c r="AJ29" s="291" t="n"/>
      <c r="AK29" s="291" t="n"/>
      <c r="AL29" s="291" t="n"/>
    </row>
    <row r="30" ht="14" customFormat="1" customHeight="1" s="180">
      <c r="A30" s="280" t="n"/>
      <c r="B30" s="281" t="n"/>
      <c r="C30" s="281" t="n"/>
      <c r="D30" s="292" t="inlineStr">
        <is>
          <t>**财务未列部分需增列***</t>
        </is>
      </c>
      <c r="E30" s="301" t="n"/>
      <c r="F30" s="301" t="n"/>
      <c r="G30" s="301" t="n"/>
      <c r="H30" s="283" t="n"/>
      <c r="I30" s="283" t="n"/>
      <c r="J30" s="283" t="n"/>
      <c r="K30" s="284" t="n"/>
      <c r="L30" s="285" t="n"/>
      <c r="M30" s="283" t="n"/>
      <c r="N30" s="283" t="n"/>
      <c r="O30" s="283">
        <f>L30-M30</f>
        <v/>
      </c>
      <c r="P30" s="283">
        <f>K30-N30</f>
        <v/>
      </c>
      <c r="Q30" s="283">
        <f>M30+O30</f>
        <v/>
      </c>
      <c r="R30" s="283">
        <f>M30+N30+O30+P30</f>
        <v/>
      </c>
      <c r="S30" s="287">
        <f>SUM(T30:V30)</f>
        <v/>
      </c>
      <c r="T30" s="283" t="n"/>
      <c r="U30" s="283" t="n"/>
      <c r="V30" s="283" t="n"/>
      <c r="W30" s="283" t="n"/>
      <c r="X30" s="283" t="n"/>
      <c r="Y30" s="283" t="n"/>
      <c r="Z30" s="287" t="n"/>
      <c r="AA30" s="287" t="n"/>
      <c r="AB30" s="288" t="n"/>
      <c r="AC30" s="288" t="n"/>
      <c r="AD30" s="288" t="n"/>
      <c r="AE30" s="288" t="n"/>
      <c r="AF30" s="288" t="n"/>
      <c r="AG30" s="288" t="n"/>
      <c r="AH30" s="288" t="n"/>
      <c r="AI30" s="288" t="n"/>
      <c r="AJ30" s="288" t="n"/>
      <c r="AK30" s="288">
        <f>AB22/1.17*0.17+AC22/1.16*0.16+AD22/1.11*0.11+AE22/1.1*0.1+AF22/1.09*0.09+AI22/1.03*0.03</f>
        <v/>
      </c>
      <c r="AL30" s="295" t="n"/>
    </row>
    <row r="31" ht="14" customFormat="1" customHeight="1" s="180">
      <c r="A31" s="296" t="n"/>
      <c r="B31" s="297" t="n"/>
      <c r="C31" s="297" t="n"/>
      <c r="D31" s="298" t="inlineStr">
        <is>
          <t>分包工程小计：</t>
        </is>
      </c>
      <c r="E31" s="299">
        <f>SUM(E19:E30)</f>
        <v/>
      </c>
      <c r="F31" s="299">
        <f>SUM(F19:F30)</f>
        <v/>
      </c>
      <c r="G31" s="299">
        <f>SUM(G19:G30)</f>
        <v/>
      </c>
      <c r="H31" s="299">
        <f>SUM(H19:H30)</f>
        <v/>
      </c>
      <c r="I31" s="299">
        <f>SUM(I19:I30)</f>
        <v/>
      </c>
      <c r="J31" s="299">
        <f>SUM(J19:J30)</f>
        <v/>
      </c>
      <c r="K31" s="299">
        <f>SUM(K19:K30)</f>
        <v/>
      </c>
      <c r="L31" s="299">
        <f>SUM(L19:L30)</f>
        <v/>
      </c>
      <c r="M31" s="299">
        <f>SUM(M19:M30)</f>
        <v/>
      </c>
      <c r="N31" s="299">
        <f>SUM(N19:N30)</f>
        <v/>
      </c>
      <c r="O31" s="299">
        <f>SUM(O19:O30)</f>
        <v/>
      </c>
      <c r="P31" s="299">
        <f>SUM(P19:P30)</f>
        <v/>
      </c>
      <c r="Q31" s="299">
        <f>SUM(Q19:Q30)</f>
        <v/>
      </c>
      <c r="R31" s="299">
        <f>SUM(R19:R30)</f>
        <v/>
      </c>
      <c r="S31" s="299">
        <f>SUM(S19:S30)</f>
        <v/>
      </c>
      <c r="T31" s="299">
        <f>SUM(T19:T30)</f>
        <v/>
      </c>
      <c r="U31" s="299">
        <f>SUM(U19:U30)</f>
        <v/>
      </c>
      <c r="V31" s="299">
        <f>SUM(V19:V30)</f>
        <v/>
      </c>
      <c r="W31" s="299">
        <f>SUM(W19:W30)</f>
        <v/>
      </c>
      <c r="X31" s="299">
        <f>SUM(X19:X30)</f>
        <v/>
      </c>
      <c r="Y31" s="299">
        <f>SUM(Y19:Y30)</f>
        <v/>
      </c>
      <c r="Z31" s="299">
        <f>SUM(Z19:Z30)</f>
        <v/>
      </c>
      <c r="AA31" s="299">
        <f>SUM(AA19:AA30)</f>
        <v/>
      </c>
      <c r="AB31" s="299">
        <f>SUM(AB19:AB30)</f>
        <v/>
      </c>
      <c r="AC31" s="299">
        <f>SUM(AC19:AC30)</f>
        <v/>
      </c>
      <c r="AD31" s="299">
        <f>SUM(AD19:AD30)</f>
        <v/>
      </c>
      <c r="AE31" s="299">
        <f>SUM(AE19:AE30)</f>
        <v/>
      </c>
      <c r="AF31" s="299">
        <f>SUM(AF19:AF30)</f>
        <v/>
      </c>
      <c r="AG31" s="299">
        <f>SUM(AG19:AG30)</f>
        <v/>
      </c>
      <c r="AH31" s="299">
        <f>SUM(AH19:AH30)</f>
        <v/>
      </c>
      <c r="AI31" s="299">
        <f>SUM(AI19:AI30)</f>
        <v/>
      </c>
      <c r="AJ31" s="299">
        <f>SUM(AJ19:AJ30)</f>
        <v/>
      </c>
      <c r="AK31" s="299">
        <f>SUM(AK19:AK30)</f>
        <v/>
      </c>
      <c r="AL31" s="289" t="n"/>
    </row>
    <row r="32" ht="26" customFormat="1" customHeight="1" s="180">
      <c r="A32" s="280" t="n"/>
      <c r="B32" s="281" t="n"/>
      <c r="C32" s="281" t="n"/>
      <c r="D32" s="300" t="inlineStr">
        <is>
          <t>(三)材料费</t>
        </is>
      </c>
      <c r="E32" s="281" t="n"/>
      <c r="F32" s="281" t="n"/>
      <c r="G32" s="281" t="n"/>
      <c r="H32" s="283" t="n"/>
      <c r="I32" s="283" t="n"/>
      <c r="J32" s="283" t="n"/>
      <c r="K32" s="284" t="n"/>
      <c r="L32" s="285" t="n"/>
      <c r="M32" s="283" t="n"/>
      <c r="N32" s="283" t="n"/>
      <c r="O32" s="283">
        <f>L32-M32</f>
        <v/>
      </c>
      <c r="P32" s="283">
        <f>K32-N32</f>
        <v/>
      </c>
      <c r="Q32" s="283">
        <f>M32+O32</f>
        <v/>
      </c>
      <c r="R32" s="283">
        <f>M32+N32+O32+P32</f>
        <v/>
      </c>
      <c r="S32" s="287">
        <f>SUM(T32:V32)</f>
        <v/>
      </c>
      <c r="T32" s="287" t="n"/>
      <c r="U32" s="287" t="n"/>
      <c r="V32" s="287" t="n"/>
      <c r="W32" s="287" t="n"/>
      <c r="X32" s="287" t="n"/>
      <c r="Y32" s="287" t="n"/>
      <c r="Z32" s="287" t="n"/>
      <c r="AA32" s="287" t="n"/>
      <c r="AB32" s="302" t="n"/>
      <c r="AC32" s="302" t="n"/>
      <c r="AD32" s="302" t="n"/>
      <c r="AE32" s="302" t="n"/>
      <c r="AF32" s="302" t="n"/>
      <c r="AG32" s="302" t="n"/>
      <c r="AH32" s="302" t="n"/>
      <c r="AI32" s="302" t="n"/>
      <c r="AJ32" s="302" t="n"/>
      <c r="AK32" s="288">
        <f>AB24/1.17*0.17+AC24/1.16*0.16+AD24/1.11*0.11+AE24/1.1*0.1+AF24/1.09*0.09+AI24/1.03*0.03</f>
        <v/>
      </c>
      <c r="AL32" s="303" t="n"/>
    </row>
    <row r="33" ht="14" customFormat="1" customHeight="1" s="180">
      <c r="A33" s="280" t="n"/>
      <c r="B33" s="281" t="n"/>
      <c r="C33" s="281" t="n"/>
      <c r="D33" s="283" t="inlineStr">
        <is>
          <t>（1）集中采购</t>
        </is>
      </c>
      <c r="E33" s="281" t="n"/>
      <c r="F33" s="281" t="n"/>
      <c r="G33" s="281" t="n"/>
      <c r="H33" s="283" t="n"/>
      <c r="I33" s="283" t="n"/>
      <c r="J33" s="283" t="n"/>
      <c r="K33" s="284" t="n"/>
      <c r="L33" s="285" t="n"/>
      <c r="M33" s="283" t="n"/>
      <c r="N33" s="283" t="n"/>
      <c r="O33" s="283">
        <f>L33-M33</f>
        <v/>
      </c>
      <c r="P33" s="283">
        <f>K33-N33</f>
        <v/>
      </c>
      <c r="Q33" s="283">
        <f>M33+O33</f>
        <v/>
      </c>
      <c r="R33" s="283">
        <f>M33+N33+O33+P33</f>
        <v/>
      </c>
      <c r="S33" s="287">
        <f>SUM(T33:V33)</f>
        <v/>
      </c>
      <c r="T33" s="287" t="n"/>
      <c r="U33" s="287" t="n"/>
      <c r="V33" s="287" t="n"/>
      <c r="W33" s="287" t="n"/>
      <c r="X33" s="287" t="n"/>
      <c r="Y33" s="287" t="n"/>
      <c r="Z33" s="287" t="n"/>
      <c r="AA33" s="287" t="n"/>
      <c r="AB33" s="302" t="n"/>
      <c r="AC33" s="302" t="n"/>
      <c r="AD33" s="302" t="n"/>
      <c r="AE33" s="302" t="n"/>
      <c r="AF33" s="302" t="n"/>
      <c r="AG33" s="302" t="n"/>
      <c r="AH33" s="302" t="n"/>
      <c r="AI33" s="302" t="n"/>
      <c r="AJ33" s="302" t="n"/>
      <c r="AK33" s="288">
        <f>AB25/1.17*0.17+AC25/1.16*0.16+AD25/1.11*0.11+AE25/1.1*0.1+AF25/1.09*0.09+AI25/1.03*0.03</f>
        <v/>
      </c>
      <c r="AL33" s="303" t="n"/>
    </row>
    <row r="34" ht="14" customFormat="1" customHeight="1" s="180">
      <c r="A34" s="33" t="n"/>
      <c r="B34" s="199" t="n"/>
      <c r="C34" s="199" t="n"/>
      <c r="D34" s="222" t="n"/>
      <c r="E34" s="213" t="n"/>
      <c r="F34" s="213" t="n"/>
      <c r="G34" s="213" t="n"/>
      <c r="H34" s="189" t="n"/>
      <c r="I34" s="189" t="n"/>
      <c r="J34" s="189" t="n"/>
      <c r="K34" s="201" t="n"/>
      <c r="L34" s="304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189">
        <f>SUM(AA26:AJ26)</f>
        <v/>
      </c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AB26/1.17*0.17+AC26/1.16*0.16+AD26/1.11*0.11+AE26/1.1*0.1+AF26/1.09*0.09+AI26/1.03*0.03</f>
        <v/>
      </c>
      <c r="AL34" s="221" t="n"/>
    </row>
    <row r="35" ht="14" customFormat="1" customHeight="1" s="180">
      <c r="A35" s="33" t="n"/>
      <c r="B35" s="199" t="n"/>
      <c r="C35" s="199" t="n"/>
      <c r="D35" s="222" t="n"/>
      <c r="E35" s="213" t="n"/>
      <c r="F35" s="213" t="n"/>
      <c r="G35" s="213" t="n"/>
      <c r="H35" s="189" t="n"/>
      <c r="I35" s="189" t="n"/>
      <c r="J35" s="189" t="n"/>
      <c r="K35" s="201" t="n"/>
      <c r="L35" s="304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189">
        <f>SUM(AA27:AJ27)</f>
        <v/>
      </c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AB27/1.17*0.17+AC27/1.16*0.16+AD27/1.11*0.11+AE27/1.1*0.1+AF27/1.09*0.09+AI27/1.03*0.03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304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SUM(AA28:AJ28)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AB28/1.17*0.17+AC28/1.16*0.16+AD28/1.11*0.11+AE28/1.1*0.1+AF28/1.09*0.09+AI28/1.03*0.03</f>
        <v/>
      </c>
      <c r="AL36" s="221" t="n"/>
    </row>
    <row r="37" ht="14" customFormat="1" customHeight="1" s="180">
      <c r="A37" s="280" t="n"/>
      <c r="B37" s="281" t="n"/>
      <c r="C37" s="281" t="n"/>
      <c r="D37" s="283" t="inlineStr">
        <is>
          <t>（2）自行采购</t>
        </is>
      </c>
      <c r="E37" s="301" t="n"/>
      <c r="F37" s="301" t="n"/>
      <c r="G37" s="301" t="n"/>
      <c r="H37" s="283" t="n"/>
      <c r="I37" s="283" t="n"/>
      <c r="J37" s="283" t="n"/>
      <c r="K37" s="284" t="n"/>
      <c r="L37" s="285" t="n"/>
      <c r="M37" s="283" t="n"/>
      <c r="N37" s="283" t="n"/>
      <c r="O37" s="283">
        <f>L37-M37</f>
        <v/>
      </c>
      <c r="P37" s="283">
        <f>K37-N37</f>
        <v/>
      </c>
      <c r="Q37" s="283">
        <f>M37+O37</f>
        <v/>
      </c>
      <c r="R37" s="283">
        <f>M37+N37+O37+P37</f>
        <v/>
      </c>
      <c r="S37" s="287">
        <f>SUM(T37:V37)</f>
        <v/>
      </c>
      <c r="T37" s="287" t="n"/>
      <c r="U37" s="287" t="n"/>
      <c r="V37" s="287" t="n"/>
      <c r="W37" s="287" t="n"/>
      <c r="X37" s="287" t="n"/>
      <c r="Y37" s="287" t="n"/>
      <c r="Z37" s="283">
        <f>SUM(AA29:AJ29)</f>
        <v/>
      </c>
      <c r="AA37" s="287" t="n"/>
      <c r="AB37" s="302" t="n"/>
      <c r="AC37" s="302" t="n"/>
      <c r="AD37" s="302" t="n"/>
      <c r="AE37" s="302" t="n"/>
      <c r="AF37" s="302" t="n"/>
      <c r="AG37" s="302" t="n"/>
      <c r="AH37" s="302" t="n"/>
      <c r="AI37" s="302" t="n"/>
      <c r="AJ37" s="302" t="n"/>
      <c r="AK37" s="288">
        <f>AB29/1.17*0.17+AC29/1.16*0.16+AD29/1.11*0.11+AE29/1.1*0.1+AF29/1.09*0.09+AI29/1.03*0.03</f>
        <v/>
      </c>
      <c r="AL37" s="303" t="n"/>
    </row>
    <row r="38" ht="14" customFormat="1" customHeight="1" s="180">
      <c r="A38" s="206" t="n">
        <v>1</v>
      </c>
      <c r="B38" s="206" t="inlineStr">
        <is>
          <t>100237790</t>
        </is>
      </c>
      <c r="C38" s="207" t="inlineStr">
        <is>
          <t>中建四局0200202104506006</t>
        </is>
      </c>
      <c r="D38" s="207" t="inlineStr">
        <is>
          <t>佛山唐贵五金电器有限公司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36234</v>
      </c>
      <c r="N38" s="210" t="n">
        <v>4710.42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40944.42</v>
      </c>
      <c r="U38" s="206" t="n"/>
      <c r="V38" s="206" t="n"/>
      <c r="W38" s="291" t="n"/>
      <c r="X38" s="291" t="n"/>
      <c r="Y38" s="291" t="n"/>
      <c r="Z38" s="291" t="n"/>
      <c r="AA38" s="291" t="n"/>
      <c r="AB38" s="291" t="n"/>
      <c r="AC38" s="291" t="n"/>
      <c r="AD38" s="291" t="n"/>
      <c r="AE38" s="291" t="n"/>
      <c r="AF38" s="291" t="n"/>
      <c r="AG38" s="291" t="n"/>
      <c r="AH38" s="291" t="n"/>
      <c r="AI38" s="291" t="n"/>
      <c r="AJ38" s="291" t="n"/>
      <c r="AK38" s="291" t="n"/>
      <c r="AL38" s="291" t="n"/>
    </row>
    <row r="39" ht="14" customFormat="1" customHeight="1" s="180">
      <c r="A39" s="206" t="n">
        <v>2</v>
      </c>
      <c r="B39" s="206" t="inlineStr">
        <is>
          <t>100082646</t>
        </is>
      </c>
      <c r="C39" s="207" t="inlineStr">
        <is>
          <t>中建四局0200202104506020</t>
        </is>
      </c>
      <c r="D39" s="207" t="inlineStr">
        <is>
          <t>佛山市南海升辉水泥预制件厂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88252.49000000001</v>
      </c>
      <c r="N39" s="210" t="n">
        <v>11472.83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20000</v>
      </c>
      <c r="U39" s="206" t="n"/>
      <c r="V39" s="206" t="n"/>
      <c r="W39" s="291" t="n"/>
      <c r="X39" s="291" t="n"/>
      <c r="Y39" s="291" t="n"/>
      <c r="Z39" s="291" t="n"/>
      <c r="AA39" s="291" t="n"/>
      <c r="AB39" s="291" t="n"/>
      <c r="AC39" s="291" t="n"/>
      <c r="AD39" s="291" t="n"/>
      <c r="AE39" s="291" t="n"/>
      <c r="AF39" s="291" t="n"/>
      <c r="AG39" s="291" t="n"/>
      <c r="AH39" s="291" t="n"/>
      <c r="AI39" s="291" t="n"/>
      <c r="AJ39" s="291" t="n"/>
      <c r="AK39" s="291" t="n"/>
      <c r="AL39" s="291" t="n"/>
    </row>
    <row r="40" ht="14" customFormat="1" customHeight="1" s="180">
      <c r="A40" s="206" t="n">
        <v>3</v>
      </c>
      <c r="B40" s="206" t="inlineStr">
        <is>
          <t>200086855</t>
        </is>
      </c>
      <c r="C40" s="207" t="inlineStr">
        <is>
          <t>中建四局0200202104506011</t>
        </is>
      </c>
      <c r="D40" s="207" t="inlineStr">
        <is>
          <t>佛山市拓海电气设备有限公司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52325.54</v>
      </c>
      <c r="N40" s="210" t="n">
        <v>6802.32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20000</v>
      </c>
      <c r="U40" s="206" t="n"/>
      <c r="V40" s="206" t="n"/>
      <c r="W40" s="291" t="n"/>
      <c r="X40" s="291" t="n"/>
      <c r="Y40" s="291" t="n"/>
      <c r="Z40" s="291" t="n"/>
      <c r="AA40" s="291" t="n"/>
      <c r="AB40" s="291" t="n"/>
      <c r="AC40" s="291" t="n"/>
      <c r="AD40" s="291" t="n"/>
      <c r="AE40" s="291" t="n"/>
      <c r="AF40" s="291" t="n"/>
      <c r="AG40" s="291" t="n"/>
      <c r="AH40" s="291" t="n"/>
      <c r="AI40" s="291" t="n"/>
      <c r="AJ40" s="291" t="n"/>
      <c r="AK40" s="291" t="n"/>
      <c r="AL40" s="291" t="n"/>
    </row>
    <row r="41" ht="14" customFormat="1" customHeight="1" s="180">
      <c r="A41" s="206" t="n">
        <v>4</v>
      </c>
      <c r="B41" s="206" t="inlineStr">
        <is>
          <t>200571072</t>
        </is>
      </c>
      <c r="C41" s="207" t="inlineStr">
        <is>
          <t>中建四局0200202104506023</t>
        </is>
      </c>
      <c r="D41" s="207" t="inlineStr">
        <is>
          <t>佛山市益晋建筑材料销售有限公司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32235427.77</v>
      </c>
      <c r="N41" s="210" t="n">
        <v>4190605.59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21170000</v>
      </c>
      <c r="U41" s="206" t="n"/>
      <c r="V41" s="206" t="n"/>
      <c r="W41" s="291" t="n"/>
      <c r="X41" s="291" t="n"/>
      <c r="Y41" s="291" t="n"/>
      <c r="Z41" s="291" t="n"/>
      <c r="AA41" s="291" t="n"/>
      <c r="AB41" s="291" t="n"/>
      <c r="AC41" s="291" t="n"/>
      <c r="AD41" s="291" t="n"/>
      <c r="AE41" s="291" t="n"/>
      <c r="AF41" s="291" t="n"/>
      <c r="AG41" s="291" t="n"/>
      <c r="AH41" s="291" t="n"/>
      <c r="AI41" s="291" t="n"/>
      <c r="AJ41" s="291" t="n"/>
      <c r="AK41" s="291" t="n"/>
      <c r="AL41" s="291" t="n"/>
    </row>
    <row r="42" ht="14" customFormat="1" customHeight="1" s="180">
      <c r="A42" s="206" t="n">
        <v>5</v>
      </c>
      <c r="B42" s="206" t="inlineStr">
        <is>
          <t>200162951</t>
        </is>
      </c>
      <c r="C42" s="207" t="inlineStr">
        <is>
          <t>中建四局0200202104506004</t>
        </is>
      </c>
      <c r="D42" s="207" t="inlineStr">
        <is>
          <t>佛山市翊德通新型环保科技建材有限公司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500281.97</v>
      </c>
      <c r="N42" s="210" t="n">
        <v>65036.66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470000</v>
      </c>
      <c r="U42" s="206" t="n"/>
      <c r="V42" s="206" t="n"/>
      <c r="W42" s="291" t="n"/>
      <c r="X42" s="291" t="n"/>
      <c r="Y42" s="291" t="n"/>
      <c r="Z42" s="291" t="n"/>
      <c r="AA42" s="291" t="n"/>
      <c r="AB42" s="291" t="n"/>
      <c r="AC42" s="291" t="n"/>
      <c r="AD42" s="291" t="n"/>
      <c r="AE42" s="291" t="n"/>
      <c r="AF42" s="291" t="n"/>
      <c r="AG42" s="291" t="n"/>
      <c r="AH42" s="291" t="n"/>
      <c r="AI42" s="291" t="n"/>
      <c r="AJ42" s="291" t="n"/>
      <c r="AK42" s="291" t="n"/>
      <c r="AL42" s="291" t="n"/>
    </row>
    <row r="43" ht="14" customFormat="1" customHeight="1" s="180">
      <c r="A43" s="206" t="n">
        <v>6</v>
      </c>
      <c r="B43" s="206" t="inlineStr">
        <is>
          <t>100217517</t>
        </is>
      </c>
      <c r="C43" s="207" t="inlineStr">
        <is>
          <t>中建四局020020210045060001</t>
        </is>
      </c>
      <c r="D43" s="207" t="inlineStr">
        <is>
          <t>佛山市顺德区恒锦源贸易有限公司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203010</v>
      </c>
      <c r="N43" s="210" t="n">
        <v>26391.3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1" t="n"/>
      <c r="X43" s="291" t="n"/>
      <c r="Y43" s="291" t="n"/>
      <c r="Z43" s="291" t="n"/>
      <c r="AA43" s="291" t="n"/>
      <c r="AB43" s="291" t="n"/>
      <c r="AC43" s="291" t="n"/>
      <c r="AD43" s="291" t="n"/>
      <c r="AE43" s="291" t="n"/>
      <c r="AF43" s="291" t="n"/>
      <c r="AG43" s="291" t="n"/>
      <c r="AH43" s="291" t="n"/>
      <c r="AI43" s="291" t="n"/>
      <c r="AJ43" s="291" t="n"/>
      <c r="AK43" s="291" t="n"/>
      <c r="AL43" s="291" t="n"/>
    </row>
    <row r="44" ht="14" customFormat="1" customHeight="1" s="180">
      <c r="A44" s="206" t="n">
        <v>7</v>
      </c>
      <c r="B44" s="206" t="inlineStr">
        <is>
          <t>100217517</t>
        </is>
      </c>
      <c r="C44" s="207" t="inlineStr">
        <is>
          <t>中建四局0200202104506005</t>
        </is>
      </c>
      <c r="D44" s="207" t="inlineStr">
        <is>
          <t>佛山市顺德区恒锦源贸易有限公司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776841.17</v>
      </c>
      <c r="N44" s="210" t="n">
        <v>100989.34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646000</v>
      </c>
      <c r="U44" s="206" t="n"/>
      <c r="V44" s="206" t="n"/>
      <c r="W44" s="291" t="n"/>
      <c r="X44" s="291" t="n"/>
      <c r="Y44" s="291" t="n"/>
      <c r="Z44" s="291" t="n"/>
      <c r="AA44" s="291" t="n"/>
      <c r="AB44" s="291" t="n"/>
      <c r="AC44" s="291" t="n"/>
      <c r="AD44" s="291" t="n"/>
      <c r="AE44" s="291" t="n"/>
      <c r="AF44" s="291" t="n"/>
      <c r="AG44" s="291" t="n"/>
      <c r="AH44" s="291" t="n"/>
      <c r="AI44" s="291" t="n"/>
      <c r="AJ44" s="291" t="n"/>
      <c r="AK44" s="291" t="n"/>
      <c r="AL44" s="291" t="n"/>
    </row>
    <row r="45" ht="14" customFormat="1" customHeight="1" s="180">
      <c r="A45" s="206" t="n">
        <v>8</v>
      </c>
      <c r="B45" s="206" t="inlineStr">
        <is>
          <t>100217517</t>
        </is>
      </c>
      <c r="C45" s="207" t="inlineStr">
        <is>
          <t>中建四局0200202104506009</t>
        </is>
      </c>
      <c r="D45" s="207" t="inlineStr">
        <is>
          <t>佛山市顺德区恒锦源贸易有限公司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361593.1</v>
      </c>
      <c r="N45" s="210" t="n">
        <v>47007.09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140000</v>
      </c>
      <c r="U45" s="206" t="n"/>
      <c r="V45" s="206" t="n"/>
      <c r="W45" s="291" t="n"/>
      <c r="X45" s="291" t="n"/>
      <c r="Y45" s="291" t="n"/>
      <c r="Z45" s="291" t="n"/>
      <c r="AA45" s="291" t="n"/>
      <c r="AB45" s="291" t="n"/>
      <c r="AC45" s="291" t="n"/>
      <c r="AD45" s="291" t="n"/>
      <c r="AE45" s="291" t="n"/>
      <c r="AF45" s="291" t="n"/>
      <c r="AG45" s="291" t="n"/>
      <c r="AH45" s="291" t="n"/>
      <c r="AI45" s="291" t="n"/>
      <c r="AJ45" s="291" t="n"/>
      <c r="AK45" s="291" t="n"/>
      <c r="AL45" s="291" t="n"/>
    </row>
    <row r="46" ht="14" customFormat="1" customHeight="1" s="180">
      <c r="A46" s="206" t="n">
        <v>9</v>
      </c>
      <c r="B46" s="206" t="inlineStr">
        <is>
          <t>200417828</t>
        </is>
      </c>
      <c r="C46" s="207" t="inlineStr">
        <is>
          <t>中建四局0200202104506015</t>
        </is>
      </c>
      <c r="D46" s="207" t="inlineStr">
        <is>
          <t>佛山市顺德区联皓科技开发有限公司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2661431.4</v>
      </c>
      <c r="N46" s="210" t="n">
        <v>345986.09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2100000</v>
      </c>
      <c r="U46" s="206" t="n"/>
      <c r="V46" s="206" t="n"/>
      <c r="W46" s="291" t="n"/>
      <c r="X46" s="291" t="n"/>
      <c r="Y46" s="291" t="n"/>
      <c r="Z46" s="291" t="n"/>
      <c r="AA46" s="291" t="n"/>
      <c r="AB46" s="291" t="n"/>
      <c r="AC46" s="291" t="n"/>
      <c r="AD46" s="291" t="n"/>
      <c r="AE46" s="291" t="n"/>
      <c r="AF46" s="291" t="n"/>
      <c r="AG46" s="291" t="n"/>
      <c r="AH46" s="291" t="n"/>
      <c r="AI46" s="291" t="n"/>
      <c r="AJ46" s="291" t="n"/>
      <c r="AK46" s="291" t="n"/>
      <c r="AL46" s="291" t="n"/>
    </row>
    <row r="47" ht="14" customFormat="1" customHeight="1" s="180">
      <c r="A47" s="206" t="n">
        <v>10</v>
      </c>
      <c r="B47" s="206" t="inlineStr">
        <is>
          <t>100006706</t>
        </is>
      </c>
      <c r="C47" s="207" t="inlineStr">
        <is>
          <t>中建四局0200202104506025</t>
        </is>
      </c>
      <c r="D47" s="207" t="inlineStr">
        <is>
          <t>品茗科技股份有限公司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38641.38</v>
      </c>
      <c r="N47" s="210" t="n">
        <v>5023.38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39000</v>
      </c>
      <c r="U47" s="206" t="n"/>
      <c r="V47" s="206" t="n"/>
      <c r="W47" s="291" t="n"/>
      <c r="X47" s="291" t="n"/>
      <c r="Y47" s="291" t="n"/>
      <c r="Z47" s="291" t="n"/>
      <c r="AA47" s="291" t="n"/>
      <c r="AB47" s="291" t="n"/>
      <c r="AC47" s="291" t="n"/>
      <c r="AD47" s="291" t="n"/>
      <c r="AE47" s="291" t="n"/>
      <c r="AF47" s="291" t="n"/>
      <c r="AG47" s="291" t="n"/>
      <c r="AH47" s="291" t="n"/>
      <c r="AI47" s="291" t="n"/>
      <c r="AJ47" s="291" t="n"/>
      <c r="AK47" s="291" t="n"/>
      <c r="AL47" s="291" t="n"/>
    </row>
    <row r="48" ht="14" customFormat="1" customHeight="1" s="180">
      <c r="A48" s="206" t="n">
        <v>11</v>
      </c>
      <c r="B48" s="206" t="inlineStr">
        <is>
          <t>200228960</t>
        </is>
      </c>
      <c r="C48" s="207" t="inlineStr">
        <is>
          <t>中建四局0200202104506010</t>
        </is>
      </c>
      <c r="D48" s="207" t="inlineStr">
        <is>
          <t>地兴实业（广州）有限公司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152645.27</v>
      </c>
      <c r="N48" s="210" t="n">
        <v>19843.86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120000</v>
      </c>
      <c r="U48" s="206" t="n"/>
      <c r="V48" s="206" t="n"/>
      <c r="W48" s="291" t="n"/>
      <c r="X48" s="291" t="n"/>
      <c r="Y48" s="291" t="n"/>
      <c r="Z48" s="291" t="n"/>
      <c r="AA48" s="291" t="n"/>
      <c r="AB48" s="291" t="n"/>
      <c r="AC48" s="291" t="n"/>
      <c r="AD48" s="291" t="n"/>
      <c r="AE48" s="291" t="n"/>
      <c r="AF48" s="291" t="n"/>
      <c r="AG48" s="291" t="n"/>
      <c r="AH48" s="291" t="n"/>
      <c r="AI48" s="291" t="n"/>
      <c r="AJ48" s="291" t="n"/>
      <c r="AK48" s="291" t="n"/>
      <c r="AL48" s="291" t="n"/>
    </row>
    <row r="49" ht="14" customFormat="1" customHeight="1" s="180">
      <c r="A49" s="206" t="n">
        <v>12</v>
      </c>
      <c r="B49" s="206" t="inlineStr">
        <is>
          <t>200563704</t>
        </is>
      </c>
      <c r="C49" s="207" t="inlineStr">
        <is>
          <t>中建四局0200202104506022</t>
        </is>
      </c>
      <c r="D49" s="207" t="inlineStr">
        <is>
          <t>山东晟初供应链管理有限责任公司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5302261.73</v>
      </c>
      <c r="N49" s="210" t="n">
        <v>689294.02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4743834.61</v>
      </c>
      <c r="U49" s="206" t="n"/>
      <c r="V49" s="206" t="n"/>
      <c r="W49" s="291" t="n"/>
      <c r="X49" s="291" t="n"/>
      <c r="Y49" s="291" t="n"/>
      <c r="Z49" s="291" t="n"/>
      <c r="AA49" s="291" t="n"/>
      <c r="AB49" s="291" t="n"/>
      <c r="AC49" s="291" t="n"/>
      <c r="AD49" s="291" t="n"/>
      <c r="AE49" s="291" t="n"/>
      <c r="AF49" s="291" t="n"/>
      <c r="AG49" s="291" t="n"/>
      <c r="AH49" s="291" t="n"/>
      <c r="AI49" s="291" t="n"/>
      <c r="AJ49" s="291" t="n"/>
      <c r="AK49" s="291" t="n"/>
      <c r="AL49" s="291" t="n"/>
    </row>
    <row r="50" ht="14" customFormat="1" customHeight="1" s="180">
      <c r="A50" s="206" t="n">
        <v>13</v>
      </c>
      <c r="B50" s="206" t="inlineStr">
        <is>
          <t>200486755</t>
        </is>
      </c>
      <c r="C50" s="207" t="inlineStr">
        <is>
          <t>中建四局0200202104506024</t>
        </is>
      </c>
      <c r="D50" s="207" t="inlineStr">
        <is>
          <t>广东冠祥新型建材有限公司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608304.67</v>
      </c>
      <c r="N50" s="210" t="n">
        <v>79079.60000000001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374000</v>
      </c>
      <c r="U50" s="206" t="n"/>
      <c r="V50" s="206" t="n"/>
      <c r="W50" s="291" t="n"/>
      <c r="X50" s="291" t="n"/>
      <c r="Y50" s="291" t="n"/>
      <c r="Z50" s="291" t="n"/>
      <c r="AA50" s="291" t="n"/>
      <c r="AB50" s="291" t="n"/>
      <c r="AC50" s="291" t="n"/>
      <c r="AD50" s="291" t="n"/>
      <c r="AE50" s="291" t="n"/>
      <c r="AF50" s="291" t="n"/>
      <c r="AG50" s="291" t="n"/>
      <c r="AH50" s="291" t="n"/>
      <c r="AI50" s="291" t="n"/>
      <c r="AJ50" s="291" t="n"/>
      <c r="AK50" s="291" t="n"/>
      <c r="AL50" s="291" t="n"/>
    </row>
    <row r="51" ht="14" customFormat="1" customHeight="1" s="180">
      <c r="A51" s="206" t="n">
        <v>14</v>
      </c>
      <c r="B51" s="206" t="inlineStr">
        <is>
          <t>100217564</t>
        </is>
      </c>
      <c r="C51" s="207" t="inlineStr">
        <is>
          <t>中建四局0200202104506002</t>
        </is>
      </c>
      <c r="D51" s="207" t="inlineStr">
        <is>
          <t>广东顺德雍强贸易有限公司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475239.69</v>
      </c>
      <c r="N51" s="210" t="n">
        <v>61781.16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120000</v>
      </c>
      <c r="U51" s="206" t="n"/>
      <c r="V51" s="206" t="n"/>
      <c r="W51" s="291" t="n"/>
      <c r="X51" s="291" t="n"/>
      <c r="Y51" s="291" t="n"/>
      <c r="Z51" s="291" t="n"/>
      <c r="AA51" s="291" t="n"/>
      <c r="AB51" s="291" t="n"/>
      <c r="AC51" s="291" t="n"/>
      <c r="AD51" s="291" t="n"/>
      <c r="AE51" s="291" t="n"/>
      <c r="AF51" s="291" t="n"/>
      <c r="AG51" s="291" t="n"/>
      <c r="AH51" s="291" t="n"/>
      <c r="AI51" s="291" t="n"/>
      <c r="AJ51" s="291" t="n"/>
      <c r="AK51" s="291" t="n"/>
      <c r="AL51" s="291" t="n"/>
    </row>
    <row r="52" ht="14" customFormat="1" customHeight="1" s="180">
      <c r="A52" s="206" t="n">
        <v>15</v>
      </c>
      <c r="B52" s="206" t="inlineStr">
        <is>
          <t>100217350</t>
        </is>
      </c>
      <c r="C52" s="207" t="inlineStr">
        <is>
          <t>中建四局0200202104506003</t>
        </is>
      </c>
      <c r="D52" s="207" t="inlineStr">
        <is>
          <t>广州市嘉宇金属制品有限公司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5220</v>
      </c>
      <c r="N52" s="210" t="n">
        <v>678.6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5898.6</v>
      </c>
      <c r="U52" s="206" t="n"/>
      <c r="V52" s="206" t="n"/>
      <c r="W52" s="291" t="n"/>
      <c r="X52" s="291" t="n"/>
      <c r="Y52" s="291" t="n"/>
      <c r="Z52" s="291" t="n"/>
      <c r="AA52" s="291" t="n"/>
      <c r="AB52" s="291" t="n"/>
      <c r="AC52" s="291" t="n"/>
      <c r="AD52" s="291" t="n"/>
      <c r="AE52" s="291" t="n"/>
      <c r="AF52" s="291" t="n"/>
      <c r="AG52" s="291" t="n"/>
      <c r="AH52" s="291" t="n"/>
      <c r="AI52" s="291" t="n"/>
      <c r="AJ52" s="291" t="n"/>
      <c r="AK52" s="291" t="n"/>
      <c r="AL52" s="291" t="n"/>
    </row>
    <row r="53" ht="14" customFormat="1" customHeight="1" s="180">
      <c r="A53" s="206" t="n">
        <v>16</v>
      </c>
      <c r="B53" s="206" t="inlineStr">
        <is>
          <t>100006014</t>
        </is>
      </c>
      <c r="C53" s="207" t="inlineStr">
        <is>
          <t>中建四局0200202104506013</t>
        </is>
      </c>
      <c r="D53" s="207" t="inlineStr">
        <is>
          <t>广州市番禺区石楼镇沙南建材二厂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1393544.89</v>
      </c>
      <c r="N53" s="210" t="n">
        <v>181160.83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1031000</v>
      </c>
      <c r="U53" s="206" t="n"/>
      <c r="V53" s="206" t="n"/>
      <c r="W53" s="291" t="n"/>
      <c r="X53" s="291" t="n"/>
      <c r="Y53" s="291" t="n"/>
      <c r="Z53" s="291" t="n"/>
      <c r="AA53" s="291" t="n"/>
      <c r="AB53" s="291" t="n"/>
      <c r="AC53" s="291" t="n"/>
      <c r="AD53" s="291" t="n"/>
      <c r="AE53" s="291" t="n"/>
      <c r="AF53" s="291" t="n"/>
      <c r="AG53" s="291" t="n"/>
      <c r="AH53" s="291" t="n"/>
      <c r="AI53" s="291" t="n"/>
      <c r="AJ53" s="291" t="n"/>
      <c r="AK53" s="291" t="n"/>
      <c r="AL53" s="291" t="n"/>
    </row>
    <row r="54" ht="14" customFormat="1" customHeight="1" s="180">
      <c r="A54" s="206" t="n">
        <v>17</v>
      </c>
      <c r="B54" s="206" t="inlineStr">
        <is>
          <t>100119801</t>
        </is>
      </c>
      <c r="C54" s="207" t="inlineStr">
        <is>
          <t>中建四局0200202104506014</t>
        </is>
      </c>
      <c r="D54" s="207" t="inlineStr">
        <is>
          <t>广州禄臻贸易有限公司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64927.94</v>
      </c>
      <c r="N54" s="210" t="n">
        <v>8440.610000000001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54000</v>
      </c>
      <c r="U54" s="206" t="n"/>
      <c r="V54" s="206" t="n"/>
      <c r="W54" s="291" t="n"/>
      <c r="X54" s="291" t="n"/>
      <c r="Y54" s="291" t="n"/>
      <c r="Z54" s="291" t="n"/>
      <c r="AA54" s="291" t="n"/>
      <c r="AB54" s="291" t="n"/>
      <c r="AC54" s="291" t="n"/>
      <c r="AD54" s="291" t="n"/>
      <c r="AE54" s="291" t="n"/>
      <c r="AF54" s="291" t="n"/>
      <c r="AG54" s="291" t="n"/>
      <c r="AH54" s="291" t="n"/>
      <c r="AI54" s="291" t="n"/>
      <c r="AJ54" s="291" t="n"/>
      <c r="AK54" s="291" t="n"/>
      <c r="AL54" s="291" t="n"/>
    </row>
    <row r="55" ht="14" customFormat="1" customHeight="1" s="180">
      <c r="A55" s="206" t="n">
        <v>18</v>
      </c>
      <c r="B55" s="206" t="inlineStr">
        <is>
          <t>100237088</t>
        </is>
      </c>
      <c r="C55" s="207" t="inlineStr">
        <is>
          <t>中建四局0200202104506021</t>
        </is>
      </c>
      <c r="D55" s="207" t="inlineStr">
        <is>
          <t>无锡市恒顺金属材料有限公司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18441166.94</v>
      </c>
      <c r="N55" s="210" t="n">
        <v>2397351.73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9585000</v>
      </c>
      <c r="U55" s="206" t="n"/>
      <c r="V55" s="206" t="n"/>
      <c r="W55" s="291" t="n"/>
      <c r="X55" s="291" t="n"/>
      <c r="Y55" s="291" t="n"/>
      <c r="Z55" s="291" t="n"/>
      <c r="AA55" s="291" t="n"/>
      <c r="AB55" s="291" t="n"/>
      <c r="AC55" s="291" t="n"/>
      <c r="AD55" s="291" t="n"/>
      <c r="AE55" s="291" t="n"/>
      <c r="AF55" s="291" t="n"/>
      <c r="AG55" s="291" t="n"/>
      <c r="AH55" s="291" t="n"/>
      <c r="AI55" s="291" t="n"/>
      <c r="AJ55" s="291" t="n"/>
      <c r="AK55" s="291" t="n"/>
      <c r="AL55" s="291" t="n"/>
    </row>
    <row r="56" ht="14" customFormat="1" customHeight="1" s="180">
      <c r="A56" s="206" t="n">
        <v>19</v>
      </c>
      <c r="B56" s="206" t="inlineStr">
        <is>
          <t>200132050</t>
        </is>
      </c>
      <c r="C56" s="207" t="inlineStr">
        <is>
          <t>中建四局0200202104506019</t>
        </is>
      </c>
      <c r="D56" s="207" t="inlineStr">
        <is>
          <t>江门市擎宏科技实业有限公司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513151.15</v>
      </c>
      <c r="N56" s="210" t="n">
        <v>66709.64999999999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396000</v>
      </c>
      <c r="U56" s="206" t="n"/>
      <c r="V56" s="206" t="n"/>
      <c r="W56" s="291" t="n"/>
      <c r="X56" s="291" t="n"/>
      <c r="Y56" s="291" t="n"/>
      <c r="Z56" s="291" t="n"/>
      <c r="AA56" s="291" t="n"/>
      <c r="AB56" s="291" t="n"/>
      <c r="AC56" s="291" t="n"/>
      <c r="AD56" s="291" t="n"/>
      <c r="AE56" s="291" t="n"/>
      <c r="AF56" s="291" t="n"/>
      <c r="AG56" s="291" t="n"/>
      <c r="AH56" s="291" t="n"/>
      <c r="AI56" s="291" t="n"/>
      <c r="AJ56" s="291" t="n"/>
      <c r="AK56" s="291" t="n"/>
      <c r="AL56" s="291" t="n"/>
    </row>
    <row r="57" ht="14" customFormat="1" customHeight="1" s="180">
      <c r="A57" s="206" t="n">
        <v>20</v>
      </c>
      <c r="B57" s="206" t="inlineStr">
        <is>
          <t>100022585</t>
        </is>
      </c>
      <c r="C57" s="207" t="inlineStr">
        <is>
          <t>中建四局0200202104506001</t>
        </is>
      </c>
      <c r="D57" s="207" t="inlineStr">
        <is>
          <t>漳州路桥物资发展有限公司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4104767.08</v>
      </c>
      <c r="N57" s="210" t="n">
        <v>533619.72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3321130.53</v>
      </c>
      <c r="U57" s="206" t="n"/>
      <c r="V57" s="206" t="n"/>
      <c r="W57" s="291" t="n"/>
      <c r="X57" s="291" t="n"/>
      <c r="Y57" s="291" t="n"/>
      <c r="Z57" s="291" t="n"/>
      <c r="AA57" s="291" t="n"/>
      <c r="AB57" s="291" t="n"/>
      <c r="AC57" s="291" t="n"/>
      <c r="AD57" s="291" t="n"/>
      <c r="AE57" s="291" t="n"/>
      <c r="AF57" s="291" t="n"/>
      <c r="AG57" s="291" t="n"/>
      <c r="AH57" s="291" t="n"/>
      <c r="AI57" s="291" t="n"/>
      <c r="AJ57" s="291" t="n"/>
      <c r="AK57" s="291" t="n"/>
      <c r="AL57" s="291" t="n"/>
    </row>
    <row r="58" ht="14" customFormat="1" customHeight="1" s="180">
      <c r="A58" s="206" t="n">
        <v>21</v>
      </c>
      <c r="B58" s="206" t="inlineStr">
        <is>
          <t>100199057</t>
        </is>
      </c>
      <c r="C58" s="207" t="inlineStr">
        <is>
          <t>中建四局0200202104506007</t>
        </is>
      </c>
      <c r="D58" s="207" t="inlineStr">
        <is>
          <t>福建省莆田市龙兴劳保用品有限公司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96272</v>
      </c>
      <c r="N58" s="210" t="n">
        <v>12515.36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  <c r="W58" s="291" t="n"/>
      <c r="X58" s="291" t="n"/>
      <c r="Y58" s="291" t="n"/>
      <c r="Z58" s="291" t="n"/>
      <c r="AA58" s="291" t="n"/>
      <c r="AB58" s="291" t="n"/>
      <c r="AC58" s="291" t="n"/>
      <c r="AD58" s="291" t="n"/>
      <c r="AE58" s="291" t="n"/>
      <c r="AF58" s="291" t="n"/>
      <c r="AG58" s="291" t="n"/>
      <c r="AH58" s="291" t="n"/>
      <c r="AI58" s="291" t="n"/>
      <c r="AJ58" s="291" t="n"/>
      <c r="AK58" s="291" t="n"/>
      <c r="AL58" s="291" t="n"/>
    </row>
    <row r="59" ht="14" customFormat="1" customHeight="1" s="180">
      <c r="A59" s="206" t="n">
        <v>22</v>
      </c>
      <c r="B59" s="206" t="inlineStr">
        <is>
          <t>100199057</t>
        </is>
      </c>
      <c r="C59" s="207" t="inlineStr">
        <is>
          <t>中建四局0200202104506008</t>
        </is>
      </c>
      <c r="D59" s="207" t="inlineStr">
        <is>
          <t>福建省莆田市龙兴劳保用品有限公司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87520</v>
      </c>
      <c r="N59" s="210" t="n">
        <v>11377.6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  <c r="W59" s="291" t="n"/>
      <c r="X59" s="291" t="n"/>
      <c r="Y59" s="291" t="n"/>
      <c r="Z59" s="291" t="n"/>
      <c r="AA59" s="291" t="n"/>
      <c r="AB59" s="291" t="n"/>
      <c r="AC59" s="291" t="n"/>
      <c r="AD59" s="291" t="n"/>
      <c r="AE59" s="291" t="n"/>
      <c r="AF59" s="291" t="n"/>
      <c r="AG59" s="291" t="n"/>
      <c r="AH59" s="291" t="n"/>
      <c r="AI59" s="291" t="n"/>
      <c r="AJ59" s="291" t="n"/>
      <c r="AK59" s="291" t="n"/>
      <c r="AL59" s="291" t="n"/>
    </row>
    <row r="60" ht="14" customFormat="1" customHeight="1" s="180">
      <c r="A60" s="206" t="n">
        <v>23</v>
      </c>
      <c r="B60" s="206" t="n"/>
      <c r="C60" s="207" t="n"/>
      <c r="D60" s="207" t="inlineStr">
        <is>
          <t>研发支出-材料费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-8056947.95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  <c r="W60" s="291" t="n"/>
      <c r="X60" s="291" t="n"/>
      <c r="Y60" s="291" t="n"/>
      <c r="Z60" s="291" t="n"/>
      <c r="AA60" s="291" t="n"/>
      <c r="AB60" s="291" t="n"/>
      <c r="AC60" s="291" t="n"/>
      <c r="AD60" s="291" t="n"/>
      <c r="AE60" s="291" t="n"/>
      <c r="AF60" s="291" t="n"/>
      <c r="AG60" s="291" t="n"/>
      <c r="AH60" s="291" t="n"/>
      <c r="AI60" s="291" t="n"/>
      <c r="AJ60" s="291" t="n"/>
      <c r="AK60" s="291" t="n"/>
      <c r="AL60" s="291" t="n"/>
    </row>
    <row r="61" ht="14" customFormat="1" customHeight="1" s="180">
      <c r="A61" s="280" t="n">
        <v>24</v>
      </c>
      <c r="B61" s="281" t="n"/>
      <c r="C61" s="281" t="n"/>
      <c r="D61" s="300" t="inlineStr">
        <is>
          <t>材料调入</t>
        </is>
      </c>
      <c r="E61" s="281" t="n"/>
      <c r="F61" s="281" t="n"/>
      <c r="G61" s="281" t="n"/>
      <c r="H61" s="283" t="n"/>
      <c r="I61" s="283" t="n"/>
      <c r="J61" s="283" t="n"/>
      <c r="K61" s="284" t="n"/>
      <c r="L61" s="285" t="n"/>
      <c r="M61" s="305" t="n">
        <v>7208164.12</v>
      </c>
      <c r="N61" s="283" t="n"/>
      <c r="O61" s="283">
        <f>L61-M61</f>
        <v/>
      </c>
      <c r="P61" s="283">
        <f>K61-N61</f>
        <v/>
      </c>
      <c r="Q61" s="283">
        <f>M61+O61</f>
        <v/>
      </c>
      <c r="R61" s="283">
        <f>M61+N61+O61+P61</f>
        <v/>
      </c>
      <c r="S61" s="287">
        <f>SUM(T61:V61)</f>
        <v/>
      </c>
      <c r="T61" s="287" t="n"/>
      <c r="U61" s="287" t="n"/>
      <c r="V61" s="287" t="n"/>
      <c r="W61" s="287" t="n"/>
      <c r="X61" s="287" t="n"/>
      <c r="Y61" s="287" t="n"/>
      <c r="Z61" s="283">
        <f>SUM(AA30:AJ30)</f>
        <v/>
      </c>
      <c r="AA61" s="287" t="n"/>
      <c r="AB61" s="302" t="n"/>
      <c r="AC61" s="302" t="n"/>
      <c r="AD61" s="302" t="n"/>
      <c r="AE61" s="302" t="n"/>
      <c r="AF61" s="302" t="n"/>
      <c r="AG61" s="302" t="n"/>
      <c r="AH61" s="302" t="n"/>
      <c r="AI61" s="302" t="n"/>
      <c r="AJ61" s="302" t="n"/>
      <c r="AK61" s="288">
        <f>AB30/1.17*0.17+AC30/1.16*0.16+AD30/1.11*0.11+AE30/1.1*0.1+AF30/1.09*0.09+AI30/1.03*0.03</f>
        <v/>
      </c>
      <c r="AL61" s="303" t="n"/>
    </row>
    <row r="62" ht="14" customFormat="1" customHeight="1" s="180">
      <c r="A62" s="280" t="n">
        <v>25</v>
      </c>
      <c r="B62" s="281" t="n"/>
      <c r="C62" s="281" t="n"/>
      <c r="D62" s="300" t="inlineStr">
        <is>
          <t>材料调出（注：负数填报）</t>
        </is>
      </c>
      <c r="E62" s="306" t="n"/>
      <c r="F62" s="306" t="n"/>
      <c r="G62" s="306" t="n"/>
      <c r="H62" s="307" t="n"/>
      <c r="I62" s="307" t="n"/>
      <c r="J62" s="283" t="n"/>
      <c r="K62" s="284" t="n"/>
      <c r="L62" s="285" t="n"/>
      <c r="M62" s="308" t="n">
        <v>-2516875.22</v>
      </c>
      <c r="N62" s="307" t="n"/>
      <c r="O62" s="283">
        <f>L62-M62</f>
        <v/>
      </c>
      <c r="P62" s="283">
        <f>K62-N62</f>
        <v/>
      </c>
      <c r="Q62" s="283">
        <f>M62+O62</f>
        <v/>
      </c>
      <c r="R62" s="283">
        <f>M62+N62+O62+P62</f>
        <v/>
      </c>
      <c r="S62" s="287">
        <f>SUM(T62:V62)</f>
        <v/>
      </c>
      <c r="T62" s="307" t="n"/>
      <c r="U62" s="307" t="n"/>
      <c r="V62" s="307" t="n"/>
      <c r="W62" s="307" t="n"/>
      <c r="X62" s="307" t="n"/>
      <c r="Y62" s="307" t="n"/>
      <c r="Z62" s="283">
        <f>SUM(AA31:AJ31)</f>
        <v/>
      </c>
      <c r="AA62" s="307" t="n"/>
      <c r="AB62" s="309" t="n"/>
      <c r="AC62" s="309" t="n"/>
      <c r="AD62" s="309" t="n"/>
      <c r="AE62" s="309" t="n"/>
      <c r="AF62" s="309" t="n"/>
      <c r="AG62" s="309" t="n"/>
      <c r="AH62" s="309" t="n"/>
      <c r="AI62" s="309" t="n"/>
      <c r="AJ62" s="309" t="n"/>
      <c r="AK62" s="288">
        <f>AB31/1.17*0.17+AC31/1.16*0.16+AD31/1.11*0.11+AE31/1.1*0.1+AF31/1.09*0.09+AI31/1.03*0.03</f>
        <v/>
      </c>
      <c r="AL62" s="310" t="n"/>
    </row>
    <row r="63" ht="14" customFormat="1" customHeight="1" s="180">
      <c r="A63" s="280" t="n"/>
      <c r="B63" s="281" t="n"/>
      <c r="C63" s="281" t="n"/>
      <c r="D63" s="300" t="inlineStr">
        <is>
          <t>材料库存（注：项目已结算未使用材料冲减项目成本，负数填报）</t>
        </is>
      </c>
      <c r="E63" s="306" t="n"/>
      <c r="F63" s="306" t="n"/>
      <c r="G63" s="306" t="n"/>
      <c r="H63" s="307" t="n"/>
      <c r="I63" s="307" t="n"/>
      <c r="J63" s="283" t="n"/>
      <c r="K63" s="284" t="n"/>
      <c r="L63" s="285" t="n"/>
      <c r="M63" s="307" t="n"/>
      <c r="N63" s="307" t="n"/>
      <c r="O63" s="283" t="n"/>
      <c r="P63" s="283" t="n"/>
      <c r="Q63" s="283" t="n"/>
      <c r="R63" s="283" t="n"/>
      <c r="S63" s="287" t="n"/>
      <c r="T63" s="307" t="n"/>
      <c r="U63" s="307" t="n"/>
      <c r="V63" s="307" t="n"/>
      <c r="W63" s="307" t="n"/>
      <c r="X63" s="307" t="n"/>
      <c r="Y63" s="307" t="n"/>
      <c r="Z63" s="283" t="n"/>
      <c r="AA63" s="307" t="n"/>
      <c r="AB63" s="309" t="n"/>
      <c r="AC63" s="309" t="n"/>
      <c r="AD63" s="309" t="n"/>
      <c r="AE63" s="309" t="n"/>
      <c r="AF63" s="309" t="n"/>
      <c r="AG63" s="309" t="n"/>
      <c r="AH63" s="309" t="n"/>
      <c r="AI63" s="309" t="n"/>
      <c r="AJ63" s="309" t="n"/>
      <c r="AK63" s="288" t="n"/>
      <c r="AL63" s="310" t="n"/>
    </row>
    <row r="64" ht="14" customFormat="1" customHeight="1" s="180">
      <c r="A64" s="280" t="n"/>
      <c r="B64" s="281" t="n"/>
      <c r="C64" s="281" t="n"/>
      <c r="D64" s="292" t="inlineStr">
        <is>
          <t>**财务未列部分需增列***</t>
        </is>
      </c>
      <c r="E64" s="301" t="n"/>
      <c r="F64" s="301" t="n"/>
      <c r="G64" s="301" t="n"/>
      <c r="H64" s="283" t="n"/>
      <c r="I64" s="283" t="n"/>
      <c r="J64" s="283" t="n"/>
      <c r="K64" s="284" t="n"/>
      <c r="L64" s="285" t="n"/>
      <c r="M64" s="283" t="n"/>
      <c r="N64" s="283" t="n"/>
      <c r="O64" s="283">
        <f>L64-M64</f>
        <v/>
      </c>
      <c r="P64" s="283">
        <f>K64-N64</f>
        <v/>
      </c>
      <c r="Q64" s="283">
        <f>M64+O64</f>
        <v/>
      </c>
      <c r="R64" s="283">
        <f>M64+N64+O64+P64</f>
        <v/>
      </c>
      <c r="S64" s="287">
        <f>SUM(T64:V64)</f>
        <v/>
      </c>
      <c r="T64" s="287" t="n"/>
      <c r="U64" s="287" t="n"/>
      <c r="V64" s="287" t="n"/>
      <c r="W64" s="287" t="n"/>
      <c r="X64" s="287" t="n"/>
      <c r="Y64" s="287" t="n"/>
      <c r="Z64" s="287" t="n"/>
      <c r="AA64" s="287" t="n"/>
      <c r="AB64" s="302" t="n"/>
      <c r="AC64" s="302" t="n"/>
      <c r="AD64" s="302" t="n"/>
      <c r="AE64" s="302" t="n"/>
      <c r="AF64" s="302" t="n"/>
      <c r="AG64" s="302" t="n"/>
      <c r="AH64" s="302" t="n"/>
      <c r="AI64" s="302" t="n"/>
      <c r="AJ64" s="302" t="n"/>
      <c r="AK64" s="288">
        <f>AB33/1.17*0.17+AC33/1.16*0.16+AD33/1.11*0.11+AE33/1.1*0.1+AF33/1.09*0.09+AI33/1.03*0.03</f>
        <v/>
      </c>
      <c r="AL64" s="303" t="n"/>
    </row>
    <row r="65" ht="14" customFormat="1" customHeight="1" s="180">
      <c r="A65" s="296" t="n"/>
      <c r="B65" s="297" t="n"/>
      <c r="C65" s="297" t="n"/>
      <c r="D65" s="298" t="inlineStr">
        <is>
          <t>材料费小计：</t>
        </is>
      </c>
      <c r="E65" s="299">
        <f>SUM(E32:E64)</f>
        <v/>
      </c>
      <c r="F65" s="299">
        <f>SUM(F32:F64)</f>
        <v/>
      </c>
      <c r="G65" s="299">
        <f>SUM(G32:G64)</f>
        <v/>
      </c>
      <c r="H65" s="299">
        <f>SUM(H32:H64)</f>
        <v/>
      </c>
      <c r="I65" s="299">
        <f>SUM(I32:I64)</f>
        <v/>
      </c>
      <c r="J65" s="299">
        <f>SUM(J32:J64)</f>
        <v/>
      </c>
      <c r="K65" s="299">
        <f>SUM(K32:K64)</f>
        <v/>
      </c>
      <c r="L65" s="299">
        <f>SUM(L32:L64)</f>
        <v/>
      </c>
      <c r="M65" s="299">
        <f>SUM(M32:M64)</f>
        <v/>
      </c>
      <c r="N65" s="299">
        <f>SUM(N32:N64)</f>
        <v/>
      </c>
      <c r="O65" s="299">
        <f>SUM(O32:O64)</f>
        <v/>
      </c>
      <c r="P65" s="299">
        <f>SUM(P32:P64)</f>
        <v/>
      </c>
      <c r="Q65" s="299">
        <f>SUM(Q32:Q64)</f>
        <v/>
      </c>
      <c r="R65" s="299">
        <f>SUM(R32:R64)</f>
        <v/>
      </c>
      <c r="S65" s="299">
        <f>SUM(S32:S64)</f>
        <v/>
      </c>
      <c r="T65" s="299">
        <f>SUM(T32:T64)</f>
        <v/>
      </c>
      <c r="U65" s="299">
        <f>SUM(U32:U64)</f>
        <v/>
      </c>
      <c r="V65" s="299">
        <f>SUM(V32:V64)</f>
        <v/>
      </c>
      <c r="W65" s="299">
        <f>SUM(W32:W64)</f>
        <v/>
      </c>
      <c r="X65" s="299">
        <f>SUM(X32:X64)</f>
        <v/>
      </c>
      <c r="Y65" s="299">
        <f>SUM(Y32:Y64)</f>
        <v/>
      </c>
      <c r="Z65" s="299">
        <f>SUM(Z32:Z64)</f>
        <v/>
      </c>
      <c r="AA65" s="299">
        <f>SUM(AA32:AA64)</f>
        <v/>
      </c>
      <c r="AB65" s="299">
        <f>SUM(AB32:AB64)</f>
        <v/>
      </c>
      <c r="AC65" s="299">
        <f>SUM(AC32:AC64)</f>
        <v/>
      </c>
      <c r="AD65" s="299">
        <f>SUM(AD32:AD64)</f>
        <v/>
      </c>
      <c r="AE65" s="299">
        <f>SUM(AE32:AE64)</f>
        <v/>
      </c>
      <c r="AF65" s="299">
        <f>SUM(AF32:AF64)</f>
        <v/>
      </c>
      <c r="AG65" s="299">
        <f>SUM(AG32:AG64)</f>
        <v/>
      </c>
      <c r="AH65" s="299">
        <f>SUM(AH32:AH64)</f>
        <v/>
      </c>
      <c r="AI65" s="299">
        <f>SUM(AI32:AI64)</f>
        <v/>
      </c>
      <c r="AJ65" s="299">
        <f>SUM(AJ32:AJ64)</f>
        <v/>
      </c>
      <c r="AK65" s="299">
        <f>SUM(AK32:AK64)</f>
        <v/>
      </c>
      <c r="AL65" s="289" t="n"/>
    </row>
    <row r="66" ht="14" customFormat="1" customHeight="1" s="180">
      <c r="A66" s="280" t="n"/>
      <c r="B66" s="281" t="n"/>
      <c r="C66" s="281" t="n"/>
      <c r="D66" s="300" t="inlineStr">
        <is>
          <t>(四）机械租赁费</t>
        </is>
      </c>
      <c r="E66" s="293" t="n"/>
      <c r="F66" s="293" t="n"/>
      <c r="G66" s="293" t="n"/>
      <c r="H66" s="283" t="n"/>
      <c r="I66" s="283" t="n"/>
      <c r="J66" s="283" t="n"/>
      <c r="K66" s="284" t="n">
        <v>0</v>
      </c>
      <c r="L66" s="285">
        <f>J66-K66</f>
        <v/>
      </c>
      <c r="M66" s="286" t="n"/>
      <c r="N66" s="286" t="n"/>
      <c r="O66" s="283">
        <f>L66-M66</f>
        <v/>
      </c>
      <c r="P66" s="283">
        <f>K66-N66</f>
        <v/>
      </c>
      <c r="Q66" s="283">
        <f>M66+O66</f>
        <v/>
      </c>
      <c r="R66" s="283">
        <f>M66+N66+O66+P66</f>
        <v/>
      </c>
      <c r="S66" s="287">
        <f>SUM(T66:V66)</f>
        <v/>
      </c>
      <c r="T66" s="287" t="n"/>
      <c r="U66" s="287" t="n"/>
      <c r="V66" s="287" t="n"/>
      <c r="W66" s="287" t="n"/>
      <c r="X66" s="287" t="n"/>
      <c r="Y66" s="287" t="n"/>
      <c r="Z66" s="287" t="n"/>
      <c r="AA66" s="287" t="n"/>
      <c r="AB66" s="287" t="n"/>
      <c r="AC66" s="287" t="n"/>
      <c r="AD66" s="287" t="n"/>
      <c r="AE66" s="287" t="n"/>
      <c r="AF66" s="287" t="n"/>
      <c r="AG66" s="287" t="n"/>
      <c r="AH66" s="287" t="n"/>
      <c r="AI66" s="287" t="n"/>
      <c r="AJ66" s="287" t="n"/>
      <c r="AK66" s="288">
        <f>AB35/1.17*0.17+AC35/1.16*0.16+AD35/1.11*0.11+AE35/1.1*0.1+AF35/1.09*0.09+AI35/1.03*0.03</f>
        <v/>
      </c>
      <c r="AL66" s="289" t="n"/>
    </row>
    <row r="67" ht="14" customFormat="1" customHeight="1" s="180">
      <c r="A67" s="206" t="n">
        <v>1</v>
      </c>
      <c r="B67" s="206" t="inlineStr">
        <is>
          <t>200210767</t>
        </is>
      </c>
      <c r="C67" s="207" t="inlineStr">
        <is>
          <t>中建四局0200202104505005</t>
        </is>
      </c>
      <c r="D67" s="207" t="inlineStr">
        <is>
          <t>佛山市格瑞卡工程机械有限公司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6">
        <f>J67-K67</f>
        <v/>
      </c>
      <c r="M67" s="210" t="n">
        <v>525678.79</v>
      </c>
      <c r="N67" s="210" t="n">
        <v>68338.25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500000</v>
      </c>
      <c r="U67" s="206" t="n"/>
      <c r="V67" s="206" t="n"/>
      <c r="W67" s="291" t="n"/>
      <c r="X67" s="291" t="n"/>
      <c r="Y67" s="291" t="n"/>
      <c r="Z67" s="291" t="n"/>
      <c r="AA67" s="291" t="n"/>
      <c r="AB67" s="291" t="n"/>
      <c r="AC67" s="291" t="n"/>
      <c r="AD67" s="291" t="n"/>
      <c r="AE67" s="291" t="n"/>
      <c r="AF67" s="291" t="n"/>
      <c r="AG67" s="291" t="n"/>
      <c r="AH67" s="291" t="n"/>
      <c r="AI67" s="291" t="n"/>
      <c r="AJ67" s="291" t="n"/>
      <c r="AK67" s="291" t="n"/>
      <c r="AL67" s="291" t="n"/>
    </row>
    <row r="68" ht="14" customFormat="1" customHeight="1" s="180">
      <c r="A68" s="206" t="n">
        <v>2</v>
      </c>
      <c r="B68" s="206" t="inlineStr">
        <is>
          <t>100051486</t>
        </is>
      </c>
      <c r="C68" s="207" t="inlineStr">
        <is>
          <t>中建四局0200202104505001</t>
        </is>
      </c>
      <c r="D68" s="207" t="inlineStr">
        <is>
          <t>佛山市赢鑫建筑机械租赁有限公司</t>
        </is>
      </c>
      <c r="E68" s="206" t="n"/>
      <c r="F68" s="206" t="n"/>
      <c r="G68" s="206" t="n"/>
      <c r="H68" s="206" t="n"/>
      <c r="I68" s="206" t="n"/>
      <c r="J68" s="206">
        <f>H68+I68</f>
        <v/>
      </c>
      <c r="K68" s="208" t="n"/>
      <c r="L68" s="206">
        <f>J68-K68</f>
        <v/>
      </c>
      <c r="M68" s="210" t="n">
        <v>2664395.77</v>
      </c>
      <c r="N68" s="210" t="n">
        <v>384884.26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2589487</v>
      </c>
      <c r="U68" s="206" t="n"/>
      <c r="V68" s="206" t="n"/>
      <c r="W68" s="291" t="n"/>
      <c r="X68" s="291" t="n"/>
      <c r="Y68" s="291" t="n"/>
      <c r="Z68" s="291" t="n"/>
      <c r="AA68" s="291" t="n"/>
      <c r="AB68" s="291" t="n"/>
      <c r="AC68" s="291" t="n"/>
      <c r="AD68" s="291" t="n"/>
      <c r="AE68" s="291" t="n"/>
      <c r="AF68" s="291" t="n"/>
      <c r="AG68" s="291" t="n"/>
      <c r="AH68" s="291" t="n"/>
      <c r="AI68" s="291" t="n"/>
      <c r="AJ68" s="291" t="n"/>
      <c r="AK68" s="291" t="n"/>
      <c r="AL68" s="291" t="n"/>
    </row>
    <row r="69" ht="39" customFormat="1" customHeight="1" s="180">
      <c r="A69" s="206" t="n">
        <v>3</v>
      </c>
      <c r="B69" s="206" t="inlineStr">
        <is>
          <t>100051486</t>
        </is>
      </c>
      <c r="C69" s="207" t="inlineStr">
        <is>
          <t>中建四局0200202104505006</t>
        </is>
      </c>
      <c r="D69" s="207" t="inlineStr">
        <is>
          <t>佛山市赢鑫建筑机械租赁有限公司</t>
        </is>
      </c>
      <c r="E69" s="206" t="n"/>
      <c r="F69" s="206" t="n"/>
      <c r="G69" s="206" t="n"/>
      <c r="H69" s="206" t="n"/>
      <c r="I69" s="206" t="n"/>
      <c r="J69" s="206">
        <f>H69+I69</f>
        <v/>
      </c>
      <c r="K69" s="208" t="n"/>
      <c r="L69" s="206">
        <f>J69-K69</f>
        <v/>
      </c>
      <c r="M69" s="210" t="n">
        <v>1649466.49</v>
      </c>
      <c r="N69" s="210" t="n">
        <v>209938.79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1200000</v>
      </c>
      <c r="U69" s="206" t="n"/>
      <c r="V69" s="206" t="n"/>
      <c r="W69" s="291" t="n"/>
      <c r="X69" s="291" t="n"/>
      <c r="Y69" s="291" t="n"/>
      <c r="Z69" s="291" t="n"/>
      <c r="AA69" s="291" t="n"/>
      <c r="AB69" s="291" t="n"/>
      <c r="AC69" s="291" t="n"/>
      <c r="AD69" s="291" t="n"/>
      <c r="AE69" s="291" t="n"/>
      <c r="AF69" s="291" t="n"/>
      <c r="AG69" s="291" t="n"/>
      <c r="AH69" s="291" t="n"/>
      <c r="AI69" s="291" t="n"/>
      <c r="AJ69" s="291" t="n"/>
      <c r="AK69" s="291" t="n"/>
      <c r="AL69" s="291" t="n"/>
    </row>
    <row r="70" ht="14" customFormat="1" customHeight="1" s="180">
      <c r="A70" s="206" t="n">
        <v>4</v>
      </c>
      <c r="B70" s="206" t="inlineStr">
        <is>
          <t>100117504</t>
        </is>
      </c>
      <c r="C70" s="207" t="inlineStr">
        <is>
          <t>中建四局0200202104505003</t>
        </is>
      </c>
      <c r="D70" s="207" t="inlineStr">
        <is>
          <t>广州大丰工程机械设备有限公司</t>
        </is>
      </c>
      <c r="E70" s="206" t="n"/>
      <c r="F70" s="206" t="n"/>
      <c r="G70" s="206" t="n"/>
      <c r="H70" s="206" t="n"/>
      <c r="I70" s="206" t="n"/>
      <c r="J70" s="206">
        <f>H70+I70</f>
        <v/>
      </c>
      <c r="K70" s="208" t="n"/>
      <c r="L70" s="206">
        <f>J70-K70</f>
        <v/>
      </c>
      <c r="M70" s="210" t="n">
        <v>74299.99000000001</v>
      </c>
      <c r="N70" s="210" t="n">
        <v>9659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83958.99000000001</v>
      </c>
      <c r="U70" s="206" t="n"/>
      <c r="V70" s="206" t="n"/>
      <c r="W70" s="291" t="n"/>
      <c r="X70" s="291" t="n"/>
      <c r="Y70" s="291" t="n"/>
      <c r="Z70" s="291" t="n"/>
      <c r="AA70" s="291" t="n"/>
      <c r="AB70" s="291" t="n"/>
      <c r="AC70" s="291" t="n"/>
      <c r="AD70" s="291" t="n"/>
      <c r="AE70" s="291" t="n"/>
      <c r="AF70" s="291" t="n"/>
      <c r="AG70" s="291" t="n"/>
      <c r="AH70" s="291" t="n"/>
      <c r="AI70" s="291" t="n"/>
      <c r="AJ70" s="291" t="n"/>
      <c r="AK70" s="291" t="n"/>
      <c r="AL70" s="291" t="n"/>
    </row>
    <row r="71" ht="14" customFormat="1" customHeight="1" s="180">
      <c r="A71" s="206" t="n">
        <v>5</v>
      </c>
      <c r="B71" s="206" t="inlineStr">
        <is>
          <t>100217502</t>
        </is>
      </c>
      <c r="C71" s="207" t="inlineStr">
        <is>
          <t>中建四局0200202104505004</t>
        </is>
      </c>
      <c r="D71" s="207" t="inlineStr">
        <is>
          <t>广州湘亿货运代理有限公司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6">
        <f>J71-K71</f>
        <v/>
      </c>
      <c r="M71" s="210" t="n">
        <v>14793</v>
      </c>
      <c r="N71" s="210" t="n">
        <v>1331.37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16124.37</v>
      </c>
      <c r="U71" s="206" t="n"/>
      <c r="V71" s="206" t="n"/>
      <c r="W71" s="291" t="n"/>
      <c r="X71" s="291" t="n"/>
      <c r="Y71" s="291" t="n"/>
      <c r="Z71" s="291" t="n"/>
      <c r="AA71" s="291" t="n"/>
      <c r="AB71" s="291" t="n"/>
      <c r="AC71" s="291" t="n"/>
      <c r="AD71" s="291" t="n"/>
      <c r="AE71" s="291" t="n"/>
      <c r="AF71" s="291" t="n"/>
      <c r="AG71" s="291" t="n"/>
      <c r="AH71" s="291" t="n"/>
      <c r="AI71" s="291" t="n"/>
      <c r="AJ71" s="291" t="n"/>
      <c r="AK71" s="291" t="n"/>
      <c r="AL71" s="291" t="n"/>
    </row>
    <row r="72" ht="14" customFormat="1" customHeight="1" s="180">
      <c r="A72" s="280" t="n"/>
      <c r="B72" s="281" t="n"/>
      <c r="C72" s="281" t="n"/>
      <c r="D72" s="292" t="inlineStr">
        <is>
          <t>**财务未列部分需增列***</t>
        </is>
      </c>
      <c r="E72" s="311" t="n"/>
      <c r="F72" s="311" t="n"/>
      <c r="G72" s="311" t="n"/>
      <c r="H72" s="283" t="n"/>
      <c r="I72" s="283" t="n"/>
      <c r="J72" s="283" t="n"/>
      <c r="K72" s="284" t="n">
        <v>0</v>
      </c>
      <c r="L72" s="285">
        <f>J72-K72</f>
        <v/>
      </c>
      <c r="M72" s="312" t="n"/>
      <c r="N72" s="312" t="n"/>
      <c r="O72" s="283">
        <f>L72-M72</f>
        <v/>
      </c>
      <c r="P72" s="283">
        <f>K72-N72</f>
        <v/>
      </c>
      <c r="Q72" s="283">
        <f>M72+O72</f>
        <v/>
      </c>
      <c r="R72" s="283">
        <f>M72+N72+O72+P72</f>
        <v/>
      </c>
      <c r="S72" s="287">
        <f>SUM(T72:V72)</f>
        <v/>
      </c>
      <c r="T72" s="312" t="n"/>
      <c r="U72" s="312" t="n"/>
      <c r="V72" s="312" t="n"/>
      <c r="W72" s="312" t="n"/>
      <c r="X72" s="312" t="n"/>
      <c r="Y72" s="312" t="n"/>
      <c r="Z72" s="312" t="n"/>
      <c r="AA72" s="287" t="n"/>
      <c r="AB72" s="288" t="n"/>
      <c r="AC72" s="288" t="n"/>
      <c r="AD72" s="288" t="n"/>
      <c r="AE72" s="288" t="n"/>
      <c r="AF72" s="288" t="n"/>
      <c r="AG72" s="288" t="n"/>
      <c r="AH72" s="288" t="n"/>
      <c r="AI72" s="288" t="n"/>
      <c r="AJ72" s="288" t="n"/>
      <c r="AK72" s="288">
        <f>AB37/1.17*0.17+AC37/1.16*0.16+AD37/1.11*0.11+AE37/1.1*0.1+AF37/1.09*0.09+AI37/1.03*0.03</f>
        <v/>
      </c>
      <c r="AL72" s="295" t="n"/>
    </row>
    <row r="73" ht="14" customFormat="1" customHeight="1" s="180">
      <c r="A73" s="296" t="n"/>
      <c r="B73" s="297" t="n"/>
      <c r="C73" s="297" t="n"/>
      <c r="D73" s="313" t="inlineStr">
        <is>
          <t>机械费小计：</t>
        </is>
      </c>
      <c r="E73" s="314" t="n"/>
      <c r="F73" s="314" t="n"/>
      <c r="G73" s="314" t="n"/>
      <c r="H73" s="299">
        <f>SUM(H66:H72)</f>
        <v/>
      </c>
      <c r="I73" s="299">
        <f>SUM(I66:I72)</f>
        <v/>
      </c>
      <c r="J73" s="299">
        <f>SUM(J66:J72)</f>
        <v/>
      </c>
      <c r="K73" s="299">
        <f>SUM(K66:K72)</f>
        <v/>
      </c>
      <c r="L73" s="315">
        <f>SUM(L66:L72)</f>
        <v/>
      </c>
      <c r="M73" s="299">
        <f>SUM(M66:M72)</f>
        <v/>
      </c>
      <c r="N73" s="299">
        <f>SUM(N66:N72)</f>
        <v/>
      </c>
      <c r="O73" s="299">
        <f>SUM(O66:O72)</f>
        <v/>
      </c>
      <c r="P73" s="299">
        <f>SUM(P66:P72)</f>
        <v/>
      </c>
      <c r="Q73" s="299">
        <f>SUM(Q66:Q72)</f>
        <v/>
      </c>
      <c r="R73" s="299">
        <f>SUM(R66:R72)</f>
        <v/>
      </c>
      <c r="S73" s="299">
        <f>SUM(S66:S72)</f>
        <v/>
      </c>
      <c r="T73" s="299" t="n"/>
      <c r="U73" s="299" t="n"/>
      <c r="V73" s="299" t="n"/>
      <c r="W73" s="299" t="n"/>
      <c r="X73" s="299" t="n"/>
      <c r="Y73" s="299" t="n"/>
      <c r="Z73" s="299">
        <f>SUM(Z66:Z72)</f>
        <v/>
      </c>
      <c r="AA73" s="299">
        <f>SUM(AA66:AA72)</f>
        <v/>
      </c>
      <c r="AB73" s="299" t="n"/>
      <c r="AC73" s="299" t="n"/>
      <c r="AD73" s="299" t="n"/>
      <c r="AE73" s="299" t="n"/>
      <c r="AF73" s="299" t="n"/>
      <c r="AG73" s="299" t="n"/>
      <c r="AH73" s="299" t="n"/>
      <c r="AI73" s="299" t="n"/>
      <c r="AJ73" s="299" t="n"/>
      <c r="AK73" s="299" t="n"/>
      <c r="AL73" s="289" t="n"/>
    </row>
    <row r="74" ht="14" customFormat="1" customHeight="1" s="180">
      <c r="A74" s="280" t="n"/>
      <c r="B74" s="281" t="n"/>
      <c r="C74" s="281" t="n"/>
      <c r="D74" s="300" t="inlineStr">
        <is>
          <t>（五）其他直接费</t>
        </is>
      </c>
      <c r="E74" s="293" t="n"/>
      <c r="F74" s="293" t="n"/>
      <c r="G74" s="293" t="n"/>
      <c r="H74" s="283" t="n"/>
      <c r="I74" s="283" t="n"/>
      <c r="J74" s="286" t="n">
        <v>0</v>
      </c>
      <c r="K74" s="284" t="n">
        <v>0</v>
      </c>
      <c r="L74" s="285">
        <f>J74-N74-P74</f>
        <v/>
      </c>
      <c r="M74" s="316" t="n">
        <v>1769.91</v>
      </c>
      <c r="N74" s="286" t="n"/>
      <c r="O74" s="283">
        <f>L74-M74</f>
        <v/>
      </c>
      <c r="P74" s="283">
        <f>K74-N74</f>
        <v/>
      </c>
      <c r="Q74" s="283">
        <f>M74+O74</f>
        <v/>
      </c>
      <c r="R74" s="283">
        <f>M74+N74+O74+P74</f>
        <v/>
      </c>
      <c r="S74" s="287">
        <f>SUM(T74:V74)</f>
        <v/>
      </c>
      <c r="T74" s="287" t="n"/>
      <c r="U74" s="287" t="n"/>
      <c r="V74" s="287" t="n"/>
      <c r="W74" s="287" t="n"/>
      <c r="X74" s="287" t="n"/>
      <c r="Y74" s="287" t="n"/>
      <c r="Z74" s="287" t="n"/>
      <c r="AA74" s="287" t="n"/>
      <c r="AB74" s="287" t="n"/>
      <c r="AC74" s="287" t="n"/>
      <c r="AD74" s="287" t="n"/>
      <c r="AE74" s="287" t="n"/>
      <c r="AF74" s="287" t="n"/>
      <c r="AG74" s="287" t="n"/>
      <c r="AH74" s="287" t="n"/>
      <c r="AI74" s="287" t="n"/>
      <c r="AJ74" s="287" t="n"/>
      <c r="AK74" s="288" t="n"/>
      <c r="AL74" s="289" t="n"/>
    </row>
    <row r="75" ht="14" customFormat="1" customHeight="1" s="180">
      <c r="A75" s="206" t="n">
        <v>1</v>
      </c>
      <c r="B75" s="206" t="n"/>
      <c r="C75" s="207" t="n"/>
      <c r="D75" s="207" t="inlineStr">
        <is>
          <t>保险费</t>
        </is>
      </c>
      <c r="E75" s="206" t="n"/>
      <c r="F75" s="206" t="n"/>
      <c r="G75" s="206" t="n"/>
      <c r="H75" s="206" t="n"/>
      <c r="I75" s="206" t="n"/>
      <c r="J75" s="206">
        <f>H75+I75</f>
        <v/>
      </c>
      <c r="K75" s="208" t="n"/>
      <c r="L75" s="206">
        <f>J75-K75</f>
        <v/>
      </c>
      <c r="M75" s="210" t="n">
        <v>724899.0600000001</v>
      </c>
      <c r="N75" s="206" t="n"/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06" t="n"/>
      <c r="U75" s="206" t="n"/>
      <c r="V75" s="206" t="n"/>
      <c r="W75" s="291" t="n"/>
      <c r="X75" s="291" t="n"/>
      <c r="Y75" s="291" t="n"/>
      <c r="Z75" s="291" t="n"/>
      <c r="AA75" s="291" t="n"/>
      <c r="AB75" s="291" t="n"/>
      <c r="AC75" s="291" t="n"/>
      <c r="AD75" s="291" t="n"/>
      <c r="AE75" s="291" t="n"/>
      <c r="AF75" s="291" t="n"/>
      <c r="AG75" s="291" t="n"/>
      <c r="AH75" s="291" t="n"/>
      <c r="AI75" s="291" t="n"/>
      <c r="AJ75" s="291" t="n"/>
      <c r="AK75" s="291" t="n"/>
      <c r="AL75" s="291" t="n"/>
    </row>
    <row r="76" ht="14" customFormat="1" customHeight="1" s="180">
      <c r="A76" s="206" t="n">
        <v>2</v>
      </c>
      <c r="B76" s="206" t="n"/>
      <c r="C76" s="207" t="n"/>
      <c r="D76" s="207" t="inlineStr">
        <is>
          <t>其他</t>
        </is>
      </c>
      <c r="E76" s="206" t="n"/>
      <c r="F76" s="206" t="n"/>
      <c r="G76" s="206" t="n"/>
      <c r="H76" s="206" t="n"/>
      <c r="I76" s="206" t="n"/>
      <c r="J76" s="206">
        <f>H76+I76</f>
        <v/>
      </c>
      <c r="K76" s="208" t="n"/>
      <c r="L76" s="206">
        <f>J76-K76</f>
        <v/>
      </c>
      <c r="M76" s="210" t="n">
        <v>79235.21000000001</v>
      </c>
      <c r="N76" s="206" t="n"/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06" t="n"/>
      <c r="U76" s="206" t="n"/>
      <c r="V76" s="206" t="n"/>
      <c r="W76" s="291" t="n"/>
      <c r="X76" s="291" t="n"/>
      <c r="Y76" s="291" t="n"/>
      <c r="Z76" s="291" t="n"/>
      <c r="AA76" s="291" t="n"/>
      <c r="AB76" s="291" t="n"/>
      <c r="AC76" s="291" t="n"/>
      <c r="AD76" s="291" t="n"/>
      <c r="AE76" s="291" t="n"/>
      <c r="AF76" s="291" t="n"/>
      <c r="AG76" s="291" t="n"/>
      <c r="AH76" s="291" t="n"/>
      <c r="AI76" s="291" t="n"/>
      <c r="AJ76" s="291" t="n"/>
      <c r="AK76" s="291" t="n"/>
      <c r="AL76" s="291" t="n"/>
    </row>
    <row r="77" ht="14" customFormat="1" customHeight="1" s="180">
      <c r="A77" s="206" t="n">
        <v>3</v>
      </c>
      <c r="B77" s="206" t="n"/>
      <c r="C77" s="207" t="n"/>
      <c r="D77" s="207" t="inlineStr">
        <is>
          <t>咨询费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6">
        <f>J77-K77</f>
        <v/>
      </c>
      <c r="M77" s="210" t="n">
        <v>39798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  <c r="W77" s="291" t="n"/>
      <c r="X77" s="291" t="n"/>
      <c r="Y77" s="291" t="n"/>
      <c r="Z77" s="291" t="n"/>
      <c r="AA77" s="291" t="n"/>
      <c r="AB77" s="291" t="n"/>
      <c r="AC77" s="291" t="n"/>
      <c r="AD77" s="291" t="n"/>
      <c r="AE77" s="291" t="n"/>
      <c r="AF77" s="291" t="n"/>
      <c r="AG77" s="291" t="n"/>
      <c r="AH77" s="291" t="n"/>
      <c r="AI77" s="291" t="n"/>
      <c r="AJ77" s="291" t="n"/>
      <c r="AK77" s="291" t="n"/>
      <c r="AL77" s="291" t="n"/>
    </row>
    <row r="78" ht="26" customFormat="1" customHeight="1" s="180">
      <c r="A78" s="206" t="n">
        <v>4</v>
      </c>
      <c r="B78" s="206" t="n"/>
      <c r="C78" s="207" t="n"/>
      <c r="D78" s="207" t="inlineStr">
        <is>
          <t>检验试验费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6">
        <f>J78-K78</f>
        <v/>
      </c>
      <c r="M78" s="210" t="n">
        <v>811573.96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1" t="n"/>
      <c r="X78" s="291" t="n"/>
      <c r="Y78" s="291" t="n"/>
      <c r="Z78" s="291" t="n"/>
      <c r="AA78" s="291" t="n"/>
      <c r="AB78" s="291" t="n"/>
      <c r="AC78" s="291" t="n"/>
      <c r="AD78" s="291" t="n"/>
      <c r="AE78" s="291" t="n"/>
      <c r="AF78" s="291" t="n"/>
      <c r="AG78" s="291" t="n"/>
      <c r="AH78" s="291" t="n"/>
      <c r="AI78" s="291" t="n"/>
      <c r="AJ78" s="291" t="n"/>
      <c r="AK78" s="291" t="n"/>
      <c r="AL78" s="291" t="n"/>
    </row>
    <row r="79" ht="26" customFormat="1" customHeight="1" s="180">
      <c r="A79" s="206" t="n">
        <v>5</v>
      </c>
      <c r="B79" s="206" t="n"/>
      <c r="C79" s="207" t="n"/>
      <c r="D79" s="207" t="inlineStr">
        <is>
          <t>水电费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6">
        <f>J79-K79</f>
        <v/>
      </c>
      <c r="M79" s="210" t="n">
        <v>1550912.85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1" t="n"/>
      <c r="X79" s="291" t="n"/>
      <c r="Y79" s="291" t="n"/>
      <c r="Z79" s="291" t="n"/>
      <c r="AA79" s="291" t="n"/>
      <c r="AB79" s="291" t="n"/>
      <c r="AC79" s="291" t="n"/>
      <c r="AD79" s="291" t="n"/>
      <c r="AE79" s="291" t="n"/>
      <c r="AF79" s="291" t="n"/>
      <c r="AG79" s="291" t="n"/>
      <c r="AH79" s="291" t="n"/>
      <c r="AI79" s="291" t="n"/>
      <c r="AJ79" s="291" t="n"/>
      <c r="AK79" s="291" t="n"/>
      <c r="AL79" s="291" t="n"/>
    </row>
    <row r="80" ht="14" customFormat="1" customHeight="1" s="180">
      <c r="A80" s="206" t="n">
        <v>6</v>
      </c>
      <c r="B80" s="206" t="n"/>
      <c r="C80" s="207" t="n"/>
      <c r="D80" s="207" t="inlineStr">
        <is>
          <t>测量费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6">
        <f>J80-K80</f>
        <v/>
      </c>
      <c r="M80" s="210" t="n">
        <v>12460.82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1" t="n"/>
      <c r="X80" s="291" t="n"/>
      <c r="Y80" s="291" t="n"/>
      <c r="Z80" s="291" t="n"/>
      <c r="AA80" s="291" t="n"/>
      <c r="AB80" s="291" t="n"/>
      <c r="AC80" s="291" t="n"/>
      <c r="AD80" s="291" t="n"/>
      <c r="AE80" s="291" t="n"/>
      <c r="AF80" s="291" t="n"/>
      <c r="AG80" s="291" t="n"/>
      <c r="AH80" s="291" t="n"/>
      <c r="AI80" s="291" t="n"/>
      <c r="AJ80" s="291" t="n"/>
      <c r="AK80" s="291" t="n"/>
      <c r="AL80" s="291" t="n"/>
    </row>
    <row r="81" ht="14" customFormat="1" customHeight="1" s="3">
      <c r="A81" s="280" t="n"/>
      <c r="B81" s="281" t="n"/>
      <c r="C81" s="281" t="n"/>
      <c r="D81" s="292" t="inlineStr">
        <is>
          <t>**财务未列部分需增列***</t>
        </is>
      </c>
      <c r="E81" s="293" t="n"/>
      <c r="F81" s="293" t="n"/>
      <c r="G81" s="293" t="n"/>
      <c r="H81" s="283" t="n"/>
      <c r="I81" s="283" t="n"/>
      <c r="J81" s="286" t="n"/>
      <c r="K81" s="284" t="n"/>
      <c r="L81" s="285">
        <f>J81-K81</f>
        <v/>
      </c>
      <c r="M81" s="317" t="n"/>
      <c r="N81" s="317" t="n"/>
      <c r="O81" s="283">
        <f>L81-M81</f>
        <v/>
      </c>
      <c r="P81" s="283">
        <f>K81-N81</f>
        <v/>
      </c>
      <c r="Q81" s="283">
        <f>M81+O81</f>
        <v/>
      </c>
      <c r="R81" s="283">
        <f>M81+N81+O81+P81</f>
        <v/>
      </c>
      <c r="S81" s="287">
        <f>SUM(T81:V81)</f>
        <v/>
      </c>
      <c r="T81" s="317" t="n"/>
      <c r="U81" s="317" t="n"/>
      <c r="V81" s="317" t="n"/>
      <c r="W81" s="317" t="n"/>
      <c r="X81" s="317" t="n"/>
      <c r="Y81" s="317" t="n"/>
      <c r="Z81" s="283">
        <f>SUM(AA45:AJ45)</f>
        <v/>
      </c>
      <c r="AA81" s="287" t="n"/>
      <c r="AB81" s="287" t="n"/>
      <c r="AC81" s="287" t="n"/>
      <c r="AD81" s="287" t="n"/>
      <c r="AE81" s="287" t="n"/>
      <c r="AF81" s="287" t="n"/>
      <c r="AG81" s="287" t="n"/>
      <c r="AH81" s="287" t="n"/>
      <c r="AI81" s="287" t="n"/>
      <c r="AJ81" s="287" t="n"/>
      <c r="AK81" s="288" t="n"/>
      <c r="AL81" s="289" t="n"/>
    </row>
    <row r="82" ht="14" customHeight="1" s="159">
      <c r="A82" s="318" t="n"/>
      <c r="B82" s="319" t="n"/>
      <c r="C82" s="319" t="n"/>
      <c r="D82" s="313" t="inlineStr">
        <is>
          <t>其他直接费小计：</t>
        </is>
      </c>
      <c r="E82" s="320" t="n"/>
      <c r="F82" s="320" t="n"/>
      <c r="G82" s="320" t="n"/>
      <c r="H82" s="299">
        <f>SUM(H74:H81)</f>
        <v/>
      </c>
      <c r="I82" s="299">
        <f>SUM(I74:I81)</f>
        <v/>
      </c>
      <c r="J82" s="299">
        <f>SUM(J74:J81)</f>
        <v/>
      </c>
      <c r="K82" s="299">
        <f>SUM(K74:K81)</f>
        <v/>
      </c>
      <c r="L82" s="315">
        <f>SUM(L74:L81)</f>
        <v/>
      </c>
      <c r="M82" s="299">
        <f>SUM(M74:M81)</f>
        <v/>
      </c>
      <c r="N82" s="299">
        <f>SUM(N74:N81)</f>
        <v/>
      </c>
      <c r="O82" s="299">
        <f>L82-M82</f>
        <v/>
      </c>
      <c r="P82" s="299">
        <f>SUM(P74:P81)</f>
        <v/>
      </c>
      <c r="Q82" s="299">
        <f>M82+O82</f>
        <v/>
      </c>
      <c r="R82" s="299">
        <f>SUM(R74:R81)</f>
        <v/>
      </c>
      <c r="S82" s="299">
        <f>SUM(S74:S81)</f>
        <v/>
      </c>
      <c r="T82" s="299" t="n"/>
      <c r="U82" s="299" t="n"/>
      <c r="V82" s="299" t="n"/>
      <c r="W82" s="299" t="n"/>
      <c r="X82" s="299" t="n"/>
      <c r="Y82" s="299" t="n"/>
      <c r="Z82" s="299">
        <f>SUM(Z74:Z81)</f>
        <v/>
      </c>
      <c r="AA82" s="299">
        <f>SUM(AA74:AA81)</f>
        <v/>
      </c>
      <c r="AB82" s="299">
        <f>SUM(AB74:AB81)</f>
        <v/>
      </c>
      <c r="AC82" s="299">
        <f>SUM(AC74:AC81)</f>
        <v/>
      </c>
      <c r="AD82" s="299">
        <f>SUM(AD74:AD81)</f>
        <v/>
      </c>
      <c r="AE82" s="299">
        <f>SUM(AE74:AE81)</f>
        <v/>
      </c>
      <c r="AF82" s="299">
        <f>SUM(AF74:AF81)</f>
        <v/>
      </c>
      <c r="AG82" s="299" t="n"/>
      <c r="AH82" s="299" t="n"/>
      <c r="AI82" s="299">
        <f>SUM(AI74:AI81)</f>
        <v/>
      </c>
      <c r="AJ82" s="299">
        <f>SUM(AJ74:AJ81)</f>
        <v/>
      </c>
      <c r="AK82" s="299">
        <f>SUM(AK74:AK81)</f>
        <v/>
      </c>
      <c r="AL82" s="289" t="n"/>
    </row>
    <row r="83" ht="14" customHeight="1" s="159">
      <c r="A83" s="280" t="n"/>
      <c r="B83" s="281" t="n"/>
      <c r="C83" s="281" t="n"/>
      <c r="D83" s="300" t="inlineStr">
        <is>
          <t>（六）间接费</t>
        </is>
      </c>
      <c r="E83" s="293" t="n"/>
      <c r="F83" s="293" t="n"/>
      <c r="G83" s="293" t="n"/>
      <c r="H83" s="286" t="n"/>
      <c r="I83" s="283" t="n"/>
      <c r="J83" s="283" t="n">
        <v>0</v>
      </c>
      <c r="K83" s="284" t="n">
        <v>0</v>
      </c>
      <c r="L83" s="285">
        <f>J83-N83-P83</f>
        <v/>
      </c>
      <c r="M83" s="286" t="n"/>
      <c r="N83" s="286" t="n"/>
      <c r="O83" s="283">
        <f>L83-M83</f>
        <v/>
      </c>
      <c r="P83" s="283">
        <f>K83-N83</f>
        <v/>
      </c>
      <c r="Q83" s="283">
        <f>M83+O83</f>
        <v/>
      </c>
      <c r="R83" s="283">
        <f>M83+N83+O83+P83</f>
        <v/>
      </c>
      <c r="S83" s="287">
        <f>SUM(T83:V83)</f>
        <v/>
      </c>
      <c r="T83" s="287" t="n"/>
      <c r="U83" s="287" t="n"/>
      <c r="V83" s="287" t="n"/>
      <c r="W83" s="287" t="n"/>
      <c r="X83" s="287" t="n"/>
      <c r="Y83" s="287" t="n"/>
      <c r="Z83" s="287" t="n"/>
      <c r="AA83" s="287" t="n"/>
      <c r="AB83" s="287" t="n"/>
      <c r="AC83" s="287" t="n"/>
      <c r="AD83" s="287" t="n"/>
      <c r="AE83" s="287" t="n"/>
      <c r="AF83" s="287" t="n"/>
      <c r="AG83" s="287" t="n"/>
      <c r="AH83" s="287" t="n"/>
      <c r="AI83" s="287" t="n"/>
      <c r="AJ83" s="287" t="n"/>
      <c r="AK83" s="288" t="n"/>
      <c r="AL83" s="289" t="n"/>
    </row>
    <row r="84">
      <c r="A84" s="206" t="n">
        <v>1</v>
      </c>
      <c r="B84" s="206" t="n"/>
      <c r="C84" s="207" t="n"/>
      <c r="D84" s="207" t="inlineStr">
        <is>
          <t>ZGD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6">
        <f>J84-K84</f>
        <v/>
      </c>
      <c r="M84" s="210" t="n">
        <v>49349.87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1" t="n"/>
      <c r="X84" s="291" t="n"/>
      <c r="Y84" s="291" t="n"/>
      <c r="Z84" s="291" t="n"/>
      <c r="AA84" s="291" t="n"/>
      <c r="AB84" s="291" t="n"/>
      <c r="AC84" s="291" t="n"/>
      <c r="AD84" s="291" t="n"/>
      <c r="AE84" s="291" t="n"/>
      <c r="AF84" s="291" t="n"/>
      <c r="AG84" s="291" t="n"/>
      <c r="AH84" s="291" t="n"/>
      <c r="AI84" s="291" t="n"/>
      <c r="AJ84" s="291" t="n"/>
      <c r="AK84" s="291" t="n"/>
      <c r="AL84" s="291" t="n"/>
    </row>
    <row r="85">
      <c r="A85" s="206" t="n">
        <v>2</v>
      </c>
      <c r="B85" s="206" t="n"/>
      <c r="C85" s="207" t="n"/>
      <c r="D85" s="207" t="inlineStr">
        <is>
          <t>企业年金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6">
        <f>J85-K85</f>
        <v/>
      </c>
      <c r="M85" s="210" t="n">
        <v>74494.24000000001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1" t="n"/>
      <c r="X85" s="291" t="n"/>
      <c r="Y85" s="291" t="n"/>
      <c r="Z85" s="291" t="n"/>
      <c r="AA85" s="291" t="n"/>
      <c r="AB85" s="291" t="n"/>
      <c r="AC85" s="291" t="n"/>
      <c r="AD85" s="291" t="n"/>
      <c r="AE85" s="291" t="n"/>
      <c r="AF85" s="291" t="n"/>
      <c r="AG85" s="291" t="n"/>
      <c r="AH85" s="291" t="n"/>
      <c r="AI85" s="291" t="n"/>
      <c r="AJ85" s="291" t="n"/>
      <c r="AK85" s="291" t="n"/>
      <c r="AL85" s="291" t="n"/>
    </row>
    <row r="86">
      <c r="A86" s="206" t="n">
        <v>3</v>
      </c>
      <c r="B86" s="206" t="n"/>
      <c r="C86" s="207" t="n"/>
      <c r="D86" s="207" t="inlineStr">
        <is>
          <t>住房公积金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6">
        <f>J86-K86</f>
        <v/>
      </c>
      <c r="M86" s="210" t="n">
        <v>221838.06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1" t="n"/>
      <c r="X86" s="291" t="n"/>
      <c r="Y86" s="291" t="n"/>
      <c r="Z86" s="291" t="n"/>
      <c r="AA86" s="291" t="n"/>
      <c r="AB86" s="291" t="n"/>
      <c r="AC86" s="291" t="n"/>
      <c r="AD86" s="291" t="n"/>
      <c r="AE86" s="291" t="n"/>
      <c r="AF86" s="291" t="n"/>
      <c r="AG86" s="291" t="n"/>
      <c r="AH86" s="291" t="n"/>
      <c r="AI86" s="291" t="n"/>
      <c r="AJ86" s="291" t="n"/>
      <c r="AK86" s="291" t="n"/>
      <c r="AL86" s="291" t="n"/>
    </row>
    <row r="87">
      <c r="A87" s="206" t="n">
        <v>4</v>
      </c>
      <c r="B87" s="206" t="n"/>
      <c r="C87" s="207" t="n"/>
      <c r="D87" s="207" t="inlineStr">
        <is>
          <t>保安保洁费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6">
        <f>J87-K87</f>
        <v/>
      </c>
      <c r="M87" s="210" t="n">
        <v>9375.23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1" t="n"/>
      <c r="X87" s="291" t="n"/>
      <c r="Y87" s="291" t="n"/>
      <c r="Z87" s="291" t="n"/>
      <c r="AA87" s="291" t="n"/>
      <c r="AB87" s="291" t="n"/>
      <c r="AC87" s="291" t="n"/>
      <c r="AD87" s="291" t="n"/>
      <c r="AE87" s="291" t="n"/>
      <c r="AF87" s="291" t="n"/>
      <c r="AG87" s="291" t="n"/>
      <c r="AH87" s="291" t="n"/>
      <c r="AI87" s="291" t="n"/>
      <c r="AJ87" s="291" t="n"/>
      <c r="AK87" s="291" t="n"/>
      <c r="AL87" s="291" t="n"/>
    </row>
    <row r="88">
      <c r="A88" s="206" t="n">
        <v>5</v>
      </c>
      <c r="B88" s="206" t="n"/>
      <c r="C88" s="207" t="n"/>
      <c r="D88" s="207" t="inlineStr">
        <is>
          <t>修理费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6">
        <f>J88-K88</f>
        <v/>
      </c>
      <c r="M88" s="210" t="n">
        <v>35150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1" t="n"/>
      <c r="X88" s="291" t="n"/>
      <c r="Y88" s="291" t="n"/>
      <c r="Z88" s="291" t="n"/>
      <c r="AA88" s="291" t="n"/>
      <c r="AB88" s="291" t="n"/>
      <c r="AC88" s="291" t="n"/>
      <c r="AD88" s="291" t="n"/>
      <c r="AE88" s="291" t="n"/>
      <c r="AF88" s="291" t="n"/>
      <c r="AG88" s="291" t="n"/>
      <c r="AH88" s="291" t="n"/>
      <c r="AI88" s="291" t="n"/>
      <c r="AJ88" s="291" t="n"/>
      <c r="AK88" s="291" t="n"/>
      <c r="AL88" s="291" t="n"/>
    </row>
    <row r="89">
      <c r="A89" s="206" t="n">
        <v>6</v>
      </c>
      <c r="B89" s="206" t="n"/>
      <c r="C89" s="207" t="n"/>
      <c r="D89" s="207" t="inlineStr">
        <is>
          <t>其他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6">
        <f>J89-K89</f>
        <v/>
      </c>
      <c r="M89" s="210" t="n">
        <v>154505.75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1" t="n"/>
      <c r="X89" s="291" t="n"/>
      <c r="Y89" s="291" t="n"/>
      <c r="Z89" s="291" t="n"/>
      <c r="AA89" s="291" t="n"/>
      <c r="AB89" s="291" t="n"/>
      <c r="AC89" s="291" t="n"/>
      <c r="AD89" s="291" t="n"/>
      <c r="AE89" s="291" t="n"/>
      <c r="AF89" s="291" t="n"/>
      <c r="AG89" s="291" t="n"/>
      <c r="AH89" s="291" t="n"/>
      <c r="AI89" s="291" t="n"/>
      <c r="AJ89" s="291" t="n"/>
      <c r="AK89" s="291" t="n"/>
      <c r="AL89" s="291" t="n"/>
    </row>
    <row r="90">
      <c r="A90" s="206" t="n">
        <v>7</v>
      </c>
      <c r="B90" s="206" t="n"/>
      <c r="C90" s="207" t="n"/>
      <c r="D90" s="207" t="inlineStr">
        <is>
          <t>冲晒印刷费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6">
        <f>J90-K90</f>
        <v/>
      </c>
      <c r="M90" s="210" t="n">
        <v>27505.96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1" t="n"/>
      <c r="X90" s="291" t="n"/>
      <c r="Y90" s="291" t="n"/>
      <c r="Z90" s="291" t="n"/>
      <c r="AA90" s="291" t="n"/>
      <c r="AB90" s="291" t="n"/>
      <c r="AC90" s="291" t="n"/>
      <c r="AD90" s="291" t="n"/>
      <c r="AE90" s="291" t="n"/>
      <c r="AF90" s="291" t="n"/>
      <c r="AG90" s="291" t="n"/>
      <c r="AH90" s="291" t="n"/>
      <c r="AI90" s="291" t="n"/>
      <c r="AJ90" s="291" t="n"/>
      <c r="AK90" s="291" t="n"/>
      <c r="AL90" s="291" t="n"/>
    </row>
    <row r="91">
      <c r="A91" s="206" t="n">
        <v>8</v>
      </c>
      <c r="B91" s="206" t="n"/>
      <c r="C91" s="207" t="n"/>
      <c r="D91" s="207" t="inlineStr">
        <is>
          <t>办公用品费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6">
        <f>J91-K91</f>
        <v/>
      </c>
      <c r="M91" s="210" t="n">
        <v>136910.72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1" t="n"/>
      <c r="X91" s="291" t="n"/>
      <c r="Y91" s="291" t="n"/>
      <c r="Z91" s="291" t="n"/>
      <c r="AA91" s="291" t="n"/>
      <c r="AB91" s="291" t="n"/>
      <c r="AC91" s="291" t="n"/>
      <c r="AD91" s="291" t="n"/>
      <c r="AE91" s="291" t="n"/>
      <c r="AF91" s="291" t="n"/>
      <c r="AG91" s="291" t="n"/>
      <c r="AH91" s="291" t="n"/>
      <c r="AI91" s="291" t="n"/>
      <c r="AJ91" s="291" t="n"/>
      <c r="AK91" s="291" t="n"/>
      <c r="AL91" s="291" t="n"/>
    </row>
    <row r="92">
      <c r="A92" s="206" t="n">
        <v>9</v>
      </c>
      <c r="B92" s="206" t="n"/>
      <c r="C92" s="207" t="n"/>
      <c r="D92" s="207" t="inlineStr">
        <is>
          <t>医疗保险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6">
        <f>J92-K92</f>
        <v/>
      </c>
      <c r="M92" s="210" t="n">
        <v>141031.37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1" t="n"/>
      <c r="X92" s="291" t="n"/>
      <c r="Y92" s="291" t="n"/>
      <c r="Z92" s="291" t="n"/>
      <c r="AA92" s="291" t="n"/>
      <c r="AB92" s="291" t="n"/>
      <c r="AC92" s="291" t="n"/>
      <c r="AD92" s="291" t="n"/>
      <c r="AE92" s="291" t="n"/>
      <c r="AF92" s="291" t="n"/>
      <c r="AG92" s="291" t="n"/>
      <c r="AH92" s="291" t="n"/>
      <c r="AI92" s="291" t="n"/>
      <c r="AJ92" s="291" t="n"/>
      <c r="AK92" s="291" t="n"/>
      <c r="AL92" s="291" t="n"/>
    </row>
    <row r="93">
      <c r="A93" s="206" t="n">
        <v>10</v>
      </c>
      <c r="B93" s="206" t="n"/>
      <c r="C93" s="207" t="n"/>
      <c r="D93" s="207" t="inlineStr">
        <is>
          <t>咨询认证费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6">
        <f>J93-K93</f>
        <v/>
      </c>
      <c r="M93" s="210" t="n">
        <v>6886.8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1" t="n"/>
      <c r="X93" s="291" t="n"/>
      <c r="Y93" s="291" t="n"/>
      <c r="Z93" s="291" t="n"/>
      <c r="AA93" s="291" t="n"/>
      <c r="AB93" s="291" t="n"/>
      <c r="AC93" s="291" t="n"/>
      <c r="AD93" s="291" t="n"/>
      <c r="AE93" s="291" t="n"/>
      <c r="AF93" s="291" t="n"/>
      <c r="AG93" s="291" t="n"/>
      <c r="AH93" s="291" t="n"/>
      <c r="AI93" s="291" t="n"/>
      <c r="AJ93" s="291" t="n"/>
      <c r="AK93" s="291" t="n"/>
      <c r="AL93" s="291" t="n"/>
    </row>
    <row r="94">
      <c r="A94" s="206" t="n">
        <v>11</v>
      </c>
      <c r="B94" s="206" t="n"/>
      <c r="C94" s="207" t="n"/>
      <c r="D94" s="207" t="inlineStr">
        <is>
          <t>基本养老保险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6">
        <f>J94-K94</f>
        <v/>
      </c>
      <c r="M94" s="210" t="n">
        <v>278130.95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1" t="n"/>
      <c r="X94" s="291" t="n"/>
      <c r="Y94" s="291" t="n"/>
      <c r="Z94" s="291" t="n"/>
      <c r="AA94" s="291" t="n"/>
      <c r="AB94" s="291" t="n"/>
      <c r="AC94" s="291" t="n"/>
      <c r="AD94" s="291" t="n"/>
      <c r="AE94" s="291" t="n"/>
      <c r="AF94" s="291" t="n"/>
      <c r="AG94" s="291" t="n"/>
      <c r="AH94" s="291" t="n"/>
      <c r="AI94" s="291" t="n"/>
      <c r="AJ94" s="291" t="n"/>
      <c r="AK94" s="291" t="n"/>
      <c r="AL94" s="291" t="n"/>
    </row>
    <row r="95">
      <c r="A95" s="206" t="n">
        <v>12</v>
      </c>
      <c r="B95" s="206" t="n"/>
      <c r="C95" s="207" t="n"/>
      <c r="D95" s="207" t="inlineStr">
        <is>
          <t>境内差旅费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6">
        <f>J95-K95</f>
        <v/>
      </c>
      <c r="M95" s="210" t="n">
        <v>19963.39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1" t="n"/>
      <c r="X95" s="291" t="n"/>
      <c r="Y95" s="291" t="n"/>
      <c r="Z95" s="291" t="n"/>
      <c r="AA95" s="291" t="n"/>
      <c r="AB95" s="291" t="n"/>
      <c r="AC95" s="291" t="n"/>
      <c r="AD95" s="291" t="n"/>
      <c r="AE95" s="291" t="n"/>
      <c r="AF95" s="291" t="n"/>
      <c r="AG95" s="291" t="n"/>
      <c r="AH95" s="291" t="n"/>
      <c r="AI95" s="291" t="n"/>
      <c r="AJ95" s="291" t="n"/>
      <c r="AK95" s="291" t="n"/>
      <c r="AL95" s="291" t="n"/>
    </row>
    <row r="96">
      <c r="A96" s="206" t="n">
        <v>13</v>
      </c>
      <c r="B96" s="206" t="n"/>
      <c r="C96" s="207" t="n"/>
      <c r="D96" s="207" t="inlineStr">
        <is>
          <t>失业保险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6">
        <f>J96-K96</f>
        <v/>
      </c>
      <c r="M96" s="210" t="n">
        <v>12392.32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1" t="n"/>
      <c r="X96" s="291" t="n"/>
      <c r="Y96" s="291" t="n"/>
      <c r="Z96" s="291" t="n"/>
      <c r="AA96" s="291" t="n"/>
      <c r="AB96" s="291" t="n"/>
      <c r="AC96" s="291" t="n"/>
      <c r="AD96" s="291" t="n"/>
      <c r="AE96" s="291" t="n"/>
      <c r="AF96" s="291" t="n"/>
      <c r="AG96" s="291" t="n"/>
      <c r="AH96" s="291" t="n"/>
      <c r="AI96" s="291" t="n"/>
      <c r="AJ96" s="291" t="n"/>
      <c r="AK96" s="291" t="n"/>
      <c r="AL96" s="291" t="n"/>
    </row>
    <row r="97">
      <c r="A97" s="206" t="n">
        <v>14</v>
      </c>
      <c r="B97" s="206" t="n"/>
      <c r="C97" s="207" t="n"/>
      <c r="D97" s="207" t="inlineStr">
        <is>
          <t>工伤保险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6">
        <f>J97-K97</f>
        <v/>
      </c>
      <c r="M97" s="210" t="n">
        <v>7990.81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1" t="n"/>
      <c r="X97" s="291" t="n"/>
      <c r="Y97" s="291" t="n"/>
      <c r="Z97" s="291" t="n"/>
      <c r="AA97" s="291" t="n"/>
      <c r="AB97" s="291" t="n"/>
      <c r="AC97" s="291" t="n"/>
      <c r="AD97" s="291" t="n"/>
      <c r="AE97" s="291" t="n"/>
      <c r="AF97" s="291" t="n"/>
      <c r="AG97" s="291" t="n"/>
      <c r="AH97" s="291" t="n"/>
      <c r="AI97" s="291" t="n"/>
      <c r="AJ97" s="291" t="n"/>
      <c r="AK97" s="291" t="n"/>
      <c r="AL97" s="291" t="n"/>
    </row>
    <row r="98">
      <c r="A98" s="206" t="n">
        <v>15</v>
      </c>
      <c r="B98" s="206" t="n"/>
      <c r="C98" s="207" t="n"/>
      <c r="D98" s="207" t="inlineStr">
        <is>
          <t>工资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6">
        <f>J98-K98</f>
        <v/>
      </c>
      <c r="M98" s="210" t="n">
        <v>3449526.47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1" t="n"/>
      <c r="X98" s="291" t="n"/>
      <c r="Y98" s="291" t="n"/>
      <c r="Z98" s="291" t="n"/>
      <c r="AA98" s="291" t="n"/>
      <c r="AB98" s="291" t="n"/>
      <c r="AC98" s="291" t="n"/>
      <c r="AD98" s="291" t="n"/>
      <c r="AE98" s="291" t="n"/>
      <c r="AF98" s="291" t="n"/>
      <c r="AG98" s="291" t="n"/>
      <c r="AH98" s="291" t="n"/>
      <c r="AI98" s="291" t="n"/>
      <c r="AJ98" s="291" t="n"/>
      <c r="AK98" s="291" t="n"/>
      <c r="AL98" s="291" t="n"/>
    </row>
    <row r="99">
      <c r="A99" s="206" t="n">
        <v>16</v>
      </c>
      <c r="B99" s="206" t="n"/>
      <c r="C99" s="207" t="n"/>
      <c r="D99" s="207" t="inlineStr">
        <is>
          <t>市内交通费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6">
        <f>J99-K99</f>
        <v/>
      </c>
      <c r="M99" s="210" t="n">
        <v>1605.51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1" t="n"/>
      <c r="X99" s="291" t="n"/>
      <c r="Y99" s="291" t="n"/>
      <c r="Z99" s="291" t="n"/>
      <c r="AA99" s="291" t="n"/>
      <c r="AB99" s="291" t="n"/>
      <c r="AC99" s="291" t="n"/>
      <c r="AD99" s="291" t="n"/>
      <c r="AE99" s="291" t="n"/>
      <c r="AF99" s="291" t="n"/>
      <c r="AG99" s="291" t="n"/>
      <c r="AH99" s="291" t="n"/>
      <c r="AI99" s="291" t="n"/>
      <c r="AJ99" s="291" t="n"/>
      <c r="AK99" s="291" t="n"/>
      <c r="AL99" s="291" t="n"/>
    </row>
    <row r="100">
      <c r="A100" s="206" t="n">
        <v>17</v>
      </c>
      <c r="B100" s="206" t="n"/>
      <c r="C100" s="207" t="n"/>
      <c r="D100" s="207" t="inlineStr">
        <is>
          <t>排污费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6">
        <f>J100-K100</f>
        <v/>
      </c>
      <c r="M100" s="210" t="n">
        <v>1700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1" t="n"/>
      <c r="X100" s="291" t="n"/>
      <c r="Y100" s="291" t="n"/>
      <c r="Z100" s="291" t="n"/>
      <c r="AA100" s="291" t="n"/>
      <c r="AB100" s="291" t="n"/>
      <c r="AC100" s="291" t="n"/>
      <c r="AD100" s="291" t="n"/>
      <c r="AE100" s="291" t="n"/>
      <c r="AF100" s="291" t="n"/>
      <c r="AG100" s="291" t="n"/>
      <c r="AH100" s="291" t="n"/>
      <c r="AI100" s="291" t="n"/>
      <c r="AJ100" s="291" t="n"/>
      <c r="AK100" s="291" t="n"/>
      <c r="AL100" s="291" t="n"/>
    </row>
    <row r="101">
      <c r="A101" s="206" t="n">
        <v>18</v>
      </c>
      <c r="B101" s="206" t="n"/>
      <c r="C101" s="207" t="n"/>
      <c r="D101" s="207" t="inlineStr">
        <is>
          <t>水电费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6">
        <f>J101-K101</f>
        <v/>
      </c>
      <c r="M101" s="210" t="n">
        <v>47486.27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1" t="n"/>
      <c r="X101" s="291" t="n"/>
      <c r="Y101" s="291" t="n"/>
      <c r="Z101" s="291" t="n"/>
      <c r="AA101" s="291" t="n"/>
      <c r="AB101" s="291" t="n"/>
      <c r="AC101" s="291" t="n"/>
      <c r="AD101" s="291" t="n"/>
      <c r="AE101" s="291" t="n"/>
      <c r="AF101" s="291" t="n"/>
      <c r="AG101" s="291" t="n"/>
      <c r="AH101" s="291" t="n"/>
      <c r="AI101" s="291" t="n"/>
      <c r="AJ101" s="291" t="n"/>
      <c r="AK101" s="291" t="n"/>
      <c r="AL101" s="291" t="n"/>
    </row>
    <row r="102">
      <c r="A102" s="206" t="n">
        <v>19</v>
      </c>
      <c r="B102" s="206" t="n"/>
      <c r="C102" s="207" t="n"/>
      <c r="D102" s="207" t="inlineStr">
        <is>
          <t>燃油费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6">
        <f>J102-K102</f>
        <v/>
      </c>
      <c r="M102" s="210" t="n">
        <v>13463.44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1" t="n"/>
      <c r="X102" s="291" t="n"/>
      <c r="Y102" s="291" t="n"/>
      <c r="Z102" s="291" t="n"/>
      <c r="AA102" s="291" t="n"/>
      <c r="AB102" s="291" t="n"/>
      <c r="AC102" s="291" t="n"/>
      <c r="AD102" s="291" t="n"/>
      <c r="AE102" s="291" t="n"/>
      <c r="AF102" s="291" t="n"/>
      <c r="AG102" s="291" t="n"/>
      <c r="AH102" s="291" t="n"/>
      <c r="AI102" s="291" t="n"/>
      <c r="AJ102" s="291" t="n"/>
      <c r="AK102" s="291" t="n"/>
      <c r="AL102" s="291" t="n"/>
    </row>
    <row r="103">
      <c r="A103" s="206" t="n">
        <v>20</v>
      </c>
      <c r="B103" s="206" t="n"/>
      <c r="C103" s="207" t="n"/>
      <c r="D103" s="207" t="inlineStr">
        <is>
          <t>物业租赁费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6">
        <f>J103-K103</f>
        <v/>
      </c>
      <c r="M103" s="210" t="n">
        <v>107763.8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1" t="n"/>
      <c r="X103" s="291" t="n"/>
      <c r="Y103" s="291" t="n"/>
      <c r="Z103" s="291" t="n"/>
      <c r="AA103" s="291" t="n"/>
      <c r="AB103" s="291" t="n"/>
      <c r="AC103" s="291" t="n"/>
      <c r="AD103" s="291" t="n"/>
      <c r="AE103" s="291" t="n"/>
      <c r="AF103" s="291" t="n"/>
      <c r="AG103" s="291" t="n"/>
      <c r="AH103" s="291" t="n"/>
      <c r="AI103" s="291" t="n"/>
      <c r="AJ103" s="291" t="n"/>
      <c r="AK103" s="291" t="n"/>
      <c r="AL103" s="291" t="n"/>
    </row>
    <row r="104">
      <c r="A104" s="206" t="n">
        <v>21</v>
      </c>
      <c r="B104" s="206" t="n"/>
      <c r="C104" s="207" t="n"/>
      <c r="D104" s="207" t="inlineStr">
        <is>
          <t>物业管理费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6">
        <f>J104-K104</f>
        <v/>
      </c>
      <c r="M104" s="210" t="n">
        <v>233637.28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1" t="n"/>
      <c r="X104" s="291" t="n"/>
      <c r="Y104" s="291" t="n"/>
      <c r="Z104" s="291" t="n"/>
      <c r="AA104" s="291" t="n"/>
      <c r="AB104" s="291" t="n"/>
      <c r="AC104" s="291" t="n"/>
      <c r="AD104" s="291" t="n"/>
      <c r="AE104" s="291" t="n"/>
      <c r="AF104" s="291" t="n"/>
      <c r="AG104" s="291" t="n"/>
      <c r="AH104" s="291" t="n"/>
      <c r="AI104" s="291" t="n"/>
      <c r="AJ104" s="291" t="n"/>
      <c r="AK104" s="291" t="n"/>
      <c r="AL104" s="291" t="n"/>
    </row>
    <row r="105">
      <c r="A105" s="206" t="n">
        <v>22</v>
      </c>
      <c r="B105" s="206" t="n"/>
      <c r="C105" s="207" t="n"/>
      <c r="D105" s="207" t="inlineStr">
        <is>
          <t>社保及公积金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6">
        <f>J105-K105</f>
        <v/>
      </c>
      <c r="M105" s="210" t="n">
        <v>126801.25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1" t="n"/>
      <c r="X105" s="291" t="n"/>
      <c r="Y105" s="291" t="n"/>
      <c r="Z105" s="291" t="n"/>
      <c r="AA105" s="291" t="n"/>
      <c r="AB105" s="291" t="n"/>
      <c r="AC105" s="291" t="n"/>
      <c r="AD105" s="291" t="n"/>
      <c r="AE105" s="291" t="n"/>
      <c r="AF105" s="291" t="n"/>
      <c r="AG105" s="291" t="n"/>
      <c r="AH105" s="291" t="n"/>
      <c r="AI105" s="291" t="n"/>
      <c r="AJ105" s="291" t="n"/>
      <c r="AK105" s="291" t="n"/>
      <c r="AL105" s="291" t="n"/>
    </row>
    <row r="106">
      <c r="A106" s="206" t="n">
        <v>23</v>
      </c>
      <c r="B106" s="206" t="n"/>
      <c r="C106" s="207" t="n"/>
      <c r="D106" s="207" t="inlineStr">
        <is>
          <t>租车费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6">
        <f>J106-K106</f>
        <v/>
      </c>
      <c r="M106" s="210" t="n">
        <v>87891.39999999999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1" t="n"/>
      <c r="X106" s="291" t="n"/>
      <c r="Y106" s="291" t="n"/>
      <c r="Z106" s="291" t="n"/>
      <c r="AA106" s="291" t="n"/>
      <c r="AB106" s="291" t="n"/>
      <c r="AC106" s="291" t="n"/>
      <c r="AD106" s="291" t="n"/>
      <c r="AE106" s="291" t="n"/>
      <c r="AF106" s="291" t="n"/>
      <c r="AG106" s="291" t="n"/>
      <c r="AH106" s="291" t="n"/>
      <c r="AI106" s="291" t="n"/>
      <c r="AJ106" s="291" t="n"/>
      <c r="AK106" s="291" t="n"/>
      <c r="AL106" s="291" t="n"/>
    </row>
    <row r="107">
      <c r="A107" s="206" t="n">
        <v>24</v>
      </c>
      <c r="B107" s="206" t="n"/>
      <c r="C107" s="207" t="n"/>
      <c r="D107" s="207" t="inlineStr">
        <is>
          <t>绿化绿植费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6">
        <f>J107-K107</f>
        <v/>
      </c>
      <c r="M107" s="210" t="n">
        <v>33744.04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1" t="n"/>
      <c r="X107" s="291" t="n"/>
      <c r="Y107" s="291" t="n"/>
      <c r="Z107" s="291" t="n"/>
      <c r="AA107" s="291" t="n"/>
      <c r="AB107" s="291" t="n"/>
      <c r="AC107" s="291" t="n"/>
      <c r="AD107" s="291" t="n"/>
      <c r="AE107" s="291" t="n"/>
      <c r="AF107" s="291" t="n"/>
      <c r="AG107" s="291" t="n"/>
      <c r="AH107" s="291" t="n"/>
      <c r="AI107" s="291" t="n"/>
      <c r="AJ107" s="291" t="n"/>
      <c r="AK107" s="291" t="n"/>
      <c r="AL107" s="291" t="n"/>
    </row>
    <row r="108">
      <c r="A108" s="206" t="n">
        <v>25</v>
      </c>
      <c r="B108" s="206" t="n"/>
      <c r="C108" s="207" t="n"/>
      <c r="D108" s="207" t="inlineStr">
        <is>
          <t>网络使用费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6">
        <f>J108-K108</f>
        <v/>
      </c>
      <c r="M108" s="210" t="n">
        <v>40931.39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1" t="n"/>
      <c r="X108" s="291" t="n"/>
      <c r="Y108" s="291" t="n"/>
      <c r="Z108" s="291" t="n"/>
      <c r="AA108" s="291" t="n"/>
      <c r="AB108" s="291" t="n"/>
      <c r="AC108" s="291" t="n"/>
      <c r="AD108" s="291" t="n"/>
      <c r="AE108" s="291" t="n"/>
      <c r="AF108" s="291" t="n"/>
      <c r="AG108" s="291" t="n"/>
      <c r="AH108" s="291" t="n"/>
      <c r="AI108" s="291" t="n"/>
      <c r="AJ108" s="291" t="n"/>
      <c r="AK108" s="291" t="n"/>
      <c r="AL108" s="291" t="n"/>
    </row>
    <row r="109">
      <c r="A109" s="206" t="n">
        <v>26</v>
      </c>
      <c r="B109" s="206" t="n"/>
      <c r="C109" s="207" t="n"/>
      <c r="D109" s="207" t="inlineStr">
        <is>
          <t>职工教育经费</t>
        </is>
      </c>
      <c r="E109" s="206" t="n"/>
      <c r="F109" s="206" t="n"/>
      <c r="G109" s="206" t="n"/>
      <c r="H109" s="206" t="n"/>
      <c r="I109" s="206" t="n"/>
      <c r="J109" s="206">
        <f>H109+I109</f>
        <v/>
      </c>
      <c r="K109" s="208" t="n"/>
      <c r="L109" s="206">
        <f>J109-K109</f>
        <v/>
      </c>
      <c r="M109" s="210" t="n">
        <v>10809.19</v>
      </c>
      <c r="N109" s="206" t="n"/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06" t="n"/>
      <c r="U109" s="206" t="n"/>
      <c r="V109" s="206" t="n"/>
      <c r="W109" s="291" t="n"/>
      <c r="X109" s="291" t="n"/>
      <c r="Y109" s="291" t="n"/>
      <c r="Z109" s="291" t="n"/>
      <c r="AA109" s="291" t="n"/>
      <c r="AB109" s="291" t="n"/>
      <c r="AC109" s="291" t="n"/>
      <c r="AD109" s="291" t="n"/>
      <c r="AE109" s="291" t="n"/>
      <c r="AF109" s="291" t="n"/>
      <c r="AG109" s="291" t="n"/>
      <c r="AH109" s="291" t="n"/>
      <c r="AI109" s="291" t="n"/>
      <c r="AJ109" s="291" t="n"/>
      <c r="AK109" s="291" t="n"/>
      <c r="AL109" s="291" t="n"/>
    </row>
    <row r="110">
      <c r="A110" s="206" t="n">
        <v>27</v>
      </c>
      <c r="B110" s="206" t="n"/>
      <c r="C110" s="207" t="n"/>
      <c r="D110" s="207" t="inlineStr">
        <is>
          <t>职工福利费</t>
        </is>
      </c>
      <c r="E110" s="206" t="n"/>
      <c r="F110" s="206" t="n"/>
      <c r="G110" s="206" t="n"/>
      <c r="H110" s="206" t="n"/>
      <c r="I110" s="206" t="n"/>
      <c r="J110" s="206">
        <f>H110+I110</f>
        <v/>
      </c>
      <c r="K110" s="208" t="n"/>
      <c r="L110" s="206">
        <f>J110-K110</f>
        <v/>
      </c>
      <c r="M110" s="210" t="n">
        <v>654227.63</v>
      </c>
      <c r="N110" s="206" t="n"/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06" t="n"/>
      <c r="U110" s="206" t="n"/>
      <c r="V110" s="206" t="n"/>
      <c r="W110" s="291" t="n"/>
      <c r="X110" s="291" t="n"/>
      <c r="Y110" s="291" t="n"/>
      <c r="Z110" s="291" t="n"/>
      <c r="AA110" s="291" t="n"/>
      <c r="AB110" s="291" t="n"/>
      <c r="AC110" s="291" t="n"/>
      <c r="AD110" s="291" t="n"/>
      <c r="AE110" s="291" t="n"/>
      <c r="AF110" s="291" t="n"/>
      <c r="AG110" s="291" t="n"/>
      <c r="AH110" s="291" t="n"/>
      <c r="AI110" s="291" t="n"/>
      <c r="AJ110" s="291" t="n"/>
      <c r="AK110" s="291" t="n"/>
      <c r="AL110" s="291" t="n"/>
    </row>
    <row r="111">
      <c r="A111" s="206" t="n">
        <v>28</v>
      </c>
      <c r="B111" s="206" t="n"/>
      <c r="C111" s="207" t="n"/>
      <c r="D111" s="207" t="inlineStr">
        <is>
          <t>补充医疗保险</t>
        </is>
      </c>
      <c r="E111" s="206" t="n"/>
      <c r="F111" s="206" t="n"/>
      <c r="G111" s="206" t="n"/>
      <c r="H111" s="206" t="n"/>
      <c r="I111" s="206" t="n"/>
      <c r="J111" s="206">
        <f>H111+I111</f>
        <v/>
      </c>
      <c r="K111" s="208" t="n"/>
      <c r="L111" s="206">
        <f>J111-K111</f>
        <v/>
      </c>
      <c r="M111" s="210" t="n">
        <v>1688.96</v>
      </c>
      <c r="N111" s="206" t="n"/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06" t="n"/>
      <c r="U111" s="206" t="n"/>
      <c r="V111" s="206" t="n"/>
      <c r="W111" s="291" t="n"/>
      <c r="X111" s="291" t="n"/>
      <c r="Y111" s="291" t="n"/>
      <c r="Z111" s="291" t="n"/>
      <c r="AA111" s="291" t="n"/>
      <c r="AB111" s="291" t="n"/>
      <c r="AC111" s="291" t="n"/>
      <c r="AD111" s="291" t="n"/>
      <c r="AE111" s="291" t="n"/>
      <c r="AF111" s="291" t="n"/>
      <c r="AG111" s="291" t="n"/>
      <c r="AH111" s="291" t="n"/>
      <c r="AI111" s="291" t="n"/>
      <c r="AJ111" s="291" t="n"/>
      <c r="AK111" s="291" t="n"/>
      <c r="AL111" s="291" t="n"/>
    </row>
    <row r="112">
      <c r="A112" s="206" t="n">
        <v>29</v>
      </c>
      <c r="B112" s="206" t="n"/>
      <c r="C112" s="207" t="n"/>
      <c r="D112" s="207" t="inlineStr">
        <is>
          <t>路桥及停车费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6">
        <f>J112-K112</f>
        <v/>
      </c>
      <c r="M112" s="210" t="n">
        <v>22274.68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  <c r="W112" s="291" t="n"/>
      <c r="X112" s="291" t="n"/>
      <c r="Y112" s="291" t="n"/>
      <c r="Z112" s="291" t="n"/>
      <c r="AA112" s="291" t="n"/>
      <c r="AB112" s="291" t="n"/>
      <c r="AC112" s="291" t="n"/>
      <c r="AD112" s="291" t="n"/>
      <c r="AE112" s="291" t="n"/>
      <c r="AF112" s="291" t="n"/>
      <c r="AG112" s="291" t="n"/>
      <c r="AH112" s="291" t="n"/>
      <c r="AI112" s="291" t="n"/>
      <c r="AJ112" s="291" t="n"/>
      <c r="AK112" s="291" t="n"/>
      <c r="AL112" s="291" t="n"/>
    </row>
    <row r="113">
      <c r="A113" s="206" t="n">
        <v>30</v>
      </c>
      <c r="B113" s="206" t="n"/>
      <c r="C113" s="207" t="n"/>
      <c r="D113" s="207" t="inlineStr">
        <is>
          <t>软件费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6">
        <f>J113-K113</f>
        <v/>
      </c>
      <c r="M113" s="210" t="n">
        <v>2089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1" t="n"/>
      <c r="X113" s="291" t="n"/>
      <c r="Y113" s="291" t="n"/>
      <c r="Z113" s="291" t="n"/>
      <c r="AA113" s="291" t="n"/>
      <c r="AB113" s="291" t="n"/>
      <c r="AC113" s="291" t="n"/>
      <c r="AD113" s="291" t="n"/>
      <c r="AE113" s="291" t="n"/>
      <c r="AF113" s="291" t="n"/>
      <c r="AG113" s="291" t="n"/>
      <c r="AH113" s="291" t="n"/>
      <c r="AI113" s="291" t="n"/>
      <c r="AJ113" s="291" t="n"/>
      <c r="AK113" s="291" t="n"/>
      <c r="AL113" s="291" t="n"/>
    </row>
    <row r="114">
      <c r="A114" s="206" t="n">
        <v>31</v>
      </c>
      <c r="B114" s="206" t="n"/>
      <c r="C114" s="207" t="n"/>
      <c r="D114" s="207" t="inlineStr">
        <is>
          <t>通信费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6">
        <f>J114-K114</f>
        <v/>
      </c>
      <c r="M114" s="210" t="n">
        <v>9800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1" t="n"/>
      <c r="X114" s="291" t="n"/>
      <c r="Y114" s="291" t="n"/>
      <c r="Z114" s="291" t="n"/>
      <c r="AA114" s="291" t="n"/>
      <c r="AB114" s="291" t="n"/>
      <c r="AC114" s="291" t="n"/>
      <c r="AD114" s="291" t="n"/>
      <c r="AE114" s="291" t="n"/>
      <c r="AF114" s="291" t="n"/>
      <c r="AG114" s="291" t="n"/>
      <c r="AH114" s="291" t="n"/>
      <c r="AI114" s="291" t="n"/>
      <c r="AJ114" s="291" t="n"/>
      <c r="AK114" s="291" t="n"/>
      <c r="AL114" s="291" t="n"/>
    </row>
    <row r="115">
      <c r="A115" s="206" t="n">
        <v>32</v>
      </c>
      <c r="B115" s="206" t="n"/>
      <c r="C115" s="207" t="n"/>
      <c r="D115" s="207" t="inlineStr">
        <is>
          <t>邮寄费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6">
        <f>J115-K115</f>
        <v/>
      </c>
      <c r="M115" s="210" t="n">
        <v>3306.35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1" t="n"/>
      <c r="X115" s="291" t="n"/>
      <c r="Y115" s="291" t="n"/>
      <c r="Z115" s="291" t="n"/>
      <c r="AA115" s="291" t="n"/>
      <c r="AB115" s="291" t="n"/>
      <c r="AC115" s="291" t="n"/>
      <c r="AD115" s="291" t="n"/>
      <c r="AE115" s="291" t="n"/>
      <c r="AF115" s="291" t="n"/>
      <c r="AG115" s="291" t="n"/>
      <c r="AH115" s="291" t="n"/>
      <c r="AI115" s="291" t="n"/>
      <c r="AJ115" s="291" t="n"/>
      <c r="AK115" s="291" t="n"/>
      <c r="AL115" s="291" t="n"/>
    </row>
    <row r="116">
      <c r="A116" s="280" t="n"/>
      <c r="B116" s="281" t="n"/>
      <c r="C116" s="281" t="n"/>
      <c r="D116" s="292" t="inlineStr">
        <is>
          <t>**财务未列部分需增列***</t>
        </is>
      </c>
      <c r="E116" s="293" t="n"/>
      <c r="F116" s="293" t="n"/>
      <c r="G116" s="293" t="n"/>
      <c r="H116" s="317" t="n"/>
      <c r="I116" s="283" t="n"/>
      <c r="J116" s="317" t="n"/>
      <c r="K116" s="284" t="n"/>
      <c r="L116" s="285" t="n"/>
      <c r="M116" s="317" t="n"/>
      <c r="N116" s="283" t="n"/>
      <c r="O116" s="283">
        <f>L116-M116</f>
        <v/>
      </c>
      <c r="P116" s="283">
        <f>K116-N116</f>
        <v/>
      </c>
      <c r="Q116" s="283">
        <f>M116+O116</f>
        <v/>
      </c>
      <c r="R116" s="283">
        <f>M116+N116+O116+P116</f>
        <v/>
      </c>
      <c r="S116" s="287">
        <f>SUM(T116:V116)</f>
        <v/>
      </c>
      <c r="T116" s="317" t="n"/>
      <c r="U116" s="317" t="n"/>
      <c r="V116" s="317" t="n"/>
      <c r="W116" s="317" t="n"/>
      <c r="X116" s="317" t="n"/>
      <c r="Y116" s="317" t="n"/>
      <c r="Z116" s="317" t="n"/>
      <c r="AA116" s="287" t="n"/>
      <c r="AB116" s="288" t="n"/>
      <c r="AC116" s="288" t="n"/>
      <c r="AD116" s="288" t="n"/>
      <c r="AE116" s="288" t="n"/>
      <c r="AF116" s="288" t="n"/>
      <c r="AG116" s="288" t="n"/>
      <c r="AH116" s="288" t="n"/>
      <c r="AI116" s="288" t="n"/>
      <c r="AJ116" s="288" t="n"/>
      <c r="AK116" s="288" t="n"/>
      <c r="AL116" s="295" t="n"/>
    </row>
    <row r="117">
      <c r="A117" s="318" t="n"/>
      <c r="B117" s="319" t="n"/>
      <c r="C117" s="319" t="n"/>
      <c r="D117" s="313" t="inlineStr">
        <is>
          <t>间接费小计：</t>
        </is>
      </c>
      <c r="E117" s="320" t="n"/>
      <c r="F117" s="320" t="n"/>
      <c r="G117" s="320" t="n"/>
      <c r="H117" s="299">
        <f>SUM(H83:H116)</f>
        <v/>
      </c>
      <c r="I117" s="299">
        <f>SUM(I83:I116)</f>
        <v/>
      </c>
      <c r="J117" s="299">
        <f>SUM(J83:J116)</f>
        <v/>
      </c>
      <c r="K117" s="299">
        <f>SUM(K83:K116)</f>
        <v/>
      </c>
      <c r="L117" s="315">
        <f>SUM(L83:L116)</f>
        <v/>
      </c>
      <c r="M117" s="315">
        <f>SUM(M83:M116)</f>
        <v/>
      </c>
      <c r="N117" s="315">
        <f>SUM(N83:N116)</f>
        <v/>
      </c>
      <c r="O117" s="315">
        <f>SUM(O83:O116)</f>
        <v/>
      </c>
      <c r="P117" s="315">
        <f>SUM(P83:P116)</f>
        <v/>
      </c>
      <c r="Q117" s="315">
        <f>SUM(Q83:Q116)</f>
        <v/>
      </c>
      <c r="R117" s="315">
        <f>SUM(R83:R116)</f>
        <v/>
      </c>
      <c r="S117" s="315">
        <f>SUM(S83:S116)</f>
        <v/>
      </c>
      <c r="T117" s="315" t="n"/>
      <c r="U117" s="315" t="n"/>
      <c r="V117" s="315" t="n"/>
      <c r="W117" s="315" t="n"/>
      <c r="X117" s="315" t="n"/>
      <c r="Y117" s="315" t="n"/>
      <c r="Z117" s="315">
        <f>SUM(Z83:Z116)</f>
        <v/>
      </c>
      <c r="AA117" s="315">
        <f>SUM(AA83:AA116)</f>
        <v/>
      </c>
      <c r="AB117" s="315">
        <f>SUM(AB83:AB116)</f>
        <v/>
      </c>
      <c r="AC117" s="315">
        <f>SUM(AC83:AC116)</f>
        <v/>
      </c>
      <c r="AD117" s="315">
        <f>SUM(AD83:AD116)</f>
        <v/>
      </c>
      <c r="AE117" s="315">
        <f>SUM(AE83:AE116)</f>
        <v/>
      </c>
      <c r="AF117" s="315">
        <f>SUM(AF83:AF116)</f>
        <v/>
      </c>
      <c r="AG117" s="315" t="n"/>
      <c r="AH117" s="315" t="n"/>
      <c r="AI117" s="315">
        <f>SUM(AI83:AI116)</f>
        <v/>
      </c>
      <c r="AJ117" s="315">
        <f>SUM(AJ83:AJ116)</f>
        <v/>
      </c>
      <c r="AK117" s="315">
        <f>SUM(AK83:AK116)</f>
        <v/>
      </c>
      <c r="AL117" s="295" t="n"/>
    </row>
    <row r="118">
      <c r="A118" s="280" t="n"/>
      <c r="B118" s="281" t="n"/>
      <c r="C118" s="281" t="n"/>
      <c r="D118" s="300" t="inlineStr">
        <is>
          <t>（七）安全费</t>
        </is>
      </c>
      <c r="E118" s="293" t="n"/>
      <c r="F118" s="293" t="n"/>
      <c r="G118" s="293" t="n"/>
      <c r="H118" s="283" t="n"/>
      <c r="I118" s="283" t="n"/>
      <c r="J118" s="286" t="n">
        <v>0</v>
      </c>
      <c r="K118" s="321" t="n"/>
      <c r="L118" s="285">
        <f>J118-N118-P118</f>
        <v/>
      </c>
      <c r="M118" s="283" t="n"/>
      <c r="N118" s="283" t="n"/>
      <c r="O118" s="283">
        <f>L118-M118</f>
        <v/>
      </c>
      <c r="P118" s="283">
        <f>K118-N118</f>
        <v/>
      </c>
      <c r="Q118" s="283">
        <f>M118+O118</f>
        <v/>
      </c>
      <c r="R118" s="283">
        <f>M118+N118+O118+P118</f>
        <v/>
      </c>
      <c r="S118" s="287">
        <f>SUM(T118:V118)</f>
        <v/>
      </c>
      <c r="T118" s="317" t="n"/>
      <c r="U118" s="317" t="n"/>
      <c r="V118" s="317" t="n"/>
      <c r="W118" s="317" t="n"/>
      <c r="X118" s="317" t="n"/>
      <c r="Y118" s="317" t="n"/>
      <c r="Z118" s="312" t="n"/>
      <c r="AA118" s="287" t="n"/>
      <c r="AB118" s="288" t="n"/>
      <c r="AC118" s="288" t="n"/>
      <c r="AD118" s="288" t="n"/>
      <c r="AE118" s="288" t="n"/>
      <c r="AF118" s="288" t="n"/>
      <c r="AG118" s="288" t="n"/>
      <c r="AH118" s="288" t="n"/>
      <c r="AI118" s="288" t="n"/>
      <c r="AJ118" s="288" t="n"/>
      <c r="AK118" s="288" t="n"/>
      <c r="AL118" s="295" t="n"/>
    </row>
    <row r="119">
      <c r="A119" s="206" t="n">
        <v>1</v>
      </c>
      <c r="B119" s="206" t="n"/>
      <c r="C119" s="207" t="n"/>
      <c r="D119" s="207" t="inlineStr">
        <is>
          <t>安全生产-人工费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6">
        <f>J119-K119</f>
        <v/>
      </c>
      <c r="M119" s="210" t="n">
        <v>90683.96000000001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  <c r="W119" s="291" t="n"/>
      <c r="X119" s="291" t="n"/>
      <c r="Y119" s="291" t="n"/>
      <c r="Z119" s="291" t="n"/>
      <c r="AA119" s="291" t="n"/>
      <c r="AB119" s="291" t="n"/>
      <c r="AC119" s="291" t="n"/>
      <c r="AD119" s="291" t="n"/>
      <c r="AE119" s="291" t="n"/>
      <c r="AF119" s="291" t="n"/>
      <c r="AG119" s="291" t="n"/>
      <c r="AH119" s="291" t="n"/>
      <c r="AI119" s="291" t="n"/>
      <c r="AJ119" s="291" t="n"/>
      <c r="AK119" s="291" t="n"/>
      <c r="AL119" s="291" t="n"/>
    </row>
    <row r="120">
      <c r="A120" s="206" t="n">
        <v>2</v>
      </c>
      <c r="B120" s="206" t="n"/>
      <c r="C120" s="207" t="n"/>
      <c r="D120" s="207" t="inlineStr">
        <is>
          <t>安全生产-分包工程</t>
        </is>
      </c>
      <c r="E120" s="206" t="n"/>
      <c r="F120" s="206" t="n"/>
      <c r="G120" s="206" t="n"/>
      <c r="H120" s="206" t="n"/>
      <c r="I120" s="206" t="n"/>
      <c r="J120" s="206">
        <f>H120+I120</f>
        <v/>
      </c>
      <c r="K120" s="208" t="n"/>
      <c r="L120" s="206">
        <f>J120-K120</f>
        <v/>
      </c>
      <c r="M120" s="210" t="n">
        <v>1576764.52</v>
      </c>
      <c r="N120" s="206" t="n"/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06" t="n"/>
      <c r="U120" s="206" t="n"/>
      <c r="V120" s="206" t="n"/>
      <c r="W120" s="291" t="n"/>
      <c r="X120" s="291" t="n"/>
      <c r="Y120" s="291" t="n"/>
      <c r="Z120" s="291" t="n"/>
      <c r="AA120" s="291" t="n"/>
      <c r="AB120" s="291" t="n"/>
      <c r="AC120" s="291" t="n"/>
      <c r="AD120" s="291" t="n"/>
      <c r="AE120" s="291" t="n"/>
      <c r="AF120" s="291" t="n"/>
      <c r="AG120" s="291" t="n"/>
      <c r="AH120" s="291" t="n"/>
      <c r="AI120" s="291" t="n"/>
      <c r="AJ120" s="291" t="n"/>
      <c r="AK120" s="291" t="n"/>
      <c r="AL120" s="291" t="n"/>
    </row>
    <row r="121">
      <c r="A121" s="206" t="n">
        <v>3</v>
      </c>
      <c r="B121" s="206" t="n"/>
      <c r="C121" s="207" t="n"/>
      <c r="D121" s="207" t="inlineStr">
        <is>
          <t>安全生产-机械使用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6">
        <f>J121-K121</f>
        <v/>
      </c>
      <c r="M121" s="210" t="n">
        <v>81500.96000000001</v>
      </c>
      <c r="N121" s="206" t="n"/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06" t="n"/>
      <c r="U121" s="206" t="n"/>
      <c r="V121" s="206" t="n"/>
      <c r="W121" s="291" t="n"/>
      <c r="X121" s="291" t="n"/>
      <c r="Y121" s="291" t="n"/>
      <c r="Z121" s="291" t="n"/>
      <c r="AA121" s="291" t="n"/>
      <c r="AB121" s="291" t="n"/>
      <c r="AC121" s="291" t="n"/>
      <c r="AD121" s="291" t="n"/>
      <c r="AE121" s="291" t="n"/>
      <c r="AF121" s="291" t="n"/>
      <c r="AG121" s="291" t="n"/>
      <c r="AH121" s="291" t="n"/>
      <c r="AI121" s="291" t="n"/>
      <c r="AJ121" s="291" t="n"/>
      <c r="AK121" s="291" t="n"/>
      <c r="AL121" s="291" t="n"/>
    </row>
    <row r="122">
      <c r="A122" s="206" t="n">
        <v>4</v>
      </c>
      <c r="B122" s="206" t="n"/>
      <c r="C122" s="207" t="n"/>
      <c r="D122" s="207" t="inlineStr">
        <is>
          <t>安全生产费-报销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33278.8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  <c r="W122" s="291" t="n"/>
      <c r="X122" s="291" t="n"/>
      <c r="Y122" s="291" t="n"/>
      <c r="Z122" s="291" t="n"/>
      <c r="AA122" s="291" t="n"/>
      <c r="AB122" s="291" t="n"/>
      <c r="AC122" s="291" t="n"/>
      <c r="AD122" s="291" t="n"/>
      <c r="AE122" s="291" t="n"/>
      <c r="AF122" s="291" t="n"/>
      <c r="AG122" s="291" t="n"/>
      <c r="AH122" s="291" t="n"/>
      <c r="AI122" s="291" t="n"/>
      <c r="AJ122" s="291" t="n"/>
      <c r="AK122" s="291" t="n"/>
      <c r="AL122" s="291" t="n"/>
    </row>
    <row r="123">
      <c r="A123" s="318" t="n"/>
      <c r="B123" s="319" t="n"/>
      <c r="C123" s="319" t="n"/>
      <c r="D123" s="313" t="inlineStr">
        <is>
          <t>安全费小计：</t>
        </is>
      </c>
      <c r="E123" s="313" t="n"/>
      <c r="F123" s="313" t="n"/>
      <c r="G123" s="313" t="n"/>
      <c r="H123" s="299">
        <f>SUM(H118:H122)</f>
        <v/>
      </c>
      <c r="I123" s="299">
        <f>SUM(I118:I122)</f>
        <v/>
      </c>
      <c r="J123" s="299" t="n">
        <v>0</v>
      </c>
      <c r="K123" s="299" t="n">
        <v>0</v>
      </c>
      <c r="L123" s="322">
        <f>J123-K123</f>
        <v/>
      </c>
      <c r="M123" s="315">
        <f>SUM(M118:M122)</f>
        <v/>
      </c>
      <c r="N123" s="315">
        <f>SUM(N118:N122)</f>
        <v/>
      </c>
      <c r="O123" s="315">
        <f>SUM(O118:O122)</f>
        <v/>
      </c>
      <c r="P123" s="315">
        <f>SUM(P118:P122)</f>
        <v/>
      </c>
      <c r="Q123" s="315">
        <f>SUM(Q118:Q122)</f>
        <v/>
      </c>
      <c r="R123" s="315">
        <f>SUM(R118:R122)</f>
        <v/>
      </c>
      <c r="S123" s="315">
        <f>SUM(S118:S122)</f>
        <v/>
      </c>
      <c r="T123" s="323" t="n"/>
      <c r="U123" s="323" t="n"/>
      <c r="V123" s="323" t="n"/>
      <c r="W123" s="323" t="n"/>
      <c r="X123" s="323" t="n"/>
      <c r="Y123" s="323" t="n"/>
      <c r="Z123" s="323" t="n"/>
      <c r="AA123" s="323">
        <f>SUM(AA118:AA122)</f>
        <v/>
      </c>
      <c r="AB123" s="323">
        <f>SUM(AB118:AB122)</f>
        <v/>
      </c>
      <c r="AC123" s="323">
        <f>SUM(AC118:AC122)</f>
        <v/>
      </c>
      <c r="AD123" s="323">
        <f>SUM(AD118:AD122)</f>
        <v/>
      </c>
      <c r="AE123" s="323">
        <f>SUM(AE118:AE122)</f>
        <v/>
      </c>
      <c r="AF123" s="323">
        <f>SUM(AF118:AF122)</f>
        <v/>
      </c>
      <c r="AG123" s="323" t="n"/>
      <c r="AH123" s="323" t="n"/>
      <c r="AI123" s="323">
        <f>SUM(AI118:AI122)</f>
        <v/>
      </c>
      <c r="AJ123" s="323">
        <f>SUM(AJ118:AJ122)</f>
        <v/>
      </c>
      <c r="AK123" s="323">
        <f>SUM(AK118:AK122)</f>
        <v/>
      </c>
      <c r="AL123" s="324" t="n"/>
    </row>
    <row r="124">
      <c r="A124" s="318" t="n"/>
      <c r="B124" s="319" t="n"/>
      <c r="C124" s="319" t="n"/>
      <c r="D124" s="313" t="inlineStr">
        <is>
          <t>三、成本合计：</t>
        </is>
      </c>
      <c r="E124" s="320" t="n"/>
      <c r="F124" s="320" t="n"/>
      <c r="G124" s="320" t="n"/>
      <c r="H124" s="299">
        <f>H18+H31+H65+H73+H82+H117+H123</f>
        <v/>
      </c>
      <c r="I124" s="299">
        <f>I18+I31+I65+I73+I82+I117+I123</f>
        <v/>
      </c>
      <c r="J124" s="299">
        <f>J18+J31+J65+J73+J82+J117+J123</f>
        <v/>
      </c>
      <c r="K124" s="299">
        <f>K18+K31+K65+K73+K82+K117+K123</f>
        <v/>
      </c>
      <c r="L124" s="315">
        <f>L18+L31+L65+L73+L82+L117+L123</f>
        <v/>
      </c>
      <c r="M124" s="323">
        <f>M18+M31+M65+M73+M82+M117+M123</f>
        <v/>
      </c>
      <c r="N124" s="323">
        <f>N18+N31+N65+N73+N82+N117+N123</f>
        <v/>
      </c>
      <c r="O124" s="323">
        <f>O18+O31+O65+O73+O82+O117+O123</f>
        <v/>
      </c>
      <c r="P124" s="323">
        <f>P18+P31+P65+P73+P82+P117+P123</f>
        <v/>
      </c>
      <c r="Q124" s="323">
        <f>Q18+Q31+Q65+Q73+Q82+Q117+Q123</f>
        <v/>
      </c>
      <c r="R124" s="323">
        <f>R18+R31+R65+R73+R82+R117+R123</f>
        <v/>
      </c>
      <c r="S124" s="323">
        <f>S18+S31+S65+S73+S82+S117+S123</f>
        <v/>
      </c>
      <c r="T124" s="323" t="n"/>
      <c r="U124" s="323" t="n"/>
      <c r="V124" s="323" t="n"/>
      <c r="W124" s="323" t="n"/>
      <c r="X124" s="323" t="n"/>
      <c r="Y124" s="323" t="n"/>
      <c r="Z124" s="323">
        <f>Z18+Z31+Z65+Z73+Z82+Z117+Z123</f>
        <v/>
      </c>
      <c r="AA124" s="323">
        <f>AA18+AA31+AA65+AA73+AA82+AA117+AA123</f>
        <v/>
      </c>
      <c r="AB124" s="323">
        <f>AB18+AB31+AB65+AB73+AB82+AB117+AB123</f>
        <v/>
      </c>
      <c r="AC124" s="323">
        <f>AC18+AC31+AC65+AC73+AC82+AC117+AC123</f>
        <v/>
      </c>
      <c r="AD124" s="323">
        <f>AD18+AD31+AD65+AD73+AD82+AD117+AD123</f>
        <v/>
      </c>
      <c r="AE124" s="323">
        <f>AE18+AE31+AE65+AE73+AE82+AE117+AE123</f>
        <v/>
      </c>
      <c r="AF124" s="323">
        <f>AF18+AF31+AF65+AF73+AF82+AF117+AF123</f>
        <v/>
      </c>
      <c r="AG124" s="323" t="n"/>
      <c r="AH124" s="323" t="n"/>
      <c r="AI124" s="323">
        <f>AI18+AI31+AI65+AI73+AI82+AI117+AI123</f>
        <v/>
      </c>
      <c r="AJ124" s="323">
        <f>AJ18+AJ31+AJ65+AJ73+AJ82+AJ117+AJ123</f>
        <v/>
      </c>
      <c r="AK124" s="323">
        <f>AK18+AK31+AK65+AK73+AK82+AK117+AK123</f>
        <v/>
      </c>
      <c r="AL124" s="324" t="n"/>
    </row>
    <row r="125">
      <c r="A125" s="318" t="n"/>
      <c r="B125" s="319" t="n"/>
      <c r="C125" s="319" t="n"/>
      <c r="D125" s="313" t="inlineStr">
        <is>
          <t>四、计提保修金</t>
        </is>
      </c>
      <c r="E125" s="320" t="inlineStr">
        <is>
          <t>（在建：房建0.6%，其它0.4%；在保修期间的按0.3~0.5%自行确定;保修期结束为0）</t>
        </is>
      </c>
      <c r="F125" s="320" t="n"/>
      <c r="G125" s="320" t="n"/>
      <c r="H125" s="299" t="n"/>
      <c r="I125" s="299" t="n"/>
      <c r="J125" s="299">
        <f>H125+I125</f>
        <v/>
      </c>
      <c r="K125" s="299" t="n"/>
      <c r="L125" s="315">
        <f>J125-K125</f>
        <v/>
      </c>
      <c r="M125" s="323" t="n"/>
      <c r="N125" s="323" t="n"/>
      <c r="O125" s="323">
        <f>L125-M125</f>
        <v/>
      </c>
      <c r="P125" s="323">
        <f>K125-N125</f>
        <v/>
      </c>
      <c r="Q125" s="323">
        <f>M125+O125</f>
        <v/>
      </c>
      <c r="R125" s="323">
        <f>M125+N125+O125+P125</f>
        <v/>
      </c>
      <c r="S125" s="323">
        <f>SUM(T125:V125)</f>
        <v/>
      </c>
      <c r="T125" s="323" t="n"/>
      <c r="U125" s="323" t="n"/>
      <c r="V125" s="323" t="n"/>
      <c r="W125" s="323" t="n"/>
      <c r="X125" s="323" t="n"/>
      <c r="Y125" s="323" t="n"/>
      <c r="Z125" s="323" t="n"/>
      <c r="AA125" s="323">
        <f>Q69-S69</f>
        <v/>
      </c>
      <c r="AB125" s="323" t="n"/>
      <c r="AC125" s="323" t="n"/>
      <c r="AD125" s="323" t="n"/>
      <c r="AE125" s="323" t="n"/>
      <c r="AF125" s="323" t="n"/>
      <c r="AG125" s="323" t="n"/>
      <c r="AH125" s="323" t="n"/>
      <c r="AI125" s="323" t="n"/>
      <c r="AJ125" s="323" t="n"/>
      <c r="AK125" s="323" t="n"/>
      <c r="AL125" s="324" t="n"/>
    </row>
    <row r="126">
      <c r="A126" s="318" t="n"/>
      <c r="B126" s="319" t="n"/>
      <c r="C126" s="319" t="n"/>
      <c r="D126" s="313" t="inlineStr">
        <is>
          <t>五、过程节点奖金</t>
        </is>
      </c>
      <c r="E126" s="320" t="n"/>
      <c r="F126" s="320" t="n"/>
      <c r="G126" s="320" t="n"/>
      <c r="H126" s="299" t="n"/>
      <c r="I126" s="299" t="n"/>
      <c r="J126" s="299">
        <f>H126+I126</f>
        <v/>
      </c>
      <c r="K126" s="299" t="n"/>
      <c r="L126" s="315">
        <f>J126-K126</f>
        <v/>
      </c>
      <c r="M126" s="323" t="n"/>
      <c r="N126" s="323" t="n"/>
      <c r="O126" s="323">
        <f>L126-M126</f>
        <v/>
      </c>
      <c r="P126" s="323">
        <f>K126-N126</f>
        <v/>
      </c>
      <c r="Q126" s="323">
        <f>M126+O126</f>
        <v/>
      </c>
      <c r="R126" s="323">
        <f>M126+N126+O126+P126</f>
        <v/>
      </c>
      <c r="S126" s="323">
        <f>SUM(T126:V126)</f>
        <v/>
      </c>
      <c r="T126" s="323" t="n"/>
      <c r="U126" s="323" t="n"/>
      <c r="V126" s="323" t="n"/>
      <c r="W126" s="323" t="n"/>
      <c r="X126" s="323" t="n"/>
      <c r="Y126" s="323" t="n"/>
      <c r="Z126" s="323" t="n"/>
      <c r="AA126" s="323" t="n"/>
      <c r="AB126" s="323" t="n"/>
      <c r="AC126" s="323" t="n"/>
      <c r="AD126" s="323" t="n"/>
      <c r="AE126" s="323" t="n"/>
      <c r="AF126" s="323" t="n"/>
      <c r="AG126" s="323" t="n"/>
      <c r="AH126" s="323" t="n"/>
      <c r="AI126" s="323" t="n"/>
      <c r="AJ126" s="323" t="n"/>
      <c r="AK126" s="323" t="n"/>
      <c r="AL126" s="324" t="n"/>
    </row>
    <row r="127">
      <c r="A127" s="318" t="n"/>
      <c r="B127" s="319" t="n"/>
      <c r="C127" s="319" t="n"/>
      <c r="D127" s="313" t="inlineStr">
        <is>
          <t>六、资金占用费用</t>
        </is>
      </c>
      <c r="E127" s="320" t="n"/>
      <c r="F127" s="320" t="n"/>
      <c r="G127" s="320" t="n"/>
      <c r="H127" s="299" t="n"/>
      <c r="I127" s="299" t="n"/>
      <c r="J127" s="299">
        <f>H127+I127</f>
        <v/>
      </c>
      <c r="K127" s="299" t="n"/>
      <c r="L127" s="315">
        <f>J127-K127</f>
        <v/>
      </c>
      <c r="M127" s="325" t="n">
        <v>1942071.27</v>
      </c>
      <c r="N127" s="323" t="n"/>
      <c r="O127" s="323">
        <f>L127-M127</f>
        <v/>
      </c>
      <c r="P127" s="323">
        <f>K127-N127</f>
        <v/>
      </c>
      <c r="Q127" s="323">
        <f>M127+O127</f>
        <v/>
      </c>
      <c r="R127" s="323">
        <f>M127+N127+O127+P127</f>
        <v/>
      </c>
      <c r="S127" s="323">
        <f>SUM(T127:V127)</f>
        <v/>
      </c>
      <c r="T127" s="323" t="n"/>
      <c r="U127" s="323" t="n"/>
      <c r="V127" s="323" t="n"/>
      <c r="W127" s="323" t="n"/>
      <c r="X127" s="323" t="n"/>
      <c r="Y127" s="323" t="n"/>
      <c r="Z127" s="323" t="n"/>
      <c r="AA127" s="323" t="n"/>
      <c r="AB127" s="323" t="n"/>
      <c r="AC127" s="323" t="n"/>
      <c r="AD127" s="323" t="n"/>
      <c r="AE127" s="323" t="n"/>
      <c r="AF127" s="323" t="n"/>
      <c r="AG127" s="323" t="n"/>
      <c r="AH127" s="323" t="n"/>
      <c r="AI127" s="323" t="n"/>
      <c r="AJ127" s="323" t="n"/>
      <c r="AK127" s="323" t="n"/>
      <c r="AL127" s="324" t="n"/>
    </row>
    <row r="128">
      <c r="A128" s="318" t="n"/>
      <c r="B128" s="319" t="n"/>
      <c r="C128" s="319" t="n"/>
      <c r="D128" s="313" t="inlineStr">
        <is>
          <t>七、局投资收益（局投资项目选填）</t>
        </is>
      </c>
      <c r="E128" s="320" t="n"/>
      <c r="F128" s="320" t="n"/>
      <c r="G128" s="320" t="n"/>
      <c r="H128" s="299" t="n"/>
      <c r="I128" s="299" t="n"/>
      <c r="J128" s="299">
        <f>H128+I128</f>
        <v/>
      </c>
      <c r="K128" s="299" t="n"/>
      <c r="L128" s="315">
        <f>J128-K128</f>
        <v/>
      </c>
      <c r="M128" s="323" t="n"/>
      <c r="N128" s="323" t="n"/>
      <c r="O128" s="323">
        <f>L128-M128</f>
        <v/>
      </c>
      <c r="P128" s="323">
        <f>K128-N128</f>
        <v/>
      </c>
      <c r="Q128" s="323">
        <f>M128+O128</f>
        <v/>
      </c>
      <c r="R128" s="323">
        <f>M128+N128+O128+P128</f>
        <v/>
      </c>
      <c r="S128" s="323">
        <f>SUM(T128:V128)</f>
        <v/>
      </c>
      <c r="T128" s="323" t="n"/>
      <c r="U128" s="323" t="n"/>
      <c r="V128" s="323" t="n"/>
      <c r="W128" s="323" t="n"/>
      <c r="X128" s="323" t="n"/>
      <c r="Y128" s="323" t="n"/>
      <c r="Z128" s="323" t="n"/>
      <c r="AA128" s="323" t="n"/>
      <c r="AB128" s="323" t="n"/>
      <c r="AC128" s="323" t="n"/>
      <c r="AD128" s="323" t="n"/>
      <c r="AE128" s="323" t="n"/>
      <c r="AF128" s="323" t="n"/>
      <c r="AG128" s="323" t="n"/>
      <c r="AH128" s="323" t="n"/>
      <c r="AI128" s="323" t="n"/>
      <c r="AJ128" s="323" t="n"/>
      <c r="AK128" s="323" t="n"/>
      <c r="AL128" s="324" t="n"/>
    </row>
    <row r="129">
      <c r="A129" s="318" t="n"/>
      <c r="B129" s="319" t="n"/>
      <c r="C129" s="319" t="n"/>
      <c r="D129" s="313" t="inlineStr">
        <is>
          <t>八、研发费用</t>
        </is>
      </c>
      <c r="E129" s="320" t="n"/>
      <c r="F129" s="320" t="n"/>
      <c r="G129" s="320" t="n"/>
      <c r="H129" s="299" t="n"/>
      <c r="I129" s="299" t="n"/>
      <c r="J129" s="299">
        <f>H129+I129</f>
        <v/>
      </c>
      <c r="K129" s="299" t="n"/>
      <c r="L129" s="315">
        <f>J129-K129</f>
        <v/>
      </c>
      <c r="M129" s="323">
        <f>SUM(M130:M133)</f>
        <v/>
      </c>
      <c r="N129" s="323">
        <f>SUM(N130:N133)</f>
        <v/>
      </c>
      <c r="O129" s="323">
        <f>SUM(O130:O133)</f>
        <v/>
      </c>
      <c r="P129" s="323">
        <f>SUM(P130:P133)</f>
        <v/>
      </c>
      <c r="Q129" s="323">
        <f>SUM(Q130:Q133)</f>
        <v/>
      </c>
      <c r="R129" s="323">
        <f>SUM(R130:R133)</f>
        <v/>
      </c>
      <c r="S129" s="323">
        <f>SUM(S130:S133)</f>
        <v/>
      </c>
      <c r="T129" s="323">
        <f>SUM(T130:T133)</f>
        <v/>
      </c>
      <c r="U129" s="323">
        <f>SUM(U130:U133)</f>
        <v/>
      </c>
      <c r="V129" s="323">
        <f>SUM(V130:V133)</f>
        <v/>
      </c>
      <c r="W129" s="323">
        <f>SUM(W130:W133)</f>
        <v/>
      </c>
      <c r="X129" s="323">
        <f>SUM(X130:X133)</f>
        <v/>
      </c>
      <c r="Y129" s="323">
        <f>SUM(Y130:Y133)</f>
        <v/>
      </c>
      <c r="Z129" s="323">
        <f>SUM(Z130:Z133)</f>
        <v/>
      </c>
      <c r="AA129" s="323">
        <f>SUM(AA130:AA133)</f>
        <v/>
      </c>
      <c r="AB129" s="323">
        <f>SUM(AB130:AB133)</f>
        <v/>
      </c>
      <c r="AC129" s="323">
        <f>SUM(AC130:AC133)</f>
        <v/>
      </c>
      <c r="AD129" s="323">
        <f>SUM(AD130:AD133)</f>
        <v/>
      </c>
      <c r="AE129" s="323">
        <f>SUM(AE130:AE133)</f>
        <v/>
      </c>
      <c r="AF129" s="323">
        <f>SUM(AF130:AF133)</f>
        <v/>
      </c>
      <c r="AG129" s="323">
        <f>SUM(AG130:AG133)</f>
        <v/>
      </c>
      <c r="AH129" s="323">
        <f>SUM(AH130:AH133)</f>
        <v/>
      </c>
      <c r="AI129" s="323">
        <f>SUM(AI130:AI133)</f>
        <v/>
      </c>
      <c r="AJ129" s="323">
        <f>SUM(AJ130:AJ133)</f>
        <v/>
      </c>
      <c r="AK129" s="323">
        <f>SUM(AK130:AK133)</f>
        <v/>
      </c>
      <c r="AL129" s="324" t="n"/>
    </row>
    <row r="130">
      <c r="A130" s="206" t="n">
        <v>1</v>
      </c>
      <c r="B130" s="206" t="n"/>
      <c r="C130" s="207" t="n"/>
      <c r="D130" s="207" t="inlineStr">
        <is>
          <t>ZGD</t>
        </is>
      </c>
      <c r="E130" s="206" t="n"/>
      <c r="F130" s="206" t="n"/>
      <c r="G130" s="206" t="n"/>
      <c r="H130" s="206" t="n"/>
      <c r="I130" s="206" t="n"/>
      <c r="J130" s="206" t="n"/>
      <c r="K130" s="206" t="n"/>
      <c r="L130" s="206" t="n"/>
      <c r="M130" s="210" t="n">
        <v>-4412325.31</v>
      </c>
      <c r="N130" s="206" t="n"/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06" t="n"/>
      <c r="U130" s="206" t="n"/>
      <c r="V130" s="206" t="n"/>
      <c r="W130" s="291" t="n"/>
      <c r="X130" s="291" t="n"/>
      <c r="Y130" s="291" t="n"/>
      <c r="Z130" s="291" t="n"/>
      <c r="AA130" s="291" t="n"/>
      <c r="AB130" s="291" t="n"/>
      <c r="AC130" s="291" t="n"/>
      <c r="AD130" s="291" t="n"/>
      <c r="AE130" s="291" t="n"/>
      <c r="AF130" s="291" t="n"/>
      <c r="AG130" s="291" t="n"/>
      <c r="AH130" s="291" t="n"/>
      <c r="AI130" s="291" t="n"/>
      <c r="AJ130" s="291" t="n"/>
      <c r="AK130" s="291" t="n"/>
      <c r="AL130" s="291" t="n"/>
    </row>
    <row r="131">
      <c r="A131" s="206" t="n">
        <v>2</v>
      </c>
      <c r="B131" s="206" t="n"/>
      <c r="C131" s="207" t="n"/>
      <c r="D131" s="207" t="inlineStr">
        <is>
          <t>研发费用-人工成本</t>
        </is>
      </c>
      <c r="E131" s="206" t="n"/>
      <c r="F131" s="206" t="n"/>
      <c r="G131" s="206" t="n"/>
      <c r="H131" s="206" t="n"/>
      <c r="I131" s="206" t="n"/>
      <c r="J131" s="206" t="n"/>
      <c r="K131" s="206" t="n"/>
      <c r="L131" s="206" t="n"/>
      <c r="M131" s="210" t="n">
        <v>687440.63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1" t="n"/>
      <c r="X131" s="291" t="n"/>
      <c r="Y131" s="291" t="n"/>
      <c r="Z131" s="291" t="n"/>
      <c r="AA131" s="291" t="n"/>
      <c r="AB131" s="291" t="n"/>
      <c r="AC131" s="291" t="n"/>
      <c r="AD131" s="291" t="n"/>
      <c r="AE131" s="291" t="n"/>
      <c r="AF131" s="291" t="n"/>
      <c r="AG131" s="291" t="n"/>
      <c r="AH131" s="291" t="n"/>
      <c r="AI131" s="291" t="n"/>
      <c r="AJ131" s="291" t="n"/>
      <c r="AK131" s="291" t="n"/>
      <c r="AL131" s="291" t="n"/>
    </row>
    <row r="132">
      <c r="A132" s="206" t="n">
        <v>3</v>
      </c>
      <c r="B132" s="206" t="n"/>
      <c r="C132" s="207" t="n"/>
      <c r="D132" s="207" t="inlineStr">
        <is>
          <t>研发费用-机械租赁</t>
        </is>
      </c>
      <c r="E132" s="206" t="n"/>
      <c r="F132" s="206" t="n"/>
      <c r="G132" s="206" t="n"/>
      <c r="H132" s="206" t="n"/>
      <c r="I132" s="206" t="n"/>
      <c r="J132" s="206" t="n"/>
      <c r="K132" s="206" t="n"/>
      <c r="L132" s="206" t="n"/>
      <c r="M132" s="210" t="n">
        <v>284623.4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1" t="n"/>
      <c r="X132" s="291" t="n"/>
      <c r="Y132" s="291" t="n"/>
      <c r="Z132" s="291" t="n"/>
      <c r="AA132" s="291" t="n"/>
      <c r="AB132" s="291" t="n"/>
      <c r="AC132" s="291" t="n"/>
      <c r="AD132" s="291" t="n"/>
      <c r="AE132" s="291" t="n"/>
      <c r="AF132" s="291" t="n"/>
      <c r="AG132" s="291" t="n"/>
      <c r="AH132" s="291" t="n"/>
      <c r="AI132" s="291" t="n"/>
      <c r="AJ132" s="291" t="n"/>
      <c r="AK132" s="291" t="n"/>
      <c r="AL132" s="291" t="n"/>
    </row>
    <row r="133">
      <c r="A133" s="206" t="n">
        <v>4</v>
      </c>
      <c r="B133" s="206" t="n"/>
      <c r="C133" s="207" t="n"/>
      <c r="D133" s="207" t="inlineStr">
        <is>
          <t>研发费用-材料费</t>
        </is>
      </c>
      <c r="E133" s="206" t="n"/>
      <c r="F133" s="206" t="n"/>
      <c r="G133" s="206" t="n"/>
      <c r="H133" s="206" t="n"/>
      <c r="I133" s="206" t="n"/>
      <c r="J133" s="206" t="n"/>
      <c r="K133" s="206" t="n"/>
      <c r="L133" s="206" t="n"/>
      <c r="M133" s="210" t="n">
        <v>12339365.17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1" t="n"/>
      <c r="X133" s="291" t="n"/>
      <c r="Y133" s="291" t="n"/>
      <c r="Z133" s="291" t="n"/>
      <c r="AA133" s="291" t="n"/>
      <c r="AB133" s="291" t="n"/>
      <c r="AC133" s="291" t="n"/>
      <c r="AD133" s="291" t="n"/>
      <c r="AE133" s="291" t="n"/>
      <c r="AF133" s="291" t="n"/>
      <c r="AG133" s="291" t="n"/>
      <c r="AH133" s="291" t="n"/>
      <c r="AI133" s="291" t="n"/>
      <c r="AJ133" s="291" t="n"/>
      <c r="AK133" s="291" t="n"/>
      <c r="AL133" s="291" t="n"/>
    </row>
    <row r="134">
      <c r="A134" s="296" t="n"/>
      <c r="B134" s="297" t="n"/>
      <c r="C134" s="297" t="n"/>
      <c r="D134" s="313" t="inlineStr">
        <is>
          <t>九、成本及费用合计（三+四+五+六+七）</t>
        </is>
      </c>
      <c r="E134" s="314" t="n"/>
      <c r="F134" s="314" t="n"/>
      <c r="G134" s="314" t="n"/>
      <c r="H134" s="299">
        <f>H124+H125+H126+H127+H128+H129</f>
        <v/>
      </c>
      <c r="I134" s="299">
        <f>I124+I125+I126+I127+I128+I129</f>
        <v/>
      </c>
      <c r="J134" s="326">
        <f>J124+J125+J126+J127+J128+J129</f>
        <v/>
      </c>
      <c r="K134" s="299">
        <f>K124+K125+K126+K127+K128+K129</f>
        <v/>
      </c>
      <c r="L134" s="327">
        <f>L124+L125+L126+L127+L128+L129</f>
        <v/>
      </c>
      <c r="M134" s="327">
        <f>M124+M125+M126+M127+M128+M129</f>
        <v/>
      </c>
      <c r="N134" s="327">
        <f>N124+N125+N126+N127+N128+N129</f>
        <v/>
      </c>
      <c r="O134" s="327">
        <f>O124+O125+O126+O127+O128+O129</f>
        <v/>
      </c>
      <c r="P134" s="327">
        <f>P124+P125+P126+P127+P128+P129</f>
        <v/>
      </c>
      <c r="Q134" s="327">
        <f>Q124+Q125+Q126+Q127+Q128+Q129</f>
        <v/>
      </c>
      <c r="R134" s="327">
        <f>R124+R125+R126+R127+R128+R129</f>
        <v/>
      </c>
      <c r="S134" s="323">
        <f>S124+S125+S126+S127+S128+S129</f>
        <v/>
      </c>
      <c r="T134" s="323" t="n"/>
      <c r="U134" s="323" t="n"/>
      <c r="V134" s="323" t="n"/>
      <c r="W134" s="323" t="n"/>
      <c r="X134" s="323" t="n"/>
      <c r="Y134" s="323" t="n"/>
      <c r="Z134" s="323">
        <f>Z124+Z125+Z126+Z127+Z128+Z129</f>
        <v/>
      </c>
      <c r="AA134" s="323">
        <f>AA124+AA125+AA126+AA127+AA128+AA129</f>
        <v/>
      </c>
      <c r="AB134" s="328" t="n"/>
      <c r="AC134" s="328" t="n"/>
      <c r="AD134" s="328" t="n"/>
      <c r="AE134" s="328" t="n"/>
      <c r="AF134" s="328" t="n"/>
      <c r="AG134" s="328" t="n"/>
      <c r="AH134" s="328" t="n"/>
      <c r="AI134" s="328" t="n"/>
      <c r="AJ134" s="328" t="n"/>
      <c r="AK134" s="329" t="n"/>
      <c r="AL134" s="330" t="n"/>
    </row>
    <row r="135">
      <c r="A135" s="296" t="n"/>
      <c r="B135" s="297" t="n"/>
      <c r="C135" s="297" t="n"/>
      <c r="D135" s="313" t="inlineStr">
        <is>
          <t>十、增值税实际税负（按财务数据）</t>
        </is>
      </c>
      <c r="E135" s="314" t="inlineStr">
        <is>
          <t>根据财务账面实际已缴纳增值税额+尚需缴纳的增值税额</t>
        </is>
      </c>
      <c r="F135" s="314" t="n"/>
      <c r="G135" s="314" t="n"/>
      <c r="H135" s="299" t="n"/>
      <c r="I135" s="299" t="n"/>
      <c r="J135" s="326">
        <f>H78+I78</f>
        <v/>
      </c>
      <c r="K135" s="299" t="inlineStr">
        <is>
          <t>/</t>
        </is>
      </c>
      <c r="L135" s="327" t="inlineStr">
        <is>
          <t>/</t>
        </is>
      </c>
      <c r="M135" s="327" t="n"/>
      <c r="N135" s="327">
        <f>N6-N77</f>
        <v/>
      </c>
      <c r="O135" s="327" t="n"/>
      <c r="P135" s="327" t="n"/>
      <c r="Q135" s="327" t="inlineStr">
        <is>
          <t>/</t>
        </is>
      </c>
      <c r="R135" s="327">
        <f>N78+P78</f>
        <v/>
      </c>
      <c r="S135" s="323" t="n"/>
      <c r="T135" s="323" t="n"/>
      <c r="U135" s="323" t="n"/>
      <c r="V135" s="323" t="n"/>
      <c r="W135" s="323" t="n"/>
      <c r="X135" s="323" t="n"/>
      <c r="Y135" s="323" t="n"/>
      <c r="Z135" s="323" t="n"/>
      <c r="AA135" s="323" t="n"/>
      <c r="AB135" s="328" t="n"/>
      <c r="AC135" s="328" t="n"/>
      <c r="AD135" s="328" t="n"/>
      <c r="AE135" s="328" t="n"/>
      <c r="AF135" s="328" t="n"/>
      <c r="AG135" s="328" t="n"/>
      <c r="AH135" s="328" t="n"/>
      <c r="AI135" s="328" t="n"/>
      <c r="AJ135" s="328" t="n"/>
      <c r="AK135" s="329" t="n"/>
      <c r="AL135" s="330" t="n"/>
    </row>
    <row r="136">
      <c r="A136" s="296" t="n"/>
      <c r="B136" s="297" t="n"/>
      <c r="C136" s="297" t="n"/>
      <c r="D136" s="313" t="inlineStr">
        <is>
          <t>十一、税金及附加（按财务数据）</t>
        </is>
      </c>
      <c r="E136" s="314" t="inlineStr">
        <is>
          <t>根据财务账面实际已缴纳税金及附加+尚需缴纳的税金及附加</t>
        </is>
      </c>
      <c r="F136" s="314" t="n"/>
      <c r="G136" s="314" t="n"/>
      <c r="H136" s="299" t="n"/>
      <c r="I136" s="299" t="n"/>
      <c r="J136" s="326">
        <f>H79+I79</f>
        <v/>
      </c>
      <c r="K136" s="299" t="n"/>
      <c r="L136" s="327">
        <f>J79</f>
        <v/>
      </c>
      <c r="M136" s="331" t="n">
        <v>385874.26</v>
      </c>
      <c r="N136" s="327" t="n"/>
      <c r="O136" s="327">
        <f>L79-M79</f>
        <v/>
      </c>
      <c r="P136" s="327" t="n"/>
      <c r="Q136" s="327">
        <f>M79+O79</f>
        <v/>
      </c>
      <c r="R136" s="327">
        <f>Q79</f>
        <v/>
      </c>
      <c r="S136" s="323" t="n"/>
      <c r="T136" s="323" t="n"/>
      <c r="U136" s="323" t="n"/>
      <c r="V136" s="323" t="n"/>
      <c r="W136" s="323" t="n"/>
      <c r="X136" s="323" t="n"/>
      <c r="Y136" s="323" t="n"/>
      <c r="Z136" s="323" t="n"/>
      <c r="AA136" s="323" t="n"/>
      <c r="AB136" s="328" t="n"/>
      <c r="AC136" s="328" t="n"/>
      <c r="AD136" s="328" t="n"/>
      <c r="AE136" s="328" t="n"/>
      <c r="AF136" s="328" t="n"/>
      <c r="AG136" s="328" t="n"/>
      <c r="AH136" s="328" t="n"/>
      <c r="AI136" s="328" t="n"/>
      <c r="AJ136" s="328" t="n"/>
      <c r="AK136" s="329" t="n"/>
      <c r="AL136" s="330" t="n"/>
    </row>
    <row r="137">
      <c r="A137" s="296" t="n"/>
      <c r="B137" s="297" t="n"/>
      <c r="C137" s="297" t="n"/>
      <c r="D137" s="313" t="inlineStr">
        <is>
          <t>十二、利润</t>
        </is>
      </c>
      <c r="E137" s="314" t="n"/>
      <c r="F137" s="314" t="n"/>
      <c r="G137" s="314" t="n"/>
      <c r="H137" s="299" t="n"/>
      <c r="I137" s="299" t="n"/>
      <c r="J137" s="326">
        <f>J6-J134-J135-J136</f>
        <v/>
      </c>
      <c r="K137" s="299" t="n"/>
      <c r="L137" s="327" t="n"/>
      <c r="M137" s="327" t="n"/>
      <c r="N137" s="327" t="n"/>
      <c r="O137" s="327" t="n"/>
      <c r="P137" s="327" t="n"/>
      <c r="Q137" s="327" t="n"/>
      <c r="R137" s="327" t="n"/>
      <c r="S137" s="323" t="n"/>
      <c r="T137" s="323" t="n"/>
      <c r="U137" s="323" t="n"/>
      <c r="V137" s="323" t="n"/>
      <c r="W137" s="323" t="n"/>
      <c r="X137" s="323" t="n"/>
      <c r="Y137" s="323" t="n"/>
      <c r="Z137" s="323" t="n"/>
      <c r="AA137" s="323" t="n"/>
      <c r="AB137" s="328" t="n"/>
      <c r="AC137" s="328" t="n"/>
      <c r="AD137" s="328" t="n"/>
      <c r="AE137" s="328" t="n"/>
      <c r="AF137" s="328" t="n"/>
      <c r="AG137" s="328" t="n"/>
      <c r="AH137" s="328" t="n"/>
      <c r="AI137" s="328" t="n"/>
      <c r="AJ137" s="328" t="n"/>
      <c r="AK137" s="329" t="n"/>
      <c r="AL137" s="330" t="n"/>
    </row>
    <row r="138">
      <c r="A138" s="332" t="n"/>
      <c r="B138" s="333" t="n"/>
      <c r="C138" s="333" t="n"/>
      <c r="D138" s="334" t="inlineStr">
        <is>
          <t>十三、利润率</t>
        </is>
      </c>
      <c r="E138" s="335" t="n"/>
      <c r="F138" s="335" t="n"/>
      <c r="G138" s="335" t="n"/>
      <c r="H138" s="336" t="n"/>
      <c r="I138" s="336" t="n"/>
      <c r="J138" s="336">
        <f>J137/J6</f>
        <v/>
      </c>
      <c r="K138" s="336" t="n"/>
      <c r="L138" s="337">
        <f>L137/L6</f>
        <v/>
      </c>
      <c r="M138" s="337">
        <f>M137/M6</f>
        <v/>
      </c>
      <c r="N138" s="337" t="n"/>
      <c r="O138" s="337" t="n"/>
      <c r="P138" s="337" t="n"/>
      <c r="Q138" s="337">
        <f>Q137/Q6</f>
        <v/>
      </c>
      <c r="R138" s="337">
        <f>R137/R6</f>
        <v/>
      </c>
      <c r="S138" s="338" t="n"/>
      <c r="T138" s="338" t="n"/>
      <c r="U138" s="338" t="n"/>
      <c r="V138" s="338" t="n"/>
      <c r="W138" s="338" t="n"/>
      <c r="X138" s="338" t="n"/>
      <c r="Y138" s="338" t="n"/>
      <c r="Z138" s="338" t="n"/>
      <c r="AA138" s="338" t="n"/>
      <c r="AB138" s="339" t="n"/>
      <c r="AC138" s="339" t="n"/>
      <c r="AD138" s="339" t="n"/>
      <c r="AE138" s="339" t="n"/>
      <c r="AF138" s="339" t="n"/>
      <c r="AG138" s="339" t="n"/>
      <c r="AH138" s="339" t="n"/>
      <c r="AI138" s="339" t="n"/>
      <c r="AJ138" s="339" t="n"/>
      <c r="AK138" s="340" t="n"/>
      <c r="AL138" s="341" t="n"/>
    </row>
    <row r="139">
      <c r="A139" s="111" t="n"/>
      <c r="B139" s="111" t="n"/>
      <c r="C139" s="111" t="n"/>
      <c r="D139" s="112" t="n"/>
      <c r="E139" s="113" t="n"/>
      <c r="F139" s="113" t="n"/>
      <c r="G139" s="113" t="n"/>
      <c r="H139" s="249" t="n"/>
      <c r="I139" s="249" t="n"/>
      <c r="J139" s="250" t="inlineStr">
        <is>
          <t>含税利润率</t>
        </is>
      </c>
      <c r="K139" s="251" t="n"/>
      <c r="L139" s="252" t="inlineStr">
        <is>
          <t>不含税利润率</t>
        </is>
      </c>
      <c r="M139" s="253" t="n"/>
      <c r="N139" s="253" t="n"/>
      <c r="O139" s="253" t="n"/>
      <c r="P139" s="253" t="n"/>
      <c r="Q139" s="253" t="n"/>
      <c r="R139" s="253" t="n"/>
      <c r="S139" s="253" t="n"/>
      <c r="T139" s="253" t="n"/>
      <c r="U139" s="253" t="n"/>
      <c r="V139" s="253" t="n"/>
      <c r="W139" s="253" t="n"/>
      <c r="X139" s="253" t="n"/>
      <c r="Y139" s="253" t="n"/>
      <c r="Z139" s="254" t="n"/>
      <c r="AA139" s="162" t="n"/>
      <c r="AB139" s="255" t="n"/>
      <c r="AC139" s="255" t="n"/>
      <c r="AD139" s="255" t="n"/>
      <c r="AE139" s="255" t="n"/>
      <c r="AF139" s="255" t="n"/>
      <c r="AG139" s="255" t="n"/>
      <c r="AH139" s="255" t="n"/>
      <c r="AI139" s="255" t="n"/>
      <c r="AJ139" s="255" t="n"/>
      <c r="AK139" s="255" t="n"/>
      <c r="AL139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2026-04-24T05:21:17Z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