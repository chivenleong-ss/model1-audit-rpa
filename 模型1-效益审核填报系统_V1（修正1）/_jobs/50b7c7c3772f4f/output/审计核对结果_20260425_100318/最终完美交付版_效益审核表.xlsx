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4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7" fillId="0" borderId="1" applyAlignment="1" pivotButton="0" quotePrefix="0" xfId="49">
      <alignment horizontal="left"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8" authorId="0" shapeId="0">
      <text>
        <t>于:
**同财务账面合同履约成本/工程施工成本/直接人工费数据一致**</t>
      </text>
    </comment>
    <comment ref="F18" authorId="0" shapeId="0">
      <text>
        <t>于:
**同财务账面合同履约成本/工程施工成本/直接人工费数据一致**</t>
      </text>
    </comment>
    <comment ref="G18" authorId="0" shapeId="0">
      <text>
        <t>于:
**同财务账面合同履约成本/工程施工成本/直接人工费数据一致**</t>
      </text>
    </comment>
    <comment ref="H18" authorId="0" shapeId="0">
      <text>
        <t>于:
**同财务账面合同履约成本/工程施工成本/直接人工费数据一致**</t>
      </text>
    </comment>
    <comment ref="I18" authorId="0" shapeId="0">
      <text>
        <t>于:
**同财务账面合同履约成本/工程施工成本/直接人工费数据一致**</t>
      </text>
    </comment>
    <comment ref="J18" authorId="0" shapeId="0">
      <text>
        <t>于:
**同财务账面合同履约成本/工程施工成本/直接人工费数据一致**</t>
      </text>
    </comment>
    <comment ref="K18" authorId="0" shapeId="0">
      <text>
        <t>于:
**同财务账面合同履约成本/工程施工成本/直接人工费数据一致**</t>
      </text>
    </comment>
    <comment ref="L18" authorId="0" shapeId="0">
      <text>
        <t>于:
**同财务账面合同履约成本/工程施工成本/直接人工费数据一致**</t>
      </text>
    </comment>
    <comment ref="M18" authorId="0" shapeId="0">
      <text>
        <t>于:
**同财务账面合同履约成本/工程施工成本/直接人工费数据一致**</t>
      </text>
    </comment>
    <comment ref="N18" authorId="0" shapeId="0">
      <text>
        <t>于:
**同财务账面合同履约成本/工程施工成本/直接人工费数据一致**</t>
      </text>
    </comment>
    <comment ref="O18" authorId="0" shapeId="0">
      <text>
        <t>于:
**同财务账面合同履约成本/工程施工成本/直接人工费数据一致**</t>
      </text>
    </comment>
    <comment ref="P18" authorId="0" shapeId="0">
      <text>
        <t>于:
**同财务账面合同履约成本/工程施工成本/直接人工费数据一致**</t>
      </text>
    </comment>
    <comment ref="Q18" authorId="0" shapeId="0">
      <text>
        <t>于:
**同财务账面合同履约成本/工程施工成本/直接人工费数据一致**</t>
      </text>
    </comment>
    <comment ref="R18" authorId="0" shapeId="0">
      <text>
        <t>于:
**同财务账面合同履约成本/工程施工成本/直接人工费数据一致**</t>
      </text>
    </comment>
    <comment ref="S18" authorId="0" shapeId="0">
      <text>
        <t>于:
**同财务账面合同履约成本/工程施工成本/直接人工费数据一致**</t>
      </text>
    </comment>
    <comment ref="T18" authorId="0" shapeId="0">
      <text>
        <t>于:
**同财务账面合同履约成本/工程施工成本/直接人工费数据一致**</t>
      </text>
    </comment>
    <comment ref="U18" authorId="0" shapeId="0">
      <text>
        <t>于:
**同财务账面合同履约成本/工程施工成本/直接人工费数据一致**</t>
      </text>
    </comment>
    <comment ref="V18" authorId="0" shapeId="0">
      <text>
        <t>于:
**同财务账面合同履约成本/工程施工成本/直接人工费数据一致**</t>
      </text>
    </comment>
    <comment ref="W18" authorId="0" shapeId="0">
      <text>
        <t>于:
**同财务账面合同履约成本/工程施工成本/直接人工费数据一致**</t>
      </text>
    </comment>
    <comment ref="X18" authorId="0" shapeId="0">
      <text>
        <t>于:
**同财务账面合同履约成本/工程施工成本/直接人工费数据一致**</t>
      </text>
    </comment>
    <comment ref="Y18" authorId="0" shapeId="0">
      <text>
        <t>于:
**同财务账面合同履约成本/工程施工成本/直接人工费数据一致**</t>
      </text>
    </comment>
    <comment ref="Z18" authorId="0" shapeId="0">
      <text>
        <t>于:
**同财务账面合同履约成本/工程施工成本/直接人工费数据一致**</t>
      </text>
    </comment>
    <comment ref="AA18" authorId="0" shapeId="0">
      <text>
        <t>于:
**同财务账面合同履约成本/工程施工成本/直接人工费数据一致**</t>
      </text>
    </comment>
    <comment ref="AB18" authorId="0" shapeId="0">
      <text>
        <t>于:
**同财务账面合同履约成本/工程施工成本/直接人工费数据一致**</t>
      </text>
    </comment>
    <comment ref="AC18" authorId="0" shapeId="0">
      <text>
        <t>于:
**同财务账面合同履约成本/工程施工成本/直接人工费数据一致**</t>
      </text>
    </comment>
    <comment ref="AD18" authorId="0" shapeId="0">
      <text>
        <t>于:
**同财务账面合同履约成本/工程施工成本/直接人工费数据一致**</t>
      </text>
    </comment>
    <comment ref="AE18" authorId="0" shapeId="0">
      <text>
        <t>于:
**同财务账面合同履约成本/工程施工成本/直接人工费数据一致**</t>
      </text>
    </comment>
    <comment ref="AF18" authorId="0" shapeId="0">
      <text>
        <t>于:
**同财务账面合同履约成本/工程施工成本/直接人工费数据一致**</t>
      </text>
    </comment>
    <comment ref="AG18" authorId="0" shapeId="0">
      <text>
        <t>于:
**同财务账面合同履约成本/工程施工成本/直接人工费数据一致**</t>
      </text>
    </comment>
    <comment ref="AH18" authorId="0" shapeId="0">
      <text>
        <t>于:
**同财务账面合同履约成本/工程施工成本/直接人工费数据一致**</t>
      </text>
    </comment>
    <comment ref="AI18" authorId="0" shapeId="0">
      <text>
        <t>于:
**同财务账面合同履约成本/工程施工成本/直接人工费数据一致**</t>
      </text>
    </comment>
    <comment ref="AJ18" authorId="0" shapeId="0">
      <text>
        <t>于:
**同财务账面合同履约成本/工程施工成本/直接人工费数据一致**</t>
      </text>
    </comment>
    <comment ref="AK18" authorId="0" shapeId="0">
      <text>
        <t>于:
**同财务账面合同履约成本/工程施工成本/直接人工费数据一致**</t>
      </text>
    </comment>
    <comment ref="M42" authorId="1" shapeId="0">
      <text>
        <t xml:space="preserve">**同财务账面合同履约成本/工程施工成本/机械租赁费数据一致**
</t>
      </text>
    </comment>
    <comment ref="M50" authorId="0" shapeId="0">
      <text>
        <t>于:
**同财务账面合同履约成本/工程施工成本其他直接费数据一致**</t>
      </text>
    </comment>
    <comment ref="M55" authorId="1" shapeId="0">
      <text>
        <t>**同财务账面合同履约成本/工程施工成本/间接费数据一致**</t>
      </text>
    </comment>
    <comment ref="D61" authorId="2" shapeId="0">
      <text>
        <t>（在建：房建0.6%，其它0.4%；在保修期间的按0.3~0.5%自行确定;保修期结束为0）</t>
      </text>
    </comment>
    <comment ref="E6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6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1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L403600750</t>
        </is>
      </c>
      <c r="C6" s="11" t="n">
        <v>1220159233</v>
      </c>
      <c r="D6" s="181" t="inlineStr">
        <is>
          <t>花都区东风体育馆应急转运点项目安装工程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12482611.56</v>
      </c>
      <c r="N6" s="186" t="n">
        <v>2131941.74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200706805</t>
        </is>
      </c>
      <c r="C13" s="207" t="inlineStr">
        <is>
          <t>中建四局150020220103040004</t>
        </is>
      </c>
      <c r="D13" s="207" t="inlineStr">
        <is>
          <t>东莞市东城晨旭金属材料经营部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390736.42</v>
      </c>
      <c r="N13" s="210" t="n">
        <v>11722.09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390000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200179978</t>
        </is>
      </c>
      <c r="C14" s="207" t="inlineStr">
        <is>
          <t>中建四局150020220103040001</t>
        </is>
      </c>
      <c r="D14" s="207" t="inlineStr">
        <is>
          <t>广州八为科技有限公司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2594250</v>
      </c>
      <c r="N14" s="210" t="n">
        <v>79380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2589111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100217203</t>
        </is>
      </c>
      <c r="C15" s="207" t="inlineStr">
        <is>
          <t>中建四局150020220103040002</t>
        </is>
      </c>
      <c r="D15" s="207" t="inlineStr">
        <is>
          <t>广州城北电力工程有限公司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141291.26</v>
      </c>
      <c r="N15" s="210" t="n">
        <v>4325.24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148500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200499158</t>
        </is>
      </c>
      <c r="C16" s="207" t="inlineStr">
        <is>
          <t>中建四局150020220103040005</t>
        </is>
      </c>
      <c r="D16" s="207" t="inlineStr">
        <is>
          <t>广州市番禺区永元建筑劳务有限责任公司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552239.5699999999</v>
      </c>
      <c r="N16" s="210" t="n">
        <v>16567.19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568806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79" t="n"/>
      <c r="B17" s="280" t="n"/>
      <c r="C17" s="280" t="n"/>
      <c r="D17" s="291" t="inlineStr">
        <is>
          <t>**财务未列部分需增列***</t>
        </is>
      </c>
      <c r="E17" s="292" t="n"/>
      <c r="F17" s="292" t="n"/>
      <c r="G17" s="292" t="n"/>
      <c r="H17" s="282" t="n"/>
      <c r="I17" s="282" t="n"/>
      <c r="J17" s="282" t="n"/>
      <c r="K17" s="283" t="n"/>
      <c r="L17" s="284" t="n"/>
      <c r="M17" s="282" t="n"/>
      <c r="N17" s="282" t="n"/>
      <c r="O17" s="282">
        <f>L17-M17</f>
        <v/>
      </c>
      <c r="P17" s="282">
        <f>K17-N17</f>
        <v/>
      </c>
      <c r="Q17" s="282">
        <f>M17+O17</f>
        <v/>
      </c>
      <c r="R17" s="282">
        <f>M17+N17+O17+P17</f>
        <v/>
      </c>
      <c r="S17" s="286">
        <f>SUM(T17:V17)</f>
        <v/>
      </c>
      <c r="T17" s="282" t="n"/>
      <c r="U17" s="282" t="n"/>
      <c r="V17" s="282" t="n"/>
      <c r="W17" s="282" t="n"/>
      <c r="X17" s="282" t="n"/>
      <c r="Y17" s="282" t="n"/>
      <c r="Z17" s="282">
        <f>SUM(AA16:AJ16)</f>
        <v/>
      </c>
      <c r="AA17" s="293" t="n"/>
      <c r="AB17" s="287" t="n"/>
      <c r="AC17" s="287" t="n"/>
      <c r="AD17" s="287" t="n"/>
      <c r="AE17" s="287" t="n"/>
      <c r="AF17" s="287" t="n"/>
      <c r="AG17" s="287" t="n"/>
      <c r="AH17" s="287" t="n"/>
      <c r="AI17" s="287" t="n"/>
      <c r="AJ17" s="287" t="n"/>
      <c r="AK17" s="287">
        <f>AB16/1.17*0.17+AC16/1.16*0.16+AD16/1.11*0.11+AE16/1.1*0.1+AF16/1.09*0.09+AI16/1.03*0.03</f>
        <v/>
      </c>
      <c r="AL17" s="294" t="n"/>
    </row>
    <row r="18" ht="14" customFormat="1" customHeight="1" s="180">
      <c r="A18" s="295" t="n"/>
      <c r="B18" s="296" t="n"/>
      <c r="C18" s="296" t="n"/>
      <c r="D18" s="297" t="inlineStr">
        <is>
          <t>人工费小计：</t>
        </is>
      </c>
      <c r="E18" s="298">
        <f>SUM(E12:E17)</f>
        <v/>
      </c>
      <c r="F18" s="298">
        <f>SUM(F12:F17)</f>
        <v/>
      </c>
      <c r="G18" s="298">
        <f>SUM(G12:G17)</f>
        <v/>
      </c>
      <c r="H18" s="298">
        <f>SUM(H12:H17)</f>
        <v/>
      </c>
      <c r="I18" s="298">
        <f>SUM(I12:I17)</f>
        <v/>
      </c>
      <c r="J18" s="298">
        <f>SUM(J12:J17)</f>
        <v/>
      </c>
      <c r="K18" s="298">
        <f>SUM(K12:K17)</f>
        <v/>
      </c>
      <c r="L18" s="298">
        <f>SUM(L12:L17)</f>
        <v/>
      </c>
      <c r="M18" s="298">
        <f>SUM(M12:M17)</f>
        <v/>
      </c>
      <c r="N18" s="298">
        <f>SUM(N12:N17)</f>
        <v/>
      </c>
      <c r="O18" s="298">
        <f>SUM(O12:O17)</f>
        <v/>
      </c>
      <c r="P18" s="298">
        <f>SUM(P12:P17)</f>
        <v/>
      </c>
      <c r="Q18" s="298">
        <f>SUM(Q12:Q17)</f>
        <v/>
      </c>
      <c r="R18" s="298">
        <f>SUM(R12:R17)</f>
        <v/>
      </c>
      <c r="S18" s="298">
        <f>SUM(S12:S17)</f>
        <v/>
      </c>
      <c r="T18" s="298">
        <f>SUM(T12:T17)</f>
        <v/>
      </c>
      <c r="U18" s="298">
        <f>SUM(U12:U17)</f>
        <v/>
      </c>
      <c r="V18" s="298">
        <f>SUM(V12:V17)</f>
        <v/>
      </c>
      <c r="W18" s="298">
        <f>SUM(W12:W17)</f>
        <v/>
      </c>
      <c r="X18" s="298">
        <f>SUM(X12:X17)</f>
        <v/>
      </c>
      <c r="Y18" s="298">
        <f>SUM(Y12:Y17)</f>
        <v/>
      </c>
      <c r="Z18" s="298">
        <f>SUM(Z12:Z17)</f>
        <v/>
      </c>
      <c r="AA18" s="298">
        <f>SUM(AA12:AA17)</f>
        <v/>
      </c>
      <c r="AB18" s="298">
        <f>SUM(AB12:AB17)</f>
        <v/>
      </c>
      <c r="AC18" s="298">
        <f>SUM(AC12:AC17)</f>
        <v/>
      </c>
      <c r="AD18" s="298">
        <f>SUM(AD12:AD17)</f>
        <v/>
      </c>
      <c r="AE18" s="298">
        <f>SUM(AE12:AE17)</f>
        <v/>
      </c>
      <c r="AF18" s="298">
        <f>SUM(AF12:AF17)</f>
        <v/>
      </c>
      <c r="AG18" s="298">
        <f>SUM(AG12:AG17)</f>
        <v/>
      </c>
      <c r="AH18" s="298">
        <f>SUM(AH12:AH17)</f>
        <v/>
      </c>
      <c r="AI18" s="298">
        <f>SUM(AI12:AI17)</f>
        <v/>
      </c>
      <c r="AJ18" s="298">
        <f>SUM(AJ12:AJ17)</f>
        <v/>
      </c>
      <c r="AK18" s="298">
        <f>SUM(AK12:AK17)</f>
        <v/>
      </c>
      <c r="AL18" s="288" t="n"/>
    </row>
    <row r="19" ht="14" customFormat="1" customHeight="1" s="180">
      <c r="A19" s="279" t="n"/>
      <c r="B19" s="280" t="n"/>
      <c r="C19" s="280" t="n"/>
      <c r="D19" s="299" t="inlineStr">
        <is>
          <t>（二）分包工程</t>
        </is>
      </c>
      <c r="E19" s="280" t="n"/>
      <c r="F19" s="280" t="n"/>
      <c r="G19" s="280" t="n"/>
      <c r="H19" s="282" t="n"/>
      <c r="I19" s="282" t="n"/>
      <c r="J19" s="282" t="n"/>
      <c r="K19" s="283" t="n"/>
      <c r="L19" s="284" t="n"/>
      <c r="M19" s="282" t="n"/>
      <c r="N19" s="282" t="n"/>
      <c r="O19" s="282">
        <f>L19-M19</f>
        <v/>
      </c>
      <c r="P19" s="282">
        <f>K19-N19</f>
        <v/>
      </c>
      <c r="Q19" s="282">
        <f>M19+O19</f>
        <v/>
      </c>
      <c r="R19" s="282">
        <f>M19+N19+O19+P19</f>
        <v/>
      </c>
      <c r="S19" s="286">
        <f>SUM(T19:V19)</f>
        <v/>
      </c>
      <c r="T19" s="286" t="n"/>
      <c r="U19" s="286" t="n"/>
      <c r="V19" s="286" t="n"/>
      <c r="W19" s="286" t="n"/>
      <c r="X19" s="286" t="n"/>
      <c r="Y19" s="286" t="n"/>
      <c r="Z19" s="286" t="n"/>
      <c r="AA19" s="286" t="n"/>
      <c r="AB19" s="286" t="n"/>
      <c r="AC19" s="286" t="n"/>
      <c r="AD19" s="286" t="n"/>
      <c r="AE19" s="286" t="n"/>
      <c r="AF19" s="286" t="n"/>
      <c r="AG19" s="286" t="n"/>
      <c r="AH19" s="286" t="n"/>
      <c r="AI19" s="286" t="n"/>
      <c r="AJ19" s="286" t="n"/>
      <c r="AK19" s="287">
        <f>AB18/1.17*0.17+AC18/1.16*0.16+AD18/1.11*0.11+AE18/1.1*0.1+AF18/1.09*0.09+AI18/1.03*0.03</f>
        <v/>
      </c>
      <c r="AL19" s="288" t="n"/>
    </row>
    <row r="20" ht="14" customFormat="1" customHeight="1" s="180">
      <c r="A20" s="206" t="n">
        <v>1</v>
      </c>
      <c r="B20" s="206" t="inlineStr">
        <is>
          <t>100235246</t>
        </is>
      </c>
      <c r="C20" s="207" t="inlineStr">
        <is>
          <t>中建四局150020220103030001</t>
        </is>
      </c>
      <c r="D20" s="207" t="inlineStr">
        <is>
          <t>众源科技（广东）股份有限公司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1004990.48</v>
      </c>
      <c r="N20" s="210" t="n">
        <v>90449.14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800000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79" t="n"/>
      <c r="B21" s="280" t="n"/>
      <c r="C21" s="280" t="n"/>
      <c r="D21" s="291" t="inlineStr">
        <is>
          <t>**财务未列部分需增列***</t>
        </is>
      </c>
      <c r="E21" s="300" t="n"/>
      <c r="F21" s="300" t="n"/>
      <c r="G21" s="300" t="n"/>
      <c r="H21" s="282" t="n"/>
      <c r="I21" s="282" t="n"/>
      <c r="J21" s="282" t="n"/>
      <c r="K21" s="283" t="n"/>
      <c r="L21" s="284" t="n"/>
      <c r="M21" s="282" t="n"/>
      <c r="N21" s="282" t="n"/>
      <c r="O21" s="282">
        <f>L21-M21</f>
        <v/>
      </c>
      <c r="P21" s="282">
        <f>K21-N21</f>
        <v/>
      </c>
      <c r="Q21" s="282">
        <f>M21+O21</f>
        <v/>
      </c>
      <c r="R21" s="282">
        <f>M21+N21+O21+P21</f>
        <v/>
      </c>
      <c r="S21" s="286">
        <f>SUM(T21:V21)</f>
        <v/>
      </c>
      <c r="T21" s="282" t="n"/>
      <c r="U21" s="282" t="n"/>
      <c r="V21" s="282" t="n"/>
      <c r="W21" s="282" t="n"/>
      <c r="X21" s="282" t="n"/>
      <c r="Y21" s="282" t="n"/>
      <c r="Z21" s="286" t="n"/>
      <c r="AA21" s="286" t="n"/>
      <c r="AB21" s="287" t="n"/>
      <c r="AC21" s="287" t="n"/>
      <c r="AD21" s="287" t="n"/>
      <c r="AE21" s="287" t="n"/>
      <c r="AF21" s="287" t="n"/>
      <c r="AG21" s="287" t="n"/>
      <c r="AH21" s="287" t="n"/>
      <c r="AI21" s="287" t="n"/>
      <c r="AJ21" s="287" t="n"/>
      <c r="AK21" s="287">
        <f>AB22/1.17*0.17+AC22/1.16*0.16+AD22/1.11*0.11+AE22/1.1*0.1+AF22/1.09*0.09+AI22/1.03*0.03</f>
        <v/>
      </c>
      <c r="AL21" s="294" t="n"/>
    </row>
    <row r="22" ht="14" customFormat="1" customHeight="1" s="180">
      <c r="A22" s="295" t="n"/>
      <c r="B22" s="296" t="n"/>
      <c r="C22" s="296" t="n"/>
      <c r="D22" s="297" t="inlineStr">
        <is>
          <t>分包工程小计：</t>
        </is>
      </c>
      <c r="E22" s="298">
        <f>SUM(E19:E21)</f>
        <v/>
      </c>
      <c r="F22" s="298">
        <f>SUM(F19:F21)</f>
        <v/>
      </c>
      <c r="G22" s="298">
        <f>SUM(G19:G21)</f>
        <v/>
      </c>
      <c r="H22" s="298">
        <f>SUM(H19:H21)</f>
        <v/>
      </c>
      <c r="I22" s="298">
        <f>SUM(I19:I21)</f>
        <v/>
      </c>
      <c r="J22" s="298">
        <f>SUM(J19:J21)</f>
        <v/>
      </c>
      <c r="K22" s="298">
        <f>SUM(K19:K21)</f>
        <v/>
      </c>
      <c r="L22" s="298">
        <f>SUM(L19:L21)</f>
        <v/>
      </c>
      <c r="M22" s="298">
        <f>SUM(M19:M21)</f>
        <v/>
      </c>
      <c r="N22" s="298">
        <f>SUM(N19:N21)</f>
        <v/>
      </c>
      <c r="O22" s="298">
        <f>SUM(O19:O21)</f>
        <v/>
      </c>
      <c r="P22" s="298">
        <f>SUM(P19:P21)</f>
        <v/>
      </c>
      <c r="Q22" s="298">
        <f>SUM(Q19:Q21)</f>
        <v/>
      </c>
      <c r="R22" s="298">
        <f>SUM(R19:R21)</f>
        <v/>
      </c>
      <c r="S22" s="298">
        <f>SUM(S19:S21)</f>
        <v/>
      </c>
      <c r="T22" s="298">
        <f>SUM(T19:T21)</f>
        <v/>
      </c>
      <c r="U22" s="298">
        <f>SUM(U19:U21)</f>
        <v/>
      </c>
      <c r="V22" s="298">
        <f>SUM(V19:V21)</f>
        <v/>
      </c>
      <c r="W22" s="298">
        <f>SUM(W19:W21)</f>
        <v/>
      </c>
      <c r="X22" s="298">
        <f>SUM(X19:X21)</f>
        <v/>
      </c>
      <c r="Y22" s="298">
        <f>SUM(Y19:Y21)</f>
        <v/>
      </c>
      <c r="Z22" s="298">
        <f>SUM(Z19:Z21)</f>
        <v/>
      </c>
      <c r="AA22" s="298">
        <f>SUM(AA19:AA21)</f>
        <v/>
      </c>
      <c r="AB22" s="298">
        <f>SUM(AB19:AB21)</f>
        <v/>
      </c>
      <c r="AC22" s="298">
        <f>SUM(AC19:AC21)</f>
        <v/>
      </c>
      <c r="AD22" s="298">
        <f>SUM(AD19:AD21)</f>
        <v/>
      </c>
      <c r="AE22" s="298">
        <f>SUM(AE19:AE21)</f>
        <v/>
      </c>
      <c r="AF22" s="298">
        <f>SUM(AF19:AF21)</f>
        <v/>
      </c>
      <c r="AG22" s="298">
        <f>SUM(AG19:AG21)</f>
        <v/>
      </c>
      <c r="AH22" s="298">
        <f>SUM(AH19:AH21)</f>
        <v/>
      </c>
      <c r="AI22" s="298">
        <f>SUM(AI19:AI21)</f>
        <v/>
      </c>
      <c r="AJ22" s="298">
        <f>SUM(AJ19:AJ21)</f>
        <v/>
      </c>
      <c r="AK22" s="298">
        <f>SUM(AK19:AK21)</f>
        <v/>
      </c>
      <c r="AL22" s="288" t="n"/>
    </row>
    <row r="23" ht="14" customFormat="1" customHeight="1" s="180">
      <c r="A23" s="279" t="n"/>
      <c r="B23" s="280" t="n"/>
      <c r="C23" s="280" t="n"/>
      <c r="D23" s="299" t="inlineStr">
        <is>
          <t>(三)材料费</t>
        </is>
      </c>
      <c r="E23" s="280" t="n"/>
      <c r="F23" s="280" t="n"/>
      <c r="G23" s="280" t="n"/>
      <c r="H23" s="282" t="n"/>
      <c r="I23" s="282" t="n"/>
      <c r="J23" s="282" t="n"/>
      <c r="K23" s="283" t="n"/>
      <c r="L23" s="284" t="n"/>
      <c r="M23" s="282" t="n"/>
      <c r="N23" s="282" t="n"/>
      <c r="O23" s="282">
        <f>L23-M23</f>
        <v/>
      </c>
      <c r="P23" s="282">
        <f>K23-N23</f>
        <v/>
      </c>
      <c r="Q23" s="282">
        <f>M23+O23</f>
        <v/>
      </c>
      <c r="R23" s="282">
        <f>M23+N23+O23+P23</f>
        <v/>
      </c>
      <c r="S23" s="286">
        <f>SUM(T23:V23)</f>
        <v/>
      </c>
      <c r="T23" s="286" t="n"/>
      <c r="U23" s="286" t="n"/>
      <c r="V23" s="286" t="n"/>
      <c r="W23" s="286" t="n"/>
      <c r="X23" s="286" t="n"/>
      <c r="Y23" s="286" t="n"/>
      <c r="Z23" s="286" t="n"/>
      <c r="AA23" s="286" t="n"/>
      <c r="AB23" s="301" t="n"/>
      <c r="AC23" s="301" t="n"/>
      <c r="AD23" s="301" t="n"/>
      <c r="AE23" s="301" t="n"/>
      <c r="AF23" s="301" t="n"/>
      <c r="AG23" s="301" t="n"/>
      <c r="AH23" s="301" t="n"/>
      <c r="AI23" s="301" t="n"/>
      <c r="AJ23" s="301" t="n"/>
      <c r="AK23" s="287">
        <f>AB24/1.17*0.17+AC24/1.16*0.16+AD24/1.11*0.11+AE24/1.1*0.1+AF24/1.09*0.09+AI24/1.03*0.03</f>
        <v/>
      </c>
      <c r="AL23" s="302" t="n"/>
    </row>
    <row r="24" ht="14" customFormat="1" customHeight="1" s="180">
      <c r="A24" s="206" t="n">
        <v>1</v>
      </c>
      <c r="B24" s="206" t="inlineStr">
        <is>
          <t>200330523</t>
        </is>
      </c>
      <c r="C24" s="207" t="inlineStr">
        <is>
          <t>中建四局150020220103060006</t>
        </is>
      </c>
      <c r="D24" s="207" t="inlineStr">
        <is>
          <t>广东广合工贸有限公司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328452.59</v>
      </c>
      <c r="N24" s="210" t="n">
        <v>42698.85</v>
      </c>
      <c r="O24" s="206">
        <f>L29-M29</f>
        <v/>
      </c>
      <c r="P24" s="206">
        <f>K29-N29</f>
        <v/>
      </c>
      <c r="Q24" s="206">
        <f>M29+O29</f>
        <v/>
      </c>
      <c r="R24" s="206">
        <f>M29+N29+O29+P29</f>
        <v/>
      </c>
      <c r="S24" s="206" t="n"/>
      <c r="T24" s="210" t="n">
        <v>371149.44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2</v>
      </c>
      <c r="B25" s="206" t="inlineStr">
        <is>
          <t>200144447</t>
        </is>
      </c>
      <c r="C25" s="207" t="inlineStr">
        <is>
          <t>中建四局150020220103060002</t>
        </is>
      </c>
      <c r="D25" s="207" t="inlineStr">
        <is>
          <t>广东明之运实业发展有限公司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1403891.91</v>
      </c>
      <c r="N25" s="210" t="n">
        <v>182505.95</v>
      </c>
      <c r="O25" s="206">
        <f>L30-M30</f>
        <v/>
      </c>
      <c r="P25" s="206">
        <f>K30-N30</f>
        <v/>
      </c>
      <c r="Q25" s="206">
        <f>M30+O30</f>
        <v/>
      </c>
      <c r="R25" s="206">
        <f>M30+N30+O30+P30</f>
        <v/>
      </c>
      <c r="S25" s="206" t="n"/>
      <c r="T25" s="210" t="n">
        <v>1586397.86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3</v>
      </c>
      <c r="B26" s="206" t="inlineStr">
        <is>
          <t>200422572</t>
        </is>
      </c>
      <c r="C26" s="207" t="inlineStr">
        <is>
          <t>中建四局150020220103060007</t>
        </is>
      </c>
      <c r="D26" s="207" t="inlineStr">
        <is>
          <t>广东林源科技技术有限公司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111201.81</v>
      </c>
      <c r="N26" s="210" t="n">
        <v>14456.22</v>
      </c>
      <c r="O26" s="206">
        <f>L31-M31</f>
        <v/>
      </c>
      <c r="P26" s="206">
        <f>K31-N31</f>
        <v/>
      </c>
      <c r="Q26" s="206">
        <f>M31+O31</f>
        <v/>
      </c>
      <c r="R26" s="206">
        <f>M31+N31+O31+P31</f>
        <v/>
      </c>
      <c r="S26" s="206" t="n"/>
      <c r="T26" s="210" t="n">
        <v>100000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4</v>
      </c>
      <c r="B27" s="206" t="inlineStr">
        <is>
          <t>100257705</t>
        </is>
      </c>
      <c r="C27" s="207" t="inlineStr">
        <is>
          <t>中建四局150020220103060003</t>
        </is>
      </c>
      <c r="D27" s="207" t="inlineStr">
        <is>
          <t>广州千科呈环保科技有限公司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81982.3</v>
      </c>
      <c r="N27" s="210" t="n">
        <v>10657.7</v>
      </c>
      <c r="O27" s="206">
        <f>L32-M32</f>
        <v/>
      </c>
      <c r="P27" s="206">
        <f>K32-N32</f>
        <v/>
      </c>
      <c r="Q27" s="206">
        <f>M32+O32</f>
        <v/>
      </c>
      <c r="R27" s="206">
        <f>M32+N32+O32+P32</f>
        <v/>
      </c>
      <c r="S27" s="206" t="n"/>
      <c r="T27" s="210" t="n">
        <v>88000</v>
      </c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5</v>
      </c>
      <c r="B28" s="206" t="inlineStr">
        <is>
          <t>100220441</t>
        </is>
      </c>
      <c r="C28" s="207" t="inlineStr">
        <is>
          <t>中建四局150020220103060008</t>
        </is>
      </c>
      <c r="D28" s="207" t="inlineStr">
        <is>
          <t>广州南泉机电设备有限公司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475889.04</v>
      </c>
      <c r="N28" s="210" t="n">
        <v>61865.58</v>
      </c>
      <c r="O28" s="206">
        <f>L33-M33</f>
        <v/>
      </c>
      <c r="P28" s="206">
        <f>K33-N33</f>
        <v/>
      </c>
      <c r="Q28" s="206">
        <f>M33+O33</f>
        <v/>
      </c>
      <c r="R28" s="206">
        <f>M33+N33+O33+P33</f>
        <v/>
      </c>
      <c r="S28" s="206" t="n"/>
      <c r="T28" s="210" t="n">
        <v>450000</v>
      </c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6</v>
      </c>
      <c r="B29" s="206" t="inlineStr">
        <is>
          <t>200153663</t>
        </is>
      </c>
      <c r="C29" s="207" t="inlineStr">
        <is>
          <t>中建四局150020220103060012</t>
        </is>
      </c>
      <c r="D29" s="207" t="inlineStr">
        <is>
          <t>广州市建新五金有限公司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62042.34</v>
      </c>
      <c r="N29" s="210" t="n">
        <v>8065.51</v>
      </c>
      <c r="O29" s="206">
        <f>L34-M34</f>
        <v/>
      </c>
      <c r="P29" s="206">
        <f>K34-N34</f>
        <v/>
      </c>
      <c r="Q29" s="206">
        <f>M34+O34</f>
        <v/>
      </c>
      <c r="R29" s="206">
        <f>M34+N34+O34+P34</f>
        <v/>
      </c>
      <c r="S29" s="206" t="n"/>
      <c r="T29" s="210" t="n">
        <v>70107.85000000001</v>
      </c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7</v>
      </c>
      <c r="B30" s="206" t="inlineStr">
        <is>
          <t>100006007</t>
        </is>
      </c>
      <c r="C30" s="207" t="inlineStr">
        <is>
          <t>中建四局150020220103060004</t>
        </is>
      </c>
      <c r="D30" s="207" t="inlineStr">
        <is>
          <t>广州市白云泵业集团有限公司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377315.04</v>
      </c>
      <c r="N30" s="210" t="n">
        <v>49050.96</v>
      </c>
      <c r="O30" s="206">
        <f>L35-M35</f>
        <v/>
      </c>
      <c r="P30" s="206">
        <f>K35-N35</f>
        <v/>
      </c>
      <c r="Q30" s="206">
        <f>M35+O35</f>
        <v/>
      </c>
      <c r="R30" s="206">
        <f>M35+N35+O35+P35</f>
        <v/>
      </c>
      <c r="S30" s="206" t="n"/>
      <c r="T30" s="210" t="n">
        <v>426366</v>
      </c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8</v>
      </c>
      <c r="B31" s="206" t="inlineStr">
        <is>
          <t>200703167</t>
        </is>
      </c>
      <c r="C31" s="207" t="inlineStr">
        <is>
          <t>中建四局150020220103060010</t>
        </is>
      </c>
      <c r="D31" s="207" t="inlineStr">
        <is>
          <t>广州市花都区秀全优利五金水电商行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489395.88</v>
      </c>
      <c r="N31" s="210" t="n">
        <v>5752.21</v>
      </c>
      <c r="O31" s="206">
        <f>L36-M36</f>
        <v/>
      </c>
      <c r="P31" s="206">
        <f>K36-N36</f>
        <v/>
      </c>
      <c r="Q31" s="206">
        <f>M36+O36</f>
        <v/>
      </c>
      <c r="R31" s="206">
        <f>M36+N36+O36+P36</f>
        <v/>
      </c>
      <c r="S31" s="206" t="n"/>
      <c r="T31" s="210" t="n">
        <v>495148.09</v>
      </c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9</v>
      </c>
      <c r="B32" s="206" t="inlineStr">
        <is>
          <t>200652020</t>
        </is>
      </c>
      <c r="C32" s="207" t="inlineStr">
        <is>
          <t>中建四局150020220103060001</t>
        </is>
      </c>
      <c r="D32" s="207" t="inlineStr">
        <is>
          <t>广州肇泰环保工程有限公司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98150.44</v>
      </c>
      <c r="N32" s="210" t="n">
        <v>12759.56</v>
      </c>
      <c r="O32" s="206">
        <f>L37-M37</f>
        <v/>
      </c>
      <c r="P32" s="206">
        <f>K37-N37</f>
        <v/>
      </c>
      <c r="Q32" s="206">
        <f>M37+O37</f>
        <v/>
      </c>
      <c r="R32" s="206">
        <f>M37+N37+O37+P37</f>
        <v/>
      </c>
      <c r="S32" s="206" t="n"/>
      <c r="T32" s="210" t="n">
        <v>110910</v>
      </c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06" t="n">
        <v>10</v>
      </c>
      <c r="B33" s="206" t="inlineStr">
        <is>
          <t>200259247</t>
        </is>
      </c>
      <c r="C33" s="207" t="inlineStr">
        <is>
          <t>中建四局150020220103060011</t>
        </is>
      </c>
      <c r="D33" s="207" t="inlineStr">
        <is>
          <t>无锡市国联金属材料市场有限公司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583466.14</v>
      </c>
      <c r="N33" s="210" t="n">
        <v>75850.60000000001</v>
      </c>
      <c r="O33" s="206">
        <f>L38-M38</f>
        <v/>
      </c>
      <c r="P33" s="206">
        <f>K38-N38</f>
        <v/>
      </c>
      <c r="Q33" s="206">
        <f>M38+O38</f>
        <v/>
      </c>
      <c r="R33" s="206">
        <f>M38+N38+O38+P38</f>
        <v/>
      </c>
      <c r="S33" s="206" t="n"/>
      <c r="T33" s="210" t="n">
        <v>659316.74</v>
      </c>
      <c r="U33" s="206" t="n"/>
      <c r="V33" s="206" t="n"/>
      <c r="W33" s="290" t="n"/>
      <c r="X33" s="290" t="n"/>
      <c r="Y33" s="290" t="n"/>
      <c r="Z33" s="290" t="n"/>
      <c r="AA33" s="290" t="n"/>
      <c r="AB33" s="290" t="n"/>
      <c r="AC33" s="290" t="n"/>
      <c r="AD33" s="290" t="n"/>
      <c r="AE33" s="290" t="n"/>
      <c r="AF33" s="290" t="n"/>
      <c r="AG33" s="290" t="n"/>
      <c r="AH33" s="290" t="n"/>
      <c r="AI33" s="290" t="n"/>
      <c r="AJ33" s="290" t="n"/>
      <c r="AK33" s="290" t="n"/>
      <c r="AL33" s="290" t="n"/>
    </row>
    <row r="34" ht="14" customFormat="1" customHeight="1" s="180">
      <c r="A34" s="206" t="n">
        <v>11</v>
      </c>
      <c r="B34" s="206" t="inlineStr">
        <is>
          <t>100171988</t>
        </is>
      </c>
      <c r="C34" s="207" t="inlineStr">
        <is>
          <t>中建四局150020220103060005</t>
        </is>
      </c>
      <c r="D34" s="207" t="inlineStr">
        <is>
          <t>珠海市东方山谷自动化设备有限公司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6" t="n"/>
      <c r="M34" s="210" t="n">
        <v>152597.34</v>
      </c>
      <c r="N34" s="210" t="n">
        <v>19837.66</v>
      </c>
      <c r="O34" s="206">
        <f>L39-M39</f>
        <v/>
      </c>
      <c r="P34" s="206">
        <f>K39-N39</f>
        <v/>
      </c>
      <c r="Q34" s="206">
        <f>M39+O39</f>
        <v/>
      </c>
      <c r="R34" s="206">
        <f>M39+N39+O39+P39</f>
        <v/>
      </c>
      <c r="S34" s="206" t="n"/>
      <c r="T34" s="210" t="n">
        <v>172435</v>
      </c>
      <c r="U34" s="206" t="n"/>
      <c r="V34" s="206" t="n"/>
      <c r="W34" s="290" t="n"/>
      <c r="X34" s="290" t="n"/>
      <c r="Y34" s="290" t="n"/>
      <c r="Z34" s="290" t="n"/>
      <c r="AA34" s="290" t="n"/>
      <c r="AB34" s="290" t="n"/>
      <c r="AC34" s="290" t="n"/>
      <c r="AD34" s="290" t="n"/>
      <c r="AE34" s="290" t="n"/>
      <c r="AF34" s="290" t="n"/>
      <c r="AG34" s="290" t="n"/>
      <c r="AH34" s="290" t="n"/>
      <c r="AI34" s="290" t="n"/>
      <c r="AJ34" s="290" t="n"/>
      <c r="AK34" s="290" t="n"/>
      <c r="AL34" s="290" t="n"/>
    </row>
    <row r="35" ht="14" customFormat="1" customHeight="1" s="180">
      <c r="A35" s="206" t="n">
        <v>12</v>
      </c>
      <c r="B35" s="206" t="inlineStr">
        <is>
          <t>200705623</t>
        </is>
      </c>
      <c r="C35" s="207" t="inlineStr">
        <is>
          <t>中建四局150020220103060009</t>
        </is>
      </c>
      <c r="D35" s="207" t="inlineStr">
        <is>
          <t>穗淼（广州）环保科技有限公司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418017.7</v>
      </c>
      <c r="N35" s="210" t="n">
        <v>54342.3</v>
      </c>
      <c r="O35" s="206">
        <f>L40-M40</f>
        <v/>
      </c>
      <c r="P35" s="206">
        <f>K40-N40</f>
        <v/>
      </c>
      <c r="Q35" s="206">
        <f>M40+O40</f>
        <v/>
      </c>
      <c r="R35" s="206">
        <f>M40+N40+O40+P40</f>
        <v/>
      </c>
      <c r="S35" s="206" t="n"/>
      <c r="T35" s="210" t="n">
        <v>472360</v>
      </c>
      <c r="U35" s="206" t="n"/>
      <c r="V35" s="206" t="n"/>
      <c r="W35" s="290" t="n"/>
      <c r="X35" s="290" t="n"/>
      <c r="Y35" s="290" t="n"/>
      <c r="Z35" s="290" t="n"/>
      <c r="AA35" s="290" t="n"/>
      <c r="AB35" s="290" t="n"/>
      <c r="AC35" s="290" t="n"/>
      <c r="AD35" s="290" t="n"/>
      <c r="AE35" s="290" t="n"/>
      <c r="AF35" s="290" t="n"/>
      <c r="AG35" s="290" t="n"/>
      <c r="AH35" s="290" t="n"/>
      <c r="AI35" s="290" t="n"/>
      <c r="AJ35" s="290" t="n"/>
      <c r="AK35" s="290" t="n"/>
      <c r="AL35" s="290" t="n"/>
    </row>
    <row r="36" ht="14" customFormat="1" customHeight="1" s="180">
      <c r="A36" s="206" t="n">
        <v>13</v>
      </c>
      <c r="B36" s="206" t="n"/>
      <c r="C36" s="207" t="n"/>
      <c r="D36" s="207" t="inlineStr">
        <is>
          <t>安全生产-材料费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-28875.39</v>
      </c>
      <c r="N36" s="206" t="n"/>
      <c r="O36" s="206">
        <f>L41-M41</f>
        <v/>
      </c>
      <c r="P36" s="206">
        <f>K41-N41</f>
        <v/>
      </c>
      <c r="Q36" s="206">
        <f>M41+O41</f>
        <v/>
      </c>
      <c r="R36" s="206">
        <f>M41+N41+O41+P41</f>
        <v/>
      </c>
      <c r="S36" s="206" t="n"/>
      <c r="T36" s="206" t="n"/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79" t="n"/>
      <c r="B37" s="280" t="n"/>
      <c r="C37" s="280" t="n"/>
      <c r="D37" s="291" t="inlineStr">
        <is>
          <t>**财务未列部分需增列***</t>
        </is>
      </c>
      <c r="E37" s="300" t="n"/>
      <c r="F37" s="300" t="n"/>
      <c r="G37" s="300" t="n"/>
      <c r="H37" s="282" t="n"/>
      <c r="I37" s="282" t="n"/>
      <c r="J37" s="282" t="n"/>
      <c r="K37" s="283" t="n"/>
      <c r="L37" s="284" t="n"/>
      <c r="M37" s="282" t="n"/>
      <c r="N37" s="282" t="n"/>
      <c r="O37" s="282">
        <f>L47-M47</f>
        <v/>
      </c>
      <c r="P37" s="282">
        <f>K47-N47</f>
        <v/>
      </c>
      <c r="Q37" s="282">
        <f>M47+O47</f>
        <v/>
      </c>
      <c r="R37" s="282">
        <f>M47+N47+O47+P47</f>
        <v/>
      </c>
      <c r="S37" s="286">
        <f>SUM(T47:V47)</f>
        <v/>
      </c>
      <c r="T37" s="286" t="n"/>
      <c r="U37" s="286" t="n"/>
      <c r="V37" s="286" t="n"/>
      <c r="W37" s="286" t="n"/>
      <c r="X37" s="286" t="n"/>
      <c r="Y37" s="286" t="n"/>
      <c r="Z37" s="286" t="n"/>
      <c r="AA37" s="286" t="n"/>
      <c r="AB37" s="301" t="n"/>
      <c r="AC37" s="301" t="n"/>
      <c r="AD37" s="301" t="n"/>
      <c r="AE37" s="301" t="n"/>
      <c r="AF37" s="301" t="n"/>
      <c r="AG37" s="301" t="n"/>
      <c r="AH37" s="301" t="n"/>
      <c r="AI37" s="301" t="n"/>
      <c r="AJ37" s="301" t="n"/>
      <c r="AK37" s="287">
        <f>AB33/1.17*0.17+AC33/1.16*0.16+AD33/1.11*0.11+AE33/1.1*0.1+AF33/1.09*0.09+AI33/1.03*0.03</f>
        <v/>
      </c>
      <c r="AL37" s="302" t="n"/>
    </row>
    <row r="38" ht="14" customFormat="1" customHeight="1" s="180">
      <c r="A38" s="295" t="n"/>
      <c r="B38" s="296" t="n"/>
      <c r="C38" s="296" t="n"/>
      <c r="D38" s="297" t="inlineStr">
        <is>
          <t>材料费小计：</t>
        </is>
      </c>
      <c r="E38" s="298">
        <f>SUM(E23:E47)</f>
        <v/>
      </c>
      <c r="F38" s="298">
        <f>SUM(F23:F47)</f>
        <v/>
      </c>
      <c r="G38" s="298">
        <f>SUM(G23:G47)</f>
        <v/>
      </c>
      <c r="H38" s="298">
        <f>SUM(H23:H47)</f>
        <v/>
      </c>
      <c r="I38" s="298">
        <f>SUM(I23:I47)</f>
        <v/>
      </c>
      <c r="J38" s="298">
        <f>SUM(J23:J47)</f>
        <v/>
      </c>
      <c r="K38" s="298">
        <f>SUM(K23:K47)</f>
        <v/>
      </c>
      <c r="L38" s="298">
        <f>SUM(L23:L47)</f>
        <v/>
      </c>
      <c r="M38" s="298">
        <f>SUM(M23:M47)</f>
        <v/>
      </c>
      <c r="N38" s="298">
        <f>SUM(N23:N47)</f>
        <v/>
      </c>
      <c r="O38" s="298">
        <f>SUM(O23:O47)</f>
        <v/>
      </c>
      <c r="P38" s="298">
        <f>SUM(P23:P47)</f>
        <v/>
      </c>
      <c r="Q38" s="298">
        <f>SUM(Q23:Q47)</f>
        <v/>
      </c>
      <c r="R38" s="298">
        <f>SUM(R23:R47)</f>
        <v/>
      </c>
      <c r="S38" s="298">
        <f>SUM(S23:S47)</f>
        <v/>
      </c>
      <c r="T38" s="298">
        <f>SUM(T23:T47)</f>
        <v/>
      </c>
      <c r="U38" s="298">
        <f>SUM(U23:U47)</f>
        <v/>
      </c>
      <c r="V38" s="298">
        <f>SUM(V23:V47)</f>
        <v/>
      </c>
      <c r="W38" s="298">
        <f>SUM(W23:W47)</f>
        <v/>
      </c>
      <c r="X38" s="298">
        <f>SUM(X23:X47)</f>
        <v/>
      </c>
      <c r="Y38" s="298">
        <f>SUM(Y23:Y47)</f>
        <v/>
      </c>
      <c r="Z38" s="298">
        <f>SUM(Z23:Z47)</f>
        <v/>
      </c>
      <c r="AA38" s="298">
        <f>SUM(AA23:AA47)</f>
        <v/>
      </c>
      <c r="AB38" s="298">
        <f>SUM(AB23:AB47)</f>
        <v/>
      </c>
      <c r="AC38" s="298">
        <f>SUM(AC23:AC47)</f>
        <v/>
      </c>
      <c r="AD38" s="298">
        <f>SUM(AD23:AD47)</f>
        <v/>
      </c>
      <c r="AE38" s="298">
        <f>SUM(AE23:AE47)</f>
        <v/>
      </c>
      <c r="AF38" s="298">
        <f>SUM(AF23:AF47)</f>
        <v/>
      </c>
      <c r="AG38" s="298">
        <f>SUM(AG23:AG47)</f>
        <v/>
      </c>
      <c r="AH38" s="298">
        <f>SUM(AH23:AH47)</f>
        <v/>
      </c>
      <c r="AI38" s="298">
        <f>SUM(AI23:AI47)</f>
        <v/>
      </c>
      <c r="AJ38" s="298">
        <f>SUM(AJ23:AJ47)</f>
        <v/>
      </c>
      <c r="AK38" s="298">
        <f>SUM(AK23:AK47)</f>
        <v/>
      </c>
      <c r="AL38" s="288" t="n"/>
    </row>
    <row r="39" ht="14" customFormat="1" customHeight="1" s="180">
      <c r="A39" s="279" t="n"/>
      <c r="B39" s="280" t="n"/>
      <c r="C39" s="280" t="n"/>
      <c r="D39" s="299" t="inlineStr">
        <is>
          <t>(四）机械租赁费</t>
        </is>
      </c>
      <c r="E39" s="292" t="n"/>
      <c r="F39" s="292" t="n"/>
      <c r="G39" s="292" t="n"/>
      <c r="H39" s="282" t="n"/>
      <c r="I39" s="282" t="n"/>
      <c r="J39" s="282" t="n"/>
      <c r="K39" s="283" t="n">
        <v>0</v>
      </c>
      <c r="L39" s="284">
        <f>J49-K49</f>
        <v/>
      </c>
      <c r="M39" s="285" t="n"/>
      <c r="N39" s="285" t="n"/>
      <c r="O39" s="282">
        <f>L49-M49</f>
        <v/>
      </c>
      <c r="P39" s="282">
        <f>K49-N49</f>
        <v/>
      </c>
      <c r="Q39" s="282">
        <f>M49+O49</f>
        <v/>
      </c>
      <c r="R39" s="282">
        <f>M49+N49+O49+P49</f>
        <v/>
      </c>
      <c r="S39" s="286">
        <f>SUM(T49:V49)</f>
        <v/>
      </c>
      <c r="T39" s="286" t="n"/>
      <c r="U39" s="286" t="n"/>
      <c r="V39" s="286" t="n"/>
      <c r="W39" s="286" t="n"/>
      <c r="X39" s="286" t="n"/>
      <c r="Y39" s="286" t="n"/>
      <c r="Z39" s="286" t="n"/>
      <c r="AA39" s="286" t="n"/>
      <c r="AB39" s="286" t="n"/>
      <c r="AC39" s="286" t="n"/>
      <c r="AD39" s="286" t="n"/>
      <c r="AE39" s="286" t="n"/>
      <c r="AF39" s="286" t="n"/>
      <c r="AG39" s="286" t="n"/>
      <c r="AH39" s="286" t="n"/>
      <c r="AI39" s="286" t="n"/>
      <c r="AJ39" s="286" t="n"/>
      <c r="AK39" s="287">
        <f>AB35/1.17*0.17+AC35/1.16*0.16+AD35/1.11*0.11+AE35/1.1*0.1+AF35/1.09*0.09+AI35/1.03*0.03</f>
        <v/>
      </c>
      <c r="AL39" s="288" t="n"/>
    </row>
    <row r="40" ht="14" customFormat="1" customHeight="1" s="180">
      <c r="A40" s="33" t="n"/>
      <c r="B40" s="199" t="n"/>
      <c r="C40" s="199" t="n"/>
      <c r="D40" s="226" t="n"/>
      <c r="E40" s="212" t="n"/>
      <c r="F40" s="212" t="n"/>
      <c r="G40" s="212" t="n"/>
      <c r="H40" s="189" t="n"/>
      <c r="I40" s="189" t="n"/>
      <c r="J40" s="189">
        <f>H50+I50</f>
        <v/>
      </c>
      <c r="K40" s="201" t="n">
        <v>0</v>
      </c>
      <c r="L40" s="303">
        <f>J50-K50</f>
        <v/>
      </c>
      <c r="M40" s="189" t="n"/>
      <c r="N40" s="189" t="n"/>
      <c r="O40" s="189">
        <f>L50-M50</f>
        <v/>
      </c>
      <c r="P40" s="189">
        <f>K50-N50</f>
        <v/>
      </c>
      <c r="Q40" s="189">
        <f>M50+O50</f>
        <v/>
      </c>
      <c r="R40" s="189">
        <f>M50+N50+O50+P50</f>
        <v/>
      </c>
      <c r="S40" s="203">
        <f>SUM(T50:V50)</f>
        <v/>
      </c>
      <c r="T40" s="203" t="n"/>
      <c r="U40" s="203" t="n"/>
      <c r="V40" s="203" t="n"/>
      <c r="W40" s="203" t="n"/>
      <c r="X40" s="203" t="n"/>
      <c r="Y40" s="203" t="n"/>
      <c r="Z40" s="189">
        <f>SUM(AA36:AJ36)</f>
        <v/>
      </c>
      <c r="AA40" s="203" t="n"/>
      <c r="AB40" s="203" t="n"/>
      <c r="AC40" s="203" t="n"/>
      <c r="AD40" s="203" t="n"/>
      <c r="AE40" s="203" t="n"/>
      <c r="AF40" s="203" t="n"/>
      <c r="AG40" s="203" t="n"/>
      <c r="AH40" s="203" t="n"/>
      <c r="AI40" s="203" t="n"/>
      <c r="AJ40" s="203" t="n"/>
      <c r="AK40" s="188">
        <f>AB36/1.17*0.17+AC36/1.16*0.16+AD36/1.11*0.11+AE36/1.1*0.1+AF36/1.09*0.09+AI36/1.03*0.03</f>
        <v/>
      </c>
      <c r="AL40" s="204" t="n"/>
    </row>
    <row r="41" ht="14" customFormat="1" customHeight="1" s="180">
      <c r="A41" s="279" t="n"/>
      <c r="B41" s="280" t="n"/>
      <c r="C41" s="280" t="n"/>
      <c r="D41" s="291" t="inlineStr">
        <is>
          <t>**财务未列部分需增列***</t>
        </is>
      </c>
      <c r="E41" s="304" t="n"/>
      <c r="F41" s="304" t="n"/>
      <c r="G41" s="304" t="n"/>
      <c r="H41" s="282" t="n"/>
      <c r="I41" s="282" t="n"/>
      <c r="J41" s="282" t="n"/>
      <c r="K41" s="283" t="n">
        <v>0</v>
      </c>
      <c r="L41" s="284">
        <f>J51-K51</f>
        <v/>
      </c>
      <c r="M41" s="305" t="n"/>
      <c r="N41" s="305" t="n"/>
      <c r="O41" s="282">
        <f>L51-M51</f>
        <v/>
      </c>
      <c r="P41" s="282">
        <f>K51-N51</f>
        <v/>
      </c>
      <c r="Q41" s="282">
        <f>M51+O51</f>
        <v/>
      </c>
      <c r="R41" s="282">
        <f>M51+N51+O51+P51</f>
        <v/>
      </c>
      <c r="S41" s="286">
        <f>SUM(T51:V51)</f>
        <v/>
      </c>
      <c r="T41" s="305" t="n"/>
      <c r="U41" s="305" t="n"/>
      <c r="V41" s="305" t="n"/>
      <c r="W41" s="305" t="n"/>
      <c r="X41" s="305" t="n"/>
      <c r="Y41" s="305" t="n"/>
      <c r="Z41" s="305" t="n"/>
      <c r="AA41" s="286" t="n"/>
      <c r="AB41" s="287" t="n"/>
      <c r="AC41" s="287" t="n"/>
      <c r="AD41" s="287" t="n"/>
      <c r="AE41" s="287" t="n"/>
      <c r="AF41" s="287" t="n"/>
      <c r="AG41" s="287" t="n"/>
      <c r="AH41" s="287" t="n"/>
      <c r="AI41" s="287" t="n"/>
      <c r="AJ41" s="287" t="n"/>
      <c r="AK41" s="287">
        <f>AB37/1.17*0.17+AC37/1.16*0.16+AD37/1.11*0.11+AE37/1.1*0.1+AF37/1.09*0.09+AI37/1.03*0.03</f>
        <v/>
      </c>
      <c r="AL41" s="294" t="n"/>
    </row>
    <row r="42" ht="14" customFormat="1" customHeight="1" s="180">
      <c r="A42" s="295" t="n"/>
      <c r="B42" s="296" t="n"/>
      <c r="C42" s="296" t="n"/>
      <c r="D42" s="306" t="inlineStr">
        <is>
          <t>机械费小计：</t>
        </is>
      </c>
      <c r="E42" s="307" t="n"/>
      <c r="F42" s="307" t="n"/>
      <c r="G42" s="307" t="n"/>
      <c r="H42" s="298">
        <f>SUM(H49:H51)</f>
        <v/>
      </c>
      <c r="I42" s="298">
        <f>SUM(I49:I51)</f>
        <v/>
      </c>
      <c r="J42" s="298">
        <f>SUM(J49:J51)</f>
        <v/>
      </c>
      <c r="K42" s="298">
        <f>SUM(K49:K51)</f>
        <v/>
      </c>
      <c r="L42" s="308">
        <f>SUM(L49:L51)</f>
        <v/>
      </c>
      <c r="M42" s="298">
        <f>SUM(M49:M51)</f>
        <v/>
      </c>
      <c r="N42" s="298">
        <f>SUM(N49:N51)</f>
        <v/>
      </c>
      <c r="O42" s="298">
        <f>SUM(O49:O51)</f>
        <v/>
      </c>
      <c r="P42" s="298">
        <f>SUM(P49:P51)</f>
        <v/>
      </c>
      <c r="Q42" s="298">
        <f>SUM(Q49:Q51)</f>
        <v/>
      </c>
      <c r="R42" s="298">
        <f>SUM(R49:R51)</f>
        <v/>
      </c>
      <c r="S42" s="298">
        <f>SUM(S49:S51)</f>
        <v/>
      </c>
      <c r="T42" s="298" t="n"/>
      <c r="U42" s="298" t="n"/>
      <c r="V42" s="298" t="n"/>
      <c r="W42" s="298" t="n"/>
      <c r="X42" s="298" t="n"/>
      <c r="Y42" s="298" t="n"/>
      <c r="Z42" s="298">
        <f>SUM(Z49:Z51)</f>
        <v/>
      </c>
      <c r="AA42" s="298">
        <f>SUM(AA49:AA51)</f>
        <v/>
      </c>
      <c r="AB42" s="298" t="n"/>
      <c r="AC42" s="298" t="n"/>
      <c r="AD42" s="298" t="n"/>
      <c r="AE42" s="298" t="n"/>
      <c r="AF42" s="298" t="n"/>
      <c r="AG42" s="298" t="n"/>
      <c r="AH42" s="298" t="n"/>
      <c r="AI42" s="298" t="n"/>
      <c r="AJ42" s="298" t="n"/>
      <c r="AK42" s="298" t="n"/>
      <c r="AL42" s="288" t="n"/>
    </row>
    <row r="43" ht="14" customFormat="1" customHeight="1" s="180">
      <c r="A43" s="279" t="n"/>
      <c r="B43" s="280" t="n"/>
      <c r="C43" s="280" t="n"/>
      <c r="D43" s="299" t="inlineStr">
        <is>
          <t>（五）其他直接费</t>
        </is>
      </c>
      <c r="E43" s="292" t="n"/>
      <c r="F43" s="292" t="n"/>
      <c r="G43" s="292" t="n"/>
      <c r="H43" s="282" t="n"/>
      <c r="I43" s="282" t="n"/>
      <c r="J43" s="285" t="n">
        <v>0</v>
      </c>
      <c r="K43" s="283" t="n">
        <v>0</v>
      </c>
      <c r="L43" s="284">
        <f>J53-N53-P53</f>
        <v/>
      </c>
      <c r="M43" s="285" t="n"/>
      <c r="N43" s="285" t="n"/>
      <c r="O43" s="282">
        <f>L53-M53</f>
        <v/>
      </c>
      <c r="P43" s="282">
        <f>K53-N53</f>
        <v/>
      </c>
      <c r="Q43" s="282">
        <f>M53+O53</f>
        <v/>
      </c>
      <c r="R43" s="282">
        <f>M53+N53+O53+P53</f>
        <v/>
      </c>
      <c r="S43" s="286">
        <f>SUM(T53:V53)</f>
        <v/>
      </c>
      <c r="T43" s="286" t="n"/>
      <c r="U43" s="286" t="n"/>
      <c r="V43" s="286" t="n"/>
      <c r="W43" s="286" t="n"/>
      <c r="X43" s="286" t="n"/>
      <c r="Y43" s="286" t="n"/>
      <c r="Z43" s="286" t="n"/>
      <c r="AA43" s="286" t="n"/>
      <c r="AB43" s="286" t="n"/>
      <c r="AC43" s="286" t="n"/>
      <c r="AD43" s="286" t="n"/>
      <c r="AE43" s="286" t="n"/>
      <c r="AF43" s="286" t="n"/>
      <c r="AG43" s="286" t="n"/>
      <c r="AH43" s="286" t="n"/>
      <c r="AI43" s="286" t="n"/>
      <c r="AJ43" s="286" t="n"/>
      <c r="AK43" s="287" t="n"/>
      <c r="AL43" s="288" t="n"/>
    </row>
    <row r="44" ht="14" customFormat="1" customHeight="1" s="180">
      <c r="A44" s="33" t="n"/>
      <c r="B44" s="199" t="n"/>
      <c r="C44" s="199" t="n"/>
      <c r="D44" s="232" t="n"/>
      <c r="E44" s="212" t="n"/>
      <c r="F44" s="212" t="n"/>
      <c r="G44" s="212" t="n"/>
      <c r="H44" s="189" t="n"/>
      <c r="I44" s="189" t="n"/>
      <c r="J44" s="189">
        <f>H54+I54</f>
        <v/>
      </c>
      <c r="K44" s="201" t="n">
        <v>0</v>
      </c>
      <c r="L44" s="303">
        <f>J54-K54</f>
        <v/>
      </c>
      <c r="M44" s="233" t="n"/>
      <c r="N44" s="233" t="n"/>
      <c r="O44" s="189">
        <f>L54-M54</f>
        <v/>
      </c>
      <c r="P44" s="189">
        <f>K54-N54</f>
        <v/>
      </c>
      <c r="Q44" s="189">
        <f>M54+O54</f>
        <v/>
      </c>
      <c r="R44" s="189">
        <f>M54+N54+O54+P54</f>
        <v/>
      </c>
      <c r="S44" s="203">
        <f>SUM(T54:V54)</f>
        <v/>
      </c>
      <c r="T44" s="233" t="n"/>
      <c r="U44" s="233" t="n"/>
      <c r="V44" s="233" t="n"/>
      <c r="W44" s="233" t="n"/>
      <c r="X44" s="233" t="n"/>
      <c r="Y44" s="233" t="n"/>
      <c r="Z44" s="189">
        <f>SUM(AA40:AJ40)</f>
        <v/>
      </c>
      <c r="AA44" s="203" t="n"/>
      <c r="AB44" s="203" t="n"/>
      <c r="AC44" s="203" t="n"/>
      <c r="AD44" s="203" t="n"/>
      <c r="AE44" s="203" t="n"/>
      <c r="AF44" s="203" t="n"/>
      <c r="AG44" s="203" t="n"/>
      <c r="AH44" s="203" t="n"/>
      <c r="AI44" s="203" t="n"/>
      <c r="AJ44" s="203" t="n"/>
      <c r="AK44" s="188" t="n"/>
      <c r="AL44" s="204" t="n"/>
    </row>
    <row r="45" ht="14" customFormat="1" customHeight="1" s="180">
      <c r="A45" s="33" t="n"/>
      <c r="B45" s="199" t="n"/>
      <c r="C45" s="199" t="n"/>
      <c r="D45" s="232" t="n"/>
      <c r="E45" s="212" t="n"/>
      <c r="F45" s="212" t="n"/>
      <c r="G45" s="212" t="n"/>
      <c r="H45" s="189" t="n"/>
      <c r="I45" s="189" t="n"/>
      <c r="J45" s="189">
        <f>H55+I55</f>
        <v/>
      </c>
      <c r="K45" s="201" t="n">
        <v>0</v>
      </c>
      <c r="L45" s="303">
        <f>J55-K55</f>
        <v/>
      </c>
      <c r="M45" s="233" t="n"/>
      <c r="N45" s="233" t="n"/>
      <c r="O45" s="189">
        <f>L55-M55</f>
        <v/>
      </c>
      <c r="P45" s="189">
        <f>K55-N55</f>
        <v/>
      </c>
      <c r="Q45" s="189">
        <f>M55+O55</f>
        <v/>
      </c>
      <c r="R45" s="189">
        <f>M55+N55+O55+P55</f>
        <v/>
      </c>
      <c r="S45" s="203">
        <f>SUM(T55:V55)</f>
        <v/>
      </c>
      <c r="T45" s="233" t="n"/>
      <c r="U45" s="233" t="n"/>
      <c r="V45" s="233" t="n"/>
      <c r="W45" s="233" t="n"/>
      <c r="X45" s="233" t="n"/>
      <c r="Y45" s="233" t="n"/>
      <c r="Z45" s="189">
        <f>SUM(AA41:AJ41)</f>
        <v/>
      </c>
      <c r="AA45" s="203" t="n"/>
      <c r="AB45" s="203" t="n"/>
      <c r="AC45" s="203" t="n"/>
      <c r="AD45" s="203" t="n"/>
      <c r="AE45" s="203" t="n"/>
      <c r="AF45" s="203" t="n"/>
      <c r="AG45" s="203" t="n"/>
      <c r="AH45" s="203" t="n"/>
      <c r="AI45" s="203" t="n"/>
      <c r="AJ45" s="203" t="n"/>
      <c r="AK45" s="188" t="n"/>
      <c r="AL45" s="204" t="n"/>
    </row>
    <row r="46" ht="14" customFormat="1" customHeight="1" s="180">
      <c r="A46" s="33" t="n"/>
      <c r="B46" s="199" t="n"/>
      <c r="C46" s="199" t="n"/>
      <c r="D46" s="232" t="n"/>
      <c r="E46" s="212" t="n"/>
      <c r="F46" s="212" t="n"/>
      <c r="G46" s="212" t="n"/>
      <c r="H46" s="189" t="n"/>
      <c r="I46" s="189" t="n"/>
      <c r="J46" s="189">
        <f>H56+I56</f>
        <v/>
      </c>
      <c r="K46" s="201" t="n">
        <v>0</v>
      </c>
      <c r="L46" s="303">
        <f>J56-K56</f>
        <v/>
      </c>
      <c r="M46" s="233" t="n"/>
      <c r="N46" s="233" t="n"/>
      <c r="O46" s="189">
        <f>L56-M56</f>
        <v/>
      </c>
      <c r="P46" s="189">
        <f>K56-N56</f>
        <v/>
      </c>
      <c r="Q46" s="189">
        <f>M56+O56</f>
        <v/>
      </c>
      <c r="R46" s="189">
        <f>M56+N56+O56+P56</f>
        <v/>
      </c>
      <c r="S46" s="203">
        <f>SUM(T56:V56)</f>
        <v/>
      </c>
      <c r="T46" s="233" t="n"/>
      <c r="U46" s="233" t="n"/>
      <c r="V46" s="233" t="n"/>
      <c r="W46" s="233" t="n"/>
      <c r="X46" s="233" t="n"/>
      <c r="Y46" s="233" t="n"/>
      <c r="Z46" s="189">
        <f>SUM(AA42:AJ42)</f>
        <v/>
      </c>
      <c r="AA46" s="203" t="n"/>
      <c r="AB46" s="203" t="n"/>
      <c r="AC46" s="203" t="n"/>
      <c r="AD46" s="203" t="n"/>
      <c r="AE46" s="203" t="n"/>
      <c r="AF46" s="203" t="n"/>
      <c r="AG46" s="203" t="n"/>
      <c r="AH46" s="203" t="n"/>
      <c r="AI46" s="203" t="n"/>
      <c r="AJ46" s="203" t="n"/>
      <c r="AK46" s="188" t="n"/>
      <c r="AL46" s="204" t="n"/>
    </row>
    <row r="47" ht="14" customFormat="1" customHeight="1" s="180">
      <c r="A47" s="33" t="n"/>
      <c r="B47" s="199" t="n"/>
      <c r="C47" s="199" t="n"/>
      <c r="D47" s="232" t="n"/>
      <c r="E47" s="212" t="n"/>
      <c r="F47" s="212" t="n"/>
      <c r="G47" s="212" t="n"/>
      <c r="H47" s="189" t="n"/>
      <c r="I47" s="189" t="n"/>
      <c r="J47" s="189">
        <f>H57+I57</f>
        <v/>
      </c>
      <c r="K47" s="201" t="n">
        <v>0</v>
      </c>
      <c r="L47" s="303">
        <f>J57-K57</f>
        <v/>
      </c>
      <c r="M47" s="233" t="n"/>
      <c r="N47" s="233" t="n"/>
      <c r="O47" s="189">
        <f>L57-M57</f>
        <v/>
      </c>
      <c r="P47" s="189">
        <f>K57-N57</f>
        <v/>
      </c>
      <c r="Q47" s="189">
        <f>M57+O57</f>
        <v/>
      </c>
      <c r="R47" s="189">
        <f>M57+N57+O57+P57</f>
        <v/>
      </c>
      <c r="S47" s="203">
        <f>SUM(T57:V57)</f>
        <v/>
      </c>
      <c r="T47" s="233" t="n"/>
      <c r="U47" s="233" t="n"/>
      <c r="V47" s="233" t="n"/>
      <c r="W47" s="233" t="n"/>
      <c r="X47" s="233" t="n"/>
      <c r="Y47" s="233" t="n"/>
      <c r="Z47" s="189">
        <f>SUM(AA43:AJ43)</f>
        <v/>
      </c>
      <c r="AA47" s="203" t="n"/>
      <c r="AB47" s="203" t="n"/>
      <c r="AC47" s="203" t="n"/>
      <c r="AD47" s="203" t="n"/>
      <c r="AE47" s="203" t="n"/>
      <c r="AF47" s="203" t="n"/>
      <c r="AG47" s="203" t="n"/>
      <c r="AH47" s="203" t="n"/>
      <c r="AI47" s="203" t="n"/>
      <c r="AJ47" s="203" t="n"/>
      <c r="AK47" s="188" t="n"/>
      <c r="AL47" s="204" t="n"/>
    </row>
    <row r="48" ht="14" customFormat="1" customHeight="1" s="180">
      <c r="A48" s="33" t="n"/>
      <c r="B48" s="199" t="n"/>
      <c r="C48" s="199" t="n"/>
      <c r="D48" s="232" t="n"/>
      <c r="E48" s="212" t="n"/>
      <c r="F48" s="212" t="n"/>
      <c r="G48" s="212" t="n"/>
      <c r="H48" s="189" t="n"/>
      <c r="I48" s="189" t="n"/>
      <c r="J48" s="189">
        <f>H58+I58</f>
        <v/>
      </c>
      <c r="K48" s="201" t="n">
        <v>0</v>
      </c>
      <c r="L48" s="303">
        <f>J58-K58</f>
        <v/>
      </c>
      <c r="M48" s="233" t="n"/>
      <c r="N48" s="233" t="n">
        <v>0</v>
      </c>
      <c r="O48" s="189">
        <f>L58-M58</f>
        <v/>
      </c>
      <c r="P48" s="189">
        <f>K58-N58</f>
        <v/>
      </c>
      <c r="Q48" s="189">
        <f>M58+O58</f>
        <v/>
      </c>
      <c r="R48" s="189">
        <f>M58+N58+O58+P58</f>
        <v/>
      </c>
      <c r="S48" s="203">
        <f>SUM(T58:V58)</f>
        <v/>
      </c>
      <c r="T48" s="233" t="n"/>
      <c r="U48" s="233" t="n"/>
      <c r="V48" s="233" t="n"/>
      <c r="W48" s="233" t="n"/>
      <c r="X48" s="233" t="n"/>
      <c r="Y48" s="233" t="n"/>
      <c r="Z48" s="189">
        <f>SUM(AA44:AJ44)</f>
        <v/>
      </c>
      <c r="AA48" s="203" t="n"/>
      <c r="AB48" s="203" t="n"/>
      <c r="AC48" s="203" t="n"/>
      <c r="AD48" s="203" t="n"/>
      <c r="AE48" s="203" t="n"/>
      <c r="AF48" s="203" t="n"/>
      <c r="AG48" s="203" t="n"/>
      <c r="AH48" s="203" t="n"/>
      <c r="AI48" s="203" t="n"/>
      <c r="AJ48" s="203" t="n"/>
      <c r="AK48" s="188" t="n"/>
      <c r="AL48" s="204" t="n"/>
    </row>
    <row r="49" ht="14" customFormat="1" customHeight="1" s="180">
      <c r="A49" s="279" t="n"/>
      <c r="B49" s="280" t="n"/>
      <c r="C49" s="280" t="n"/>
      <c r="D49" s="291" t="inlineStr">
        <is>
          <t>**财务未列部分需增列***</t>
        </is>
      </c>
      <c r="E49" s="292" t="n"/>
      <c r="F49" s="292" t="n"/>
      <c r="G49" s="292" t="n"/>
      <c r="H49" s="282" t="n"/>
      <c r="I49" s="282" t="n"/>
      <c r="J49" s="285" t="n"/>
      <c r="K49" s="283" t="n"/>
      <c r="L49" s="284">
        <f>J59-K59</f>
        <v/>
      </c>
      <c r="M49" s="309" t="n"/>
      <c r="N49" s="309" t="n"/>
      <c r="O49" s="282">
        <f>L59-M59</f>
        <v/>
      </c>
      <c r="P49" s="282">
        <f>K59-N59</f>
        <v/>
      </c>
      <c r="Q49" s="282">
        <f>M59+O59</f>
        <v/>
      </c>
      <c r="R49" s="282">
        <f>M59+N59+O59+P59</f>
        <v/>
      </c>
      <c r="S49" s="286">
        <f>SUM(T59:V59)</f>
        <v/>
      </c>
      <c r="T49" s="309" t="n"/>
      <c r="U49" s="309" t="n"/>
      <c r="V49" s="309" t="n"/>
      <c r="W49" s="309" t="n"/>
      <c r="X49" s="309" t="n"/>
      <c r="Y49" s="309" t="n"/>
      <c r="Z49" s="282">
        <f>SUM(AA45:AJ45)</f>
        <v/>
      </c>
      <c r="AA49" s="286" t="n"/>
      <c r="AB49" s="286" t="n"/>
      <c r="AC49" s="286" t="n"/>
      <c r="AD49" s="286" t="n"/>
      <c r="AE49" s="286" t="n"/>
      <c r="AF49" s="286" t="n"/>
      <c r="AG49" s="286" t="n"/>
      <c r="AH49" s="286" t="n"/>
      <c r="AI49" s="286" t="n"/>
      <c r="AJ49" s="286" t="n"/>
      <c r="AK49" s="287" t="n"/>
      <c r="AL49" s="288" t="n"/>
    </row>
    <row r="50" ht="14" customFormat="1" customHeight="1" s="180">
      <c r="A50" s="310" t="n"/>
      <c r="B50" s="311" t="n"/>
      <c r="C50" s="311" t="n"/>
      <c r="D50" s="306" t="inlineStr">
        <is>
          <t>其他直接费小计：</t>
        </is>
      </c>
      <c r="E50" s="312" t="n"/>
      <c r="F50" s="312" t="n"/>
      <c r="G50" s="312" t="n"/>
      <c r="H50" s="298">
        <f>SUM(H53:H59)</f>
        <v/>
      </c>
      <c r="I50" s="298">
        <f>SUM(I53:I59)</f>
        <v/>
      </c>
      <c r="J50" s="298">
        <f>SUM(J53:J59)</f>
        <v/>
      </c>
      <c r="K50" s="298">
        <f>SUM(K53:K59)</f>
        <v/>
      </c>
      <c r="L50" s="308">
        <f>SUM(L53:L59)</f>
        <v/>
      </c>
      <c r="M50" s="298">
        <f>SUM(M53:M59)</f>
        <v/>
      </c>
      <c r="N50" s="298">
        <f>SUM(N53:N59)</f>
        <v/>
      </c>
      <c r="O50" s="298">
        <f>L60-M60</f>
        <v/>
      </c>
      <c r="P50" s="298">
        <f>SUM(P53:P59)</f>
        <v/>
      </c>
      <c r="Q50" s="298">
        <f>M60+O60</f>
        <v/>
      </c>
      <c r="R50" s="298">
        <f>SUM(R53:R59)</f>
        <v/>
      </c>
      <c r="S50" s="298">
        <f>SUM(S53:S59)</f>
        <v/>
      </c>
      <c r="T50" s="298" t="n"/>
      <c r="U50" s="298" t="n"/>
      <c r="V50" s="298" t="n"/>
      <c r="W50" s="298" t="n"/>
      <c r="X50" s="298" t="n"/>
      <c r="Y50" s="298" t="n"/>
      <c r="Z50" s="298">
        <f>SUM(Z53:Z59)</f>
        <v/>
      </c>
      <c r="AA50" s="298">
        <f>SUM(AA53:AA59)</f>
        <v/>
      </c>
      <c r="AB50" s="298">
        <f>SUM(AB53:AB59)</f>
        <v/>
      </c>
      <c r="AC50" s="298">
        <f>SUM(AC53:AC59)</f>
        <v/>
      </c>
      <c r="AD50" s="298">
        <f>SUM(AD53:AD59)</f>
        <v/>
      </c>
      <c r="AE50" s="298">
        <f>SUM(AE53:AE59)</f>
        <v/>
      </c>
      <c r="AF50" s="298">
        <f>SUM(AF53:AF59)</f>
        <v/>
      </c>
      <c r="AG50" s="298" t="n"/>
      <c r="AH50" s="298" t="n"/>
      <c r="AI50" s="298">
        <f>SUM(AI53:AI59)</f>
        <v/>
      </c>
      <c r="AJ50" s="298">
        <f>SUM(AJ53:AJ59)</f>
        <v/>
      </c>
      <c r="AK50" s="298">
        <f>SUM(AK53:AK59)</f>
        <v/>
      </c>
      <c r="AL50" s="288" t="n"/>
    </row>
    <row r="51" ht="14" customFormat="1" customHeight="1" s="180">
      <c r="A51" s="279" t="n"/>
      <c r="B51" s="280" t="n"/>
      <c r="C51" s="280" t="n"/>
      <c r="D51" s="299" t="inlineStr">
        <is>
          <t>（六）间接费</t>
        </is>
      </c>
      <c r="E51" s="292" t="n"/>
      <c r="F51" s="292" t="n"/>
      <c r="G51" s="292" t="n"/>
      <c r="H51" s="285" t="n"/>
      <c r="I51" s="282" t="n"/>
      <c r="J51" s="282" t="n">
        <v>0</v>
      </c>
      <c r="K51" s="283" t="n">
        <v>0</v>
      </c>
      <c r="L51" s="284">
        <f>J61-N61-P61</f>
        <v/>
      </c>
      <c r="M51" s="285" t="n"/>
      <c r="N51" s="285" t="n"/>
      <c r="O51" s="282">
        <f>L61-M61</f>
        <v/>
      </c>
      <c r="P51" s="282">
        <f>K61-N61</f>
        <v/>
      </c>
      <c r="Q51" s="282">
        <f>M61+O61</f>
        <v/>
      </c>
      <c r="R51" s="282">
        <f>M61+N61+O61+P61</f>
        <v/>
      </c>
      <c r="S51" s="286">
        <f>SUM(T61:V61)</f>
        <v/>
      </c>
      <c r="T51" s="286" t="n"/>
      <c r="U51" s="286" t="n"/>
      <c r="V51" s="286" t="n"/>
      <c r="W51" s="286" t="n"/>
      <c r="X51" s="286" t="n"/>
      <c r="Y51" s="286" t="n"/>
      <c r="Z51" s="286" t="n"/>
      <c r="AA51" s="286" t="n"/>
      <c r="AB51" s="286" t="n"/>
      <c r="AC51" s="286" t="n"/>
      <c r="AD51" s="286" t="n"/>
      <c r="AE51" s="286" t="n"/>
      <c r="AF51" s="286" t="n"/>
      <c r="AG51" s="286" t="n"/>
      <c r="AH51" s="286" t="n"/>
      <c r="AI51" s="286" t="n"/>
      <c r="AJ51" s="286" t="n"/>
      <c r="AK51" s="287" t="n"/>
      <c r="AL51" s="288" t="n"/>
    </row>
    <row r="52" ht="14" customFormat="1" customHeight="1" s="180">
      <c r="A52" s="206" t="n">
        <v>1</v>
      </c>
      <c r="B52" s="206" t="n"/>
      <c r="C52" s="207" t="n"/>
      <c r="D52" s="207" t="inlineStr">
        <is>
          <t>冲晒印刷费</t>
        </is>
      </c>
      <c r="E52" s="206" t="n"/>
      <c r="F52" s="206" t="n"/>
      <c r="G52" s="206" t="n"/>
      <c r="H52" s="206" t="n"/>
      <c r="I52" s="206" t="n"/>
      <c r="J52" s="206">
        <f>H62+I62</f>
        <v/>
      </c>
      <c r="K52" s="208" t="n"/>
      <c r="L52" s="206">
        <f>J62-K62</f>
        <v/>
      </c>
      <c r="M52" s="210" t="n">
        <v>2000</v>
      </c>
      <c r="N52" s="206" t="n"/>
      <c r="O52" s="206">
        <f>L62-M62</f>
        <v/>
      </c>
      <c r="P52" s="206">
        <f>K62-N62</f>
        <v/>
      </c>
      <c r="Q52" s="206">
        <f>M62+O62</f>
        <v/>
      </c>
      <c r="R52" s="206">
        <f>M62+N62+O62+P62</f>
        <v/>
      </c>
      <c r="S52" s="206" t="n"/>
      <c r="T52" s="206" t="n"/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2</v>
      </c>
      <c r="B53" s="206" t="n"/>
      <c r="C53" s="207" t="n"/>
      <c r="D53" s="207" t="inlineStr">
        <is>
          <t>工资</t>
        </is>
      </c>
      <c r="E53" s="206" t="n"/>
      <c r="F53" s="206" t="n"/>
      <c r="G53" s="206" t="n"/>
      <c r="H53" s="206" t="n"/>
      <c r="I53" s="206" t="n"/>
      <c r="J53" s="206">
        <f>H63+I63</f>
        <v/>
      </c>
      <c r="K53" s="208" t="n"/>
      <c r="L53" s="206">
        <f>J63-K63</f>
        <v/>
      </c>
      <c r="M53" s="210" t="n">
        <v>189100</v>
      </c>
      <c r="N53" s="206" t="n"/>
      <c r="O53" s="206">
        <f>L63-M63</f>
        <v/>
      </c>
      <c r="P53" s="206">
        <f>K63-N63</f>
        <v/>
      </c>
      <c r="Q53" s="206">
        <f>M63+O63</f>
        <v/>
      </c>
      <c r="R53" s="206">
        <f>M63+N63+O63+P63</f>
        <v/>
      </c>
      <c r="S53" s="206" t="n"/>
      <c r="T53" s="206" t="n"/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79" t="n"/>
      <c r="B54" s="280" t="n"/>
      <c r="C54" s="280" t="n"/>
      <c r="D54" s="291" t="inlineStr">
        <is>
          <t>**财务未列部分需增列***</t>
        </is>
      </c>
      <c r="E54" s="292" t="n"/>
      <c r="F54" s="292" t="n"/>
      <c r="G54" s="292" t="n"/>
      <c r="H54" s="309" t="n"/>
      <c r="I54" s="282" t="n"/>
      <c r="J54" s="309" t="n"/>
      <c r="K54" s="283" t="n"/>
      <c r="L54" s="284" t="n"/>
      <c r="M54" s="309" t="n"/>
      <c r="N54" s="282" t="n"/>
      <c r="O54" s="282">
        <f>L64-M64</f>
        <v/>
      </c>
      <c r="P54" s="282">
        <f>K64-N64</f>
        <v/>
      </c>
      <c r="Q54" s="282">
        <f>M64+O64</f>
        <v/>
      </c>
      <c r="R54" s="282">
        <f>M64+N64+O64+P64</f>
        <v/>
      </c>
      <c r="S54" s="286">
        <f>SUM(T64:V64)</f>
        <v/>
      </c>
      <c r="T54" s="309" t="n"/>
      <c r="U54" s="309" t="n"/>
      <c r="V54" s="309" t="n"/>
      <c r="W54" s="309" t="n"/>
      <c r="X54" s="309" t="n"/>
      <c r="Y54" s="309" t="n"/>
      <c r="Z54" s="309" t="n"/>
      <c r="AA54" s="286" t="n"/>
      <c r="AB54" s="287" t="n"/>
      <c r="AC54" s="287" t="n"/>
      <c r="AD54" s="287" t="n"/>
      <c r="AE54" s="287" t="n"/>
      <c r="AF54" s="287" t="n"/>
      <c r="AG54" s="287" t="n"/>
      <c r="AH54" s="287" t="n"/>
      <c r="AI54" s="287" t="n"/>
      <c r="AJ54" s="287" t="n"/>
      <c r="AK54" s="287" t="n"/>
      <c r="AL54" s="294" t="n"/>
    </row>
    <row r="55" ht="14" customFormat="1" customHeight="1" s="180">
      <c r="A55" s="310" t="n"/>
      <c r="B55" s="311" t="n"/>
      <c r="C55" s="311" t="n"/>
      <c r="D55" s="306" t="inlineStr">
        <is>
          <t>间接费小计：</t>
        </is>
      </c>
      <c r="E55" s="312" t="n"/>
      <c r="F55" s="312" t="n"/>
      <c r="G55" s="312" t="n"/>
      <c r="H55" s="298">
        <f>SUM(H61:H64)</f>
        <v/>
      </c>
      <c r="I55" s="298">
        <f>SUM(I61:I64)</f>
        <v/>
      </c>
      <c r="J55" s="298">
        <f>SUM(J61:J64)</f>
        <v/>
      </c>
      <c r="K55" s="298">
        <f>SUM(K61:K64)</f>
        <v/>
      </c>
      <c r="L55" s="308">
        <f>SUM(L61:L64)</f>
        <v/>
      </c>
      <c r="M55" s="308">
        <f>SUM(M61:M64)</f>
        <v/>
      </c>
      <c r="N55" s="308">
        <f>SUM(N61:N64)</f>
        <v/>
      </c>
      <c r="O55" s="308">
        <f>SUM(O61:O64)</f>
        <v/>
      </c>
      <c r="P55" s="308">
        <f>SUM(P61:P64)</f>
        <v/>
      </c>
      <c r="Q55" s="308">
        <f>SUM(Q61:Q64)</f>
        <v/>
      </c>
      <c r="R55" s="308">
        <f>SUM(R61:R64)</f>
        <v/>
      </c>
      <c r="S55" s="308">
        <f>SUM(S61:S64)</f>
        <v/>
      </c>
      <c r="T55" s="308" t="n"/>
      <c r="U55" s="308" t="n"/>
      <c r="V55" s="308" t="n"/>
      <c r="W55" s="308" t="n"/>
      <c r="X55" s="308" t="n"/>
      <c r="Y55" s="308" t="n"/>
      <c r="Z55" s="308">
        <f>SUM(Z61:Z64)</f>
        <v/>
      </c>
      <c r="AA55" s="308">
        <f>SUM(AA61:AA64)</f>
        <v/>
      </c>
      <c r="AB55" s="308">
        <f>SUM(AB61:AB64)</f>
        <v/>
      </c>
      <c r="AC55" s="308">
        <f>SUM(AC61:AC64)</f>
        <v/>
      </c>
      <c r="AD55" s="308">
        <f>SUM(AD61:AD64)</f>
        <v/>
      </c>
      <c r="AE55" s="308">
        <f>SUM(AE61:AE64)</f>
        <v/>
      </c>
      <c r="AF55" s="308">
        <f>SUM(AF61:AF64)</f>
        <v/>
      </c>
      <c r="AG55" s="308" t="n"/>
      <c r="AH55" s="308" t="n"/>
      <c r="AI55" s="308">
        <f>SUM(AI61:AI64)</f>
        <v/>
      </c>
      <c r="AJ55" s="308">
        <f>SUM(AJ61:AJ64)</f>
        <v/>
      </c>
      <c r="AK55" s="308">
        <f>SUM(AK61:AK64)</f>
        <v/>
      </c>
      <c r="AL55" s="294" t="n"/>
    </row>
    <row r="56" ht="14" customFormat="1" customHeight="1" s="180">
      <c r="A56" s="279" t="n"/>
      <c r="B56" s="280" t="n"/>
      <c r="C56" s="280" t="n"/>
      <c r="D56" s="299" t="inlineStr">
        <is>
          <t>（七）安全费</t>
        </is>
      </c>
      <c r="E56" s="292" t="n"/>
      <c r="F56" s="292" t="n"/>
      <c r="G56" s="292" t="n"/>
      <c r="H56" s="282" t="n"/>
      <c r="I56" s="282" t="n"/>
      <c r="J56" s="285" t="n">
        <v>0</v>
      </c>
      <c r="K56" s="313" t="n"/>
      <c r="L56" s="284">
        <f>J66-N66-P66</f>
        <v/>
      </c>
      <c r="M56" s="282" t="n"/>
      <c r="N56" s="282" t="n"/>
      <c r="O56" s="282">
        <f>L66-M66</f>
        <v/>
      </c>
      <c r="P56" s="282">
        <f>K66-N66</f>
        <v/>
      </c>
      <c r="Q56" s="282">
        <f>M66+O66</f>
        <v/>
      </c>
      <c r="R56" s="282">
        <f>M66+N66+O66+P66</f>
        <v/>
      </c>
      <c r="S56" s="286">
        <f>SUM(T66:V66)</f>
        <v/>
      </c>
      <c r="T56" s="309" t="n"/>
      <c r="U56" s="309" t="n"/>
      <c r="V56" s="309" t="n"/>
      <c r="W56" s="309" t="n"/>
      <c r="X56" s="309" t="n"/>
      <c r="Y56" s="309" t="n"/>
      <c r="Z56" s="305" t="n"/>
      <c r="AA56" s="286" t="n"/>
      <c r="AB56" s="287" t="n"/>
      <c r="AC56" s="287" t="n"/>
      <c r="AD56" s="287" t="n"/>
      <c r="AE56" s="287" t="n"/>
      <c r="AF56" s="287" t="n"/>
      <c r="AG56" s="287" t="n"/>
      <c r="AH56" s="287" t="n"/>
      <c r="AI56" s="287" t="n"/>
      <c r="AJ56" s="287" t="n"/>
      <c r="AK56" s="287" t="n"/>
      <c r="AL56" s="294" t="n"/>
    </row>
    <row r="57" ht="14" customFormat="1" customHeight="1" s="180">
      <c r="A57" s="206" t="n">
        <v>1</v>
      </c>
      <c r="B57" s="206" t="n"/>
      <c r="C57" s="207" t="n"/>
      <c r="D57" s="207" t="inlineStr">
        <is>
          <t>安全生产-人工费</t>
        </is>
      </c>
      <c r="E57" s="206" t="n"/>
      <c r="F57" s="206" t="n"/>
      <c r="G57" s="206" t="n"/>
      <c r="H57" s="206" t="n"/>
      <c r="I57" s="206" t="n"/>
      <c r="J57" s="206">
        <f>H67+I67</f>
        <v/>
      </c>
      <c r="K57" s="208" t="n"/>
      <c r="L57" s="206">
        <f>J67-K67</f>
        <v/>
      </c>
      <c r="M57" s="210" t="n">
        <v>54633.5</v>
      </c>
      <c r="N57" s="206" t="n"/>
      <c r="O57" s="206">
        <f>L67-M67</f>
        <v/>
      </c>
      <c r="P57" s="206">
        <f>K67-N67</f>
        <v/>
      </c>
      <c r="Q57" s="206">
        <f>M67+O67</f>
        <v/>
      </c>
      <c r="R57" s="206">
        <f>M67+N67+O67+P67</f>
        <v/>
      </c>
      <c r="S57" s="206" t="n"/>
      <c r="T57" s="206" t="n"/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</v>
      </c>
      <c r="B58" s="206" t="n"/>
      <c r="C58" s="207" t="n"/>
      <c r="D58" s="207" t="inlineStr">
        <is>
          <t>安全生产-材料费</t>
        </is>
      </c>
      <c r="E58" s="206" t="n"/>
      <c r="F58" s="206" t="n"/>
      <c r="G58" s="206" t="n"/>
      <c r="H58" s="206" t="n"/>
      <c r="I58" s="206" t="n"/>
      <c r="J58" s="206">
        <f>H68+I68</f>
        <v/>
      </c>
      <c r="K58" s="208" t="n"/>
      <c r="L58" s="206">
        <f>J68-K68</f>
        <v/>
      </c>
      <c r="M58" s="210" t="n">
        <v>27591.39</v>
      </c>
      <c r="N58" s="206" t="n"/>
      <c r="O58" s="206">
        <f>L68-M68</f>
        <v/>
      </c>
      <c r="P58" s="206">
        <f>K68-N68</f>
        <v/>
      </c>
      <c r="Q58" s="206">
        <f>M68+O68</f>
        <v/>
      </c>
      <c r="R58" s="206">
        <f>M68+N68+O68+P68</f>
        <v/>
      </c>
      <c r="S58" s="206" t="n"/>
      <c r="T58" s="206" t="n"/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310" t="n"/>
      <c r="B59" s="311" t="n"/>
      <c r="C59" s="311" t="n"/>
      <c r="D59" s="306" t="inlineStr">
        <is>
          <t>安全费小计：</t>
        </is>
      </c>
      <c r="E59" s="306" t="n"/>
      <c r="F59" s="306" t="n"/>
      <c r="G59" s="306" t="n"/>
      <c r="H59" s="298">
        <f>SUM(H66:H68)</f>
        <v/>
      </c>
      <c r="I59" s="298">
        <f>SUM(I66:I68)</f>
        <v/>
      </c>
      <c r="J59" s="298" t="n">
        <v>0</v>
      </c>
      <c r="K59" s="298" t="n">
        <v>0</v>
      </c>
      <c r="L59" s="314">
        <f>J69-K69</f>
        <v/>
      </c>
      <c r="M59" s="308">
        <f>SUM(M66:M68)</f>
        <v/>
      </c>
      <c r="N59" s="308">
        <f>SUM(N66:N68)</f>
        <v/>
      </c>
      <c r="O59" s="308">
        <f>SUM(O66:O68)</f>
        <v/>
      </c>
      <c r="P59" s="308">
        <f>SUM(P66:P68)</f>
        <v/>
      </c>
      <c r="Q59" s="308">
        <f>SUM(Q66:Q68)</f>
        <v/>
      </c>
      <c r="R59" s="308">
        <f>SUM(R66:R68)</f>
        <v/>
      </c>
      <c r="S59" s="308">
        <f>SUM(S66:S68)</f>
        <v/>
      </c>
      <c r="T59" s="315" t="n"/>
      <c r="U59" s="315" t="n"/>
      <c r="V59" s="315" t="n"/>
      <c r="W59" s="315" t="n"/>
      <c r="X59" s="315" t="n"/>
      <c r="Y59" s="315" t="n"/>
      <c r="Z59" s="315" t="n"/>
      <c r="AA59" s="315">
        <f>SUM(AA66:AA68)</f>
        <v/>
      </c>
      <c r="AB59" s="315">
        <f>SUM(AB66:AB68)</f>
        <v/>
      </c>
      <c r="AC59" s="315">
        <f>SUM(AC66:AC68)</f>
        <v/>
      </c>
      <c r="AD59" s="315">
        <f>SUM(AD66:AD68)</f>
        <v/>
      </c>
      <c r="AE59" s="315">
        <f>SUM(AE66:AE68)</f>
        <v/>
      </c>
      <c r="AF59" s="315">
        <f>SUM(AF66:AF68)</f>
        <v/>
      </c>
      <c r="AG59" s="315" t="n"/>
      <c r="AH59" s="315" t="n"/>
      <c r="AI59" s="315">
        <f>SUM(AI66:AI68)</f>
        <v/>
      </c>
      <c r="AJ59" s="315">
        <f>SUM(AJ66:AJ68)</f>
        <v/>
      </c>
      <c r="AK59" s="315">
        <f>SUM(AK66:AK68)</f>
        <v/>
      </c>
      <c r="AL59" s="316" t="n"/>
    </row>
    <row r="60" ht="14" customFormat="1" customHeight="1" s="180">
      <c r="A60" s="310" t="n"/>
      <c r="B60" s="311" t="n"/>
      <c r="C60" s="311" t="n"/>
      <c r="D60" s="306" t="inlineStr">
        <is>
          <t>三、成本合计：</t>
        </is>
      </c>
      <c r="E60" s="312" t="n"/>
      <c r="F60" s="312" t="n"/>
      <c r="G60" s="312" t="n"/>
      <c r="H60" s="298">
        <f>H18+H22+H48+H52+H60+H65+H69</f>
        <v/>
      </c>
      <c r="I60" s="298">
        <f>I18+I22+I48+I52+I60+I65+I69</f>
        <v/>
      </c>
      <c r="J60" s="298">
        <f>J18+J22+J48+J52+J60+J65+J69</f>
        <v/>
      </c>
      <c r="K60" s="298">
        <f>K18+K22+K48+K52+K60+K65+K69</f>
        <v/>
      </c>
      <c r="L60" s="308">
        <f>L18+L22+L48+L52+L60+L65+L69</f>
        <v/>
      </c>
      <c r="M60" s="315">
        <f>M18+M22+M48+M52+M60+M65+M69</f>
        <v/>
      </c>
      <c r="N60" s="315">
        <f>N18+N22+N48+N52+N60+N65+N69</f>
        <v/>
      </c>
      <c r="O60" s="315">
        <f>O18+O22+O48+O52+O60+O65+O69</f>
        <v/>
      </c>
      <c r="P60" s="315">
        <f>P18+P22+P48+P52+P60+P65+P69</f>
        <v/>
      </c>
      <c r="Q60" s="315">
        <f>Q18+Q22+Q48+Q52+Q60+Q65+Q69</f>
        <v/>
      </c>
      <c r="R60" s="315">
        <f>R18+R22+R48+R52+R60+R65+R69</f>
        <v/>
      </c>
      <c r="S60" s="315">
        <f>S18+S22+S48+S52+S60+S65+S69</f>
        <v/>
      </c>
      <c r="T60" s="315" t="n"/>
      <c r="U60" s="315" t="n"/>
      <c r="V60" s="315" t="n"/>
      <c r="W60" s="315" t="n"/>
      <c r="X60" s="315" t="n"/>
      <c r="Y60" s="315" t="n"/>
      <c r="Z60" s="315">
        <f>Z18+Z22+Z48+Z52+Z60+Z65+Z69</f>
        <v/>
      </c>
      <c r="AA60" s="315">
        <f>AA18+AA22+AA48+AA52+AA60+AA65+AA69</f>
        <v/>
      </c>
      <c r="AB60" s="315">
        <f>AB18+AB22+AB48+AB52+AB60+AB65+AB69</f>
        <v/>
      </c>
      <c r="AC60" s="315">
        <f>AC18+AC22+AC48+AC52+AC60+AC65+AC69</f>
        <v/>
      </c>
      <c r="AD60" s="315">
        <f>AD18+AD22+AD48+AD52+AD60+AD65+AD69</f>
        <v/>
      </c>
      <c r="AE60" s="315">
        <f>AE18+AE22+AE48+AE52+AE60+AE65+AE69</f>
        <v/>
      </c>
      <c r="AF60" s="315">
        <f>AF18+AF22+AF48+AF52+AF60+AF65+AF69</f>
        <v/>
      </c>
      <c r="AG60" s="315" t="n"/>
      <c r="AH60" s="315" t="n"/>
      <c r="AI60" s="315">
        <f>AI18+AI22+AI48+AI52+AI60+AI65+AI69</f>
        <v/>
      </c>
      <c r="AJ60" s="315">
        <f>AJ18+AJ22+AJ48+AJ52+AJ60+AJ65+AJ69</f>
        <v/>
      </c>
      <c r="AK60" s="315">
        <f>AK18+AK22+AK48+AK52+AK60+AK65+AK69</f>
        <v/>
      </c>
      <c r="AL60" s="316" t="n"/>
    </row>
    <row r="61" ht="14" customFormat="1" customHeight="1" s="180">
      <c r="A61" s="310" t="n"/>
      <c r="B61" s="311" t="n"/>
      <c r="C61" s="311" t="n"/>
      <c r="D61" s="306" t="inlineStr">
        <is>
          <t>四、计提保修金</t>
        </is>
      </c>
      <c r="E61" s="312" t="inlineStr">
        <is>
          <t>（在建：房建0.6%，其它0.4%；在保修期间的按0.3~0.5%自行确定;保修期结束为0）</t>
        </is>
      </c>
      <c r="F61" s="312" t="n"/>
      <c r="G61" s="312" t="n"/>
      <c r="H61" s="298" t="n"/>
      <c r="I61" s="298" t="n"/>
      <c r="J61" s="298">
        <f>H71+I71</f>
        <v/>
      </c>
      <c r="K61" s="298" t="n"/>
      <c r="L61" s="308">
        <f>J71-K71</f>
        <v/>
      </c>
      <c r="M61" s="315" t="n"/>
      <c r="N61" s="315" t="n"/>
      <c r="O61" s="315">
        <f>L71-M71</f>
        <v/>
      </c>
      <c r="P61" s="315">
        <f>K71-N71</f>
        <v/>
      </c>
      <c r="Q61" s="315">
        <f>M71+O71</f>
        <v/>
      </c>
      <c r="R61" s="315">
        <f>M71+N71+O71+P71</f>
        <v/>
      </c>
      <c r="S61" s="315">
        <f>SUM(T71:V71)</f>
        <v/>
      </c>
      <c r="T61" s="315" t="n"/>
      <c r="U61" s="315" t="n"/>
      <c r="V61" s="315" t="n"/>
      <c r="W61" s="315" t="n"/>
      <c r="X61" s="315" t="n"/>
      <c r="Y61" s="315" t="n"/>
      <c r="Z61" s="315" t="n"/>
      <c r="AA61" s="315">
        <f>Q69-S69</f>
        <v/>
      </c>
      <c r="AB61" s="315" t="n"/>
      <c r="AC61" s="315" t="n"/>
      <c r="AD61" s="315" t="n"/>
      <c r="AE61" s="315" t="n"/>
      <c r="AF61" s="315" t="n"/>
      <c r="AG61" s="315" t="n"/>
      <c r="AH61" s="315" t="n"/>
      <c r="AI61" s="315" t="n"/>
      <c r="AJ61" s="315" t="n"/>
      <c r="AK61" s="315" t="n"/>
      <c r="AL61" s="316" t="n"/>
    </row>
    <row r="62" ht="14" customFormat="1" customHeight="1" s="180">
      <c r="A62" s="310" t="n"/>
      <c r="B62" s="311" t="n"/>
      <c r="C62" s="311" t="n"/>
      <c r="D62" s="306" t="inlineStr">
        <is>
          <t>五、过程节点奖金</t>
        </is>
      </c>
      <c r="E62" s="312" t="n"/>
      <c r="F62" s="312" t="n"/>
      <c r="G62" s="312" t="n"/>
      <c r="H62" s="298" t="n"/>
      <c r="I62" s="298" t="n"/>
      <c r="J62" s="298">
        <f>H72+I72</f>
        <v/>
      </c>
      <c r="K62" s="298" t="n"/>
      <c r="L62" s="308">
        <f>J72-K72</f>
        <v/>
      </c>
      <c r="M62" s="315" t="n"/>
      <c r="N62" s="315" t="n"/>
      <c r="O62" s="315">
        <f>L72-M72</f>
        <v/>
      </c>
      <c r="P62" s="315">
        <f>K72-N72</f>
        <v/>
      </c>
      <c r="Q62" s="315">
        <f>M72+O72</f>
        <v/>
      </c>
      <c r="R62" s="315">
        <f>M72+N72+O72+P72</f>
        <v/>
      </c>
      <c r="S62" s="315">
        <f>SUM(T72:V72)</f>
        <v/>
      </c>
      <c r="T62" s="315" t="n"/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6" t="n"/>
    </row>
    <row r="63" ht="14" customFormat="1" customHeight="1" s="180">
      <c r="A63" s="310" t="n"/>
      <c r="B63" s="311" t="n"/>
      <c r="C63" s="311" t="n"/>
      <c r="D63" s="306" t="inlineStr">
        <is>
          <t>六、资金占用费用</t>
        </is>
      </c>
      <c r="E63" s="312" t="n"/>
      <c r="F63" s="312" t="n"/>
      <c r="G63" s="312" t="n"/>
      <c r="H63" s="298" t="n"/>
      <c r="I63" s="298" t="n"/>
      <c r="J63" s="298">
        <f>H73+I73</f>
        <v/>
      </c>
      <c r="K63" s="298" t="n"/>
      <c r="L63" s="308">
        <f>J73-K73</f>
        <v/>
      </c>
      <c r="M63" s="317" t="n">
        <v>901666.67</v>
      </c>
      <c r="N63" s="315" t="n"/>
      <c r="O63" s="315">
        <f>L73-M73</f>
        <v/>
      </c>
      <c r="P63" s="315">
        <f>K73-N73</f>
        <v/>
      </c>
      <c r="Q63" s="315">
        <f>M73+O73</f>
        <v/>
      </c>
      <c r="R63" s="315">
        <f>M73+N73+O73+P73</f>
        <v/>
      </c>
      <c r="S63" s="315">
        <f>SUM(T73:V73)</f>
        <v/>
      </c>
      <c r="T63" s="315" t="n"/>
      <c r="U63" s="315" t="n"/>
      <c r="V63" s="315" t="n"/>
      <c r="W63" s="315" t="n"/>
      <c r="X63" s="315" t="n"/>
      <c r="Y63" s="315" t="n"/>
      <c r="Z63" s="315" t="n"/>
      <c r="AA63" s="315" t="n"/>
      <c r="AB63" s="315" t="n"/>
      <c r="AC63" s="315" t="n"/>
      <c r="AD63" s="315" t="n"/>
      <c r="AE63" s="315" t="n"/>
      <c r="AF63" s="315" t="n"/>
      <c r="AG63" s="315" t="n"/>
      <c r="AH63" s="315" t="n"/>
      <c r="AI63" s="315" t="n"/>
      <c r="AJ63" s="315" t="n"/>
      <c r="AK63" s="315" t="n"/>
      <c r="AL63" s="316" t="n"/>
    </row>
    <row r="64" ht="14" customFormat="1" customHeight="1" s="180">
      <c r="A64" s="310" t="n"/>
      <c r="B64" s="311" t="n"/>
      <c r="C64" s="311" t="n"/>
      <c r="D64" s="306" t="inlineStr">
        <is>
          <t>七、局投资收益（局投资项目选填）</t>
        </is>
      </c>
      <c r="E64" s="312" t="n"/>
      <c r="F64" s="312" t="n"/>
      <c r="G64" s="312" t="n"/>
      <c r="H64" s="298" t="n"/>
      <c r="I64" s="298" t="n"/>
      <c r="J64" s="298">
        <f>H74+I74</f>
        <v/>
      </c>
      <c r="K64" s="298" t="n"/>
      <c r="L64" s="308">
        <f>J74-K74</f>
        <v/>
      </c>
      <c r="M64" s="315" t="n"/>
      <c r="N64" s="315" t="n"/>
      <c r="O64" s="315">
        <f>L74-M74</f>
        <v/>
      </c>
      <c r="P64" s="315">
        <f>K74-N74</f>
        <v/>
      </c>
      <c r="Q64" s="315">
        <f>M74+O74</f>
        <v/>
      </c>
      <c r="R64" s="315">
        <f>M74+N74+O74+P74</f>
        <v/>
      </c>
      <c r="S64" s="315">
        <f>SUM(T74:V74)</f>
        <v/>
      </c>
      <c r="T64" s="315" t="n"/>
      <c r="U64" s="315" t="n"/>
      <c r="V64" s="315" t="n"/>
      <c r="W64" s="315" t="n"/>
      <c r="X64" s="315" t="n"/>
      <c r="Y64" s="315" t="n"/>
      <c r="Z64" s="315" t="n"/>
      <c r="AA64" s="315" t="n"/>
      <c r="AB64" s="315" t="n"/>
      <c r="AC64" s="315" t="n"/>
      <c r="AD64" s="315" t="n"/>
      <c r="AE64" s="315" t="n"/>
      <c r="AF64" s="315" t="n"/>
      <c r="AG64" s="315" t="n"/>
      <c r="AH64" s="315" t="n"/>
      <c r="AI64" s="315" t="n"/>
      <c r="AJ64" s="315" t="n"/>
      <c r="AK64" s="315" t="n"/>
      <c r="AL64" s="316" t="n"/>
    </row>
    <row r="65" ht="14" customFormat="1" customHeight="1" s="180">
      <c r="A65" s="310" t="n"/>
      <c r="B65" s="311" t="n"/>
      <c r="C65" s="311" t="n"/>
      <c r="D65" s="306" t="inlineStr">
        <is>
          <t>八、研发费用</t>
        </is>
      </c>
      <c r="E65" s="312" t="n"/>
      <c r="F65" s="312" t="n"/>
      <c r="G65" s="312" t="n"/>
      <c r="H65" s="298" t="n"/>
      <c r="I65" s="298" t="n"/>
      <c r="J65" s="298">
        <f>H75+I75</f>
        <v/>
      </c>
      <c r="K65" s="298" t="n"/>
      <c r="L65" s="308">
        <f>J75-K75</f>
        <v/>
      </c>
      <c r="M65" s="315">
        <f>SUM(M66:M66)</f>
        <v/>
      </c>
      <c r="N65" s="315">
        <f>SUM(N66:N66)</f>
        <v/>
      </c>
      <c r="O65" s="315">
        <f>SUM(O66:O66)</f>
        <v/>
      </c>
      <c r="P65" s="315">
        <f>SUM(P66:P66)</f>
        <v/>
      </c>
      <c r="Q65" s="315">
        <f>SUM(Q66:Q66)</f>
        <v/>
      </c>
      <c r="R65" s="315">
        <f>SUM(R66:R66)</f>
        <v/>
      </c>
      <c r="S65" s="315">
        <f>SUM(S66:S66)</f>
        <v/>
      </c>
      <c r="T65" s="315">
        <f>SUM(T66:T66)</f>
        <v/>
      </c>
      <c r="U65" s="315">
        <f>SUM(U66:U66)</f>
        <v/>
      </c>
      <c r="V65" s="315">
        <f>SUM(V66:V66)</f>
        <v/>
      </c>
      <c r="W65" s="315">
        <f>SUM(W66:W66)</f>
        <v/>
      </c>
      <c r="X65" s="315">
        <f>SUM(X66:X66)</f>
        <v/>
      </c>
      <c r="Y65" s="315">
        <f>SUM(Y66:Y66)</f>
        <v/>
      </c>
      <c r="Z65" s="315">
        <f>SUM(Z66:Z66)</f>
        <v/>
      </c>
      <c r="AA65" s="315">
        <f>SUM(AA66:AA66)</f>
        <v/>
      </c>
      <c r="AB65" s="315">
        <f>SUM(AB66:AB66)</f>
        <v/>
      </c>
      <c r="AC65" s="315">
        <f>SUM(AC66:AC66)</f>
        <v/>
      </c>
      <c r="AD65" s="315">
        <f>SUM(AD66:AD66)</f>
        <v/>
      </c>
      <c r="AE65" s="315">
        <f>SUM(AE66:AE66)</f>
        <v/>
      </c>
      <c r="AF65" s="315">
        <f>SUM(AF66:AF66)</f>
        <v/>
      </c>
      <c r="AG65" s="315">
        <f>SUM(AG66:AG66)</f>
        <v/>
      </c>
      <c r="AH65" s="315">
        <f>SUM(AH66:AH66)</f>
        <v/>
      </c>
      <c r="AI65" s="315">
        <f>SUM(AI66:AI66)</f>
        <v/>
      </c>
      <c r="AJ65" s="315">
        <f>SUM(AJ66:AJ66)</f>
        <v/>
      </c>
      <c r="AK65" s="315">
        <f>SUM(AK66:AK66)</f>
        <v/>
      </c>
      <c r="AL65" s="316" t="n"/>
    </row>
    <row r="66" ht="14" customFormat="1" customHeight="1" s="180">
      <c r="A66" s="295" t="n"/>
      <c r="B66" s="296" t="n"/>
      <c r="C66" s="296" t="n"/>
      <c r="D66" s="306" t="inlineStr">
        <is>
          <t>九、成本及费用合计（三+四+五+六+七）</t>
        </is>
      </c>
      <c r="E66" s="307" t="n"/>
      <c r="F66" s="307" t="n"/>
      <c r="G66" s="307" t="n"/>
      <c r="H66" s="298">
        <f>H60+H61+H62+H63+H64+H65</f>
        <v/>
      </c>
      <c r="I66" s="298">
        <f>I60+I61+I62+I63+I64+I65</f>
        <v/>
      </c>
      <c r="J66" s="318">
        <f>J60+J61+J62+J63+J64+J65</f>
        <v/>
      </c>
      <c r="K66" s="298">
        <f>K60+K61+K62+K63+K64+K65</f>
        <v/>
      </c>
      <c r="L66" s="319">
        <f>L60+L61+L62+L63+L64+L65</f>
        <v/>
      </c>
      <c r="M66" s="319">
        <f>M60+M61+M62+M63+M64+M65</f>
        <v/>
      </c>
      <c r="N66" s="319">
        <f>N60+N61+N62+N63+N64+N65</f>
        <v/>
      </c>
      <c r="O66" s="319">
        <f>O60+O61+O62+O63+O64+O65</f>
        <v/>
      </c>
      <c r="P66" s="319">
        <f>P60+P61+P62+P63+P64+P65</f>
        <v/>
      </c>
      <c r="Q66" s="319">
        <f>Q60+Q61+Q62+Q63+Q64+Q65</f>
        <v/>
      </c>
      <c r="R66" s="319">
        <f>R60+R61+R62+R63+R64+R65</f>
        <v/>
      </c>
      <c r="S66" s="315">
        <f>S60+S61+S62+S63+S64+S65</f>
        <v/>
      </c>
      <c r="T66" s="315" t="n"/>
      <c r="U66" s="315" t="n"/>
      <c r="V66" s="315" t="n"/>
      <c r="W66" s="315" t="n"/>
      <c r="X66" s="315" t="n"/>
      <c r="Y66" s="315" t="n"/>
      <c r="Z66" s="315">
        <f>Z60+Z61+Z62+Z63+Z64+Z65</f>
        <v/>
      </c>
      <c r="AA66" s="315">
        <f>AA60+AA61+AA62+AA63+AA64+AA65</f>
        <v/>
      </c>
      <c r="AB66" s="320" t="n"/>
      <c r="AC66" s="320" t="n"/>
      <c r="AD66" s="320" t="n"/>
      <c r="AE66" s="320" t="n"/>
      <c r="AF66" s="320" t="n"/>
      <c r="AG66" s="320" t="n"/>
      <c r="AH66" s="320" t="n"/>
      <c r="AI66" s="320" t="n"/>
      <c r="AJ66" s="320" t="n"/>
      <c r="AK66" s="321" t="n"/>
      <c r="AL66" s="322" t="n"/>
    </row>
    <row r="67" ht="14" customFormat="1" customHeight="1" s="180">
      <c r="A67" s="295" t="n"/>
      <c r="B67" s="296" t="n"/>
      <c r="C67" s="296" t="n"/>
      <c r="D67" s="306" t="inlineStr">
        <is>
          <t>十、增值税实际税负（按财务数据）</t>
        </is>
      </c>
      <c r="E67" s="307" t="inlineStr">
        <is>
          <t>根据财务账面实际已缴纳增值税额+尚需缴纳的增值税额</t>
        </is>
      </c>
      <c r="F67" s="307" t="n"/>
      <c r="G67" s="307" t="n"/>
      <c r="H67" s="298" t="n"/>
      <c r="I67" s="298" t="n"/>
      <c r="J67" s="318">
        <f>H78+I78</f>
        <v/>
      </c>
      <c r="K67" s="298" t="inlineStr">
        <is>
          <t>/</t>
        </is>
      </c>
      <c r="L67" s="319" t="inlineStr">
        <is>
          <t>/</t>
        </is>
      </c>
      <c r="M67" s="319" t="n"/>
      <c r="N67" s="319">
        <f>N6-N77</f>
        <v/>
      </c>
      <c r="O67" s="319" t="n"/>
      <c r="P67" s="319" t="n"/>
      <c r="Q67" s="319" t="inlineStr">
        <is>
          <t>/</t>
        </is>
      </c>
      <c r="R67" s="319">
        <f>N78+P78</f>
        <v/>
      </c>
      <c r="S67" s="315" t="n"/>
      <c r="T67" s="315" t="n"/>
      <c r="U67" s="315" t="n"/>
      <c r="V67" s="315" t="n"/>
      <c r="W67" s="315" t="n"/>
      <c r="X67" s="315" t="n"/>
      <c r="Y67" s="315" t="n"/>
      <c r="Z67" s="315" t="n"/>
      <c r="AA67" s="315" t="n"/>
      <c r="AB67" s="320" t="n"/>
      <c r="AC67" s="320" t="n"/>
      <c r="AD67" s="320" t="n"/>
      <c r="AE67" s="320" t="n"/>
      <c r="AF67" s="320" t="n"/>
      <c r="AG67" s="320" t="n"/>
      <c r="AH67" s="320" t="n"/>
      <c r="AI67" s="320" t="n"/>
      <c r="AJ67" s="320" t="n"/>
      <c r="AK67" s="321" t="n"/>
      <c r="AL67" s="322" t="n"/>
    </row>
    <row r="68" ht="14" customFormat="1" customHeight="1" s="180">
      <c r="A68" s="295" t="n"/>
      <c r="B68" s="296" t="n"/>
      <c r="C68" s="296" t="n"/>
      <c r="D68" s="306" t="inlineStr">
        <is>
          <t>十一、税金及附加（按财务数据）</t>
        </is>
      </c>
      <c r="E68" s="307" t="inlineStr">
        <is>
          <t>根据财务账面实际已缴纳税金及附加+尚需缴纳的税金及附加</t>
        </is>
      </c>
      <c r="F68" s="307" t="n"/>
      <c r="G68" s="307" t="n"/>
      <c r="H68" s="298" t="n"/>
      <c r="I68" s="298" t="n"/>
      <c r="J68" s="318">
        <f>H79+I79</f>
        <v/>
      </c>
      <c r="K68" s="298" t="n"/>
      <c r="L68" s="319">
        <f>J79</f>
        <v/>
      </c>
      <c r="M68" s="323" t="n">
        <v>25924.24</v>
      </c>
      <c r="N68" s="319" t="n"/>
      <c r="O68" s="319">
        <f>L79-M79</f>
        <v/>
      </c>
      <c r="P68" s="319" t="n"/>
      <c r="Q68" s="319">
        <f>M79+O79</f>
        <v/>
      </c>
      <c r="R68" s="319">
        <f>Q79</f>
        <v/>
      </c>
      <c r="S68" s="315" t="n"/>
      <c r="T68" s="315" t="n"/>
      <c r="U68" s="315" t="n"/>
      <c r="V68" s="315" t="n"/>
      <c r="W68" s="315" t="n"/>
      <c r="X68" s="315" t="n"/>
      <c r="Y68" s="315" t="n"/>
      <c r="Z68" s="315" t="n"/>
      <c r="AA68" s="315" t="n"/>
      <c r="AB68" s="320" t="n"/>
      <c r="AC68" s="320" t="n"/>
      <c r="AD68" s="320" t="n"/>
      <c r="AE68" s="320" t="n"/>
      <c r="AF68" s="320" t="n"/>
      <c r="AG68" s="320" t="n"/>
      <c r="AH68" s="320" t="n"/>
      <c r="AI68" s="320" t="n"/>
      <c r="AJ68" s="320" t="n"/>
      <c r="AK68" s="321" t="n"/>
      <c r="AL68" s="322" t="n"/>
    </row>
    <row r="69" ht="39" customFormat="1" customHeight="1" s="180">
      <c r="A69" s="295" t="n"/>
      <c r="B69" s="296" t="n"/>
      <c r="C69" s="296" t="n"/>
      <c r="D69" s="306" t="inlineStr">
        <is>
          <t>十二、利润</t>
        </is>
      </c>
      <c r="E69" s="307" t="n"/>
      <c r="F69" s="307" t="n"/>
      <c r="G69" s="307" t="n"/>
      <c r="H69" s="298" t="n"/>
      <c r="I69" s="298" t="n"/>
      <c r="J69" s="318">
        <f>J6-J66-J67-J68</f>
        <v/>
      </c>
      <c r="K69" s="298" t="n"/>
      <c r="L69" s="319" t="n"/>
      <c r="M69" s="319" t="n"/>
      <c r="N69" s="319" t="n"/>
      <c r="O69" s="319" t="n"/>
      <c r="P69" s="319" t="n"/>
      <c r="Q69" s="319" t="n"/>
      <c r="R69" s="319" t="n"/>
      <c r="S69" s="315" t="n"/>
      <c r="T69" s="315" t="n"/>
      <c r="U69" s="315" t="n"/>
      <c r="V69" s="315" t="n"/>
      <c r="W69" s="315" t="n"/>
      <c r="X69" s="315" t="n"/>
      <c r="Y69" s="315" t="n"/>
      <c r="Z69" s="315" t="n"/>
      <c r="AA69" s="315" t="n"/>
      <c r="AB69" s="320" t="n"/>
      <c r="AC69" s="320" t="n"/>
      <c r="AD69" s="320" t="n"/>
      <c r="AE69" s="320" t="n"/>
      <c r="AF69" s="320" t="n"/>
      <c r="AG69" s="320" t="n"/>
      <c r="AH69" s="320" t="n"/>
      <c r="AI69" s="320" t="n"/>
      <c r="AJ69" s="320" t="n"/>
      <c r="AK69" s="321" t="n"/>
      <c r="AL69" s="322" t="n"/>
    </row>
    <row r="70" ht="14" customFormat="1" customHeight="1" s="180">
      <c r="A70" s="324" t="n"/>
      <c r="B70" s="325" t="n"/>
      <c r="C70" s="325" t="n"/>
      <c r="D70" s="326" t="inlineStr">
        <is>
          <t>十三、利润率</t>
        </is>
      </c>
      <c r="E70" s="327" t="n"/>
      <c r="F70" s="327" t="n"/>
      <c r="G70" s="327" t="n"/>
      <c r="H70" s="328" t="n"/>
      <c r="I70" s="328" t="n"/>
      <c r="J70" s="328">
        <f>J69/J6</f>
        <v/>
      </c>
      <c r="K70" s="328" t="n"/>
      <c r="L70" s="329">
        <f>L69/L6</f>
        <v/>
      </c>
      <c r="M70" s="329">
        <f>M69/M6</f>
        <v/>
      </c>
      <c r="N70" s="329" t="n"/>
      <c r="O70" s="329" t="n"/>
      <c r="P70" s="329" t="n"/>
      <c r="Q70" s="329">
        <f>Q69/Q6</f>
        <v/>
      </c>
      <c r="R70" s="329">
        <f>R69/R6</f>
        <v/>
      </c>
      <c r="S70" s="330" t="n"/>
      <c r="T70" s="330" t="n"/>
      <c r="U70" s="330" t="n"/>
      <c r="V70" s="330" t="n"/>
      <c r="W70" s="330" t="n"/>
      <c r="X70" s="330" t="n"/>
      <c r="Y70" s="330" t="n"/>
      <c r="Z70" s="330" t="n"/>
      <c r="AA70" s="330" t="n"/>
      <c r="AB70" s="331" t="n"/>
      <c r="AC70" s="331" t="n"/>
      <c r="AD70" s="331" t="n"/>
      <c r="AE70" s="331" t="n"/>
      <c r="AF70" s="331" t="n"/>
      <c r="AG70" s="331" t="n"/>
      <c r="AH70" s="331" t="n"/>
      <c r="AI70" s="331" t="n"/>
      <c r="AJ70" s="331" t="n"/>
      <c r="AK70" s="332" t="n"/>
      <c r="AL70" s="333" t="n"/>
    </row>
    <row r="71" ht="14" customFormat="1" customHeight="1" s="180">
      <c r="A71" s="111" t="n"/>
      <c r="B71" s="111" t="n"/>
      <c r="C71" s="111" t="n"/>
      <c r="D71" s="112" t="n"/>
      <c r="E71" s="113" t="n"/>
      <c r="F71" s="113" t="n"/>
      <c r="G71" s="113" t="n"/>
      <c r="H71" s="248" t="n"/>
      <c r="I71" s="248" t="n"/>
      <c r="J71" s="249" t="inlineStr">
        <is>
          <t>含税利润率</t>
        </is>
      </c>
      <c r="K71" s="250" t="n"/>
      <c r="L71" s="251" t="inlineStr">
        <is>
          <t>不含税利润率</t>
        </is>
      </c>
      <c r="M71" s="252" t="n"/>
      <c r="N71" s="252" t="n"/>
      <c r="O71" s="252" t="n"/>
      <c r="P71" s="252" t="n"/>
      <c r="Q71" s="252" t="n"/>
      <c r="R71" s="252" t="n"/>
      <c r="S71" s="252" t="n"/>
      <c r="T71" s="252" t="n"/>
      <c r="U71" s="252" t="n"/>
      <c r="V71" s="252" t="n"/>
      <c r="W71" s="252" t="n"/>
      <c r="X71" s="252" t="n"/>
      <c r="Y71" s="252" t="n"/>
      <c r="Z71" s="253" t="n"/>
      <c r="AA71" s="162" t="n"/>
      <c r="AB71" s="254" t="n"/>
      <c r="AC71" s="254" t="n"/>
      <c r="AD71" s="254" t="n"/>
      <c r="AE71" s="254" t="n"/>
      <c r="AF71" s="254" t="n"/>
      <c r="AG71" s="254" t="n"/>
      <c r="AH71" s="254" t="n"/>
      <c r="AI71" s="254" t="n"/>
      <c r="AJ71" s="254" t="n"/>
      <c r="AK71" s="254" t="n"/>
      <c r="AL71" s="156" t="n"/>
    </row>
    <row r="72" ht="14" customFormat="1" customHeight="1" s="180"/>
    <row r="73" ht="14" customFormat="1" customHeight="1" s="180"/>
    <row r="74" ht="14" customFormat="1" customHeight="1" s="180"/>
    <row r="75" ht="14" customFormat="1" customHeight="1" s="180"/>
    <row r="76" ht="14" customFormat="1" customHeight="1" s="180"/>
    <row r="77" ht="14" customFormat="1" customHeight="1" s="180"/>
    <row r="78" ht="26" customFormat="1" customHeight="1" s="180"/>
    <row r="79" ht="26" customFormat="1" customHeight="1" s="180"/>
    <row r="80" ht="14" customFormat="1" customHeight="1" s="180"/>
    <row r="81" ht="14" customFormat="1" customHeight="1" s="3"/>
    <row r="82" ht="14" customHeight="1" s="159"/>
    <row r="83" ht="14" customHeight="1" s="159"/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2026-04-25T02:03:36Z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