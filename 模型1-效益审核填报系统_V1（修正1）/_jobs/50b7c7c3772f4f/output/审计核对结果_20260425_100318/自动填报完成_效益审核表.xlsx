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7" fillId="0" borderId="1" applyAlignment="1" pivotButton="0" quotePrefix="0" xfId="49">
      <alignment horizontal="left"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52" authorId="1" shapeId="0">
      <text>
        <t xml:space="preserve">**同财务账面合同履约成本/工程施工成本/机械租赁费数据一致**
</t>
      </text>
    </comment>
    <comment ref="M60" authorId="0" shapeId="0">
      <text>
        <t>于:
**同财务账面合同履约成本/工程施工成本其他直接费数据一致**</t>
      </text>
    </comment>
    <comment ref="M65" authorId="1" shapeId="0">
      <text>
        <t>**同财务账面合同履约成本/工程施工成本/间接费数据一致**</t>
      </text>
    </comment>
    <comment ref="D71" authorId="2" shapeId="0">
      <text>
        <t>（在建：房建0.6%，其它0.4%；在保修期间的按0.3~0.5%自行确定;保修期结束为0）</t>
      </text>
    </comment>
    <comment ref="E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2131941.74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200706805</t>
        </is>
      </c>
      <c r="C13" s="207" t="inlineStr">
        <is>
          <t>中建四局150020220103040004</t>
        </is>
      </c>
      <c r="D13" s="207" t="inlineStr">
        <is>
          <t>东莞市东城晨旭金属材料经营部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390736.42</v>
      </c>
      <c r="N13" s="210" t="n">
        <v>11722.09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390000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200179978</t>
        </is>
      </c>
      <c r="C14" s="207" t="inlineStr">
        <is>
          <t>中建四局150020220103040001</t>
        </is>
      </c>
      <c r="D14" s="207" t="inlineStr">
        <is>
          <t>广州八为科技有限公司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2594250</v>
      </c>
      <c r="N14" s="210" t="n">
        <v>79380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2589111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100217203</t>
        </is>
      </c>
      <c r="C15" s="207" t="inlineStr">
        <is>
          <t>中建四局150020220103040002</t>
        </is>
      </c>
      <c r="D15" s="207" t="inlineStr">
        <is>
          <t>广州城北电力工程有限公司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141291.26</v>
      </c>
      <c r="N15" s="210" t="n">
        <v>4325.24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148500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200499158</t>
        </is>
      </c>
      <c r="C16" s="207" t="inlineStr">
        <is>
          <t>中建四局150020220103040005</t>
        </is>
      </c>
      <c r="D16" s="207" t="inlineStr">
        <is>
          <t>广州市番禺区永元建筑劳务有限责任公司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552239.5699999999</v>
      </c>
      <c r="N16" s="210" t="n">
        <v>16567.19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568806</v>
      </c>
      <c r="U16" s="206" t="n"/>
      <c r="V16" s="206" t="n"/>
    </row>
    <row r="17" ht="14" customFormat="1" customHeight="1" s="180">
      <c r="A17" s="33" t="n"/>
      <c r="B17" s="199" t="n"/>
      <c r="C17" s="199" t="n"/>
      <c r="D17" s="211" t="inlineStr">
        <is>
          <t>**财务未列部分需增列***</t>
        </is>
      </c>
      <c r="E17" s="212" t="n"/>
      <c r="F17" s="212" t="n"/>
      <c r="G17" s="212" t="n"/>
      <c r="H17" s="189" t="n"/>
      <c r="I17" s="189" t="n"/>
      <c r="J17" s="189" t="n"/>
      <c r="K17" s="201" t="n"/>
      <c r="L17" s="202" t="n"/>
      <c r="M17" s="189" t="n"/>
      <c r="N17" s="189" t="n"/>
      <c r="O17" s="189">
        <f>L17-M17</f>
        <v/>
      </c>
      <c r="P17" s="189">
        <f>K17-N17</f>
        <v/>
      </c>
      <c r="Q17" s="189">
        <f>M17+O17</f>
        <v/>
      </c>
      <c r="R17" s="189">
        <f>M17+N17+O17+P17</f>
        <v/>
      </c>
      <c r="S17" s="203">
        <f>SUM(T17:V17)</f>
        <v/>
      </c>
      <c r="T17" s="189" t="n"/>
      <c r="U17" s="189" t="n"/>
      <c r="V17" s="189" t="n"/>
      <c r="W17" s="189" t="n"/>
      <c r="X17" s="189" t="n"/>
      <c r="Y17" s="189" t="n"/>
      <c r="Z17" s="189">
        <f>SUM(AA16:AJ16)</f>
        <v/>
      </c>
      <c r="AA17" s="213" t="n"/>
      <c r="AB17" s="188" t="n"/>
      <c r="AC17" s="188" t="n"/>
      <c r="AD17" s="188" t="n"/>
      <c r="AE17" s="188" t="n"/>
      <c r="AF17" s="188" t="n"/>
      <c r="AG17" s="188" t="n"/>
      <c r="AH17" s="188" t="n"/>
      <c r="AI17" s="188" t="n"/>
      <c r="AJ17" s="188" t="n"/>
      <c r="AK17" s="188">
        <f>AB16/1.17*0.17+AC16/1.16*0.16+AD16/1.11*0.11+AE16/1.1*0.1+AF16/1.09*0.09+AI16/1.03*0.03</f>
        <v/>
      </c>
      <c r="AL17" s="214" t="n"/>
    </row>
    <row r="18" ht="14" customFormat="1" customHeight="1" s="180">
      <c r="A18" s="41" t="n"/>
      <c r="B18" s="215" t="n"/>
      <c r="C18" s="215" t="n"/>
      <c r="D18" s="216" t="inlineStr">
        <is>
          <t>人工费小计：</t>
        </is>
      </c>
      <c r="E18" s="217">
        <f>SUM(E12:E17)</f>
        <v/>
      </c>
      <c r="F18" s="217">
        <f>SUM(F12:F17)</f>
        <v/>
      </c>
      <c r="G18" s="217">
        <f>SUM(G12:G17)</f>
        <v/>
      </c>
      <c r="H18" s="217">
        <f>SUM(H12:H17)</f>
        <v/>
      </c>
      <c r="I18" s="217">
        <f>SUM(I12:I17)</f>
        <v/>
      </c>
      <c r="J18" s="217">
        <f>SUM(J12:J17)</f>
        <v/>
      </c>
      <c r="K18" s="217">
        <f>SUM(K12:K17)</f>
        <v/>
      </c>
      <c r="L18" s="217">
        <f>SUM(L12:L17)</f>
        <v/>
      </c>
      <c r="M18" s="217">
        <f>SUM(M12:M17)</f>
        <v/>
      </c>
      <c r="N18" s="217">
        <f>SUM(N12:N17)</f>
        <v/>
      </c>
      <c r="O18" s="217">
        <f>SUM(O12:O17)</f>
        <v/>
      </c>
      <c r="P18" s="217">
        <f>SUM(P12:P17)</f>
        <v/>
      </c>
      <c r="Q18" s="217">
        <f>SUM(Q12:Q17)</f>
        <v/>
      </c>
      <c r="R18" s="217">
        <f>SUM(R12:R17)</f>
        <v/>
      </c>
      <c r="S18" s="217">
        <f>SUM(S12:S17)</f>
        <v/>
      </c>
      <c r="T18" s="217">
        <f>SUM(T12:T17)</f>
        <v/>
      </c>
      <c r="U18" s="217">
        <f>SUM(U12:U17)</f>
        <v/>
      </c>
      <c r="V18" s="217">
        <f>SUM(V12:V17)</f>
        <v/>
      </c>
      <c r="W18" s="217">
        <f>SUM(W12:W17)</f>
        <v/>
      </c>
      <c r="X18" s="217">
        <f>SUM(X12:X17)</f>
        <v/>
      </c>
      <c r="Y18" s="217">
        <f>SUM(Y12:Y17)</f>
        <v/>
      </c>
      <c r="Z18" s="217">
        <f>SUM(Z12:Z17)</f>
        <v/>
      </c>
      <c r="AA18" s="217">
        <f>SUM(AA12:AA17)</f>
        <v/>
      </c>
      <c r="AB18" s="217">
        <f>SUM(AB12:AB17)</f>
        <v/>
      </c>
      <c r="AC18" s="217">
        <f>SUM(AC12:AC17)</f>
        <v/>
      </c>
      <c r="AD18" s="217">
        <f>SUM(AD12:AD17)</f>
        <v/>
      </c>
      <c r="AE18" s="217">
        <f>SUM(AE12:AE17)</f>
        <v/>
      </c>
      <c r="AF18" s="217">
        <f>SUM(AF12:AF17)</f>
        <v/>
      </c>
      <c r="AG18" s="217">
        <f>SUM(AG12:AG17)</f>
        <v/>
      </c>
      <c r="AH18" s="217">
        <f>SUM(AH12:AH17)</f>
        <v/>
      </c>
      <c r="AI18" s="217">
        <f>SUM(AI12:AI17)</f>
        <v/>
      </c>
      <c r="AJ18" s="217">
        <f>SUM(AJ12:AJ17)</f>
        <v/>
      </c>
      <c r="AK18" s="217">
        <f>SUM(AK12:AK17)</f>
        <v/>
      </c>
      <c r="AL18" s="204" t="n"/>
    </row>
    <row r="19" ht="14" customFormat="1" customHeight="1" s="180">
      <c r="A19" s="33" t="n"/>
      <c r="B19" s="199" t="n"/>
      <c r="C19" s="199" t="n"/>
      <c r="D19" s="218" t="inlineStr">
        <is>
          <t>（二）分包工程</t>
        </is>
      </c>
      <c r="E19" s="199" t="n"/>
      <c r="F19" s="199" t="n"/>
      <c r="G19" s="199" t="n"/>
      <c r="H19" s="189" t="n"/>
      <c r="I19" s="189" t="n"/>
      <c r="J19" s="189" t="n"/>
      <c r="K19" s="201" t="n"/>
      <c r="L19" s="202" t="n"/>
      <c r="M19" s="189" t="n"/>
      <c r="N19" s="189" t="n"/>
      <c r="O19" s="189">
        <f>L19-M19</f>
        <v/>
      </c>
      <c r="P19" s="189">
        <f>K19-N19</f>
        <v/>
      </c>
      <c r="Q19" s="189">
        <f>M19+O19</f>
        <v/>
      </c>
      <c r="R19" s="189">
        <f>M19+N19+O19+P19</f>
        <v/>
      </c>
      <c r="S19" s="203">
        <f>SUM(T19:V19)</f>
        <v/>
      </c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3" t="n"/>
      <c r="AK19" s="188">
        <f>AB18/1.17*0.17+AC18/1.16*0.16+AD18/1.11*0.11+AE18/1.1*0.1+AF18/1.09*0.09+AI18/1.03*0.03</f>
        <v/>
      </c>
      <c r="AL19" s="204" t="n"/>
    </row>
    <row r="20" ht="14" customFormat="1" customHeight="1" s="180">
      <c r="A20" s="206" t="n">
        <v>1</v>
      </c>
      <c r="B20" s="206" t="inlineStr">
        <is>
          <t>100235246</t>
        </is>
      </c>
      <c r="C20" s="207" t="inlineStr">
        <is>
          <t>中建四局150020220103030001</t>
        </is>
      </c>
      <c r="D20" s="207" t="inlineStr">
        <is>
          <t>众源科技（广东）股份有限公司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1004990.48</v>
      </c>
      <c r="N20" s="210" t="n">
        <v>90449.14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800000</v>
      </c>
      <c r="U20" s="206" t="n"/>
      <c r="V20" s="206" t="n"/>
    </row>
    <row r="21" ht="14" customFormat="1" customHeight="1" s="180">
      <c r="A21" s="33" t="n"/>
      <c r="B21" s="199" t="n"/>
      <c r="C21" s="199" t="n"/>
      <c r="D21" s="211" t="inlineStr">
        <is>
          <t>**财务未列部分需增列***</t>
        </is>
      </c>
      <c r="E21" s="219" t="n"/>
      <c r="F21" s="219" t="n"/>
      <c r="G21" s="219" t="n"/>
      <c r="H21" s="189" t="n"/>
      <c r="I21" s="189" t="n"/>
      <c r="J21" s="189" t="n"/>
      <c r="K21" s="201" t="n"/>
      <c r="L21" s="202" t="n"/>
      <c r="M21" s="189" t="n"/>
      <c r="N21" s="189" t="n"/>
      <c r="O21" s="189">
        <f>L21-M21</f>
        <v/>
      </c>
      <c r="P21" s="189">
        <f>K21-N21</f>
        <v/>
      </c>
      <c r="Q21" s="189">
        <f>M21+O21</f>
        <v/>
      </c>
      <c r="R21" s="189">
        <f>M21+N21+O21+P21</f>
        <v/>
      </c>
      <c r="S21" s="203">
        <f>SUM(T21:V21)</f>
        <v/>
      </c>
      <c r="T21" s="189" t="n"/>
      <c r="U21" s="189" t="n"/>
      <c r="V21" s="189" t="n"/>
      <c r="W21" s="189" t="n"/>
      <c r="X21" s="189" t="n"/>
      <c r="Y21" s="189" t="n"/>
      <c r="Z21" s="203" t="n"/>
      <c r="AA21" s="203" t="n"/>
      <c r="AB21" s="188" t="n"/>
      <c r="AC21" s="188" t="n"/>
      <c r="AD21" s="188" t="n"/>
      <c r="AE21" s="188" t="n"/>
      <c r="AF21" s="188" t="n"/>
      <c r="AG21" s="188" t="n"/>
      <c r="AH21" s="188" t="n"/>
      <c r="AI21" s="188" t="n"/>
      <c r="AJ21" s="188" t="n"/>
      <c r="AK21" s="188">
        <f>AB22/1.17*0.17+AC22/1.16*0.16+AD22/1.11*0.11+AE22/1.1*0.1+AF22/1.09*0.09+AI22/1.03*0.03</f>
        <v/>
      </c>
      <c r="AL21" s="214" t="n"/>
    </row>
    <row r="22" ht="14" customFormat="1" customHeight="1" s="180">
      <c r="A22" s="41" t="n"/>
      <c r="B22" s="215" t="n"/>
      <c r="C22" s="215" t="n"/>
      <c r="D22" s="216" t="inlineStr">
        <is>
          <t>分包工程小计：</t>
        </is>
      </c>
      <c r="E22" s="217">
        <f>SUM(E19:E21)</f>
        <v/>
      </c>
      <c r="F22" s="217">
        <f>SUM(F19:F21)</f>
        <v/>
      </c>
      <c r="G22" s="217">
        <f>SUM(G19:G21)</f>
        <v/>
      </c>
      <c r="H22" s="217">
        <f>SUM(H19:H21)</f>
        <v/>
      </c>
      <c r="I22" s="217">
        <f>SUM(I19:I21)</f>
        <v/>
      </c>
      <c r="J22" s="217">
        <f>SUM(J19:J21)</f>
        <v/>
      </c>
      <c r="K22" s="217">
        <f>SUM(K19:K21)</f>
        <v/>
      </c>
      <c r="L22" s="217">
        <f>SUM(L19:L21)</f>
        <v/>
      </c>
      <c r="M22" s="217">
        <f>SUM(M19:M21)</f>
        <v/>
      </c>
      <c r="N22" s="217">
        <f>SUM(N19:N21)</f>
        <v/>
      </c>
      <c r="O22" s="217">
        <f>SUM(O19:O21)</f>
        <v/>
      </c>
      <c r="P22" s="217">
        <f>SUM(P19:P21)</f>
        <v/>
      </c>
      <c r="Q22" s="217">
        <f>SUM(Q19:Q21)</f>
        <v/>
      </c>
      <c r="R22" s="217">
        <f>SUM(R19:R21)</f>
        <v/>
      </c>
      <c r="S22" s="217">
        <f>SUM(S19:S21)</f>
        <v/>
      </c>
      <c r="T22" s="217">
        <f>SUM(T19:T21)</f>
        <v/>
      </c>
      <c r="U22" s="217">
        <f>SUM(U19:U21)</f>
        <v/>
      </c>
      <c r="V22" s="217">
        <f>SUM(V19:V21)</f>
        <v/>
      </c>
      <c r="W22" s="217">
        <f>SUM(W19:W21)</f>
        <v/>
      </c>
      <c r="X22" s="217">
        <f>SUM(X19:X21)</f>
        <v/>
      </c>
      <c r="Y22" s="217">
        <f>SUM(Y19:Y21)</f>
        <v/>
      </c>
      <c r="Z22" s="217">
        <f>SUM(Z19:Z21)</f>
        <v/>
      </c>
      <c r="AA22" s="217">
        <f>SUM(AA19:AA21)</f>
        <v/>
      </c>
      <c r="AB22" s="217">
        <f>SUM(AB19:AB21)</f>
        <v/>
      </c>
      <c r="AC22" s="217">
        <f>SUM(AC19:AC21)</f>
        <v/>
      </c>
      <c r="AD22" s="217">
        <f>SUM(AD19:AD21)</f>
        <v/>
      </c>
      <c r="AE22" s="217">
        <f>SUM(AE19:AE21)</f>
        <v/>
      </c>
      <c r="AF22" s="217">
        <f>SUM(AF19:AF21)</f>
        <v/>
      </c>
      <c r="AG22" s="217">
        <f>SUM(AG19:AG21)</f>
        <v/>
      </c>
      <c r="AH22" s="217">
        <f>SUM(AH19:AH21)</f>
        <v/>
      </c>
      <c r="AI22" s="217">
        <f>SUM(AI19:AI21)</f>
        <v/>
      </c>
      <c r="AJ22" s="217">
        <f>SUM(AJ19:AJ21)</f>
        <v/>
      </c>
      <c r="AK22" s="217">
        <f>SUM(AK19:AK21)</f>
        <v/>
      </c>
      <c r="AL22" s="204" t="n"/>
    </row>
    <row r="23" ht="14" customFormat="1" customHeight="1" s="180">
      <c r="A23" s="33" t="n"/>
      <c r="B23" s="199" t="n"/>
      <c r="C23" s="199" t="n"/>
      <c r="D23" s="218" t="inlineStr">
        <is>
          <t>(三)材料费</t>
        </is>
      </c>
      <c r="E23" s="199" t="n"/>
      <c r="F23" s="199" t="n"/>
      <c r="G23" s="199" t="n"/>
      <c r="H23" s="189" t="n"/>
      <c r="I23" s="189" t="n"/>
      <c r="J23" s="189" t="n"/>
      <c r="K23" s="201" t="n"/>
      <c r="L23" s="202" t="n"/>
      <c r="M23" s="189" t="n"/>
      <c r="N23" s="189" t="n"/>
      <c r="O23" s="189">
        <f>L23-M23</f>
        <v/>
      </c>
      <c r="P23" s="189">
        <f>K23-N23</f>
        <v/>
      </c>
      <c r="Q23" s="189">
        <f>M23+O23</f>
        <v/>
      </c>
      <c r="R23" s="189">
        <f>M23+N23+O23+P23</f>
        <v/>
      </c>
      <c r="S23" s="203">
        <f>SUM(T23:V23)</f>
        <v/>
      </c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20" t="n"/>
      <c r="AC23" s="220" t="n"/>
      <c r="AD23" s="220" t="n"/>
      <c r="AE23" s="220" t="n"/>
      <c r="AF23" s="220" t="n"/>
      <c r="AG23" s="220" t="n"/>
      <c r="AH23" s="220" t="n"/>
      <c r="AI23" s="220" t="n"/>
      <c r="AJ23" s="220" t="n"/>
      <c r="AK23" s="188">
        <f>AB24/1.17*0.17+AC24/1.16*0.16+AD24/1.11*0.11+AE24/1.1*0.1+AF24/1.09*0.09+AI24/1.03*0.03</f>
        <v/>
      </c>
      <c r="AL23" s="221" t="n"/>
    </row>
    <row r="24" ht="14" customFormat="1" customHeight="1" s="180">
      <c r="A24" s="33" t="n"/>
      <c r="B24" s="199" t="n"/>
      <c r="C24" s="199" t="n"/>
      <c r="D24" s="189" t="inlineStr">
        <is>
          <t>（1）集中采购</t>
        </is>
      </c>
      <c r="E24" s="199" t="n"/>
      <c r="F24" s="199" t="n"/>
      <c r="G24" s="199" t="n"/>
      <c r="H24" s="189" t="n"/>
      <c r="I24" s="189" t="n"/>
      <c r="J24" s="189" t="n"/>
      <c r="K24" s="201" t="n"/>
      <c r="L24" s="202" t="n"/>
      <c r="M24" s="189" t="n"/>
      <c r="N24" s="189" t="n"/>
      <c r="O24" s="189">
        <f>L24-M24</f>
        <v/>
      </c>
      <c r="P24" s="189">
        <f>K24-N24</f>
        <v/>
      </c>
      <c r="Q24" s="189">
        <f>M24+O24</f>
        <v/>
      </c>
      <c r="R24" s="189">
        <f>M24+N24+O24+P24</f>
        <v/>
      </c>
      <c r="S24" s="203">
        <f>SUM(T24:V24)</f>
        <v/>
      </c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188">
        <f>AB25/1.17*0.17+AC25/1.16*0.16+AD25/1.11*0.11+AE25/1.1*0.1+AF25/1.09*0.09+AI25/1.03*0.03</f>
        <v/>
      </c>
      <c r="AL24" s="221" t="n"/>
    </row>
    <row r="25" ht="14" customFormat="1" customHeight="1" s="180">
      <c r="A25" s="33" t="n"/>
      <c r="B25" s="199" t="n"/>
      <c r="C25" s="199" t="n"/>
      <c r="D25" s="189" t="inlineStr">
        <is>
          <t>（2）自行采购</t>
        </is>
      </c>
      <c r="E25" s="219" t="n"/>
      <c r="F25" s="219" t="n"/>
      <c r="G25" s="219" t="n"/>
      <c r="H25" s="189" t="n"/>
      <c r="I25" s="189" t="n"/>
      <c r="J25" s="189" t="n"/>
      <c r="K25" s="201" t="n"/>
      <c r="L25" s="202" t="n"/>
      <c r="M25" s="189" t="n"/>
      <c r="N25" s="189" t="n"/>
      <c r="O25" s="189">
        <f>L25-M25</f>
        <v/>
      </c>
      <c r="P25" s="189">
        <f>K25-N25</f>
        <v/>
      </c>
      <c r="Q25" s="189">
        <f>M25+O25</f>
        <v/>
      </c>
      <c r="R25" s="189">
        <f>M25+N25+O25+P25</f>
        <v/>
      </c>
      <c r="S25" s="203">
        <f>SUM(T25:V25)</f>
        <v/>
      </c>
      <c r="T25" s="203" t="n"/>
      <c r="U25" s="203" t="n"/>
      <c r="V25" s="203" t="n"/>
      <c r="W25" s="203" t="n"/>
      <c r="X25" s="203" t="n"/>
      <c r="Y25" s="203" t="n"/>
      <c r="Z25" s="189">
        <f>SUM(AA29:AJ29)</f>
        <v/>
      </c>
      <c r="AA25" s="203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188">
        <f>AB29/1.17*0.17+AC29/1.16*0.16+AD29/1.11*0.11+AE29/1.1*0.1+AF29/1.09*0.09+AI29/1.03*0.03</f>
        <v/>
      </c>
      <c r="AL25" s="221" t="n"/>
    </row>
    <row r="26" ht="14" customFormat="1" customHeight="1" s="180">
      <c r="A26" s="33" t="n"/>
      <c r="B26" s="199" t="n"/>
      <c r="C26" s="199" t="n"/>
      <c r="D26" s="218" t="inlineStr">
        <is>
          <t>材料调入</t>
        </is>
      </c>
      <c r="E26" s="199" t="n"/>
      <c r="F26" s="199" t="n"/>
      <c r="G26" s="199" t="n"/>
      <c r="H26" s="189" t="n"/>
      <c r="I26" s="189" t="n"/>
      <c r="J26" s="189" t="n"/>
      <c r="K26" s="201" t="n"/>
      <c r="L26" s="202" t="n"/>
      <c r="M26" s="189" t="n"/>
      <c r="N26" s="189" t="n"/>
      <c r="O26" s="189">
        <f>L26-M26</f>
        <v/>
      </c>
      <c r="P26" s="189">
        <f>K26-N26</f>
        <v/>
      </c>
      <c r="Q26" s="189">
        <f>M26+O26</f>
        <v/>
      </c>
      <c r="R26" s="189">
        <f>M26+N26+O26+P26</f>
        <v/>
      </c>
      <c r="S26" s="203">
        <f>SUM(T26:V26)</f>
        <v/>
      </c>
      <c r="T26" s="203" t="n"/>
      <c r="U26" s="203" t="n"/>
      <c r="V26" s="203" t="n"/>
      <c r="W26" s="203" t="n"/>
      <c r="X26" s="203" t="n"/>
      <c r="Y26" s="203" t="n"/>
      <c r="Z26" s="189">
        <f>SUM(AA30:AJ30)</f>
        <v/>
      </c>
      <c r="AA26" s="203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188">
        <f>AB30/1.17*0.17+AC30/1.16*0.16+AD30/1.11*0.11+AE30/1.1*0.1+AF30/1.09*0.09+AI30/1.03*0.03</f>
        <v/>
      </c>
      <c r="AL26" s="221" t="n"/>
    </row>
    <row r="27" ht="14" customFormat="1" customHeight="1" s="180">
      <c r="A27" s="33" t="n"/>
      <c r="B27" s="199" t="n"/>
      <c r="C27" s="199" t="n"/>
      <c r="D27" s="218" t="inlineStr">
        <is>
          <t>材料调出（注：负数填报）</t>
        </is>
      </c>
      <c r="E27" s="222" t="n"/>
      <c r="F27" s="222" t="n"/>
      <c r="G27" s="222" t="n"/>
      <c r="H27" s="223" t="n"/>
      <c r="I27" s="223" t="n"/>
      <c r="J27" s="189" t="n"/>
      <c r="K27" s="201" t="n"/>
      <c r="L27" s="202" t="n"/>
      <c r="M27" s="223" t="n"/>
      <c r="N27" s="223" t="n"/>
      <c r="O27" s="189">
        <f>L27-M27</f>
        <v/>
      </c>
      <c r="P27" s="189">
        <f>K27-N27</f>
        <v/>
      </c>
      <c r="Q27" s="189">
        <f>M27+O27</f>
        <v/>
      </c>
      <c r="R27" s="189">
        <f>M27+N27+O27+P27</f>
        <v/>
      </c>
      <c r="S27" s="203">
        <f>SUM(T27:V27)</f>
        <v/>
      </c>
      <c r="T27" s="223" t="n"/>
      <c r="U27" s="223" t="n"/>
      <c r="V27" s="223" t="n"/>
      <c r="W27" s="223" t="n"/>
      <c r="X27" s="223" t="n"/>
      <c r="Y27" s="223" t="n"/>
      <c r="Z27" s="189">
        <f>SUM(AA31:AJ31)</f>
        <v/>
      </c>
      <c r="AA27" s="223" t="n"/>
      <c r="AB27" s="224" t="n"/>
      <c r="AC27" s="224" t="n"/>
      <c r="AD27" s="224" t="n"/>
      <c r="AE27" s="224" t="n"/>
      <c r="AF27" s="224" t="n"/>
      <c r="AG27" s="224" t="n"/>
      <c r="AH27" s="224" t="n"/>
      <c r="AI27" s="224" t="n"/>
      <c r="AJ27" s="224" t="n"/>
      <c r="AK27" s="188">
        <f>AB31/1.17*0.17+AC31/1.16*0.16+AD31/1.11*0.11+AE31/1.1*0.1+AF31/1.09*0.09+AI31/1.03*0.03</f>
        <v/>
      </c>
      <c r="AL27" s="225" t="n"/>
    </row>
    <row r="28" ht="14" customFormat="1" customHeight="1" s="180">
      <c r="A28" s="33" t="n"/>
      <c r="B28" s="199" t="n"/>
      <c r="C28" s="199" t="n"/>
      <c r="D28" s="218" t="inlineStr">
        <is>
          <t>材料库存（注：项目已结算未使用材料冲减项目成本，负数填报）</t>
        </is>
      </c>
      <c r="E28" s="222" t="n"/>
      <c r="F28" s="222" t="n"/>
      <c r="G28" s="222" t="n"/>
      <c r="H28" s="223" t="n"/>
      <c r="I28" s="223" t="n"/>
      <c r="J28" s="189" t="n"/>
      <c r="K28" s="201" t="n"/>
      <c r="L28" s="202" t="n"/>
      <c r="M28" s="223" t="n"/>
      <c r="N28" s="223" t="n"/>
      <c r="O28" s="189" t="n"/>
      <c r="P28" s="189" t="n"/>
      <c r="Q28" s="189" t="n"/>
      <c r="R28" s="189" t="n"/>
      <c r="S28" s="203" t="n"/>
      <c r="T28" s="223" t="n"/>
      <c r="U28" s="223" t="n"/>
      <c r="V28" s="223" t="n"/>
      <c r="W28" s="223" t="n"/>
      <c r="X28" s="223" t="n"/>
      <c r="Y28" s="223" t="n"/>
      <c r="Z28" s="189" t="n"/>
      <c r="AA28" s="223" t="n"/>
      <c r="AB28" s="224" t="n"/>
      <c r="AC28" s="224" t="n"/>
      <c r="AD28" s="224" t="n"/>
      <c r="AE28" s="224" t="n"/>
      <c r="AF28" s="224" t="n"/>
      <c r="AG28" s="224" t="n"/>
      <c r="AH28" s="224" t="n"/>
      <c r="AI28" s="224" t="n"/>
      <c r="AJ28" s="224" t="n"/>
      <c r="AK28" s="188" t="n"/>
      <c r="AL28" s="225" t="n"/>
    </row>
    <row r="29" ht="14" customFormat="1" customHeight="1" s="180">
      <c r="A29" s="206" t="n">
        <v>1</v>
      </c>
      <c r="B29" s="206" t="inlineStr">
        <is>
          <t>200330523</t>
        </is>
      </c>
      <c r="C29" s="207" t="inlineStr">
        <is>
          <t>中建四局150020220103060006</t>
        </is>
      </c>
      <c r="D29" s="207" t="inlineStr">
        <is>
          <t>广东广合工贸有限公司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328452.59</v>
      </c>
      <c r="N29" s="210" t="n">
        <v>42698.85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371149.44</v>
      </c>
      <c r="U29" s="206" t="n"/>
      <c r="V29" s="206" t="n"/>
    </row>
    <row r="30" ht="14" customFormat="1" customHeight="1" s="180">
      <c r="A30" s="206" t="n">
        <v>2</v>
      </c>
      <c r="B30" s="206" t="inlineStr">
        <is>
          <t>200144447</t>
        </is>
      </c>
      <c r="C30" s="207" t="inlineStr">
        <is>
          <t>中建四局150020220103060002</t>
        </is>
      </c>
      <c r="D30" s="207" t="inlineStr">
        <is>
          <t>广东明之运实业发展有限公司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1403891.91</v>
      </c>
      <c r="N30" s="210" t="n">
        <v>182505.95</v>
      </c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10" t="n">
        <v>1586397.86</v>
      </c>
      <c r="U30" s="206" t="n"/>
      <c r="V30" s="206" t="n"/>
    </row>
    <row r="31" ht="14" customFormat="1" customHeight="1" s="180">
      <c r="A31" s="206" t="n">
        <v>3</v>
      </c>
      <c r="B31" s="206" t="inlineStr">
        <is>
          <t>200422572</t>
        </is>
      </c>
      <c r="C31" s="207" t="inlineStr">
        <is>
          <t>中建四局150020220103060007</t>
        </is>
      </c>
      <c r="D31" s="207" t="inlineStr">
        <is>
          <t>广东林源科技技术有限公司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111201.81</v>
      </c>
      <c r="N31" s="210" t="n">
        <v>14456.22</v>
      </c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10" t="n">
        <v>100000</v>
      </c>
      <c r="U31" s="206" t="n"/>
      <c r="V31" s="206" t="n"/>
    </row>
    <row r="32" ht="26" customFormat="1" customHeight="1" s="180">
      <c r="A32" s="206" t="n">
        <v>4</v>
      </c>
      <c r="B32" s="206" t="inlineStr">
        <is>
          <t>100257705</t>
        </is>
      </c>
      <c r="C32" s="207" t="inlineStr">
        <is>
          <t>中建四局150020220103060003</t>
        </is>
      </c>
      <c r="D32" s="207" t="inlineStr">
        <is>
          <t>广州千科呈环保科技有限公司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81982.3</v>
      </c>
      <c r="N32" s="210" t="n">
        <v>10657.7</v>
      </c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10" t="n">
        <v>88000</v>
      </c>
      <c r="U32" s="206" t="n"/>
      <c r="V32" s="206" t="n"/>
    </row>
    <row r="33" ht="14" customFormat="1" customHeight="1" s="180">
      <c r="A33" s="206" t="n">
        <v>5</v>
      </c>
      <c r="B33" s="206" t="inlineStr">
        <is>
          <t>100220441</t>
        </is>
      </c>
      <c r="C33" s="207" t="inlineStr">
        <is>
          <t>中建四局150020220103060008</t>
        </is>
      </c>
      <c r="D33" s="207" t="inlineStr">
        <is>
          <t>广州南泉机电设备有限公司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475889.04</v>
      </c>
      <c r="N33" s="210" t="n">
        <v>61865.58</v>
      </c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10" t="n">
        <v>450000</v>
      </c>
      <c r="U33" s="206" t="n"/>
      <c r="V33" s="206" t="n"/>
    </row>
    <row r="34" ht="14" customFormat="1" customHeight="1" s="180">
      <c r="A34" s="206" t="n">
        <v>6</v>
      </c>
      <c r="B34" s="206" t="inlineStr">
        <is>
          <t>200153663</t>
        </is>
      </c>
      <c r="C34" s="207" t="inlineStr">
        <is>
          <t>中建四局150020220103060012</t>
        </is>
      </c>
      <c r="D34" s="207" t="inlineStr">
        <is>
          <t>广州市建新五金有限公司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62042.34</v>
      </c>
      <c r="N34" s="210" t="n">
        <v>8065.51</v>
      </c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10" t="n">
        <v>70107.85000000001</v>
      </c>
      <c r="U34" s="206" t="n"/>
      <c r="V34" s="206" t="n"/>
    </row>
    <row r="35" ht="14" customFormat="1" customHeight="1" s="180">
      <c r="A35" s="206" t="n">
        <v>7</v>
      </c>
      <c r="B35" s="206" t="inlineStr">
        <is>
          <t>100006007</t>
        </is>
      </c>
      <c r="C35" s="207" t="inlineStr">
        <is>
          <t>中建四局150020220103060004</t>
        </is>
      </c>
      <c r="D35" s="207" t="inlineStr">
        <is>
          <t>广州市白云泵业集团有限公司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377315.04</v>
      </c>
      <c r="N35" s="210" t="n">
        <v>49050.96</v>
      </c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10" t="n">
        <v>426366</v>
      </c>
      <c r="U35" s="206" t="n"/>
      <c r="V35" s="206" t="n"/>
    </row>
    <row r="36" ht="14" customFormat="1" customHeight="1" s="180">
      <c r="A36" s="206" t="n">
        <v>8</v>
      </c>
      <c r="B36" s="206" t="inlineStr">
        <is>
          <t>200703167</t>
        </is>
      </c>
      <c r="C36" s="207" t="inlineStr">
        <is>
          <t>中建四局150020220103060010</t>
        </is>
      </c>
      <c r="D36" s="207" t="inlineStr">
        <is>
          <t>广州市花都区秀全优利五金水电商行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489395.88</v>
      </c>
      <c r="N36" s="210" t="n">
        <v>5752.21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495148.09</v>
      </c>
      <c r="U36" s="206" t="n"/>
      <c r="V36" s="206" t="n"/>
    </row>
    <row r="37" ht="14" customFormat="1" customHeight="1" s="180">
      <c r="A37" s="206" t="n">
        <v>9</v>
      </c>
      <c r="B37" s="206" t="inlineStr">
        <is>
          <t>200652020</t>
        </is>
      </c>
      <c r="C37" s="207" t="inlineStr">
        <is>
          <t>中建四局150020220103060001</t>
        </is>
      </c>
      <c r="D37" s="207" t="inlineStr">
        <is>
          <t>广州肇泰环保工程有限公司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98150.44</v>
      </c>
      <c r="N37" s="210" t="n">
        <v>12759.56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110910</v>
      </c>
      <c r="U37" s="206" t="n"/>
      <c r="V37" s="206" t="n"/>
    </row>
    <row r="38" ht="14" customFormat="1" customHeight="1" s="180">
      <c r="A38" s="206" t="n">
        <v>10</v>
      </c>
      <c r="B38" s="206" t="inlineStr">
        <is>
          <t>200259247</t>
        </is>
      </c>
      <c r="C38" s="207" t="inlineStr">
        <is>
          <t>中建四局150020220103060011</t>
        </is>
      </c>
      <c r="D38" s="207" t="inlineStr">
        <is>
          <t>无锡市国联金属材料市场有限公司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583466.14</v>
      </c>
      <c r="N38" s="210" t="n">
        <v>75850.60000000001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659316.74</v>
      </c>
      <c r="U38" s="206" t="n"/>
      <c r="V38" s="206" t="n"/>
    </row>
    <row r="39" ht="14" customFormat="1" customHeight="1" s="180">
      <c r="A39" s="206" t="n">
        <v>11</v>
      </c>
      <c r="B39" s="206" t="inlineStr">
        <is>
          <t>100171988</t>
        </is>
      </c>
      <c r="C39" s="207" t="inlineStr">
        <is>
          <t>中建四局150020220103060005</t>
        </is>
      </c>
      <c r="D39" s="207" t="inlineStr">
        <is>
          <t>珠海市东方山谷自动化设备有限公司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152597.34</v>
      </c>
      <c r="N39" s="210" t="n">
        <v>19837.66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172435</v>
      </c>
      <c r="U39" s="206" t="n"/>
      <c r="V39" s="206" t="n"/>
    </row>
    <row r="40" ht="14" customFormat="1" customHeight="1" s="180">
      <c r="A40" s="206" t="n">
        <v>12</v>
      </c>
      <c r="B40" s="206" t="inlineStr">
        <is>
          <t>200705623</t>
        </is>
      </c>
      <c r="C40" s="207" t="inlineStr">
        <is>
          <t>中建四局150020220103060009</t>
        </is>
      </c>
      <c r="D40" s="207" t="inlineStr">
        <is>
          <t>穗淼（广州）环保科技有限公司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418017.7</v>
      </c>
      <c r="N40" s="210" t="n">
        <v>54342.3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472360</v>
      </c>
      <c r="U40" s="206" t="n"/>
      <c r="V40" s="206" t="n"/>
    </row>
    <row r="41" ht="14" customFormat="1" customHeight="1" s="180">
      <c r="A41" s="206" t="n">
        <v>13</v>
      </c>
      <c r="B41" s="206" t="n"/>
      <c r="C41" s="207" t="n"/>
      <c r="D41" s="207" t="inlineStr">
        <is>
          <t>安全生产-材料费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-28875.39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/>
      <c r="B42" s="206" t="n"/>
      <c r="C42" s="207" t="n"/>
      <c r="D42" s="207" t="inlineStr">
        <is>
          <t>材料调入+CFK</t>
        </is>
      </c>
      <c r="E42" s="206" t="n"/>
      <c r="F42" s="206" t="n"/>
      <c r="G42" s="206" t="n"/>
      <c r="H42" s="206" t="n"/>
      <c r="I42" s="206" t="n"/>
      <c r="J42" s="206">
        <f>H42+I42</f>
        <v/>
      </c>
      <c r="K42" s="208" t="n"/>
      <c r="L42" s="209">
        <f>J42-K42</f>
        <v/>
      </c>
      <c r="M42" s="206" t="n"/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/>
      <c r="B43" s="206" t="n"/>
      <c r="C43" s="207" t="n"/>
      <c r="D43" s="207" t="inlineStr">
        <is>
          <t>材料调出+XSD</t>
        </is>
      </c>
      <c r="E43" s="206" t="n"/>
      <c r="F43" s="206" t="n"/>
      <c r="G43" s="206" t="n"/>
      <c r="H43" s="206" t="n"/>
      <c r="I43" s="206" t="n"/>
      <c r="J43" s="206">
        <f>H43+I43</f>
        <v/>
      </c>
      <c r="K43" s="208" t="n"/>
      <c r="L43" s="209">
        <f>J43-K43</f>
        <v/>
      </c>
      <c r="M43" s="206" t="n"/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/>
      <c r="B44" s="206" t="n"/>
      <c r="C44" s="207" t="n"/>
      <c r="D44" s="207" t="inlineStr">
        <is>
          <t>材料调出+SQD</t>
        </is>
      </c>
      <c r="E44" s="206" t="n"/>
      <c r="F44" s="206" t="n"/>
      <c r="G44" s="206" t="n"/>
      <c r="H44" s="206" t="n"/>
      <c r="I44" s="206" t="n"/>
      <c r="J44" s="206">
        <f>H44+I44</f>
        <v/>
      </c>
      <c r="K44" s="208" t="n"/>
      <c r="L44" s="209">
        <f>J44-K44</f>
        <v/>
      </c>
      <c r="M44" s="206" t="n"/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/>
      <c r="B45" s="206" t="n"/>
      <c r="C45" s="207" t="n"/>
      <c r="D45" s="207" t="inlineStr">
        <is>
          <t>废旧物资消耗</t>
        </is>
      </c>
      <c r="E45" s="206" t="n"/>
      <c r="F45" s="206" t="n"/>
      <c r="G45" s="206" t="n"/>
      <c r="H45" s="206" t="n"/>
      <c r="I45" s="206" t="n"/>
      <c r="J45" s="206">
        <f>H45+I45</f>
        <v/>
      </c>
      <c r="K45" s="208" t="n"/>
      <c r="L45" s="209">
        <f>J45-K45</f>
        <v/>
      </c>
      <c r="M45" s="206" t="n"/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/>
      <c r="B46" s="206" t="n"/>
      <c r="C46" s="207" t="n"/>
      <c r="D46" s="207" t="inlineStr">
        <is>
          <t>废旧物资消耗（SQD）</t>
        </is>
      </c>
      <c r="E46" s="206" t="n"/>
      <c r="F46" s="206" t="n"/>
      <c r="G46" s="206" t="n"/>
      <c r="H46" s="206" t="n"/>
      <c r="I46" s="206" t="n"/>
      <c r="J46" s="206">
        <f>H46+I46</f>
        <v/>
      </c>
      <c r="K46" s="208" t="n"/>
      <c r="L46" s="209">
        <f>J46-K46</f>
        <v/>
      </c>
      <c r="M46" s="206" t="n"/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33" t="n"/>
      <c r="B47" s="199" t="n"/>
      <c r="C47" s="199" t="n"/>
      <c r="D47" s="211" t="inlineStr">
        <is>
          <t>**财务未列部分需增列***</t>
        </is>
      </c>
      <c r="E47" s="219" t="n"/>
      <c r="F47" s="219" t="n"/>
      <c r="G47" s="219" t="n"/>
      <c r="H47" s="189" t="n"/>
      <c r="I47" s="189" t="n"/>
      <c r="J47" s="189" t="n"/>
      <c r="K47" s="201" t="n"/>
      <c r="L47" s="202" t="n"/>
      <c r="M47" s="189" t="n"/>
      <c r="N47" s="189" t="n"/>
      <c r="O47" s="189">
        <f>L47-M47</f>
        <v/>
      </c>
      <c r="P47" s="189">
        <f>K47-N47</f>
        <v/>
      </c>
      <c r="Q47" s="189">
        <f>M47+O47</f>
        <v/>
      </c>
      <c r="R47" s="189">
        <f>M47+N47+O47+P47</f>
        <v/>
      </c>
      <c r="S47" s="203">
        <f>SUM(T47:V47)</f>
        <v/>
      </c>
      <c r="T47" s="203" t="n"/>
      <c r="U47" s="203" t="n"/>
      <c r="V47" s="203" t="n"/>
      <c r="W47" s="203" t="n"/>
      <c r="X47" s="203" t="n"/>
      <c r="Y47" s="203" t="n"/>
      <c r="Z47" s="203" t="n"/>
      <c r="AA47" s="203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188">
        <f>AB33/1.17*0.17+AC33/1.16*0.16+AD33/1.11*0.11+AE33/1.1*0.1+AF33/1.09*0.09+AI33/1.03*0.03</f>
        <v/>
      </c>
      <c r="AL47" s="221" t="n"/>
    </row>
    <row r="48" ht="14" customFormat="1" customHeight="1" s="180">
      <c r="A48" s="41" t="n"/>
      <c r="B48" s="215" t="n"/>
      <c r="C48" s="215" t="n"/>
      <c r="D48" s="216" t="inlineStr">
        <is>
          <t>材料费小计：</t>
        </is>
      </c>
      <c r="E48" s="217">
        <f>SUM(E23:E47)</f>
        <v/>
      </c>
      <c r="F48" s="217">
        <f>SUM(F23:F47)</f>
        <v/>
      </c>
      <c r="G48" s="217">
        <f>SUM(G23:G47)</f>
        <v/>
      </c>
      <c r="H48" s="217">
        <f>SUM(H23:H47)</f>
        <v/>
      </c>
      <c r="I48" s="217">
        <f>SUM(I23:I47)</f>
        <v/>
      </c>
      <c r="J48" s="217">
        <f>SUM(J23:J47)</f>
        <v/>
      </c>
      <c r="K48" s="217">
        <f>SUM(K23:K47)</f>
        <v/>
      </c>
      <c r="L48" s="217">
        <f>SUM(L23:L47)</f>
        <v/>
      </c>
      <c r="M48" s="217">
        <f>SUM(M23:M47)</f>
        <v/>
      </c>
      <c r="N48" s="217">
        <f>SUM(N23:N47)</f>
        <v/>
      </c>
      <c r="O48" s="217">
        <f>SUM(O23:O47)</f>
        <v/>
      </c>
      <c r="P48" s="217">
        <f>SUM(P23:P47)</f>
        <v/>
      </c>
      <c r="Q48" s="217">
        <f>SUM(Q23:Q47)</f>
        <v/>
      </c>
      <c r="R48" s="217">
        <f>SUM(R23:R47)</f>
        <v/>
      </c>
      <c r="S48" s="217">
        <f>SUM(S23:S47)</f>
        <v/>
      </c>
      <c r="T48" s="217">
        <f>SUM(T23:T47)</f>
        <v/>
      </c>
      <c r="U48" s="217">
        <f>SUM(U23:U47)</f>
        <v/>
      </c>
      <c r="V48" s="217">
        <f>SUM(V23:V47)</f>
        <v/>
      </c>
      <c r="W48" s="217">
        <f>SUM(W23:W47)</f>
        <v/>
      </c>
      <c r="X48" s="217">
        <f>SUM(X23:X47)</f>
        <v/>
      </c>
      <c r="Y48" s="217">
        <f>SUM(Y23:Y47)</f>
        <v/>
      </c>
      <c r="Z48" s="217">
        <f>SUM(Z23:Z47)</f>
        <v/>
      </c>
      <c r="AA48" s="217">
        <f>SUM(AA23:AA47)</f>
        <v/>
      </c>
      <c r="AB48" s="217">
        <f>SUM(AB23:AB47)</f>
        <v/>
      </c>
      <c r="AC48" s="217">
        <f>SUM(AC23:AC47)</f>
        <v/>
      </c>
      <c r="AD48" s="217">
        <f>SUM(AD23:AD47)</f>
        <v/>
      </c>
      <c r="AE48" s="217">
        <f>SUM(AE23:AE47)</f>
        <v/>
      </c>
      <c r="AF48" s="217">
        <f>SUM(AF23:AF47)</f>
        <v/>
      </c>
      <c r="AG48" s="217">
        <f>SUM(AG23:AG47)</f>
        <v/>
      </c>
      <c r="AH48" s="217">
        <f>SUM(AH23:AH47)</f>
        <v/>
      </c>
      <c r="AI48" s="217">
        <f>SUM(AI23:AI47)</f>
        <v/>
      </c>
      <c r="AJ48" s="217">
        <f>SUM(AJ23:AJ47)</f>
        <v/>
      </c>
      <c r="AK48" s="217">
        <f>SUM(AK23:AK47)</f>
        <v/>
      </c>
      <c r="AL48" s="204" t="n"/>
    </row>
    <row r="49" ht="14" customFormat="1" customHeight="1" s="180">
      <c r="A49" s="33" t="n"/>
      <c r="B49" s="199" t="n"/>
      <c r="C49" s="199" t="n"/>
      <c r="D49" s="218" t="inlineStr">
        <is>
          <t>(四）机械租赁费</t>
        </is>
      </c>
      <c r="E49" s="212" t="n"/>
      <c r="F49" s="212" t="n"/>
      <c r="G49" s="212" t="n"/>
      <c r="H49" s="189" t="n"/>
      <c r="I49" s="189" t="n"/>
      <c r="J49" s="189" t="n"/>
      <c r="K49" s="201" t="n">
        <v>0</v>
      </c>
      <c r="L49" s="202">
        <f>J49-K49</f>
        <v/>
      </c>
      <c r="M49" s="184" t="n"/>
      <c r="N49" s="184" t="n"/>
      <c r="O49" s="189">
        <f>L49-M49</f>
        <v/>
      </c>
      <c r="P49" s="189">
        <f>K49-N49</f>
        <v/>
      </c>
      <c r="Q49" s="189">
        <f>M49+O49</f>
        <v/>
      </c>
      <c r="R49" s="189">
        <f>M49+N49+O49+P49</f>
        <v/>
      </c>
      <c r="S49" s="203">
        <f>SUM(T49:V49)</f>
        <v/>
      </c>
      <c r="T49" s="203" t="n"/>
      <c r="U49" s="203" t="n"/>
      <c r="V49" s="203" t="n"/>
      <c r="W49" s="203" t="n"/>
      <c r="X49" s="203" t="n"/>
      <c r="Y49" s="203" t="n"/>
      <c r="Z49" s="203" t="n"/>
      <c r="AA49" s="203" t="n"/>
      <c r="AB49" s="203" t="n"/>
      <c r="AC49" s="203" t="n"/>
      <c r="AD49" s="203" t="n"/>
      <c r="AE49" s="203" t="n"/>
      <c r="AF49" s="203" t="n"/>
      <c r="AG49" s="203" t="n"/>
      <c r="AH49" s="203" t="n"/>
      <c r="AI49" s="203" t="n"/>
      <c r="AJ49" s="203" t="n"/>
      <c r="AK49" s="188">
        <f>AB35/1.17*0.17+AC35/1.16*0.16+AD35/1.11*0.11+AE35/1.1*0.1+AF35/1.09*0.09+AI35/1.03*0.03</f>
        <v/>
      </c>
      <c r="AL49" s="204" t="n"/>
    </row>
    <row r="50" ht="14" customFormat="1" customHeight="1" s="180">
      <c r="A50" s="33" t="n"/>
      <c r="B50" s="199" t="n"/>
      <c r="C50" s="199" t="n"/>
      <c r="D50" s="226" t="n"/>
      <c r="E50" s="212" t="n"/>
      <c r="F50" s="212" t="n"/>
      <c r="G50" s="212" t="n"/>
      <c r="H50" s="189" t="n"/>
      <c r="I50" s="189" t="n"/>
      <c r="J50" s="189">
        <f>H50+I50</f>
        <v/>
      </c>
      <c r="K50" s="201" t="n">
        <v>0</v>
      </c>
      <c r="L50" s="202">
        <f>J50-K50</f>
        <v/>
      </c>
      <c r="M50" s="189" t="n"/>
      <c r="N50" s="189" t="n"/>
      <c r="O50" s="189">
        <f>L50-M50</f>
        <v/>
      </c>
      <c r="P50" s="189">
        <f>K50-N50</f>
        <v/>
      </c>
      <c r="Q50" s="189">
        <f>M50+O50</f>
        <v/>
      </c>
      <c r="R50" s="189">
        <f>M50+N50+O50+P50</f>
        <v/>
      </c>
      <c r="S50" s="203">
        <f>SUM(T50:V50)</f>
        <v/>
      </c>
      <c r="T50" s="203" t="n"/>
      <c r="U50" s="203" t="n"/>
      <c r="V50" s="203" t="n"/>
      <c r="W50" s="203" t="n"/>
      <c r="X50" s="203" t="n"/>
      <c r="Y50" s="203" t="n"/>
      <c r="Z50" s="189">
        <f>SUM(AA36:AJ36)</f>
        <v/>
      </c>
      <c r="AA50" s="203" t="n"/>
      <c r="AB50" s="203" t="n"/>
      <c r="AC50" s="203" t="n"/>
      <c r="AD50" s="203" t="n"/>
      <c r="AE50" s="203" t="n"/>
      <c r="AF50" s="203" t="n"/>
      <c r="AG50" s="203" t="n"/>
      <c r="AH50" s="203" t="n"/>
      <c r="AI50" s="203" t="n"/>
      <c r="AJ50" s="203" t="n"/>
      <c r="AK50" s="188">
        <f>AB36/1.17*0.17+AC36/1.16*0.16+AD36/1.11*0.11+AE36/1.1*0.1+AF36/1.09*0.09+AI36/1.03*0.03</f>
        <v/>
      </c>
      <c r="AL50" s="204" t="n"/>
    </row>
    <row r="51" ht="14" customFormat="1" customHeight="1" s="180">
      <c r="A51" s="33" t="n"/>
      <c r="B51" s="199" t="n"/>
      <c r="C51" s="199" t="n"/>
      <c r="D51" s="211" t="inlineStr">
        <is>
          <t>**财务未列部分需增列***</t>
        </is>
      </c>
      <c r="E51" s="227" t="n"/>
      <c r="F51" s="227" t="n"/>
      <c r="G51" s="227" t="n"/>
      <c r="H51" s="189" t="n"/>
      <c r="I51" s="189" t="n"/>
      <c r="J51" s="189" t="n"/>
      <c r="K51" s="201" t="n">
        <v>0</v>
      </c>
      <c r="L51" s="202">
        <f>J51-K51</f>
        <v/>
      </c>
      <c r="M51" s="228" t="n"/>
      <c r="N51" s="228" t="n"/>
      <c r="O51" s="189">
        <f>L51-M51</f>
        <v/>
      </c>
      <c r="P51" s="189">
        <f>K51-N51</f>
        <v/>
      </c>
      <c r="Q51" s="189">
        <f>M51+O51</f>
        <v/>
      </c>
      <c r="R51" s="189">
        <f>M51+N51+O51+P51</f>
        <v/>
      </c>
      <c r="S51" s="203">
        <f>SUM(T51:V51)</f>
        <v/>
      </c>
      <c r="T51" s="228" t="n"/>
      <c r="U51" s="228" t="n"/>
      <c r="V51" s="228" t="n"/>
      <c r="W51" s="228" t="n"/>
      <c r="X51" s="228" t="n"/>
      <c r="Y51" s="228" t="n"/>
      <c r="Z51" s="228" t="n"/>
      <c r="AA51" s="203" t="n"/>
      <c r="AB51" s="188" t="n"/>
      <c r="AC51" s="188" t="n"/>
      <c r="AD51" s="188" t="n"/>
      <c r="AE51" s="188" t="n"/>
      <c r="AF51" s="188" t="n"/>
      <c r="AG51" s="188" t="n"/>
      <c r="AH51" s="188" t="n"/>
      <c r="AI51" s="188" t="n"/>
      <c r="AJ51" s="188" t="n"/>
      <c r="AK51" s="188">
        <f>AB37/1.17*0.17+AC37/1.16*0.16+AD37/1.11*0.11+AE37/1.1*0.1+AF37/1.09*0.09+AI37/1.03*0.03</f>
        <v/>
      </c>
      <c r="AL51" s="214" t="n"/>
    </row>
    <row r="52" ht="14" customFormat="1" customHeight="1" s="180">
      <c r="A52" s="41" t="n"/>
      <c r="B52" s="215" t="n"/>
      <c r="C52" s="215" t="n"/>
      <c r="D52" s="229" t="inlineStr">
        <is>
          <t>机械费小计：</t>
        </is>
      </c>
      <c r="E52" s="230" t="n"/>
      <c r="F52" s="230" t="n"/>
      <c r="G52" s="230" t="n"/>
      <c r="H52" s="217">
        <f>SUM(H49:H51)</f>
        <v/>
      </c>
      <c r="I52" s="217">
        <f>SUM(I49:I51)</f>
        <v/>
      </c>
      <c r="J52" s="217">
        <f>SUM(J49:J51)</f>
        <v/>
      </c>
      <c r="K52" s="217">
        <f>SUM(K49:K51)</f>
        <v/>
      </c>
      <c r="L52" s="231">
        <f>SUM(L49:L51)</f>
        <v/>
      </c>
      <c r="M52" s="217">
        <f>SUM(M49:M51)</f>
        <v/>
      </c>
      <c r="N52" s="217">
        <f>SUM(N49:N51)</f>
        <v/>
      </c>
      <c r="O52" s="217">
        <f>SUM(O49:O51)</f>
        <v/>
      </c>
      <c r="P52" s="217">
        <f>SUM(P49:P51)</f>
        <v/>
      </c>
      <c r="Q52" s="217">
        <f>SUM(Q49:Q51)</f>
        <v/>
      </c>
      <c r="R52" s="217">
        <f>SUM(R49:R51)</f>
        <v/>
      </c>
      <c r="S52" s="217">
        <f>SUM(S49:S51)</f>
        <v/>
      </c>
      <c r="T52" s="217" t="n"/>
      <c r="U52" s="217" t="n"/>
      <c r="V52" s="217" t="n"/>
      <c r="W52" s="217" t="n"/>
      <c r="X52" s="217" t="n"/>
      <c r="Y52" s="217" t="n"/>
      <c r="Z52" s="217">
        <f>SUM(Z49:Z51)</f>
        <v/>
      </c>
      <c r="AA52" s="217">
        <f>SUM(AA49:AA51)</f>
        <v/>
      </c>
      <c r="AB52" s="217" t="n"/>
      <c r="AC52" s="217" t="n"/>
      <c r="AD52" s="217" t="n"/>
      <c r="AE52" s="217" t="n"/>
      <c r="AF52" s="217" t="n"/>
      <c r="AG52" s="217" t="n"/>
      <c r="AH52" s="217" t="n"/>
      <c r="AI52" s="217" t="n"/>
      <c r="AJ52" s="217" t="n"/>
      <c r="AK52" s="217" t="n"/>
      <c r="AL52" s="204" t="n"/>
    </row>
    <row r="53" ht="14" customFormat="1" customHeight="1" s="180">
      <c r="A53" s="33" t="n"/>
      <c r="B53" s="199" t="n"/>
      <c r="C53" s="199" t="n"/>
      <c r="D53" s="218" t="inlineStr">
        <is>
          <t>（五）其他直接费</t>
        </is>
      </c>
      <c r="E53" s="212" t="n"/>
      <c r="F53" s="212" t="n"/>
      <c r="G53" s="212" t="n"/>
      <c r="H53" s="189" t="n"/>
      <c r="I53" s="189" t="n"/>
      <c r="J53" s="184" t="n">
        <v>0</v>
      </c>
      <c r="K53" s="201" t="n">
        <v>0</v>
      </c>
      <c r="L53" s="202">
        <f>J53-N53-P53</f>
        <v/>
      </c>
      <c r="M53" s="184" t="n"/>
      <c r="N53" s="184" t="n"/>
      <c r="O53" s="189">
        <f>L53-M53</f>
        <v/>
      </c>
      <c r="P53" s="189">
        <f>K53-N53</f>
        <v/>
      </c>
      <c r="Q53" s="189">
        <f>M53+O53</f>
        <v/>
      </c>
      <c r="R53" s="189">
        <f>M53+N53+O53+P53</f>
        <v/>
      </c>
      <c r="S53" s="203">
        <f>SUM(T53:V53)</f>
        <v/>
      </c>
      <c r="T53" s="203" t="n"/>
      <c r="U53" s="203" t="n"/>
      <c r="V53" s="203" t="n"/>
      <c r="W53" s="203" t="n"/>
      <c r="X53" s="203" t="n"/>
      <c r="Y53" s="203" t="n"/>
      <c r="Z53" s="203" t="n"/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188" t="n"/>
      <c r="AL53" s="204" t="n"/>
    </row>
    <row r="54" ht="14" customFormat="1" customHeight="1" s="180">
      <c r="A54" s="33" t="n">
        <v>1</v>
      </c>
      <c r="B54" s="199" t="n"/>
      <c r="C54" s="199" t="n"/>
      <c r="D54" s="232" t="n"/>
      <c r="E54" s="212" t="n"/>
      <c r="F54" s="212" t="n"/>
      <c r="G54" s="212" t="n"/>
      <c r="H54" s="189" t="n"/>
      <c r="I54" s="189" t="n"/>
      <c r="J54" s="189">
        <f>H54+I54</f>
        <v/>
      </c>
      <c r="K54" s="201" t="n">
        <v>0</v>
      </c>
      <c r="L54" s="202">
        <f>J54-K54</f>
        <v/>
      </c>
      <c r="M54" s="233" t="n"/>
      <c r="N54" s="233" t="n"/>
      <c r="O54" s="189">
        <f>L54-M54</f>
        <v/>
      </c>
      <c r="P54" s="189">
        <f>K54-N54</f>
        <v/>
      </c>
      <c r="Q54" s="189">
        <f>M54+O54</f>
        <v/>
      </c>
      <c r="R54" s="189">
        <f>M54+N54+O54+P54</f>
        <v/>
      </c>
      <c r="S54" s="203">
        <f>SUM(T54:V54)</f>
        <v/>
      </c>
      <c r="T54" s="233" t="n"/>
      <c r="U54" s="233" t="n"/>
      <c r="V54" s="233" t="n"/>
      <c r="W54" s="233" t="n"/>
      <c r="X54" s="233" t="n"/>
      <c r="Y54" s="233" t="n"/>
      <c r="Z54" s="189">
        <f>SUM(AA40:AJ40)</f>
        <v/>
      </c>
      <c r="AA54" s="203" t="n"/>
      <c r="AB54" s="203" t="n"/>
      <c r="AC54" s="203" t="n"/>
      <c r="AD54" s="203" t="n"/>
      <c r="AE54" s="203" t="n"/>
      <c r="AF54" s="203" t="n"/>
      <c r="AG54" s="203" t="n"/>
      <c r="AH54" s="203" t="n"/>
      <c r="AI54" s="203" t="n"/>
      <c r="AJ54" s="203" t="n"/>
      <c r="AK54" s="188" t="n"/>
      <c r="AL54" s="204" t="n"/>
    </row>
    <row r="55" ht="14" customFormat="1" customHeight="1" s="180">
      <c r="A55" s="33" t="n">
        <v>2</v>
      </c>
      <c r="B55" s="199" t="n"/>
      <c r="C55" s="199" t="n"/>
      <c r="D55" s="232" t="n"/>
      <c r="E55" s="212" t="n"/>
      <c r="F55" s="212" t="n"/>
      <c r="G55" s="212" t="n"/>
      <c r="H55" s="189" t="n"/>
      <c r="I55" s="189" t="n"/>
      <c r="J55" s="189">
        <f>H55+I55</f>
        <v/>
      </c>
      <c r="K55" s="201" t="n">
        <v>0</v>
      </c>
      <c r="L55" s="202">
        <f>J55-K55</f>
        <v/>
      </c>
      <c r="M55" s="233" t="n"/>
      <c r="N55" s="233" t="n"/>
      <c r="O55" s="189">
        <f>L55-M55</f>
        <v/>
      </c>
      <c r="P55" s="189">
        <f>K55-N55</f>
        <v/>
      </c>
      <c r="Q55" s="189">
        <f>M55+O55</f>
        <v/>
      </c>
      <c r="R55" s="189">
        <f>M55+N55+O55+P55</f>
        <v/>
      </c>
      <c r="S55" s="203">
        <f>SUM(T55:V55)</f>
        <v/>
      </c>
      <c r="T55" s="233" t="n"/>
      <c r="U55" s="233" t="n"/>
      <c r="V55" s="233" t="n"/>
      <c r="W55" s="233" t="n"/>
      <c r="X55" s="233" t="n"/>
      <c r="Y55" s="233" t="n"/>
      <c r="Z55" s="189">
        <f>SUM(AA41:AJ41)</f>
        <v/>
      </c>
      <c r="AA55" s="203" t="n"/>
      <c r="AB55" s="203" t="n"/>
      <c r="AC55" s="203" t="n"/>
      <c r="AD55" s="203" t="n"/>
      <c r="AE55" s="203" t="n"/>
      <c r="AF55" s="203" t="n"/>
      <c r="AG55" s="203" t="n"/>
      <c r="AH55" s="203" t="n"/>
      <c r="AI55" s="203" t="n"/>
      <c r="AJ55" s="203" t="n"/>
      <c r="AK55" s="188" t="n"/>
      <c r="AL55" s="204" t="n"/>
    </row>
    <row r="56" ht="14" customFormat="1" customHeight="1" s="180">
      <c r="A56" s="33" t="n">
        <v>3</v>
      </c>
      <c r="B56" s="199" t="n"/>
      <c r="C56" s="199" t="n"/>
      <c r="D56" s="232" t="n"/>
      <c r="E56" s="212" t="n"/>
      <c r="F56" s="212" t="n"/>
      <c r="G56" s="212" t="n"/>
      <c r="H56" s="189" t="n"/>
      <c r="I56" s="189" t="n"/>
      <c r="J56" s="189">
        <f>H56+I56</f>
        <v/>
      </c>
      <c r="K56" s="201" t="n">
        <v>0</v>
      </c>
      <c r="L56" s="202">
        <f>J56-K56</f>
        <v/>
      </c>
      <c r="M56" s="233" t="n"/>
      <c r="N56" s="233" t="n"/>
      <c r="O56" s="189">
        <f>L56-M56</f>
        <v/>
      </c>
      <c r="P56" s="189">
        <f>K56-N56</f>
        <v/>
      </c>
      <c r="Q56" s="189">
        <f>M56+O56</f>
        <v/>
      </c>
      <c r="R56" s="189">
        <f>M56+N56+O56+P56</f>
        <v/>
      </c>
      <c r="S56" s="203">
        <f>SUM(T56:V56)</f>
        <v/>
      </c>
      <c r="T56" s="233" t="n"/>
      <c r="U56" s="233" t="n"/>
      <c r="V56" s="233" t="n"/>
      <c r="W56" s="233" t="n"/>
      <c r="X56" s="233" t="n"/>
      <c r="Y56" s="233" t="n"/>
      <c r="Z56" s="189">
        <f>SUM(AA42:AJ42)</f>
        <v/>
      </c>
      <c r="AA56" s="203" t="n"/>
      <c r="AB56" s="203" t="n"/>
      <c r="AC56" s="203" t="n"/>
      <c r="AD56" s="203" t="n"/>
      <c r="AE56" s="203" t="n"/>
      <c r="AF56" s="203" t="n"/>
      <c r="AG56" s="203" t="n"/>
      <c r="AH56" s="203" t="n"/>
      <c r="AI56" s="203" t="n"/>
      <c r="AJ56" s="203" t="n"/>
      <c r="AK56" s="188" t="n"/>
      <c r="AL56" s="204" t="n"/>
    </row>
    <row r="57" ht="14" customFormat="1" customHeight="1" s="180">
      <c r="A57" s="33" t="n">
        <v>4</v>
      </c>
      <c r="B57" s="199" t="n"/>
      <c r="C57" s="199" t="n"/>
      <c r="D57" s="232" t="n"/>
      <c r="E57" s="212" t="n"/>
      <c r="F57" s="212" t="n"/>
      <c r="G57" s="212" t="n"/>
      <c r="H57" s="189" t="n"/>
      <c r="I57" s="189" t="n"/>
      <c r="J57" s="189">
        <f>H57+I57</f>
        <v/>
      </c>
      <c r="K57" s="201" t="n">
        <v>0</v>
      </c>
      <c r="L57" s="202">
        <f>J57-K57</f>
        <v/>
      </c>
      <c r="M57" s="233" t="n"/>
      <c r="N57" s="233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33" t="n"/>
      <c r="U57" s="233" t="n"/>
      <c r="V57" s="233" t="n"/>
      <c r="W57" s="233" t="n"/>
      <c r="X57" s="233" t="n"/>
      <c r="Y57" s="233" t="n"/>
      <c r="Z57" s="189">
        <f>SUM(AA43:AJ43)</f>
        <v/>
      </c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188" t="n"/>
      <c r="AL57" s="204" t="n"/>
    </row>
    <row r="58" ht="14" customFormat="1" customHeight="1" s="180">
      <c r="A58" s="33" t="n">
        <v>5</v>
      </c>
      <c r="B58" s="199" t="n"/>
      <c r="C58" s="199" t="n"/>
      <c r="D58" s="232" t="n"/>
      <c r="E58" s="212" t="n"/>
      <c r="F58" s="212" t="n"/>
      <c r="G58" s="212" t="n"/>
      <c r="H58" s="189" t="n"/>
      <c r="I58" s="189" t="n"/>
      <c r="J58" s="189">
        <f>H58+I58</f>
        <v/>
      </c>
      <c r="K58" s="201" t="n">
        <v>0</v>
      </c>
      <c r="L58" s="202">
        <f>J58-K58</f>
        <v/>
      </c>
      <c r="M58" s="233" t="n"/>
      <c r="N58" s="233" t="n">
        <v>0</v>
      </c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33" t="n"/>
      <c r="U58" s="233" t="n"/>
      <c r="V58" s="233" t="n"/>
      <c r="W58" s="233" t="n"/>
      <c r="X58" s="233" t="n"/>
      <c r="Y58" s="233" t="n"/>
      <c r="Z58" s="189">
        <f>SUM(AA44:AJ44)</f>
        <v/>
      </c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188" t="n"/>
      <c r="AL58" s="204" t="n"/>
    </row>
    <row r="59" ht="14" customFormat="1" customHeight="1" s="180">
      <c r="A59" s="33" t="n"/>
      <c r="B59" s="199" t="n"/>
      <c r="C59" s="199" t="n"/>
      <c r="D59" s="211" t="inlineStr">
        <is>
          <t>**财务未列部分需增列***</t>
        </is>
      </c>
      <c r="E59" s="212" t="n"/>
      <c r="F59" s="212" t="n"/>
      <c r="G59" s="212" t="n"/>
      <c r="H59" s="189" t="n"/>
      <c r="I59" s="189" t="n"/>
      <c r="J59" s="184" t="n"/>
      <c r="K59" s="201" t="n"/>
      <c r="L59" s="202">
        <f>J59-K59</f>
        <v/>
      </c>
      <c r="M59" s="233" t="n"/>
      <c r="N59" s="233" t="n"/>
      <c r="O59" s="189">
        <f>L59-M59</f>
        <v/>
      </c>
      <c r="P59" s="189">
        <f>K59-N59</f>
        <v/>
      </c>
      <c r="Q59" s="189">
        <f>M59+O59</f>
        <v/>
      </c>
      <c r="R59" s="189">
        <f>M59+N59+O59+P59</f>
        <v/>
      </c>
      <c r="S59" s="203">
        <f>SUM(T59:V59)</f>
        <v/>
      </c>
      <c r="T59" s="233" t="n"/>
      <c r="U59" s="233" t="n"/>
      <c r="V59" s="233" t="n"/>
      <c r="W59" s="233" t="n"/>
      <c r="X59" s="233" t="n"/>
      <c r="Y59" s="233" t="n"/>
      <c r="Z59" s="189">
        <f>SUM(AA45:AJ45)</f>
        <v/>
      </c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203" t="n"/>
      <c r="AJ59" s="203" t="n"/>
      <c r="AK59" s="188" t="n"/>
      <c r="AL59" s="204" t="n"/>
    </row>
    <row r="60" ht="14" customFormat="1" customHeight="1" s="180">
      <c r="A60" s="55" t="n"/>
      <c r="B60" s="234" t="n"/>
      <c r="C60" s="234" t="n"/>
      <c r="D60" s="229" t="inlineStr">
        <is>
          <t>其他直接费小计：</t>
        </is>
      </c>
      <c r="E60" s="235" t="n"/>
      <c r="F60" s="235" t="n"/>
      <c r="G60" s="235" t="n"/>
      <c r="H60" s="217">
        <f>SUM(H53:H59)</f>
        <v/>
      </c>
      <c r="I60" s="217">
        <f>SUM(I53:I59)</f>
        <v/>
      </c>
      <c r="J60" s="217">
        <f>SUM(J53:J59)</f>
        <v/>
      </c>
      <c r="K60" s="217">
        <f>SUM(K53:K59)</f>
        <v/>
      </c>
      <c r="L60" s="231">
        <f>SUM(L53:L59)</f>
        <v/>
      </c>
      <c r="M60" s="217">
        <f>SUM(M53:M59)</f>
        <v/>
      </c>
      <c r="N60" s="217">
        <f>SUM(N53:N59)</f>
        <v/>
      </c>
      <c r="O60" s="217">
        <f>L60-M60</f>
        <v/>
      </c>
      <c r="P60" s="217">
        <f>SUM(P53:P59)</f>
        <v/>
      </c>
      <c r="Q60" s="217">
        <f>M60+O60</f>
        <v/>
      </c>
      <c r="R60" s="217">
        <f>SUM(R53:R59)</f>
        <v/>
      </c>
      <c r="S60" s="217">
        <f>SUM(S53:S59)</f>
        <v/>
      </c>
      <c r="T60" s="217" t="n"/>
      <c r="U60" s="217" t="n"/>
      <c r="V60" s="217" t="n"/>
      <c r="W60" s="217" t="n"/>
      <c r="X60" s="217" t="n"/>
      <c r="Y60" s="217" t="n"/>
      <c r="Z60" s="217">
        <f>SUM(Z53:Z59)</f>
        <v/>
      </c>
      <c r="AA60" s="217">
        <f>SUM(AA53:AA59)</f>
        <v/>
      </c>
      <c r="AB60" s="217">
        <f>SUM(AB53:AB59)</f>
        <v/>
      </c>
      <c r="AC60" s="217">
        <f>SUM(AC53:AC59)</f>
        <v/>
      </c>
      <c r="AD60" s="217">
        <f>SUM(AD53:AD59)</f>
        <v/>
      </c>
      <c r="AE60" s="217">
        <f>SUM(AE53:AE59)</f>
        <v/>
      </c>
      <c r="AF60" s="217">
        <f>SUM(AF53:AF59)</f>
        <v/>
      </c>
      <c r="AG60" s="217" t="n"/>
      <c r="AH60" s="217" t="n"/>
      <c r="AI60" s="217">
        <f>SUM(AI53:AI59)</f>
        <v/>
      </c>
      <c r="AJ60" s="217">
        <f>SUM(AJ53:AJ59)</f>
        <v/>
      </c>
      <c r="AK60" s="217">
        <f>SUM(AK53:AK59)</f>
        <v/>
      </c>
      <c r="AL60" s="204" t="n"/>
    </row>
    <row r="61" ht="14" customFormat="1" customHeight="1" s="180">
      <c r="A61" s="33" t="n"/>
      <c r="B61" s="199" t="n"/>
      <c r="C61" s="199" t="n"/>
      <c r="D61" s="218" t="inlineStr">
        <is>
          <t>（六）间接费</t>
        </is>
      </c>
      <c r="E61" s="212" t="n"/>
      <c r="F61" s="212" t="n"/>
      <c r="G61" s="212" t="n"/>
      <c r="H61" s="184" t="n"/>
      <c r="I61" s="189" t="n"/>
      <c r="J61" s="189" t="n">
        <v>0</v>
      </c>
      <c r="K61" s="201" t="n">
        <v>0</v>
      </c>
      <c r="L61" s="202">
        <f>J61-N61-P61</f>
        <v/>
      </c>
      <c r="M61" s="184" t="n"/>
      <c r="N61" s="184" t="n"/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03" t="n"/>
      <c r="U61" s="203" t="n"/>
      <c r="V61" s="203" t="n"/>
      <c r="W61" s="203" t="n"/>
      <c r="X61" s="203" t="n"/>
      <c r="Y61" s="203" t="n"/>
      <c r="Z61" s="203" t="n"/>
      <c r="AA61" s="203" t="n"/>
      <c r="AB61" s="203" t="n"/>
      <c r="AC61" s="203" t="n"/>
      <c r="AD61" s="203" t="n"/>
      <c r="AE61" s="203" t="n"/>
      <c r="AF61" s="203" t="n"/>
      <c r="AG61" s="203" t="n"/>
      <c r="AH61" s="203" t="n"/>
      <c r="AI61" s="203" t="n"/>
      <c r="AJ61" s="203" t="n"/>
      <c r="AK61" s="188" t="n"/>
      <c r="AL61" s="204" t="n"/>
    </row>
    <row r="62" ht="14" customFormat="1" customHeight="1" s="180">
      <c r="A62" s="206" t="n"/>
      <c r="B62" s="206" t="n"/>
      <c r="C62" s="207" t="n"/>
      <c r="D62" s="207" t="inlineStr">
        <is>
          <t>冲晒印刷费</t>
        </is>
      </c>
      <c r="E62" s="206" t="n"/>
      <c r="F62" s="206" t="n"/>
      <c r="G62" s="206" t="n"/>
      <c r="H62" s="206" t="n"/>
      <c r="I62" s="206" t="n"/>
      <c r="J62" s="206">
        <f>H62+I62</f>
        <v/>
      </c>
      <c r="K62" s="208" t="n"/>
      <c r="L62" s="209">
        <f>J62-K62</f>
        <v/>
      </c>
      <c r="M62" s="210" t="n">
        <v>2000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</row>
    <row r="63" ht="14" customFormat="1" customHeight="1" s="180">
      <c r="A63" s="206" t="n"/>
      <c r="B63" s="206" t="n"/>
      <c r="C63" s="207" t="n"/>
      <c r="D63" s="207" t="inlineStr">
        <is>
          <t>工资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189100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2" t="n"/>
      <c r="F64" s="212" t="n"/>
      <c r="G64" s="212" t="n"/>
      <c r="H64" s="233" t="n"/>
      <c r="I64" s="189" t="n"/>
      <c r="J64" s="233" t="n"/>
      <c r="K64" s="201" t="n"/>
      <c r="L64" s="202" t="n"/>
      <c r="M64" s="233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33" t="n"/>
      <c r="U64" s="233" t="n"/>
      <c r="V64" s="233" t="n"/>
      <c r="W64" s="233" t="n"/>
      <c r="X64" s="233" t="n"/>
      <c r="Y64" s="233" t="n"/>
      <c r="Z64" s="23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 t="n"/>
      <c r="AL64" s="214" t="n"/>
    </row>
    <row r="65" ht="14" customFormat="1" customHeight="1" s="180">
      <c r="A65" s="55" t="n"/>
      <c r="B65" s="234" t="n"/>
      <c r="C65" s="234" t="n"/>
      <c r="D65" s="229" t="inlineStr">
        <is>
          <t>间接费小计：</t>
        </is>
      </c>
      <c r="E65" s="235" t="n"/>
      <c r="F65" s="235" t="n"/>
      <c r="G65" s="235" t="n"/>
      <c r="H65" s="217">
        <f>SUM(H61:H64)</f>
        <v/>
      </c>
      <c r="I65" s="217">
        <f>SUM(I61:I64)</f>
        <v/>
      </c>
      <c r="J65" s="217">
        <f>SUM(J61:J64)</f>
        <v/>
      </c>
      <c r="K65" s="217">
        <f>SUM(K61:K64)</f>
        <v/>
      </c>
      <c r="L65" s="231">
        <f>SUM(L61:L64)</f>
        <v/>
      </c>
      <c r="M65" s="231">
        <f>SUM(M61:M64)</f>
        <v/>
      </c>
      <c r="N65" s="231">
        <f>SUM(N61:N64)</f>
        <v/>
      </c>
      <c r="O65" s="231">
        <f>SUM(O61:O64)</f>
        <v/>
      </c>
      <c r="P65" s="231">
        <f>SUM(P61:P64)</f>
        <v/>
      </c>
      <c r="Q65" s="231">
        <f>SUM(Q61:Q64)</f>
        <v/>
      </c>
      <c r="R65" s="231">
        <f>SUM(R61:R64)</f>
        <v/>
      </c>
      <c r="S65" s="231">
        <f>SUM(S61:S64)</f>
        <v/>
      </c>
      <c r="T65" s="231" t="n"/>
      <c r="U65" s="231" t="n"/>
      <c r="V65" s="231" t="n"/>
      <c r="W65" s="231" t="n"/>
      <c r="X65" s="231" t="n"/>
      <c r="Y65" s="231" t="n"/>
      <c r="Z65" s="231">
        <f>SUM(Z61:Z64)</f>
        <v/>
      </c>
      <c r="AA65" s="231">
        <f>SUM(AA61:AA64)</f>
        <v/>
      </c>
      <c r="AB65" s="231">
        <f>SUM(AB61:AB64)</f>
        <v/>
      </c>
      <c r="AC65" s="231">
        <f>SUM(AC61:AC64)</f>
        <v/>
      </c>
      <c r="AD65" s="231">
        <f>SUM(AD61:AD64)</f>
        <v/>
      </c>
      <c r="AE65" s="231">
        <f>SUM(AE61:AE64)</f>
        <v/>
      </c>
      <c r="AF65" s="231">
        <f>SUM(AF61:AF64)</f>
        <v/>
      </c>
      <c r="AG65" s="231" t="n"/>
      <c r="AH65" s="231" t="n"/>
      <c r="AI65" s="231">
        <f>SUM(AI61:AI64)</f>
        <v/>
      </c>
      <c r="AJ65" s="231">
        <f>SUM(AJ61:AJ64)</f>
        <v/>
      </c>
      <c r="AK65" s="231">
        <f>SUM(AK61:AK64)</f>
        <v/>
      </c>
      <c r="AL65" s="214" t="n"/>
    </row>
    <row r="66" ht="14" customFormat="1" customHeight="1" s="180">
      <c r="A66" s="33" t="n"/>
      <c r="B66" s="199" t="n"/>
      <c r="C66" s="199" t="n"/>
      <c r="D66" s="218" t="inlineStr">
        <is>
          <t>（七）安全费</t>
        </is>
      </c>
      <c r="E66" s="212" t="n"/>
      <c r="F66" s="212" t="n"/>
      <c r="G66" s="212" t="n"/>
      <c r="H66" s="189" t="n"/>
      <c r="I66" s="189" t="n"/>
      <c r="J66" s="184" t="n">
        <v>0</v>
      </c>
      <c r="K66" s="236" t="n"/>
      <c r="L66" s="202">
        <f>J66-N66-P66</f>
        <v/>
      </c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33" t="n"/>
      <c r="U66" s="233" t="n"/>
      <c r="V66" s="233" t="n"/>
      <c r="W66" s="233" t="n"/>
      <c r="X66" s="233" t="n"/>
      <c r="Y66" s="233" t="n"/>
      <c r="Z66" s="228" t="n"/>
      <c r="AA66" s="203" t="n"/>
      <c r="AB66" s="188" t="n"/>
      <c r="AC66" s="188" t="n"/>
      <c r="AD66" s="188" t="n"/>
      <c r="AE66" s="188" t="n"/>
      <c r="AF66" s="188" t="n"/>
      <c r="AG66" s="188" t="n"/>
      <c r="AH66" s="188" t="n"/>
      <c r="AI66" s="188" t="n"/>
      <c r="AJ66" s="188" t="n"/>
      <c r="AK66" s="188" t="n"/>
      <c r="AL66" s="214" t="n"/>
    </row>
    <row r="67" ht="14" customFormat="1" customHeight="1" s="180">
      <c r="A67" s="206" t="n"/>
      <c r="B67" s="206" t="n"/>
      <c r="C67" s="207" t="n"/>
      <c r="D67" s="207" t="inlineStr">
        <is>
          <t>安全生产-人工费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54633.5</v>
      </c>
      <c r="N67" s="206" t="n"/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06" t="n"/>
      <c r="U67" s="206" t="n"/>
      <c r="V67" s="206" t="n"/>
    </row>
    <row r="68" ht="14" customFormat="1" customHeight="1" s="180">
      <c r="A68" s="206" t="n"/>
      <c r="B68" s="206" t="n"/>
      <c r="C68" s="207" t="n"/>
      <c r="D68" s="207" t="inlineStr">
        <is>
          <t>安全生产-材料费</t>
        </is>
      </c>
      <c r="E68" s="206" t="n"/>
      <c r="F68" s="206" t="n"/>
      <c r="G68" s="206" t="n"/>
      <c r="H68" s="206" t="n"/>
      <c r="I68" s="206" t="n"/>
      <c r="J68" s="206">
        <f>H68+I68</f>
        <v/>
      </c>
      <c r="K68" s="208" t="n"/>
      <c r="L68" s="209">
        <f>J68-K68</f>
        <v/>
      </c>
      <c r="M68" s="210" t="n">
        <v>27591.39</v>
      </c>
      <c r="N68" s="206" t="n"/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06" t="n"/>
      <c r="U68" s="206" t="n"/>
      <c r="V68" s="206" t="n"/>
    </row>
    <row r="69" ht="39" customFormat="1" customHeight="1" s="180">
      <c r="A69" s="55" t="n"/>
      <c r="B69" s="234" t="n"/>
      <c r="C69" s="234" t="n"/>
      <c r="D69" s="229" t="inlineStr">
        <is>
          <t>安全费小计：</t>
        </is>
      </c>
      <c r="E69" s="229" t="n"/>
      <c r="F69" s="229" t="n"/>
      <c r="G69" s="229" t="n"/>
      <c r="H69" s="217">
        <f>SUM(H66:H68)</f>
        <v/>
      </c>
      <c r="I69" s="217">
        <f>SUM(I66:I68)</f>
        <v/>
      </c>
      <c r="J69" s="217" t="n">
        <v>0</v>
      </c>
      <c r="K69" s="217" t="n">
        <v>0</v>
      </c>
      <c r="L69" s="202">
        <f>J69-K69</f>
        <v/>
      </c>
      <c r="M69" s="231">
        <f>SUM(M66:M68)</f>
        <v/>
      </c>
      <c r="N69" s="231">
        <f>SUM(N66:N68)</f>
        <v/>
      </c>
      <c r="O69" s="231">
        <f>SUM(O66:O68)</f>
        <v/>
      </c>
      <c r="P69" s="231">
        <f>SUM(P66:P68)</f>
        <v/>
      </c>
      <c r="Q69" s="231">
        <f>SUM(Q66:Q68)</f>
        <v/>
      </c>
      <c r="R69" s="231">
        <f>SUM(R66:R68)</f>
        <v/>
      </c>
      <c r="S69" s="231">
        <f>SUM(S66:S68)</f>
        <v/>
      </c>
      <c r="T69" s="237" t="n"/>
      <c r="U69" s="237" t="n"/>
      <c r="V69" s="237" t="n"/>
      <c r="W69" s="237" t="n"/>
      <c r="X69" s="237" t="n"/>
      <c r="Y69" s="237" t="n"/>
      <c r="Z69" s="237" t="n"/>
      <c r="AA69" s="237">
        <f>SUM(AA66:AA68)</f>
        <v/>
      </c>
      <c r="AB69" s="237">
        <f>SUM(AB66:AB68)</f>
        <v/>
      </c>
      <c r="AC69" s="237">
        <f>SUM(AC66:AC68)</f>
        <v/>
      </c>
      <c r="AD69" s="237">
        <f>SUM(AD66:AD68)</f>
        <v/>
      </c>
      <c r="AE69" s="237">
        <f>SUM(AE66:AE68)</f>
        <v/>
      </c>
      <c r="AF69" s="237">
        <f>SUM(AF66:AF68)</f>
        <v/>
      </c>
      <c r="AG69" s="237" t="n"/>
      <c r="AH69" s="237" t="n"/>
      <c r="AI69" s="237">
        <f>SUM(AI66:AI68)</f>
        <v/>
      </c>
      <c r="AJ69" s="237">
        <f>SUM(AJ66:AJ68)</f>
        <v/>
      </c>
      <c r="AK69" s="237">
        <f>SUM(AK66:AK68)</f>
        <v/>
      </c>
      <c r="AL69" s="238" t="n"/>
    </row>
    <row r="70" ht="14" customFormat="1" customHeight="1" s="180">
      <c r="A70" s="55" t="n"/>
      <c r="B70" s="234" t="n"/>
      <c r="C70" s="234" t="n"/>
      <c r="D70" s="229" t="inlineStr">
        <is>
          <t>三、成本合计：</t>
        </is>
      </c>
      <c r="E70" s="235" t="n"/>
      <c r="F70" s="235" t="n"/>
      <c r="G70" s="235" t="n"/>
      <c r="H70" s="217">
        <f>H18+H22+H48+H52+H60+H65+H69</f>
        <v/>
      </c>
      <c r="I70" s="217">
        <f>I18+I22+I48+I52+I60+I65+I69</f>
        <v/>
      </c>
      <c r="J70" s="217">
        <f>J18+J22+J48+J52+J60+J65+J69</f>
        <v/>
      </c>
      <c r="K70" s="217">
        <f>K18+K22+K48+K52+K60+K65+K69</f>
        <v/>
      </c>
      <c r="L70" s="231">
        <f>L18+L22+L48+L52+L60+L65+L69</f>
        <v/>
      </c>
      <c r="M70" s="237">
        <f>M18+M22+M48+M52+M60+M65+M69</f>
        <v/>
      </c>
      <c r="N70" s="237">
        <f>N18+N22+N48+N52+N60+N65+N69</f>
        <v/>
      </c>
      <c r="O70" s="237">
        <f>O18+O22+O48+O52+O60+O65+O69</f>
        <v/>
      </c>
      <c r="P70" s="237">
        <f>P18+P22+P48+P52+P60+P65+P69</f>
        <v/>
      </c>
      <c r="Q70" s="237">
        <f>Q18+Q22+Q48+Q52+Q60+Q65+Q69</f>
        <v/>
      </c>
      <c r="R70" s="237">
        <f>R18+R22+R48+R52+R60+R65+R69</f>
        <v/>
      </c>
      <c r="S70" s="237">
        <f>S18+S22+S48+S52+S60+S65+S69</f>
        <v/>
      </c>
      <c r="T70" s="237" t="n"/>
      <c r="U70" s="237" t="n"/>
      <c r="V70" s="237" t="n"/>
      <c r="W70" s="237" t="n"/>
      <c r="X70" s="237" t="n"/>
      <c r="Y70" s="237" t="n"/>
      <c r="Z70" s="237">
        <f>Z18+Z22+Z48+Z52+Z60+Z65+Z69</f>
        <v/>
      </c>
      <c r="AA70" s="237">
        <f>AA18+AA22+AA48+AA52+AA60+AA65+AA69</f>
        <v/>
      </c>
      <c r="AB70" s="237">
        <f>AB18+AB22+AB48+AB52+AB60+AB65+AB69</f>
        <v/>
      </c>
      <c r="AC70" s="237">
        <f>AC18+AC22+AC48+AC52+AC60+AC65+AC69</f>
        <v/>
      </c>
      <c r="AD70" s="237">
        <f>AD18+AD22+AD48+AD52+AD60+AD65+AD69</f>
        <v/>
      </c>
      <c r="AE70" s="237">
        <f>AE18+AE22+AE48+AE52+AE60+AE65+AE69</f>
        <v/>
      </c>
      <c r="AF70" s="237">
        <f>AF18+AF22+AF48+AF52+AF60+AF65+AF69</f>
        <v/>
      </c>
      <c r="AG70" s="237" t="n"/>
      <c r="AH70" s="237" t="n"/>
      <c r="AI70" s="237">
        <f>AI18+AI22+AI48+AI52+AI60+AI65+AI69</f>
        <v/>
      </c>
      <c r="AJ70" s="237">
        <f>AJ18+AJ22+AJ48+AJ52+AJ60+AJ65+AJ69</f>
        <v/>
      </c>
      <c r="AK70" s="237">
        <f>AK18+AK22+AK48+AK52+AK60+AK65+AK69</f>
        <v/>
      </c>
      <c r="AL70" s="238" t="n"/>
    </row>
    <row r="71" ht="14" customFormat="1" customHeight="1" s="180">
      <c r="A71" s="33" t="n"/>
      <c r="B71" s="199" t="n"/>
      <c r="C71" s="199" t="n"/>
      <c r="D71" s="218" t="inlineStr">
        <is>
          <t>四、计提保修金</t>
        </is>
      </c>
      <c r="E71" s="239" t="inlineStr">
        <is>
          <t>（在建：房建0.6%，其它0.4%；在保修期间的按0.3~0.5%自行确定;保修期结束为0）</t>
        </is>
      </c>
      <c r="F71" s="239" t="n"/>
      <c r="G71" s="239" t="n"/>
      <c r="H71" s="184" t="n"/>
      <c r="I71" s="184" t="n"/>
      <c r="J71" s="184">
        <f>H71+I71</f>
        <v/>
      </c>
      <c r="K71" s="184" t="n"/>
      <c r="L71" s="202">
        <f>J71-K71</f>
        <v/>
      </c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203" t="n"/>
      <c r="AA71" s="203">
        <f>Q69-S69</f>
        <v/>
      </c>
      <c r="AB71" s="240" t="n"/>
      <c r="AC71" s="240" t="n"/>
      <c r="AD71" s="240" t="n"/>
      <c r="AE71" s="240" t="n"/>
      <c r="AF71" s="240" t="n"/>
      <c r="AG71" s="240" t="n"/>
      <c r="AH71" s="240" t="n"/>
      <c r="AI71" s="240" t="n"/>
      <c r="AJ71" s="240" t="n"/>
      <c r="AK71" s="188" t="n"/>
      <c r="AL71" s="238" t="n"/>
    </row>
    <row r="72" ht="14" customFormat="1" customHeight="1" s="180">
      <c r="A72" s="33" t="n"/>
      <c r="B72" s="199" t="n"/>
      <c r="C72" s="199" t="n"/>
      <c r="D72" s="218" t="inlineStr">
        <is>
          <t>五、过程节点奖金</t>
        </is>
      </c>
      <c r="E72" s="212" t="n"/>
      <c r="F72" s="212" t="n"/>
      <c r="G72" s="212" t="n"/>
      <c r="H72" s="184" t="n"/>
      <c r="I72" s="184" t="n"/>
      <c r="J72" s="184">
        <f>H72+I72</f>
        <v/>
      </c>
      <c r="K72" s="184" t="n"/>
      <c r="L72" s="202">
        <f>J72-K72</f>
        <v/>
      </c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203" t="n"/>
      <c r="AA72" s="203" t="n"/>
      <c r="AB72" s="188" t="n"/>
      <c r="AC72" s="188" t="n"/>
      <c r="AD72" s="188" t="n"/>
      <c r="AE72" s="188" t="n"/>
      <c r="AF72" s="188" t="n"/>
      <c r="AG72" s="188" t="n"/>
      <c r="AH72" s="188" t="n"/>
      <c r="AI72" s="188" t="n"/>
      <c r="AJ72" s="188" t="n"/>
      <c r="AK72" s="188" t="n"/>
      <c r="AL72" s="214" t="n"/>
    </row>
    <row r="73" ht="14" customFormat="1" customHeight="1" s="180">
      <c r="A73" s="33" t="n"/>
      <c r="B73" s="199" t="n"/>
      <c r="C73" s="199" t="n"/>
      <c r="D73" s="218" t="inlineStr">
        <is>
          <t>六、资金占用费用</t>
        </is>
      </c>
      <c r="E73" s="212" t="n"/>
      <c r="F73" s="212" t="n"/>
      <c r="G73" s="212" t="n"/>
      <c r="H73" s="189" t="n"/>
      <c r="I73" s="189" t="n"/>
      <c r="J73" s="184">
        <f>H73+I73</f>
        <v/>
      </c>
      <c r="K73" s="189" t="n"/>
      <c r="L73" s="202">
        <f>J73-K73</f>
        <v/>
      </c>
      <c r="M73" s="241" t="n">
        <v>901666.67</v>
      </c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203" t="n"/>
      <c r="AA73" s="203" t="n"/>
      <c r="AB73" s="188" t="n"/>
      <c r="AC73" s="188" t="n"/>
      <c r="AD73" s="188" t="n"/>
      <c r="AE73" s="188" t="n"/>
      <c r="AF73" s="188" t="n"/>
      <c r="AG73" s="188" t="n"/>
      <c r="AH73" s="188" t="n"/>
      <c r="AI73" s="188" t="n"/>
      <c r="AJ73" s="188" t="n"/>
      <c r="AK73" s="188" t="n"/>
      <c r="AL73" s="214" t="n"/>
    </row>
    <row r="74" ht="14" customFormat="1" customHeight="1" s="180">
      <c r="A74" s="33" t="n"/>
      <c r="B74" s="199" t="n"/>
      <c r="C74" s="199" t="n"/>
      <c r="D74" s="218" t="inlineStr">
        <is>
          <t>七、局投资收益（局投资项目选填）</t>
        </is>
      </c>
      <c r="E74" s="212" t="n"/>
      <c r="F74" s="212" t="n"/>
      <c r="G74" s="212" t="n"/>
      <c r="H74" s="189" t="n"/>
      <c r="I74" s="189" t="n"/>
      <c r="J74" s="184">
        <f>H74+I74</f>
        <v/>
      </c>
      <c r="K74" s="189" t="n"/>
      <c r="L74" s="202">
        <f>J74-K74</f>
        <v/>
      </c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203" t="n"/>
      <c r="AA74" s="203" t="n"/>
      <c r="AB74" s="188" t="n"/>
      <c r="AC74" s="188" t="n"/>
      <c r="AD74" s="188" t="n"/>
      <c r="AE74" s="188" t="n"/>
      <c r="AF74" s="188" t="n"/>
      <c r="AG74" s="188" t="n"/>
      <c r="AH74" s="188" t="n"/>
      <c r="AI74" s="188" t="n"/>
      <c r="AJ74" s="188" t="n"/>
      <c r="AK74" s="188" t="n"/>
      <c r="AL74" s="214" t="n"/>
    </row>
    <row r="75" ht="14" customFormat="1" customHeight="1" s="180">
      <c r="A75" s="55" t="n"/>
      <c r="B75" s="234" t="n"/>
      <c r="C75" s="234" t="n"/>
      <c r="D75" s="229" t="inlineStr">
        <is>
          <t>八、研发费用</t>
        </is>
      </c>
      <c r="E75" s="235" t="n"/>
      <c r="F75" s="235" t="n"/>
      <c r="G75" s="235" t="n"/>
      <c r="H75" s="217" t="n"/>
      <c r="I75" s="217" t="n"/>
      <c r="J75" s="217">
        <f>H75+I75</f>
        <v/>
      </c>
      <c r="K75" s="217" t="n"/>
      <c r="L75" s="231">
        <f>J75-K75</f>
        <v/>
      </c>
      <c r="M75" s="237">
        <f>SUM(M74:M76)</f>
        <v/>
      </c>
      <c r="N75" s="237">
        <f>SUM(N74:N76)</f>
        <v/>
      </c>
      <c r="O75" s="237">
        <f>SUM(O74:O76)</f>
        <v/>
      </c>
      <c r="P75" s="237">
        <f>SUM(P74:P76)</f>
        <v/>
      </c>
      <c r="Q75" s="237">
        <f>SUM(Q74:Q76)</f>
        <v/>
      </c>
      <c r="R75" s="237">
        <f>SUM(R74:R76)</f>
        <v/>
      </c>
      <c r="S75" s="237">
        <f>SUM(S74:S76)</f>
        <v/>
      </c>
      <c r="T75" s="237">
        <f>SUM(T74:T76)</f>
        <v/>
      </c>
      <c r="U75" s="237">
        <f>SUM(U74:U76)</f>
        <v/>
      </c>
      <c r="V75" s="237">
        <f>SUM(V74:V76)</f>
        <v/>
      </c>
      <c r="W75" s="237">
        <f>SUM(W74:W76)</f>
        <v/>
      </c>
      <c r="X75" s="237">
        <f>SUM(X74:X76)</f>
        <v/>
      </c>
      <c r="Y75" s="237">
        <f>SUM(Y74:Y76)</f>
        <v/>
      </c>
      <c r="Z75" s="237">
        <f>SUM(Z74:Z76)</f>
        <v/>
      </c>
      <c r="AA75" s="237">
        <f>SUM(AA74:AA76)</f>
        <v/>
      </c>
      <c r="AB75" s="237">
        <f>SUM(AB74:AB76)</f>
        <v/>
      </c>
      <c r="AC75" s="237">
        <f>SUM(AC74:AC76)</f>
        <v/>
      </c>
      <c r="AD75" s="237">
        <f>SUM(AD74:AD76)</f>
        <v/>
      </c>
      <c r="AE75" s="237">
        <f>SUM(AE74:AE76)</f>
        <v/>
      </c>
      <c r="AF75" s="237">
        <f>SUM(AF74:AF76)</f>
        <v/>
      </c>
      <c r="AG75" s="237">
        <f>SUM(AG74:AG76)</f>
        <v/>
      </c>
      <c r="AH75" s="237">
        <f>SUM(AH74:AH76)</f>
        <v/>
      </c>
      <c r="AI75" s="237">
        <f>SUM(AI74:AI76)</f>
        <v/>
      </c>
      <c r="AJ75" s="237">
        <f>SUM(AJ74:AJ76)</f>
        <v/>
      </c>
      <c r="AK75" s="237">
        <f>SUM(AK74:AK76)</f>
        <v/>
      </c>
      <c r="AL75" s="238" t="n"/>
    </row>
    <row r="76" ht="14" customFormat="1" customHeight="1" s="180">
      <c r="A76" s="33" t="n">
        <v>1</v>
      </c>
      <c r="B76" s="199" t="n"/>
      <c r="C76" s="199" t="n"/>
      <c r="D76" s="218" t="n"/>
      <c r="E76" s="212" t="n"/>
      <c r="F76" s="212" t="n"/>
      <c r="G76" s="212" t="n"/>
      <c r="H76" s="189" t="n"/>
      <c r="I76" s="189" t="n"/>
      <c r="J76" s="184">
        <f>H76+I76</f>
        <v/>
      </c>
      <c r="K76" s="189" t="n"/>
      <c r="L76" s="202">
        <f>J76-K76</f>
        <v/>
      </c>
      <c r="M76" s="189" t="n"/>
      <c r="N76" s="189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188" t="n"/>
      <c r="AC76" s="188" t="n"/>
      <c r="AD76" s="188" t="n"/>
      <c r="AE76" s="188" t="n"/>
      <c r="AF76" s="188" t="n"/>
      <c r="AG76" s="188" t="n"/>
      <c r="AH76" s="188" t="n"/>
      <c r="AI76" s="188" t="n"/>
      <c r="AJ76" s="188" t="n"/>
      <c r="AK76" s="188" t="n"/>
      <c r="AL76" s="214" t="n"/>
    </row>
    <row r="77" ht="14" customFormat="1" customHeight="1" s="180">
      <c r="A77" s="33" t="n">
        <v>2</v>
      </c>
      <c r="B77" s="199" t="n"/>
      <c r="C77" s="199" t="n"/>
      <c r="D77" s="218" t="n"/>
      <c r="E77" s="212" t="n"/>
      <c r="F77" s="212" t="n"/>
      <c r="G77" s="212" t="n"/>
      <c r="H77" s="189" t="n"/>
      <c r="I77" s="189" t="n"/>
      <c r="J77" s="184" t="n"/>
      <c r="K77" s="189" t="n"/>
      <c r="L77" s="202" t="n"/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188" t="n"/>
      <c r="AC77" s="188" t="n"/>
      <c r="AD77" s="188" t="n"/>
      <c r="AE77" s="188" t="n"/>
      <c r="AF77" s="188" t="n"/>
      <c r="AG77" s="188" t="n"/>
      <c r="AH77" s="188" t="n"/>
      <c r="AI77" s="188" t="n"/>
      <c r="AJ77" s="188" t="n"/>
      <c r="AK77" s="188" t="n"/>
      <c r="AL77" s="214" t="n"/>
    </row>
    <row r="78" ht="26" customFormat="1" customHeight="1" s="180">
      <c r="A78" s="33" t="n">
        <v>3</v>
      </c>
      <c r="B78" s="199" t="n"/>
      <c r="C78" s="199" t="n"/>
      <c r="D78" s="218" t="n"/>
      <c r="E78" s="212" t="n"/>
      <c r="F78" s="212" t="n"/>
      <c r="G78" s="212" t="n"/>
      <c r="H78" s="189" t="n"/>
      <c r="I78" s="189" t="n"/>
      <c r="J78" s="184" t="n"/>
      <c r="K78" s="189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188" t="n"/>
      <c r="AC78" s="188" t="n"/>
      <c r="AD78" s="188" t="n"/>
      <c r="AE78" s="188" t="n"/>
      <c r="AF78" s="188" t="n"/>
      <c r="AG78" s="188" t="n"/>
      <c r="AH78" s="188" t="n"/>
      <c r="AI78" s="188" t="n"/>
      <c r="AJ78" s="188" t="n"/>
      <c r="AK78" s="188" t="n"/>
      <c r="AL78" s="214" t="n"/>
    </row>
    <row r="79" ht="26" customFormat="1" customHeight="1" s="180">
      <c r="A79" s="41" t="n"/>
      <c r="B79" s="215" t="n"/>
      <c r="C79" s="215" t="n"/>
      <c r="D79" s="229" t="inlineStr">
        <is>
          <t>九、成本及费用合计（三+四+五+六+七）</t>
        </is>
      </c>
      <c r="E79" s="230" t="n"/>
      <c r="F79" s="230" t="n"/>
      <c r="G79" s="230" t="n"/>
      <c r="H79" s="217">
        <f>H68+H69+H70+H71+#REF!</f>
        <v/>
      </c>
      <c r="I79" s="217">
        <f>I68+I69+I70+I71+#REF!</f>
        <v/>
      </c>
      <c r="J79" s="242">
        <f>J68+J69+J70+J71+#REF!</f>
        <v/>
      </c>
      <c r="K79" s="217">
        <f>K68+K69+K70+K71+#REF!</f>
        <v/>
      </c>
      <c r="L79" s="243">
        <f>L68+L69+L70+L71+#REF!</f>
        <v/>
      </c>
      <c r="M79" s="243">
        <f>M68+M69+M70+M71</f>
        <v/>
      </c>
      <c r="N79" s="243">
        <f>N68+N69+N70+N71</f>
        <v/>
      </c>
      <c r="O79" s="243">
        <f>O68+O69+O70+O71</f>
        <v/>
      </c>
      <c r="P79" s="243">
        <f>P68+P69+P70+P71</f>
        <v/>
      </c>
      <c r="Q79" s="243">
        <f>Q68+Q69+Q70+Q71</f>
        <v/>
      </c>
      <c r="R79" s="243">
        <f>R68+R69+R70+R71</f>
        <v/>
      </c>
      <c r="S79" s="237">
        <f>S68+S69+S70+S71</f>
        <v/>
      </c>
      <c r="T79" s="237" t="n"/>
      <c r="U79" s="237" t="n"/>
      <c r="V79" s="237" t="n"/>
      <c r="W79" s="237" t="n"/>
      <c r="X79" s="237" t="n"/>
      <c r="Y79" s="237" t="n"/>
      <c r="Z79" s="237">
        <f>Z68+Z69+Z70+Z71</f>
        <v/>
      </c>
      <c r="AA79" s="237">
        <f>AA68+AA69+AA70+AA71</f>
        <v/>
      </c>
      <c r="AB79" s="244" t="n"/>
      <c r="AC79" s="244" t="n"/>
      <c r="AD79" s="244" t="n"/>
      <c r="AE79" s="244" t="n"/>
      <c r="AF79" s="244" t="n"/>
      <c r="AG79" s="244" t="n"/>
      <c r="AH79" s="244" t="n"/>
      <c r="AI79" s="244" t="n"/>
      <c r="AJ79" s="244" t="n"/>
      <c r="AK79" s="245" t="n"/>
      <c r="AL79" s="246" t="n"/>
    </row>
    <row r="80" ht="14" customFormat="1" customHeight="1" s="180">
      <c r="A80" s="41" t="n"/>
      <c r="B80" s="215" t="n"/>
      <c r="C80" s="215" t="n"/>
      <c r="D80" s="229" t="inlineStr">
        <is>
          <t>十、增值税实际税负（按财务数据）</t>
        </is>
      </c>
      <c r="E80" s="230" t="inlineStr">
        <is>
          <t>根据财务账面实际已缴纳增值税额+尚需缴纳的增值税额</t>
        </is>
      </c>
      <c r="F80" s="230" t="n"/>
      <c r="G80" s="230" t="n"/>
      <c r="H80" s="217" t="n"/>
      <c r="I80" s="217" t="n"/>
      <c r="J80" s="242">
        <f>H78+I78</f>
        <v/>
      </c>
      <c r="K80" s="217" t="inlineStr">
        <is>
          <t>/</t>
        </is>
      </c>
      <c r="L80" s="243" t="inlineStr">
        <is>
          <t>/</t>
        </is>
      </c>
      <c r="M80" s="243" t="n"/>
      <c r="N80" s="243">
        <f>N6-N77</f>
        <v/>
      </c>
      <c r="O80" s="243" t="n"/>
      <c r="P80" s="243" t="n"/>
      <c r="Q80" s="243" t="inlineStr">
        <is>
          <t>/</t>
        </is>
      </c>
      <c r="R80" s="243">
        <f>N78+P78</f>
        <v/>
      </c>
      <c r="S80" s="237" t="n"/>
      <c r="T80" s="237" t="n"/>
      <c r="U80" s="237" t="n"/>
      <c r="V80" s="237" t="n"/>
      <c r="W80" s="237" t="n"/>
      <c r="X80" s="237" t="n"/>
      <c r="Y80" s="237" t="n"/>
      <c r="Z80" s="237" t="n"/>
      <c r="AA80" s="237" t="n"/>
      <c r="AB80" s="244" t="n"/>
      <c r="AC80" s="244" t="n"/>
      <c r="AD80" s="244" t="n"/>
      <c r="AE80" s="244" t="n"/>
      <c r="AF80" s="244" t="n"/>
      <c r="AG80" s="244" t="n"/>
      <c r="AH80" s="244" t="n"/>
      <c r="AI80" s="244" t="n"/>
      <c r="AJ80" s="244" t="n"/>
      <c r="AK80" s="245" t="n"/>
      <c r="AL80" s="246" t="n"/>
    </row>
    <row r="81" ht="14" customFormat="1" customHeight="1" s="3">
      <c r="A81" s="41" t="n"/>
      <c r="B81" s="215" t="n"/>
      <c r="C81" s="215" t="n"/>
      <c r="D81" s="229" t="inlineStr">
        <is>
          <t>十一、税金及附加（按财务数据）</t>
        </is>
      </c>
      <c r="E81" s="230" t="inlineStr">
        <is>
          <t>根据财务账面实际已缴纳税金及附加+尚需缴纳的税金及附加</t>
        </is>
      </c>
      <c r="F81" s="230" t="n"/>
      <c r="G81" s="230" t="n"/>
      <c r="H81" s="217" t="n"/>
      <c r="I81" s="217" t="n"/>
      <c r="J81" s="242">
        <f>H79+I79</f>
        <v/>
      </c>
      <c r="K81" s="217" t="n"/>
      <c r="L81" s="243">
        <f>J79</f>
        <v/>
      </c>
      <c r="M81" s="247" t="n">
        <v>25924.24</v>
      </c>
      <c r="N81" s="243" t="n"/>
      <c r="O81" s="243">
        <f>L79-M79</f>
        <v/>
      </c>
      <c r="P81" s="243" t="n"/>
      <c r="Q81" s="243">
        <f>M79+O79</f>
        <v/>
      </c>
      <c r="R81" s="243">
        <f>Q79</f>
        <v/>
      </c>
      <c r="S81" s="237" t="n"/>
      <c r="T81" s="237" t="n"/>
      <c r="U81" s="237" t="n"/>
      <c r="V81" s="237" t="n"/>
      <c r="W81" s="237" t="n"/>
      <c r="X81" s="237" t="n"/>
      <c r="Y81" s="237" t="n"/>
      <c r="Z81" s="237" t="n"/>
      <c r="AA81" s="237" t="n"/>
      <c r="AB81" s="244" t="n"/>
      <c r="AC81" s="244" t="n"/>
      <c r="AD81" s="244" t="n"/>
      <c r="AE81" s="244" t="n"/>
      <c r="AF81" s="244" t="n"/>
      <c r="AG81" s="244" t="n"/>
      <c r="AH81" s="244" t="n"/>
      <c r="AI81" s="244" t="n"/>
      <c r="AJ81" s="244" t="n"/>
      <c r="AK81" s="245" t="n"/>
      <c r="AL81" s="246" t="n"/>
    </row>
    <row r="82" ht="14" customHeight="1" s="159">
      <c r="A82" s="41" t="n"/>
      <c r="B82" s="215" t="n"/>
      <c r="C82" s="215" t="n"/>
      <c r="D82" s="229" t="inlineStr">
        <is>
          <t>十二、利润</t>
        </is>
      </c>
      <c r="E82" s="230" t="n"/>
      <c r="F82" s="230" t="n"/>
      <c r="G82" s="230" t="n"/>
      <c r="H82" s="217" t="n"/>
      <c r="I82" s="217" t="n"/>
      <c r="J82" s="242">
        <f>J6-J77-J78-J79</f>
        <v/>
      </c>
      <c r="K82" s="217" t="n"/>
      <c r="L82" s="243" t="n"/>
      <c r="M82" s="243" t="n"/>
      <c r="N82" s="243" t="n"/>
      <c r="O82" s="243" t="n"/>
      <c r="P82" s="243" t="n"/>
      <c r="Q82" s="243" t="n"/>
      <c r="R82" s="243" t="n"/>
      <c r="S82" s="237" t="n"/>
      <c r="T82" s="237" t="n"/>
      <c r="U82" s="237" t="n"/>
      <c r="V82" s="237" t="n"/>
      <c r="W82" s="237" t="n"/>
      <c r="X82" s="237" t="n"/>
      <c r="Y82" s="237" t="n"/>
      <c r="Z82" s="237" t="n"/>
      <c r="AA82" s="237" t="n"/>
      <c r="AB82" s="244" t="n"/>
      <c r="AC82" s="244" t="n"/>
      <c r="AD82" s="244" t="n"/>
      <c r="AE82" s="244" t="n"/>
      <c r="AF82" s="244" t="n"/>
      <c r="AG82" s="244" t="n"/>
      <c r="AH82" s="244" t="n"/>
      <c r="AI82" s="244" t="n"/>
      <c r="AJ82" s="244" t="n"/>
      <c r="AK82" s="245" t="n"/>
      <c r="AL82" s="246" t="n"/>
    </row>
    <row r="83" ht="14" customHeight="1" s="159">
      <c r="A83" s="105" t="n"/>
      <c r="B83" s="106" t="n"/>
      <c r="C83" s="106" t="n"/>
      <c r="D83" s="107" t="inlineStr">
        <is>
          <t>十三、利润率</t>
        </is>
      </c>
      <c r="E83" s="108" t="n"/>
      <c r="F83" s="108" t="n"/>
      <c r="G83" s="108" t="n"/>
      <c r="H83" s="109" t="n"/>
      <c r="I83" s="109" t="n"/>
      <c r="J83" s="109">
        <f>J80/J6</f>
        <v/>
      </c>
      <c r="K83" s="109" t="n"/>
      <c r="L83" s="127">
        <f>L80/L6</f>
        <v/>
      </c>
      <c r="M83" s="127">
        <f>M80/M6</f>
        <v/>
      </c>
      <c r="N83" s="127" t="n"/>
      <c r="O83" s="127" t="n"/>
      <c r="P83" s="127" t="n"/>
      <c r="Q83" s="127">
        <f>Q80/Q6</f>
        <v/>
      </c>
      <c r="R83" s="127">
        <f>R80/R6</f>
        <v/>
      </c>
      <c r="S83" s="142" t="n"/>
      <c r="T83" s="142" t="n"/>
      <c r="U83" s="142" t="n"/>
      <c r="V83" s="142" t="n"/>
      <c r="W83" s="142" t="n"/>
      <c r="X83" s="142" t="n"/>
      <c r="Y83" s="142" t="n"/>
      <c r="Z83" s="142" t="n"/>
      <c r="AA83" s="142" t="n"/>
      <c r="AB83" s="146" t="n"/>
      <c r="AC83" s="146" t="n"/>
      <c r="AD83" s="146" t="n"/>
      <c r="AE83" s="146" t="n"/>
      <c r="AF83" s="146" t="n"/>
      <c r="AG83" s="146" t="n"/>
      <c r="AH83" s="146" t="n"/>
      <c r="AI83" s="146" t="n"/>
      <c r="AJ83" s="146" t="n"/>
      <c r="AK83" s="154" t="n"/>
      <c r="AL83" s="155" t="n"/>
    </row>
    <row r="84">
      <c r="A84" s="111" t="n"/>
      <c r="B84" s="111" t="n"/>
      <c r="C84" s="111" t="n"/>
      <c r="D84" s="112" t="n"/>
      <c r="E84" s="113" t="n"/>
      <c r="F84" s="113" t="n"/>
      <c r="G84" s="113" t="n"/>
      <c r="H84" s="248" t="n"/>
      <c r="I84" s="248" t="n"/>
      <c r="J84" s="249" t="inlineStr">
        <is>
          <t>含税利润率</t>
        </is>
      </c>
      <c r="K84" s="250" t="n"/>
      <c r="L84" s="251" t="inlineStr">
        <is>
          <t>不含税利润率</t>
        </is>
      </c>
      <c r="M84" s="252" t="n"/>
      <c r="N84" s="252" t="n"/>
      <c r="O84" s="252" t="n"/>
      <c r="P84" s="252" t="n"/>
      <c r="Q84" s="252" t="n"/>
      <c r="R84" s="252" t="n"/>
      <c r="S84" s="252" t="n"/>
      <c r="T84" s="252" t="n"/>
      <c r="U84" s="252" t="n"/>
      <c r="V84" s="252" t="n"/>
      <c r="W84" s="252" t="n"/>
      <c r="X84" s="252" t="n"/>
      <c r="Y84" s="252" t="n"/>
      <c r="Z84" s="253" t="n"/>
      <c r="AA84" s="162" t="n"/>
      <c r="AB84" s="254" t="n"/>
      <c r="AC84" s="254" t="n"/>
      <c r="AD84" s="254" t="n"/>
      <c r="AE84" s="254" t="n"/>
      <c r="AF84" s="254" t="n"/>
      <c r="AG84" s="254" t="n"/>
      <c r="AH84" s="254" t="n"/>
      <c r="AI84" s="254" t="n"/>
      <c r="AJ84" s="254" t="n"/>
      <c r="AK84" s="254" t="n"/>
      <c r="AL84" s="156" t="n"/>
    </row>
    <row r="85">
      <c r="A85" s="111" t="n"/>
      <c r="B85" s="111" t="n"/>
      <c r="C85" s="111" t="n"/>
      <c r="D85" s="112" t="n"/>
      <c r="E85" s="113" t="n"/>
      <c r="F85" s="113" t="n"/>
      <c r="G85" s="113" t="n"/>
      <c r="H85" s="248" t="n"/>
      <c r="I85" s="248" t="n"/>
      <c r="J85" s="255" t="n"/>
      <c r="K85" s="248" t="n"/>
      <c r="L85" s="256" t="n"/>
      <c r="M85" s="252" t="n"/>
      <c r="N85" s="252" t="n"/>
      <c r="O85" s="252" t="n"/>
      <c r="P85" s="252" t="n"/>
      <c r="Q85" s="252" t="n"/>
      <c r="R85" s="252" t="n"/>
      <c r="S85" s="252" t="n"/>
      <c r="T85" s="252" t="n"/>
      <c r="U85" s="252" t="n"/>
      <c r="V85" s="252" t="n"/>
      <c r="W85" s="252" t="n"/>
      <c r="X85" s="252" t="n"/>
      <c r="Y85" s="252" t="n"/>
      <c r="Z85" s="253" t="n"/>
      <c r="AA85" s="162" t="n"/>
      <c r="AB85" s="254" t="n"/>
      <c r="AC85" s="254" t="n"/>
      <c r="AD85" s="254" t="n"/>
      <c r="AE85" s="254" t="n"/>
      <c r="AF85" s="254" t="n"/>
      <c r="AG85" s="254" t="n"/>
      <c r="AH85" s="254" t="n"/>
      <c r="AI85" s="254" t="n"/>
      <c r="AJ85" s="254" t="n"/>
      <c r="AK85" s="254" t="n"/>
      <c r="AL85" s="156" t="n"/>
    </row>
    <row r="86">
      <c r="A86" s="116" t="n"/>
      <c r="B86" s="116" t="n"/>
      <c r="C86" s="116" t="n"/>
      <c r="D86" s="117" t="n"/>
      <c r="E86" s="118" t="n"/>
      <c r="F86" s="118" t="n"/>
      <c r="G86" s="118" t="n"/>
      <c r="H86" s="119" t="n"/>
      <c r="I86" s="119" t="n"/>
      <c r="J86" s="134" t="n"/>
      <c r="K86" s="257" t="n"/>
      <c r="L86" s="257" t="n"/>
      <c r="M86" s="258" t="n"/>
      <c r="N86" s="257" t="n"/>
      <c r="O86" s="257" t="n"/>
      <c r="P86" s="259" t="n"/>
      <c r="Q86" s="259" t="n"/>
      <c r="R86" s="257" t="n"/>
      <c r="S86" s="260" t="n"/>
      <c r="T86" s="260" t="n"/>
      <c r="U86" s="260" t="n"/>
      <c r="V86" s="260" t="n"/>
      <c r="W86" s="260" t="n"/>
      <c r="X86" s="260" t="n"/>
      <c r="Y86" s="260" t="n"/>
      <c r="Z86" s="261" t="n"/>
      <c r="AA86" s="262" t="n"/>
      <c r="AD86" s="263" t="n"/>
      <c r="AE86" s="263" t="n"/>
      <c r="AF86" s="263" t="n"/>
      <c r="AG86" s="263" t="n"/>
      <c r="AH86" s="263" t="n"/>
      <c r="AI86" s="263" t="n"/>
      <c r="AJ86" s="263" t="n"/>
      <c r="AK86" s="263" t="n"/>
      <c r="AL86" s="121" t="n"/>
    </row>
    <row r="87">
      <c r="A87" s="121" t="n"/>
      <c r="B87" s="121" t="n"/>
      <c r="C87" s="121" t="n"/>
      <c r="D87" s="121" t="n"/>
      <c r="E87" s="122" t="n"/>
      <c r="F87" s="122" t="n"/>
      <c r="G87" s="122" t="n"/>
      <c r="H87" s="122" t="n"/>
      <c r="I87" s="122" t="n"/>
      <c r="J87" s="122" t="n"/>
      <c r="K87" s="264" t="n"/>
      <c r="L87" s="122" t="n"/>
      <c r="M87" s="265" t="n"/>
      <c r="N87" s="265" t="n"/>
      <c r="O87" s="265" t="n"/>
      <c r="P87" s="265" t="n"/>
      <c r="Q87" s="265" t="n"/>
      <c r="R87" s="265" t="n"/>
      <c r="S87" s="260" t="n"/>
      <c r="T87" s="260" t="n"/>
      <c r="U87" s="260" t="n"/>
      <c r="V87" s="260" t="n"/>
      <c r="W87" s="260" t="n"/>
      <c r="X87" s="260" t="n"/>
      <c r="Y87" s="260" t="n"/>
      <c r="Z87" s="265" t="n"/>
      <c r="AA87" s="263" t="n"/>
      <c r="AB87" s="263" t="n"/>
      <c r="AC87" s="263" t="n"/>
      <c r="AD87" s="263" t="n"/>
      <c r="AE87" s="263" t="n"/>
      <c r="AF87" s="263" t="n"/>
      <c r="AG87" s="263" t="n"/>
      <c r="AH87" s="263" t="n"/>
      <c r="AI87" s="263" t="n"/>
      <c r="AJ87" s="263" t="n"/>
      <c r="AK87" s="263" t="n"/>
      <c r="AL87" s="121" t="n"/>
    </row>
    <row r="88">
      <c r="A88" s="121" t="n"/>
      <c r="B88" s="121" t="n"/>
      <c r="C88" s="121" t="n"/>
      <c r="D88" s="121" t="n"/>
      <c r="E88" s="122" t="n"/>
      <c r="F88" s="122" t="n"/>
      <c r="G88" s="122" t="n"/>
      <c r="H88" s="122" t="n"/>
      <c r="I88" s="122" t="n"/>
      <c r="J88" s="122" t="n"/>
      <c r="K88" s="264" t="n"/>
      <c r="L88" s="122" t="n"/>
      <c r="M88" s="265" t="n"/>
      <c r="N88" s="265" t="n"/>
      <c r="O88" s="265" t="n"/>
      <c r="P88" s="265" t="n"/>
      <c r="Q88" s="265" t="n"/>
      <c r="R88" s="265" t="n"/>
      <c r="S88" s="260" t="n"/>
      <c r="T88" s="260" t="n"/>
      <c r="U88" s="260" t="n"/>
      <c r="V88" s="260" t="n"/>
      <c r="W88" s="260" t="n"/>
      <c r="X88" s="260" t="n"/>
      <c r="Y88" s="260" t="n"/>
      <c r="Z88" s="265" t="n"/>
      <c r="AA88" s="263" t="n"/>
      <c r="AB88" s="263" t="n"/>
      <c r="AC88" s="263" t="n"/>
      <c r="AD88" s="263" t="n"/>
      <c r="AE88" s="263" t="n"/>
      <c r="AF88" s="263" t="n"/>
      <c r="AG88" s="263" t="n"/>
      <c r="AH88" s="263" t="n"/>
      <c r="AI88" s="263" t="n"/>
      <c r="AJ88" s="263" t="n"/>
      <c r="AK88" s="263" t="n"/>
      <c r="AL88" s="121" t="n"/>
    </row>
    <row r="89">
      <c r="A89" s="121" t="n"/>
      <c r="B89" s="121" t="n"/>
      <c r="C89" s="121" t="n"/>
      <c r="D89" s="121" t="n"/>
      <c r="E89" s="123" t="n"/>
      <c r="F89" s="123" t="n"/>
      <c r="G89" s="123" t="n"/>
      <c r="H89" s="122" t="n"/>
      <c r="I89" s="122" t="n"/>
      <c r="J89" s="122" t="n"/>
      <c r="K89" s="123" t="n"/>
      <c r="L89" s="122" t="n"/>
      <c r="M89" s="265" t="n"/>
      <c r="N89" s="261" t="n"/>
      <c r="O89" s="265" t="n"/>
      <c r="P89" s="265" t="n"/>
      <c r="Q89" s="265" t="n"/>
      <c r="R89" s="257" t="n"/>
      <c r="S89" s="260" t="n"/>
      <c r="T89" s="260" t="n"/>
      <c r="U89" s="260" t="n"/>
      <c r="V89" s="260" t="n"/>
      <c r="W89" s="260" t="n"/>
      <c r="X89" s="260" t="n"/>
      <c r="Y89" s="260" t="n"/>
      <c r="Z89" s="265" t="n"/>
      <c r="AA89" s="263" t="n"/>
      <c r="AB89" s="263" t="n"/>
      <c r="AC89" s="263" t="n"/>
      <c r="AD89" s="263" t="n"/>
      <c r="AE89" s="263" t="n"/>
      <c r="AF89" s="263" t="n"/>
      <c r="AG89" s="263" t="n"/>
      <c r="AH89" s="263" t="n"/>
      <c r="AI89" s="263" t="n"/>
      <c r="AJ89" s="263" t="n"/>
      <c r="AK89" s="263" t="n"/>
      <c r="AL89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2026-04-25T02:03:35Z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