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externalReferences>
    <externalReference r:id="rId2"/>
  </externalReferences>
  <definedNames>
    <definedName name="hideComboData0">[1]数据集!$A$1:$A$6212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于</author>
    <author>51458</author>
    <author>Admin</author>
  </authors>
  <commentList>
    <comment ref="E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F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G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H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I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J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K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L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M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N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O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P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Q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R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S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T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U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V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W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X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Y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Z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A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B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C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D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E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F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G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H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I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J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AK17" authorId="0">
      <text>
        <r>
          <rPr>
            <sz val="10"/>
            <rFont val="宋体"/>
            <charset val="134"/>
          </rPr>
          <t>于:
**同财务账面合同履约成本/工程施工成本/直接人工费数据一致**</t>
        </r>
      </text>
    </comment>
    <comment ref="D69" authorId="1">
      <text>
        <r>
          <rPr>
            <sz val="10"/>
            <rFont val="宋体"/>
            <charset val="134"/>
          </rPr>
          <t>（在建：房建0.6%，其它0.4%；在保修期间的按0.3~0.5%自行确定;保修期结束为0）</t>
        </r>
      </text>
    </comment>
    <comment ref="E78" authorId="2">
      <text>
        <r>
          <rPr>
            <sz val="10"/>
            <rFont val="宋体"/>
            <charset val="134"/>
          </rPr>
          <t>Admin:
尚需缴纳的增值税额=尚需向业主开票（累计实际完成工程量-累计已开票金额）金额对应的销项税额-分包分供尚可抵扣的进项税额</t>
        </r>
      </text>
    </comment>
    <comment ref="E79" authorId="2">
      <text>
        <r>
          <rPr>
            <sz val="10"/>
            <rFont val="宋体"/>
            <charset val="134"/>
          </rPr>
          <t>Admin:
尚需缴纳的税金及附加=尚需缴纳的增值税*税金及附加税率</t>
        </r>
      </text>
    </comment>
  </commentList>
</comments>
</file>

<file path=xl/sharedStrings.xml><?xml version="1.0" encoding="utf-8"?>
<sst xmlns="http://schemas.openxmlformats.org/spreadsheetml/2006/main" count="139" uniqueCount="124">
  <si>
    <t xml:space="preserve">            项目效益审核表               单位：元</t>
  </si>
  <si>
    <t>序号</t>
  </si>
  <si>
    <t>业主名称：</t>
  </si>
  <si>
    <t>业主所属集团：</t>
  </si>
  <si>
    <t>我司签约单位：</t>
  </si>
  <si>
    <t>本表填报时间：</t>
  </si>
  <si>
    <t>数据截止时间：</t>
  </si>
  <si>
    <t>利润中心编码</t>
  </si>
  <si>
    <t>项目编码</t>
  </si>
  <si>
    <t>工程名称（与一体化保持一致）</t>
  </si>
  <si>
    <t>项目状态（点选）</t>
  </si>
  <si>
    <t>是否办理最终结算</t>
  </si>
  <si>
    <t>最终结算时间</t>
  </si>
  <si>
    <t>商务/材料确认</t>
  </si>
  <si>
    <t>财务确认</t>
  </si>
  <si>
    <t>债权情况</t>
  </si>
  <si>
    <t>税务情况</t>
  </si>
  <si>
    <t>备注</t>
  </si>
  <si>
    <t>业主累计确认工程量
(含增值税)</t>
  </si>
  <si>
    <t>已完成未确权工程量
(含增值税)</t>
  </si>
  <si>
    <t>累计实际完成工作量
(含增值税)</t>
  </si>
  <si>
    <t>其中：实际收入应计增值税</t>
  </si>
  <si>
    <t>累计实际完成工作量（不含增值税）</t>
  </si>
  <si>
    <t>财务累计入账收入
（不含增值税）</t>
  </si>
  <si>
    <t>已价税分离的增值税金额(财务账面数据)</t>
  </si>
  <si>
    <t>应入未入账收入（商务实际完成不含税产值-财务账面列报收入）</t>
  </si>
  <si>
    <t>尚未价税分离的增值税金</t>
  </si>
  <si>
    <t>财务累计应确认收入（不含增值税）</t>
  </si>
  <si>
    <t>财务累计应确认收入（含增值税）</t>
  </si>
  <si>
    <t>实际收款</t>
  </si>
  <si>
    <t>其中：财务账面已列报收款</t>
  </si>
  <si>
    <t>其中：已抵债未入账收款</t>
  </si>
  <si>
    <t>其中：其他未入账收款</t>
  </si>
  <si>
    <t>债权总额</t>
  </si>
  <si>
    <t>其中：应收总额</t>
  </si>
  <si>
    <t>是否已取得对账单
（以取得双方用印对账单为准）</t>
  </si>
  <si>
    <t>累计已开发票（含税）</t>
  </si>
  <si>
    <t>其中：分包抵扣发票额
（含税）</t>
  </si>
  <si>
    <t>其中：增值税项下已抵扣税额</t>
  </si>
  <si>
    <t>累计已开具营业税发票</t>
  </si>
  <si>
    <t>其中：分包分供抵扣发票额</t>
  </si>
  <si>
    <t>累计已开具增值税发票
（含税）</t>
  </si>
  <si>
    <t>其中：预缴时分包抵扣发票额</t>
  </si>
  <si>
    <t>按结算未开具发票额</t>
  </si>
  <si>
    <t>按收款未开具发票额</t>
  </si>
  <si>
    <t>当前适用税率</t>
  </si>
  <si>
    <t>应收账款-待转销税额</t>
  </si>
  <si>
    <t>XX项目</t>
  </si>
  <si>
    <t>客商编码</t>
  </si>
  <si>
    <t>合同编码</t>
  </si>
  <si>
    <t>客商名称</t>
  </si>
  <si>
    <t>主要工作内容</t>
  </si>
  <si>
    <t>商务、物资确认</t>
  </si>
  <si>
    <t>债务情况</t>
  </si>
  <si>
    <t>商务已结(含税)</t>
  </si>
  <si>
    <t>截止目前应结未结(含税)</t>
  </si>
  <si>
    <t>实际诶计成本(含税)</t>
  </si>
  <si>
    <t>累计成本可抵扣增值税税金</t>
  </si>
  <si>
    <t>实际累计成本
（不含可抵扣税金）</t>
  </si>
  <si>
    <t>截止目前财务已入账成本（不含增值税）
**同财务账面合同履约成本/工程施工成本一致**</t>
  </si>
  <si>
    <t>已价税分离的增值税金
（财务账面数据）</t>
  </si>
  <si>
    <t>应入未入账成本（不含增值税）</t>
  </si>
  <si>
    <t>实际成本
（不含增值税）</t>
  </si>
  <si>
    <t>实际成本
（含增值税）</t>
  </si>
  <si>
    <t>累计付款</t>
  </si>
  <si>
    <t>其中：财务账面已列报付款</t>
  </si>
  <si>
    <t>其中：已办理供应链或票据背书未入账付款</t>
  </si>
  <si>
    <t>其中：其他未入账付款</t>
  </si>
  <si>
    <t>债务总额</t>
  </si>
  <si>
    <t>其中：应付总额</t>
  </si>
  <si>
    <t>累计已收取发票（含税）</t>
  </si>
  <si>
    <t>其中：累计已收取营业税发票额</t>
  </si>
  <si>
    <t>其中：累计已收取增值税发票额</t>
  </si>
  <si>
    <t>其中：营业税及增值税预缴时已抵扣发票额</t>
  </si>
  <si>
    <t>已收取增值税发票对应税额</t>
  </si>
  <si>
    <t>其中：已认证税额</t>
  </si>
  <si>
    <t>已收取待认证税额</t>
  </si>
  <si>
    <t>按结算未收取发票额</t>
  </si>
  <si>
    <t>按付款未收取发票额</t>
  </si>
  <si>
    <t>其他应收-待扣减税额</t>
  </si>
  <si>
    <t>9=7+8</t>
  </si>
  <si>
    <t>11=9-10</t>
  </si>
  <si>
    <t>14=11-12</t>
  </si>
  <si>
    <t>15=10-13</t>
  </si>
  <si>
    <t>16=12+14</t>
  </si>
  <si>
    <t>17=12+13+14+15</t>
  </si>
  <si>
    <t>二、成本</t>
  </si>
  <si>
    <t>（一）人工费</t>
  </si>
  <si>
    <t>**财务未列部分需增列***</t>
  </si>
  <si>
    <t>人工费小计：</t>
  </si>
  <si>
    <t>（二）分包工程</t>
  </si>
  <si>
    <t>分包工程小计：</t>
  </si>
  <si>
    <t>(三)材料费</t>
  </si>
  <si>
    <t>（1）集中采购</t>
  </si>
  <si>
    <t>（2）自行采购</t>
  </si>
  <si>
    <t>材料调入</t>
  </si>
  <si>
    <t>材料调出（注：负数填报）</t>
  </si>
  <si>
    <t>材料库存（注：项目已结算未使用材料冲减项目成本，负数填报）</t>
  </si>
  <si>
    <t>材料费小计：</t>
  </si>
  <si>
    <t>(四）机械租赁费</t>
  </si>
  <si>
    <t>机械费小计：</t>
  </si>
  <si>
    <t>（五）其他直接费</t>
  </si>
  <si>
    <t>其他直接费小计：</t>
  </si>
  <si>
    <t>（六）间接费</t>
  </si>
  <si>
    <t>间接费小计：</t>
  </si>
  <si>
    <t>（七）安全费</t>
  </si>
  <si>
    <t>安全费小计：</t>
  </si>
  <si>
    <t>三、成本合计：</t>
  </si>
  <si>
    <t>四、计提保修金</t>
  </si>
  <si>
    <t>（在建：房建0.6%，其它0.4%；在保修期间的按0.3~0.5%自行确定;保修期结束为0）</t>
  </si>
  <si>
    <t>五、过程节点奖金</t>
  </si>
  <si>
    <t>六、资金占用费用</t>
  </si>
  <si>
    <t>七、局投资收益（局投资项目选填）</t>
  </si>
  <si>
    <t>八、研发费用</t>
  </si>
  <si>
    <t>九、成本及费用合计（三+四+五+六+七）</t>
  </si>
  <si>
    <t>十、增值税实际税负（按财务数据）</t>
  </si>
  <si>
    <t>根据财务账面实际已缴纳增值税额+尚需缴纳的增值税额</t>
  </si>
  <si>
    <t>/</t>
  </si>
  <si>
    <t>十一、税金及附加（按财务数据）</t>
  </si>
  <si>
    <t>根据财务账面实际已缴纳税金及附加+尚需缴纳的税金及附加</t>
  </si>
  <si>
    <t>十二、利润</t>
  </si>
  <si>
    <t>十三、利润率</t>
  </si>
  <si>
    <t>含税利润率</t>
  </si>
  <si>
    <t>不含税利润率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</si>
</sst>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sz val="11"/>
      <color theme="1"/>
      <name val="宋体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7">
    <xf numFmtId="0" fontId="0" fillId="0" borderId="0" xfId="0">
      <alignment vertical="center"/>
    </xf>
    <xf numFmtId="43" fontId="0" fillId="0" borderId="0" xfId="0" applyNumberFormat="1">
      <alignment vertical="center"/>
    </xf>
    <xf numFmtId="49" fontId="0" fillId="0" borderId="0" xfId="0" applyNumberFormat="1">
      <alignment vertical="center"/>
    </xf>
    <xf numFmtId="9" fontId="0" fillId="0" borderId="0" xfId="3">
      <alignment vertical="center"/>
    </xf>
    <xf numFmtId="0" fontId="1" fillId="0" borderId="0" xfId="0" applyNumberFormat="1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176" fontId="1" fillId="0" borderId="0" xfId="0" applyNumberFormat="1" applyFont="1" applyFill="1" applyAlignment="1">
      <alignment vertical="center"/>
    </xf>
    <xf numFmtId="43" fontId="1" fillId="0" borderId="0" xfId="0" applyNumberFormat="1" applyFont="1" applyFill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protection locked="0"/>
    </xf>
    <xf numFmtId="0" fontId="3" fillId="0" borderId="0" xfId="0" applyNumberFormat="1" applyFont="1" applyFill="1" applyAlignment="1" applyProtection="1"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43" fontId="6" fillId="3" borderId="1" xfId="1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protection locked="0"/>
    </xf>
    <xf numFmtId="43" fontId="3" fillId="0" borderId="2" xfId="0" applyNumberFormat="1" applyFont="1" applyFill="1" applyBorder="1" applyAlignment="1" applyProtection="1">
      <protection locked="0"/>
    </xf>
    <xf numFmtId="43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43" fontId="4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protection locked="0"/>
    </xf>
    <xf numFmtId="177" fontId="3" fillId="0" borderId="2" xfId="0" applyNumberFormat="1" applyFont="1" applyFill="1" applyBorder="1" applyAlignment="1" applyProtection="1">
      <protection locked="0"/>
    </xf>
    <xf numFmtId="0" fontId="3" fillId="0" borderId="3" xfId="0" applyNumberFormat="1" applyFont="1" applyFill="1" applyBorder="1" applyAlignment="1" applyProtection="1">
      <protection locked="0"/>
    </xf>
    <xf numFmtId="177" fontId="3" fillId="0" borderId="3" xfId="0" applyNumberFormat="1" applyFont="1" applyFill="1" applyBorder="1" applyAlignment="1" applyProtection="1">
      <protection locked="0"/>
    </xf>
    <xf numFmtId="49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43" fontId="7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0" borderId="1" xfId="0" applyNumberFormat="1" applyFont="1" applyFill="1" applyBorder="1" applyAlignment="1" applyProtection="1">
      <alignment horizontal="left" vertical="center"/>
      <protection locked="0"/>
    </xf>
    <xf numFmtId="43" fontId="8" fillId="0" borderId="1" xfId="1" applyNumberFormat="1" applyFont="1" applyFill="1" applyBorder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49" applyNumberFormat="1" applyFont="1" applyBorder="1" applyAlignment="1">
      <alignment horizontal="left" vertical="center"/>
    </xf>
    <xf numFmtId="43" fontId="7" fillId="4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0" applyNumberFormat="1" applyFont="1" applyFill="1" applyBorder="1" applyAlignment="1" applyProtection="1">
      <alignment horizontal="center" vertical="center"/>
      <protection locked="0"/>
    </xf>
    <xf numFmtId="43" fontId="4" fillId="5" borderId="1" xfId="0" applyNumberFormat="1" applyFont="1" applyFill="1" applyBorder="1" applyAlignment="1" applyProtection="1">
      <alignment horizontal="center" vertical="center"/>
      <protection locked="0"/>
    </xf>
    <xf numFmtId="43" fontId="4" fillId="5" borderId="1" xfId="0" applyNumberFormat="1" applyFont="1" applyFill="1" applyBorder="1" applyAlignment="1" applyProtection="1">
      <alignment horizontal="left" vertical="center" wrapText="1"/>
      <protection locked="0"/>
    </xf>
    <xf numFmtId="43" fontId="6" fillId="5" borderId="1" xfId="1" applyNumberFormat="1" applyFont="1" applyFill="1" applyBorder="1" applyAlignment="1" applyProtection="1">
      <alignment vertical="center"/>
      <protection locked="0"/>
    </xf>
    <xf numFmtId="43" fontId="6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7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3" fontId="7" fillId="0" borderId="1" xfId="1" applyNumberFormat="1" applyFont="1" applyFill="1" applyBorder="1" applyAlignment="1" applyProtection="1">
      <alignment horizontal="center" vertical="center"/>
      <protection locked="0"/>
    </xf>
    <xf numFmtId="43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43" fontId="9" fillId="0" borderId="1" xfId="0" applyNumberFormat="1" applyFont="1" applyFill="1" applyBorder="1" applyAlignment="1" applyProtection="1">
      <alignment horizontal="center" vertical="center"/>
      <protection locked="0"/>
    </xf>
    <xf numFmtId="43" fontId="9" fillId="0" borderId="1" xfId="1" applyNumberFormat="1" applyFont="1" applyFill="1" applyBorder="1" applyAlignment="1" applyProtection="1">
      <alignment vertical="center"/>
      <protection locked="0"/>
    </xf>
    <xf numFmtId="43" fontId="7" fillId="0" borderId="1" xfId="0" applyNumberFormat="1" applyFont="1" applyFill="1" applyBorder="1" applyAlignment="1" applyProtection="1">
      <alignment horizontal="left" vertical="center" wrapText="1"/>
      <protection locked="0"/>
    </xf>
    <xf numFmtId="43" fontId="8" fillId="0" borderId="1" xfId="0" applyNumberFormat="1" applyFont="1" applyFill="1" applyBorder="1" applyAlignment="1" applyProtection="1">
      <alignment horizontal="center" vertical="center"/>
      <protection locked="0"/>
    </xf>
    <xf numFmtId="43" fontId="6" fillId="5" borderId="1" xfId="0" applyNumberFormat="1" applyFont="1" applyFill="1" applyBorder="1" applyAlignment="1" applyProtection="1">
      <alignment horizontal="left" vertical="center" wrapText="1"/>
      <protection locked="0"/>
    </xf>
    <xf numFmtId="43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" xfId="0" applyNumberFormat="1" applyFont="1" applyFill="1" applyBorder="1" applyAlignment="1" applyProtection="1">
      <alignment horizontal="center" vertical="center"/>
      <protection locked="0"/>
    </xf>
    <xf numFmtId="43" fontId="7" fillId="5" borderId="1" xfId="0" applyNumberFormat="1" applyFont="1" applyFill="1" applyBorder="1" applyAlignment="1" applyProtection="1">
      <alignment horizontal="center" vertical="center"/>
      <protection locked="0"/>
    </xf>
    <xf numFmtId="43" fontId="7" fillId="5" borderId="1" xfId="0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1" applyNumberFormat="1" applyFont="1" applyFill="1" applyBorder="1" applyAlignment="1" applyProtection="1">
      <alignment vertical="center"/>
      <protection locked="0"/>
    </xf>
    <xf numFmtId="43" fontId="8" fillId="0" borderId="1" xfId="1" applyNumberFormat="1" applyFont="1" applyFill="1" applyBorder="1" applyAlignment="1" applyProtection="1">
      <alignment horizontal="right" vertical="center" wrapText="1"/>
      <protection locked="0"/>
    </xf>
    <xf numFmtId="43" fontId="3" fillId="0" borderId="0" xfId="0" applyNumberFormat="1" applyFont="1" applyFill="1" applyAlignment="1" applyProtection="1">
      <protection locked="0"/>
    </xf>
    <xf numFmtId="43" fontId="2" fillId="0" borderId="0" xfId="0" applyNumberFormat="1" applyFont="1" applyFill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protection locked="0"/>
    </xf>
    <xf numFmtId="0" fontId="3" fillId="0" borderId="5" xfId="0" applyFont="1" applyFill="1" applyBorder="1" applyAlignment="1" applyProtection="1">
      <protection locked="0"/>
    </xf>
    <xf numFmtId="43" fontId="6" fillId="6" borderId="1" xfId="1" applyNumberFormat="1" applyFont="1" applyFill="1" applyBorder="1" applyAlignment="1" applyProtection="1">
      <alignment horizontal="center" vertical="center" wrapText="1" shrinkToFit="1"/>
      <protection locked="0"/>
    </xf>
    <xf numFmtId="43" fontId="3" fillId="0" borderId="4" xfId="0" applyNumberFormat="1" applyFont="1" applyFill="1" applyBorder="1" applyAlignment="1" applyProtection="1">
      <protection locked="0"/>
    </xf>
    <xf numFmtId="176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3" borderId="1" xfId="0" applyNumberFormat="1" applyFont="1" applyFill="1" applyBorder="1" applyAlignment="1">
      <alignment horizontal="center" vertical="center" wrapText="1"/>
    </xf>
    <xf numFmtId="43" fontId="6" fillId="6" borderId="1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1" applyNumberFormat="1" applyFont="1" applyFill="1" applyBorder="1" applyAlignment="1" applyProtection="1">
      <alignment vertical="center"/>
    </xf>
    <xf numFmtId="43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177" fontId="3" fillId="0" borderId="4" xfId="0" applyNumberFormat="1" applyFont="1" applyFill="1" applyBorder="1" applyAlignment="1" applyProtection="1">
      <protection locked="0"/>
    </xf>
    <xf numFmtId="177" fontId="3" fillId="0" borderId="5" xfId="0" applyNumberFormat="1" applyFont="1" applyFill="1" applyBorder="1" applyAlignment="1" applyProtection="1">
      <protection locked="0"/>
    </xf>
    <xf numFmtId="177" fontId="6" fillId="6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6" fillId="6" borderId="1" xfId="1" applyNumberFormat="1" applyFont="1" applyFill="1" applyBorder="1" applyAlignment="1" applyProtection="1">
      <alignment horizontal="center" vertical="center" wrapText="1"/>
      <protection locked="0"/>
    </xf>
    <xf numFmtId="43" fontId="8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NumberFormat="1" applyFont="1" applyFill="1" applyBorder="1" applyAlignment="1" applyProtection="1">
      <alignment vertical="center"/>
      <protection locked="0"/>
    </xf>
    <xf numFmtId="43" fontId="8" fillId="7" borderId="1" xfId="1" applyNumberFormat="1" applyFont="1" applyFill="1" applyBorder="1" applyAlignment="1" applyProtection="1">
      <alignment horizontal="right" vertical="center" wrapText="1"/>
      <protection locked="0"/>
    </xf>
    <xf numFmtId="43" fontId="2" fillId="0" borderId="0" xfId="0" applyNumberFormat="1" applyFont="1" applyFill="1" applyAlignment="1" applyProtection="1">
      <alignment vertical="center"/>
      <protection locked="0"/>
    </xf>
    <xf numFmtId="43" fontId="3" fillId="0" borderId="5" xfId="0" applyNumberFormat="1" applyFont="1" applyFill="1" applyBorder="1" applyAlignment="1" applyProtection="1">
      <protection locked="0"/>
    </xf>
    <xf numFmtId="43" fontId="6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43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3" fontId="4" fillId="0" borderId="1" xfId="1" applyNumberFormat="1" applyFont="1" applyFill="1" applyBorder="1" applyAlignment="1" applyProtection="1">
      <alignment vertical="center"/>
      <protection locked="0"/>
    </xf>
    <xf numFmtId="177" fontId="6" fillId="8" borderId="1" xfId="1" applyNumberFormat="1" applyFont="1" applyFill="1" applyBorder="1" applyAlignment="1" applyProtection="1">
      <alignment horizontal="center" vertical="center" wrapText="1" shrinkToFit="1"/>
      <protection locked="0"/>
    </xf>
    <xf numFmtId="177" fontId="4" fillId="8" borderId="1" xfId="1" applyNumberFormat="1" applyFont="1" applyFill="1" applyBorder="1" applyAlignment="1" applyProtection="1">
      <alignment horizontal="center" vertical="center" wrapText="1"/>
      <protection locked="0"/>
    </xf>
    <xf numFmtId="43" fontId="7" fillId="0" borderId="0" xfId="1" applyNumberFormat="1" applyFont="1" applyFill="1" applyBorder="1" applyAlignment="1" applyProtection="1">
      <alignment vertical="center"/>
      <protection locked="0"/>
    </xf>
    <xf numFmtId="43" fontId="7" fillId="0" borderId="0" xfId="0" applyNumberFormat="1" applyFont="1" applyFill="1" applyAlignment="1" applyProtection="1">
      <alignment vertical="center"/>
      <protection locked="0"/>
    </xf>
    <xf numFmtId="43" fontId="7" fillId="0" borderId="0" xfId="1" applyNumberFormat="1" applyFont="1" applyFill="1" applyBorder="1" applyAlignment="1" applyProtection="1">
      <alignment horizontal="right" vertical="center"/>
      <protection locked="0"/>
    </xf>
    <xf numFmtId="43" fontId="4" fillId="4" borderId="1" xfId="1" applyNumberFormat="1" applyFont="1" applyFill="1" applyBorder="1" applyAlignment="1" applyProtection="1">
      <alignment horizontal="center" vertical="center"/>
      <protection locked="0"/>
    </xf>
    <xf numFmtId="43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177" fontId="4" fillId="4" borderId="1" xfId="1" applyNumberFormat="1" applyFont="1" applyFill="1" applyBorder="1" applyAlignment="1" applyProtection="1">
      <alignment horizontal="center" vertical="center"/>
      <protection locked="0"/>
    </xf>
    <xf numFmtId="177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vertical="center"/>
      <protection locked="0"/>
    </xf>
    <xf numFmtId="43" fontId="4" fillId="0" borderId="1" xfId="1" applyFont="1" applyFill="1" applyBorder="1" applyAlignment="1" applyProtection="1">
      <alignment horizontal="center" vertical="center"/>
      <protection locked="0"/>
    </xf>
    <xf numFmtId="49" fontId="3" fillId="0" borderId="3" xfId="0" applyNumberFormat="1" applyFont="1" applyFill="1" applyBorder="1" applyAlignment="1" applyProtection="1">
      <protection locked="0"/>
    </xf>
    <xf numFmtId="43" fontId="7" fillId="0" borderId="1" xfId="0" applyNumberFormat="1" applyFont="1" applyFill="1" applyBorder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alignment vertical="center"/>
      <protection locked="0"/>
    </xf>
    <xf numFmtId="43" fontId="7" fillId="0" borderId="1" xfId="0" applyNumberFormat="1" applyFont="1" applyFill="1" applyBorder="1" applyAlignment="1" applyProtection="1">
      <protection locked="0"/>
    </xf>
    <xf numFmtId="43" fontId="9" fillId="0" borderId="1" xfId="0" applyNumberFormat="1" applyFont="1" applyFill="1" applyBorder="1" applyAlignment="1" applyProtection="1">
      <protection locked="0"/>
    </xf>
    <xf numFmtId="43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3" applyNumberFormat="1" applyFont="1" applyFill="1" applyBorder="1" applyAlignment="1" applyProtection="1">
      <alignment horizontal="center" vertical="center"/>
      <protection locked="0"/>
    </xf>
    <xf numFmtId="9" fontId="4" fillId="5" borderId="1" xfId="3" applyFont="1" applyFill="1" applyBorder="1" applyAlignment="1" applyProtection="1">
      <alignment horizontal="center" vertical="center"/>
      <protection locked="0"/>
    </xf>
    <xf numFmtId="9" fontId="6" fillId="5" borderId="1" xfId="3" applyFont="1" applyFill="1" applyBorder="1" applyAlignment="1" applyProtection="1">
      <alignment horizontal="left" vertical="center" wrapText="1"/>
      <protection locked="0"/>
    </xf>
    <xf numFmtId="9" fontId="4" fillId="5" borderId="1" xfId="3" applyFont="1" applyFill="1" applyBorder="1" applyAlignment="1" applyProtection="1">
      <alignment horizontal="center" vertical="center" wrapText="1"/>
      <protection locked="0"/>
    </xf>
    <xf numFmtId="9" fontId="6" fillId="5" borderId="1" xfId="3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176" fontId="6" fillId="0" borderId="0" xfId="1" applyNumberFormat="1" applyFont="1" applyFill="1" applyBorder="1" applyAlignment="1" applyProtection="1">
      <alignment vertical="center" wrapText="1"/>
      <protection locked="0"/>
    </xf>
    <xf numFmtId="0" fontId="11" fillId="0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" fillId="9" borderId="0" xfId="0" applyFont="1" applyFill="1" applyAlignment="1">
      <alignment horizontal="center" vertical="center"/>
    </xf>
    <xf numFmtId="0" fontId="12" fillId="0" borderId="0" xfId="0" applyFont="1" applyFill="1" applyAlignment="1" applyProtection="1">
      <alignment horizontal="left" vertical="center"/>
      <protection locked="0"/>
    </xf>
    <xf numFmtId="0" fontId="1" fillId="9" borderId="0" xfId="0" applyFont="1" applyFill="1" applyAlignment="1">
      <alignment horizontal="left" vertical="center"/>
    </xf>
    <xf numFmtId="0" fontId="11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horizontal="left" vertical="center"/>
      <protection locked="0"/>
    </xf>
    <xf numFmtId="0" fontId="12" fillId="0" borderId="0" xfId="0" applyFont="1" applyFill="1" applyAlignment="1">
      <alignment horizontal="left" vertical="center"/>
    </xf>
    <xf numFmtId="43" fontId="6" fillId="7" borderId="1" xfId="1" applyNumberFormat="1" applyFont="1" applyFill="1" applyBorder="1" applyAlignment="1" applyProtection="1">
      <alignment horizontal="center" vertical="center" wrapText="1"/>
    </xf>
    <xf numFmtId="43" fontId="6" fillId="7" borderId="1" xfId="1" applyNumberFormat="1" applyFont="1" applyFill="1" applyBorder="1" applyAlignment="1" applyProtection="1">
      <alignment vertical="center"/>
    </xf>
    <xf numFmtId="43" fontId="6" fillId="10" borderId="1" xfId="1" applyNumberFormat="1" applyFont="1" applyFill="1" applyBorder="1" applyAlignment="1" applyProtection="1">
      <alignment vertical="center"/>
      <protection locked="0"/>
    </xf>
    <xf numFmtId="43" fontId="6" fillId="5" borderId="1" xfId="3" applyNumberFormat="1" applyFont="1" applyFill="1" applyBorder="1" applyAlignment="1" applyProtection="1">
      <alignment vertical="center"/>
      <protection locked="0"/>
    </xf>
    <xf numFmtId="43" fontId="6" fillId="5" borderId="1" xfId="3" applyNumberFormat="1" applyFont="1" applyFill="1" applyBorder="1" applyAlignment="1" applyProtection="1">
      <alignment vertical="center"/>
    </xf>
    <xf numFmtId="43" fontId="6" fillId="7" borderId="1" xfId="3" applyNumberFormat="1" applyFont="1" applyFill="1" applyBorder="1" applyAlignment="1" applyProtection="1">
      <alignment vertical="center"/>
    </xf>
    <xf numFmtId="9" fontId="6" fillId="5" borderId="1" xfId="3" applyFont="1" applyFill="1" applyBorder="1" applyAlignment="1" applyProtection="1">
      <alignment vertical="center"/>
    </xf>
    <xf numFmtId="176" fontId="4" fillId="3" borderId="0" xfId="0" applyNumberFormat="1" applyFont="1" applyFill="1" applyAlignment="1" applyProtection="1">
      <alignment horizontal="center" vertical="center" wrapText="1"/>
      <protection locked="0"/>
    </xf>
    <xf numFmtId="176" fontId="4" fillId="0" borderId="0" xfId="1" applyNumberFormat="1" applyFont="1" applyFill="1" applyBorder="1" applyAlignment="1" applyProtection="1">
      <alignment horizontal="center" vertical="center" wrapText="1"/>
      <protection locked="0"/>
    </xf>
    <xf numFmtId="176" fontId="4" fillId="3" borderId="0" xfId="1" applyNumberFormat="1" applyFont="1" applyFill="1" applyBorder="1" applyAlignment="1" applyProtection="1">
      <alignment horizontal="center" vertical="center" wrapText="1"/>
    </xf>
    <xf numFmtId="43" fontId="6" fillId="0" borderId="0" xfId="1" applyNumberFormat="1" applyFont="1" applyFill="1" applyBorder="1" applyAlignment="1" applyProtection="1">
      <alignment vertical="center"/>
      <protection locked="0"/>
    </xf>
    <xf numFmtId="176" fontId="10" fillId="0" borderId="0" xfId="0" applyNumberFormat="1" applyFont="1" applyFill="1" applyAlignment="1" applyProtection="1">
      <alignment vertical="center" wrapText="1"/>
      <protection locked="0"/>
    </xf>
    <xf numFmtId="176" fontId="6" fillId="0" borderId="0" xfId="1" applyNumberFormat="1" applyFont="1" applyFill="1" applyBorder="1" applyAlignment="1" applyProtection="1">
      <alignment vertical="center" wrapText="1"/>
    </xf>
    <xf numFmtId="0" fontId="1" fillId="0" borderId="0" xfId="0" applyFont="1" applyFill="1" applyAlignment="1" applyProtection="1">
      <alignment horizontal="left" vertical="center"/>
      <protection locked="0"/>
    </xf>
    <xf numFmtId="43" fontId="12" fillId="0" borderId="0" xfId="1" applyFont="1" applyFill="1" applyBorder="1" applyAlignment="1" applyProtection="1">
      <alignment horizontal="left" vertical="center"/>
      <protection locked="0"/>
    </xf>
    <xf numFmtId="43" fontId="1" fillId="0" borderId="0" xfId="0" applyNumberFormat="1" applyFont="1" applyFill="1" applyAlignment="1" applyProtection="1">
      <alignment horizontal="left" vertical="center"/>
      <protection locked="0"/>
    </xf>
    <xf numFmtId="43" fontId="12" fillId="0" borderId="0" xfId="1" applyNumberFormat="1" applyFont="1" applyFill="1" applyBorder="1" applyAlignment="1" applyProtection="1">
      <alignment horizontal="left" vertical="center"/>
      <protection locked="0"/>
    </xf>
    <xf numFmtId="43" fontId="1" fillId="0" borderId="0" xfId="1" applyNumberFormat="1" applyFont="1" applyFill="1" applyBorder="1" applyAlignment="1" applyProtection="1">
      <alignment horizontal="left" vertical="center"/>
      <protection locked="0"/>
    </xf>
    <xf numFmtId="176" fontId="11" fillId="0" borderId="0" xfId="0" applyNumberFormat="1" applyFont="1" applyFill="1" applyAlignment="1" applyProtection="1">
      <alignment horizontal="left" vertical="center"/>
      <protection locked="0"/>
    </xf>
    <xf numFmtId="43" fontId="11" fillId="0" borderId="0" xfId="0" applyNumberFormat="1" applyFont="1" applyFill="1" applyAlignment="1" applyProtection="1">
      <alignment horizontal="left" vertical="center"/>
      <protection locked="0"/>
    </xf>
    <xf numFmtId="43" fontId="12" fillId="0" borderId="0" xfId="0" applyNumberFormat="1" applyFont="1" applyFill="1" applyAlignment="1" applyProtection="1">
      <alignment horizontal="left" vertical="center"/>
      <protection locked="0"/>
    </xf>
    <xf numFmtId="43" fontId="7" fillId="0" borderId="1" xfId="1" applyNumberFormat="1" applyFont="1" applyFill="1" applyBorder="1" applyAlignment="1" applyProtection="1">
      <alignment vertical="center"/>
      <protection locked="0"/>
    </xf>
    <xf numFmtId="9" fontId="6" fillId="10" borderId="1" xfId="3" applyFont="1" applyFill="1" applyBorder="1" applyAlignment="1" applyProtection="1">
      <alignment vertical="center"/>
      <protection locked="0"/>
    </xf>
    <xf numFmtId="43" fontId="1" fillId="9" borderId="0" xfId="0" applyNumberFormat="1" applyFont="1" applyFill="1" applyAlignment="1">
      <alignment horizontal="center" vertical="center"/>
    </xf>
    <xf numFmtId="43" fontId="4" fillId="0" borderId="1" xfId="1" applyNumberFormat="1" applyFont="1" applyFill="1" applyBorder="1" applyAlignment="1" applyProtection="1">
      <protection locked="0"/>
    </xf>
    <xf numFmtId="43" fontId="10" fillId="5" borderId="1" xfId="1" applyNumberFormat="1" applyFont="1" applyFill="1" applyBorder="1" applyAlignment="1" applyProtection="1">
      <alignment vertical="center"/>
      <protection locked="0"/>
    </xf>
    <xf numFmtId="9" fontId="10" fillId="5" borderId="1" xfId="3" applyFont="1" applyFill="1" applyBorder="1" applyAlignment="1" applyProtection="1">
      <alignment vertical="center"/>
      <protection locked="0"/>
    </xf>
    <xf numFmtId="43" fontId="4" fillId="0" borderId="0" xfId="1" applyNumberFormat="1" applyFont="1" applyFill="1" applyBorder="1" applyAlignment="1" applyProtection="1">
      <alignment vertical="center"/>
      <protection locked="0"/>
    </xf>
    <xf numFmtId="43" fontId="10" fillId="0" borderId="0" xfId="0" applyNumberFormat="1" applyFont="1" applyFill="1" applyAlignment="1" applyProtection="1">
      <alignment vertical="center"/>
      <protection locked="0"/>
    </xf>
    <xf numFmtId="43" fontId="11" fillId="0" borderId="0" xfId="1" applyNumberFormat="1" applyFont="1" applyFill="1" applyBorder="1" applyAlignment="1" applyProtection="1">
      <alignment vertical="center"/>
      <protection locked="0"/>
    </xf>
    <xf numFmtId="43" fontId="11" fillId="0" borderId="0" xfId="0" applyNumberFormat="1" applyFont="1" applyFill="1" applyAlignment="1" applyProtection="1">
      <alignment vertical="center"/>
      <protection locked="0"/>
    </xf>
    <xf numFmtId="43" fontId="4" fillId="0" borderId="1" xfId="0" applyNumberFormat="1" applyFont="1" applyFill="1" applyBorder="1" applyAlignment="1" applyProtection="1">
      <protection locked="0"/>
    </xf>
    <xf numFmtId="43" fontId="4" fillId="5" borderId="1" xfId="1" applyNumberFormat="1" applyFont="1" applyFill="1" applyBorder="1" applyAlignment="1" applyProtection="1">
      <alignment vertical="center"/>
      <protection locked="0"/>
    </xf>
    <xf numFmtId="43" fontId="10" fillId="0" borderId="1" xfId="0" applyNumberFormat="1" applyFont="1" applyFill="1" applyBorder="1" applyAlignment="1" applyProtection="1">
      <alignment vertical="center"/>
      <protection locked="0"/>
    </xf>
    <xf numFmtId="9" fontId="4" fillId="5" borderId="1" xfId="3" applyFont="1" applyFill="1" applyBorder="1" applyAlignment="1" applyProtection="1">
      <alignment vertical="center"/>
      <protection locked="0"/>
    </xf>
    <xf numFmtId="9" fontId="10" fillId="0" borderId="1" xfId="3" applyFont="1" applyFill="1" applyBorder="1" applyAlignment="1" applyProtection="1">
      <alignment vertical="center"/>
      <protection locked="0"/>
    </xf>
    <xf numFmtId="0" fontId="10" fillId="0" borderId="0" xfId="0" applyFont="1" applyFill="1" applyAlignment="1" applyProtection="1">
      <alignment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zoomScale="55" zoomScaleNormal="55" workbookViewId="0">
      <selection activeCell="A10" sqref="$A10:$XFD10"/>
    </sheetView>
  </sheetViews>
  <sheetFormatPr defaultColWidth="8.72727272727273" defaultRowHeight="15"/>
  <cols>
    <col min="1" max="1" width="7.78181818181818" style="4" customWidth="1"/>
    <col min="2" max="2" width="21.8181818181818" style="5" customWidth="1"/>
    <col min="3" max="3" width="16.7636363636364" style="5" customWidth="1"/>
    <col min="4" max="4" width="37.7545454545455" style="5" customWidth="1"/>
    <col min="5" max="5" width="35.0545454545455" style="5" hidden="1" customWidth="1"/>
    <col min="6" max="6" width="20" style="5" hidden="1" customWidth="1"/>
    <col min="7" max="7" width="19.1909090909091" style="5" hidden="1" customWidth="1"/>
    <col min="8" max="8" width="20.9090909090909" style="5" customWidth="1"/>
    <col min="9" max="9" width="25.2545454545455" style="5" customWidth="1"/>
    <col min="10" max="11" width="20.9090909090909" style="5" customWidth="1"/>
    <col min="12" max="12" width="24.0363636363636" style="6" customWidth="1"/>
    <col min="13" max="13" width="26.7636363636364" style="7" customWidth="1"/>
    <col min="14" max="14" width="24.3454545454545" style="7" customWidth="1"/>
    <col min="15" max="15" width="23.4363636363636" style="7" customWidth="1"/>
    <col min="16" max="16" width="18.4818181818182" style="7" customWidth="1"/>
    <col min="17" max="17" width="20.7090909090909" style="7" customWidth="1"/>
    <col min="18" max="18" width="20.8090909090909" style="7" customWidth="1"/>
    <col min="19" max="25" width="19.7" style="7" customWidth="1"/>
    <col min="26" max="26" width="20.4" style="7" customWidth="1"/>
    <col min="27" max="27" width="17.8818181818182" style="7" customWidth="1"/>
    <col min="28" max="28" width="20" style="7" customWidth="1"/>
    <col min="29" max="34" width="18.8909090909091" style="7" customWidth="1"/>
    <col min="35" max="35" width="21.0090909090909" style="7" customWidth="1"/>
    <col min="36" max="36" width="12.3272727272727" style="7" customWidth="1"/>
    <col min="37" max="37" width="18.1818181818182" style="7" customWidth="1"/>
    <col min="38" max="38" width="12.3272727272727" style="5" customWidth="1"/>
  </cols>
  <sheetData>
    <row r="1" ht="25.5" spans="1:3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60"/>
      <c r="N1" s="60"/>
      <c r="O1" s="60"/>
      <c r="P1" s="60"/>
      <c r="Q1" s="60"/>
      <c r="R1" s="60"/>
      <c r="S1" s="60"/>
      <c r="T1" s="61"/>
      <c r="U1" s="61"/>
      <c r="V1" s="61"/>
      <c r="W1" s="61"/>
      <c r="X1" s="61"/>
      <c r="Y1" s="61"/>
      <c r="Z1" s="61"/>
      <c r="AA1" s="86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93"/>
    </row>
    <row r="2" ht="25.5" spans="1:38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60"/>
      <c r="N2" s="60"/>
      <c r="O2" s="60"/>
      <c r="P2" s="60"/>
      <c r="Q2" s="60"/>
      <c r="R2" s="60"/>
      <c r="S2" s="60"/>
      <c r="T2" s="61"/>
      <c r="U2" s="61"/>
      <c r="V2" s="61"/>
      <c r="W2" s="61"/>
      <c r="X2" s="61"/>
      <c r="Y2" s="61"/>
      <c r="Z2" s="61"/>
      <c r="AA2" s="88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93"/>
    </row>
    <row r="3" ht="25.5" spans="1:38">
      <c r="A3" s="11" t="s">
        <v>1</v>
      </c>
      <c r="B3" s="12" t="s">
        <v>2</v>
      </c>
      <c r="C3" s="9"/>
      <c r="D3" s="9"/>
      <c r="E3" s="12" t="s">
        <v>3</v>
      </c>
      <c r="F3" s="9"/>
      <c r="G3" s="12" t="s">
        <v>4</v>
      </c>
      <c r="H3" s="9"/>
      <c r="I3" s="9"/>
      <c r="J3" s="12" t="s">
        <v>5</v>
      </c>
      <c r="K3" s="9"/>
      <c r="L3" s="12" t="s">
        <v>6</v>
      </c>
      <c r="M3" s="60"/>
      <c r="N3" s="61"/>
      <c r="O3" s="61"/>
      <c r="P3" s="61"/>
      <c r="Q3" s="61"/>
      <c r="R3" s="61"/>
      <c r="S3" s="78"/>
      <c r="T3" s="78"/>
      <c r="U3" s="78"/>
      <c r="V3" s="78"/>
      <c r="W3" s="78"/>
      <c r="X3" s="78"/>
      <c r="Y3" s="78"/>
      <c r="Z3" s="61"/>
      <c r="AA3" s="88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93"/>
    </row>
    <row r="4" ht="14" spans="1:38">
      <c r="A4" s="13"/>
      <c r="B4" s="14" t="s">
        <v>7</v>
      </c>
      <c r="C4" s="14" t="s">
        <v>8</v>
      </c>
      <c r="D4" s="15" t="s">
        <v>9</v>
      </c>
      <c r="E4" s="16" t="s">
        <v>10</v>
      </c>
      <c r="F4" s="17" t="s">
        <v>11</v>
      </c>
      <c r="G4" s="18" t="s">
        <v>12</v>
      </c>
      <c r="H4" s="19" t="s">
        <v>13</v>
      </c>
      <c r="I4" s="62"/>
      <c r="J4" s="62"/>
      <c r="K4" s="62"/>
      <c r="L4" s="63"/>
      <c r="M4" s="64" t="s">
        <v>14</v>
      </c>
      <c r="N4" s="65"/>
      <c r="O4" s="65"/>
      <c r="P4" s="65"/>
      <c r="Q4" s="65"/>
      <c r="R4" s="79"/>
      <c r="S4" s="80" t="s">
        <v>15</v>
      </c>
      <c r="T4" s="65"/>
      <c r="U4" s="65"/>
      <c r="V4" s="65"/>
      <c r="W4" s="65"/>
      <c r="X4" s="65"/>
      <c r="Y4" s="79"/>
      <c r="Z4" s="89" t="s">
        <v>16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79"/>
      <c r="AL4" s="94" t="s">
        <v>17</v>
      </c>
    </row>
    <row r="5" ht="39" spans="1:38">
      <c r="A5" s="13"/>
      <c r="B5" s="20"/>
      <c r="C5" s="20"/>
      <c r="D5" s="20"/>
      <c r="E5" s="20"/>
      <c r="F5" s="20"/>
      <c r="G5" s="20"/>
      <c r="H5" s="19" t="s">
        <v>18</v>
      </c>
      <c r="I5" s="19" t="s">
        <v>19</v>
      </c>
      <c r="J5" s="19" t="s">
        <v>20</v>
      </c>
      <c r="K5" s="66" t="s">
        <v>21</v>
      </c>
      <c r="L5" s="67" t="s">
        <v>22</v>
      </c>
      <c r="M5" s="68" t="s">
        <v>23</v>
      </c>
      <c r="N5" s="68" t="s">
        <v>24</v>
      </c>
      <c r="O5" s="68" t="s">
        <v>25</v>
      </c>
      <c r="P5" s="68" t="s">
        <v>26</v>
      </c>
      <c r="Q5" s="68" t="s">
        <v>27</v>
      </c>
      <c r="R5" s="68" t="s">
        <v>28</v>
      </c>
      <c r="S5" s="81" t="s">
        <v>29</v>
      </c>
      <c r="T5" s="81" t="s">
        <v>30</v>
      </c>
      <c r="U5" s="81" t="s">
        <v>31</v>
      </c>
      <c r="V5" s="81" t="s">
        <v>32</v>
      </c>
      <c r="W5" s="81" t="s">
        <v>33</v>
      </c>
      <c r="X5" s="81" t="s">
        <v>34</v>
      </c>
      <c r="Y5" s="81" t="s">
        <v>35</v>
      </c>
      <c r="Z5" s="90" t="s">
        <v>36</v>
      </c>
      <c r="AA5" s="90" t="s">
        <v>37</v>
      </c>
      <c r="AB5" s="90" t="s">
        <v>38</v>
      </c>
      <c r="AC5" s="90" t="s">
        <v>39</v>
      </c>
      <c r="AD5" s="90" t="s">
        <v>40</v>
      </c>
      <c r="AE5" s="90" t="s">
        <v>41</v>
      </c>
      <c r="AF5" s="90" t="s">
        <v>42</v>
      </c>
      <c r="AG5" s="90" t="s">
        <v>38</v>
      </c>
      <c r="AH5" s="90" t="s">
        <v>43</v>
      </c>
      <c r="AI5" s="90" t="s">
        <v>44</v>
      </c>
      <c r="AJ5" s="90" t="s">
        <v>45</v>
      </c>
      <c r="AK5" s="90" t="s">
        <v>46</v>
      </c>
      <c r="AL5" s="28"/>
    </row>
    <row r="6" s="1" customFormat="1" ht="14" spans="1:38">
      <c r="A6" s="21"/>
      <c r="B6" s="22"/>
      <c r="C6" s="11"/>
      <c r="D6" s="22" t="s">
        <v>47</v>
      </c>
      <c r="E6" s="23"/>
      <c r="F6" s="23"/>
      <c r="G6" s="23"/>
      <c r="H6" s="24"/>
      <c r="I6" s="24"/>
      <c r="J6" s="58">
        <f>H6+I6</f>
        <v>0</v>
      </c>
      <c r="K6" s="58"/>
      <c r="L6" s="69">
        <f>J6-K6</f>
        <v>0</v>
      </c>
      <c r="M6" s="70"/>
      <c r="N6" s="70"/>
      <c r="O6" s="70">
        <f>L6-M6</f>
        <v>0</v>
      </c>
      <c r="P6" s="70">
        <f>K6-N6</f>
        <v>0</v>
      </c>
      <c r="Q6" s="82">
        <f>M6+O6</f>
        <v>0</v>
      </c>
      <c r="R6" s="82">
        <f>M6+N6+O6+P6</f>
        <v>0</v>
      </c>
      <c r="S6" s="83"/>
      <c r="T6" s="83"/>
      <c r="U6" s="83"/>
      <c r="V6" s="83"/>
      <c r="W6" s="83"/>
      <c r="X6" s="83"/>
      <c r="Y6" s="83"/>
      <c r="Z6" s="36">
        <f>SUM(AA6:AJ6)</f>
        <v>0</v>
      </c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>
        <f>AB6/1.17*0.17+AC6/1.16*0.16+AD6/1.11*0.11+AE6/1.1*0.1+AF6/1.09*0.09+AI6/1.03*0.03</f>
        <v>0</v>
      </c>
      <c r="AL6" s="21"/>
    </row>
    <row r="7" ht="14" spans="1:38">
      <c r="A7" s="13"/>
      <c r="B7" s="14" t="s">
        <v>48</v>
      </c>
      <c r="C7" s="14" t="s">
        <v>49</v>
      </c>
      <c r="D7" s="15" t="s">
        <v>50</v>
      </c>
      <c r="E7" s="25" t="s">
        <v>51</v>
      </c>
      <c r="F7" s="25" t="s">
        <v>11</v>
      </c>
      <c r="G7" s="26" t="s">
        <v>12</v>
      </c>
      <c r="H7" s="27" t="s">
        <v>52</v>
      </c>
      <c r="I7" s="71"/>
      <c r="J7" s="71"/>
      <c r="K7" s="71"/>
      <c r="L7" s="72"/>
      <c r="M7" s="73" t="s">
        <v>14</v>
      </c>
      <c r="N7" s="71"/>
      <c r="O7" s="71"/>
      <c r="P7" s="71"/>
      <c r="Q7" s="71"/>
      <c r="R7" s="72"/>
      <c r="S7" s="84" t="s">
        <v>53</v>
      </c>
      <c r="T7" s="71"/>
      <c r="U7" s="71"/>
      <c r="V7" s="71"/>
      <c r="W7" s="71"/>
      <c r="X7" s="71"/>
      <c r="Y7" s="72"/>
      <c r="Z7" s="91" t="s">
        <v>16</v>
      </c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2"/>
      <c r="AL7" s="28"/>
    </row>
    <row r="8" ht="14" spans="1:38">
      <c r="A8" s="13"/>
      <c r="B8" s="28"/>
      <c r="C8" s="28"/>
      <c r="D8" s="28"/>
      <c r="E8" s="29"/>
      <c r="F8" s="29"/>
      <c r="G8" s="29"/>
      <c r="H8" s="27" t="s">
        <v>54</v>
      </c>
      <c r="I8" s="27" t="s">
        <v>55</v>
      </c>
      <c r="J8" s="27" t="s">
        <v>56</v>
      </c>
      <c r="K8" s="25" t="s">
        <v>57</v>
      </c>
      <c r="L8" s="25" t="s">
        <v>58</v>
      </c>
      <c r="M8" s="74" t="s">
        <v>59</v>
      </c>
      <c r="N8" s="74" t="s">
        <v>60</v>
      </c>
      <c r="O8" s="74" t="s">
        <v>61</v>
      </c>
      <c r="P8" s="74" t="s">
        <v>26</v>
      </c>
      <c r="Q8" s="74" t="s">
        <v>62</v>
      </c>
      <c r="R8" s="74" t="s">
        <v>63</v>
      </c>
      <c r="S8" s="85" t="s">
        <v>64</v>
      </c>
      <c r="T8" s="85" t="s">
        <v>65</v>
      </c>
      <c r="U8" s="85" t="s">
        <v>66</v>
      </c>
      <c r="V8" s="85" t="s">
        <v>67</v>
      </c>
      <c r="W8" s="85" t="s">
        <v>68</v>
      </c>
      <c r="X8" s="85" t="s">
        <v>69</v>
      </c>
      <c r="Y8" s="85" t="s">
        <v>35</v>
      </c>
      <c r="Z8" s="92" t="s">
        <v>70</v>
      </c>
      <c r="AA8" s="92" t="s">
        <v>71</v>
      </c>
      <c r="AB8" s="92" t="s">
        <v>72</v>
      </c>
      <c r="AC8" s="92" t="s">
        <v>73</v>
      </c>
      <c r="AD8" s="92" t="s">
        <v>74</v>
      </c>
      <c r="AE8" s="92" t="s">
        <v>75</v>
      </c>
      <c r="AF8" s="92" t="s">
        <v>76</v>
      </c>
      <c r="AG8" s="92"/>
      <c r="AH8" s="92" t="s">
        <v>77</v>
      </c>
      <c r="AI8" s="92" t="s">
        <v>78</v>
      </c>
      <c r="AJ8" s="92" t="s">
        <v>45</v>
      </c>
      <c r="AK8" s="92" t="s">
        <v>79</v>
      </c>
      <c r="AL8" s="28"/>
    </row>
    <row r="9" spans="1:38">
      <c r="A9" s="30"/>
      <c r="B9" s="20"/>
      <c r="C9" s="20"/>
      <c r="D9" s="2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28"/>
    </row>
    <row r="10" s="2" customFormat="1" ht="14" spans="1:38">
      <c r="A10" s="32"/>
      <c r="B10" s="32">
        <v>1</v>
      </c>
      <c r="C10" s="32">
        <v>2</v>
      </c>
      <c r="D10" s="32">
        <v>3</v>
      </c>
      <c r="E10" s="32">
        <v>4</v>
      </c>
      <c r="F10" s="32">
        <v>5</v>
      </c>
      <c r="G10" s="32">
        <v>6</v>
      </c>
      <c r="H10" s="32">
        <v>7</v>
      </c>
      <c r="I10" s="32">
        <v>8</v>
      </c>
      <c r="J10" s="32" t="s">
        <v>80</v>
      </c>
      <c r="K10" s="32">
        <v>10</v>
      </c>
      <c r="L10" s="32" t="s">
        <v>81</v>
      </c>
      <c r="M10" s="32">
        <v>12</v>
      </c>
      <c r="N10" s="32">
        <v>13</v>
      </c>
      <c r="O10" s="32" t="s">
        <v>82</v>
      </c>
      <c r="P10" s="32" t="s">
        <v>83</v>
      </c>
      <c r="Q10" s="32" t="s">
        <v>84</v>
      </c>
      <c r="R10" s="32" t="s">
        <v>85</v>
      </c>
      <c r="S10" s="32">
        <v>18</v>
      </c>
      <c r="T10" s="32">
        <v>19</v>
      </c>
      <c r="U10" s="32">
        <v>20</v>
      </c>
      <c r="V10" s="32">
        <v>21</v>
      </c>
      <c r="W10" s="32">
        <v>22</v>
      </c>
      <c r="X10" s="32">
        <v>23</v>
      </c>
      <c r="Y10" s="32">
        <v>24</v>
      </c>
      <c r="Z10" s="32">
        <v>25</v>
      </c>
      <c r="AA10" s="32">
        <v>26</v>
      </c>
      <c r="AB10" s="32">
        <v>27</v>
      </c>
      <c r="AC10" s="32">
        <v>28</v>
      </c>
      <c r="AD10" s="32">
        <v>29</v>
      </c>
      <c r="AE10" s="32">
        <v>30</v>
      </c>
      <c r="AF10" s="32">
        <v>31</v>
      </c>
      <c r="AG10" s="32">
        <v>32</v>
      </c>
      <c r="AH10" s="32">
        <v>33</v>
      </c>
      <c r="AI10" s="32">
        <v>34</v>
      </c>
      <c r="AJ10" s="32">
        <v>35</v>
      </c>
      <c r="AK10" s="32">
        <v>36</v>
      </c>
      <c r="AL10" s="95"/>
    </row>
    <row r="11" s="1" customFormat="1" ht="14" spans="1:38">
      <c r="A11" s="33"/>
      <c r="B11" s="34"/>
      <c r="C11" s="34"/>
      <c r="D11" s="35" t="s">
        <v>86</v>
      </c>
      <c r="E11" s="34"/>
      <c r="F11" s="34"/>
      <c r="G11" s="34"/>
      <c r="H11" s="36"/>
      <c r="I11" s="36"/>
      <c r="J11" s="75"/>
      <c r="K11" s="36"/>
      <c r="L11" s="75"/>
      <c r="M11" s="36"/>
      <c r="N11" s="36"/>
      <c r="O11" s="75"/>
      <c r="P11" s="75"/>
      <c r="Q11" s="75"/>
      <c r="R11" s="75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96"/>
    </row>
    <row r="12" s="1" customFormat="1" ht="14" spans="1:38">
      <c r="A12" s="33"/>
      <c r="B12" s="34"/>
      <c r="C12" s="34"/>
      <c r="D12" s="37" t="s">
        <v>87</v>
      </c>
      <c r="E12" s="34"/>
      <c r="F12" s="34"/>
      <c r="G12" s="34"/>
      <c r="H12" s="36"/>
      <c r="I12" s="36"/>
      <c r="J12" s="75"/>
      <c r="K12" s="36"/>
      <c r="L12" s="75"/>
      <c r="M12" s="36"/>
      <c r="N12" s="36"/>
      <c r="O12" s="75"/>
      <c r="P12" s="75"/>
      <c r="Q12" s="75"/>
      <c r="R12" s="75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96"/>
    </row>
    <row r="13" s="1" customFormat="1" ht="14" spans="1:38">
      <c r="A13" s="33">
        <v>1</v>
      </c>
      <c r="B13" s="34"/>
      <c r="C13" s="34"/>
      <c r="D13" s="38"/>
      <c r="E13" s="34"/>
      <c r="F13" s="34"/>
      <c r="G13" s="34"/>
      <c r="H13" s="36"/>
      <c r="I13" s="36"/>
      <c r="J13" s="75">
        <f t="shared" ref="J13:J15" si="0">H13+I13</f>
        <v>0</v>
      </c>
      <c r="K13" s="36"/>
      <c r="L13" s="75">
        <f t="shared" ref="L13:L15" si="1">J13-K13</f>
        <v>0</v>
      </c>
      <c r="M13" s="36"/>
      <c r="N13" s="36"/>
      <c r="O13" s="75">
        <f t="shared" ref="O13:O15" si="2">L13-M13</f>
        <v>0</v>
      </c>
      <c r="P13" s="75">
        <f t="shared" ref="P13:P15" si="3">K13-N13</f>
        <v>0</v>
      </c>
      <c r="Q13" s="75">
        <f t="shared" ref="Q13:Q15" si="4">M13+O13</f>
        <v>0</v>
      </c>
      <c r="R13" s="75">
        <f t="shared" ref="R13:R15" si="5">M13+N13+O13+P13</f>
        <v>0</v>
      </c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96"/>
    </row>
    <row r="14" s="1" customFormat="1" ht="14" spans="1:38">
      <c r="A14" s="33">
        <v>2</v>
      </c>
      <c r="B14" s="34"/>
      <c r="C14" s="34"/>
      <c r="D14" s="38"/>
      <c r="E14" s="34"/>
      <c r="F14" s="34"/>
      <c r="G14" s="34"/>
      <c r="H14" s="36"/>
      <c r="I14" s="36"/>
      <c r="J14" s="75">
        <f t="shared" si="0"/>
        <v>0</v>
      </c>
      <c r="K14" s="36"/>
      <c r="L14" s="75">
        <f t="shared" si="1"/>
        <v>0</v>
      </c>
      <c r="M14" s="36"/>
      <c r="N14" s="36"/>
      <c r="O14" s="75">
        <f t="shared" si="2"/>
        <v>0</v>
      </c>
      <c r="P14" s="75">
        <f t="shared" si="3"/>
        <v>0</v>
      </c>
      <c r="Q14" s="75">
        <f t="shared" si="4"/>
        <v>0</v>
      </c>
      <c r="R14" s="75">
        <f t="shared" si="5"/>
        <v>0</v>
      </c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96"/>
    </row>
    <row r="15" s="1" customFormat="1" ht="14" spans="1:38">
      <c r="A15" s="33">
        <v>3</v>
      </c>
      <c r="B15" s="34"/>
      <c r="C15" s="34"/>
      <c r="D15" s="38"/>
      <c r="E15" s="34"/>
      <c r="F15" s="34"/>
      <c r="G15" s="34"/>
      <c r="H15" s="36"/>
      <c r="I15" s="36"/>
      <c r="J15" s="75">
        <f t="shared" si="0"/>
        <v>0</v>
      </c>
      <c r="K15" s="36"/>
      <c r="L15" s="75">
        <f t="shared" si="1"/>
        <v>0</v>
      </c>
      <c r="M15" s="36"/>
      <c r="N15" s="36"/>
      <c r="O15" s="75">
        <f t="shared" si="2"/>
        <v>0</v>
      </c>
      <c r="P15" s="75">
        <f t="shared" si="3"/>
        <v>0</v>
      </c>
      <c r="Q15" s="75">
        <f t="shared" si="4"/>
        <v>0</v>
      </c>
      <c r="R15" s="75">
        <f t="shared" si="5"/>
        <v>0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96"/>
    </row>
    <row r="16" s="1" customFormat="1" ht="14" spans="1:38">
      <c r="A16" s="33"/>
      <c r="B16" s="34"/>
      <c r="C16" s="34"/>
      <c r="D16" s="39" t="s">
        <v>88</v>
      </c>
      <c r="E16" s="40"/>
      <c r="F16" s="40"/>
      <c r="G16" s="40"/>
      <c r="H16" s="36"/>
      <c r="I16" s="36"/>
      <c r="J16" s="75"/>
      <c r="K16" s="36"/>
      <c r="L16" s="75"/>
      <c r="M16" s="36"/>
      <c r="N16" s="36"/>
      <c r="O16" s="75"/>
      <c r="P16" s="75"/>
      <c r="Q16" s="75"/>
      <c r="R16" s="75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97"/>
    </row>
    <row r="17" s="1" customFormat="1" ht="14" spans="1:38">
      <c r="A17" s="41"/>
      <c r="B17" s="42"/>
      <c r="C17" s="42"/>
      <c r="D17" s="43" t="s">
        <v>89</v>
      </c>
      <c r="E17" s="44"/>
      <c r="F17" s="44"/>
      <c r="G17" s="44"/>
      <c r="H17" s="44">
        <f t="shared" ref="H17:AK17" si="6">SUM(H12:H16)</f>
        <v>0</v>
      </c>
      <c r="I17" s="44">
        <f t="shared" si="6"/>
        <v>0</v>
      </c>
      <c r="J17" s="76">
        <f t="shared" si="6"/>
        <v>0</v>
      </c>
      <c r="K17" s="44">
        <f t="shared" si="6"/>
        <v>0</v>
      </c>
      <c r="L17" s="76">
        <f t="shared" si="6"/>
        <v>0</v>
      </c>
      <c r="M17" s="44">
        <f t="shared" si="6"/>
        <v>0</v>
      </c>
      <c r="N17" s="44">
        <f t="shared" si="6"/>
        <v>0</v>
      </c>
      <c r="O17" s="76">
        <f t="shared" si="6"/>
        <v>0</v>
      </c>
      <c r="P17" s="76">
        <f t="shared" si="6"/>
        <v>0</v>
      </c>
      <c r="Q17" s="76">
        <f t="shared" si="6"/>
        <v>0</v>
      </c>
      <c r="R17" s="76">
        <f t="shared" si="6"/>
        <v>0</v>
      </c>
      <c r="S17" s="44">
        <f t="shared" si="6"/>
        <v>0</v>
      </c>
      <c r="T17" s="44">
        <f t="shared" si="6"/>
        <v>0</v>
      </c>
      <c r="U17" s="44">
        <f t="shared" si="6"/>
        <v>0</v>
      </c>
      <c r="V17" s="44">
        <f t="shared" si="6"/>
        <v>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4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96"/>
    </row>
    <row r="18" s="1" customFormat="1" ht="14" spans="1:38">
      <c r="A18" s="33"/>
      <c r="B18" s="34"/>
      <c r="C18" s="34"/>
      <c r="D18" s="45" t="s">
        <v>90</v>
      </c>
      <c r="E18" s="34"/>
      <c r="F18" s="34"/>
      <c r="G18" s="34"/>
      <c r="H18" s="36"/>
      <c r="I18" s="36"/>
      <c r="J18" s="75"/>
      <c r="K18" s="36"/>
      <c r="L18" s="75"/>
      <c r="M18" s="36"/>
      <c r="N18" s="36"/>
      <c r="O18" s="75"/>
      <c r="P18" s="75"/>
      <c r="Q18" s="75"/>
      <c r="R18" s="75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96"/>
    </row>
    <row r="19" s="1" customFormat="1" ht="14" spans="1:38">
      <c r="A19" s="33">
        <v>1</v>
      </c>
      <c r="B19" s="34"/>
      <c r="C19" s="34"/>
      <c r="D19" s="38"/>
      <c r="E19" s="46"/>
      <c r="F19" s="46"/>
      <c r="G19" s="46"/>
      <c r="H19" s="36"/>
      <c r="I19" s="36"/>
      <c r="J19" s="75">
        <f t="shared" ref="J19:J21" si="7">H19+I19</f>
        <v>0</v>
      </c>
      <c r="K19" s="36"/>
      <c r="L19" s="75">
        <f t="shared" ref="L19:L21" si="8">J19-K19</f>
        <v>0</v>
      </c>
      <c r="M19" s="36"/>
      <c r="N19" s="36"/>
      <c r="O19" s="75">
        <f t="shared" ref="O19:O21" si="9">L19-M19</f>
        <v>0</v>
      </c>
      <c r="P19" s="75">
        <f t="shared" ref="P19:P21" si="10">K19-N19</f>
        <v>0</v>
      </c>
      <c r="Q19" s="75">
        <f t="shared" ref="Q19:Q21" si="11">M19+O19</f>
        <v>0</v>
      </c>
      <c r="R19" s="75">
        <f t="shared" ref="R19:R21" si="12">M19+N19+O19+P19</f>
        <v>0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96"/>
    </row>
    <row r="20" s="1" customFormat="1" ht="14" spans="1:38">
      <c r="A20" s="33">
        <v>2</v>
      </c>
      <c r="B20" s="34"/>
      <c r="C20" s="34"/>
      <c r="D20" s="38"/>
      <c r="E20" s="47"/>
      <c r="F20" s="47"/>
      <c r="G20" s="47"/>
      <c r="H20" s="36"/>
      <c r="I20" s="36"/>
      <c r="J20" s="75">
        <f t="shared" si="7"/>
        <v>0</v>
      </c>
      <c r="K20" s="36"/>
      <c r="L20" s="75">
        <f t="shared" si="8"/>
        <v>0</v>
      </c>
      <c r="M20" s="36"/>
      <c r="N20" s="36"/>
      <c r="O20" s="75">
        <f t="shared" si="9"/>
        <v>0</v>
      </c>
      <c r="P20" s="75">
        <f t="shared" si="10"/>
        <v>0</v>
      </c>
      <c r="Q20" s="75">
        <f t="shared" si="11"/>
        <v>0</v>
      </c>
      <c r="R20" s="75">
        <f t="shared" si="12"/>
        <v>0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96"/>
    </row>
    <row r="21" s="1" customFormat="1" ht="14" spans="1:38">
      <c r="A21" s="33">
        <v>3</v>
      </c>
      <c r="B21" s="34"/>
      <c r="C21" s="34"/>
      <c r="D21" s="38"/>
      <c r="E21" s="46"/>
      <c r="F21" s="46"/>
      <c r="G21" s="46"/>
      <c r="H21" s="36"/>
      <c r="I21" s="36"/>
      <c r="J21" s="75">
        <f t="shared" si="7"/>
        <v>0</v>
      </c>
      <c r="K21" s="36"/>
      <c r="L21" s="75">
        <f t="shared" si="8"/>
        <v>0</v>
      </c>
      <c r="M21" s="36"/>
      <c r="N21" s="36"/>
      <c r="O21" s="75">
        <f t="shared" si="9"/>
        <v>0</v>
      </c>
      <c r="P21" s="75">
        <f t="shared" si="10"/>
        <v>0</v>
      </c>
      <c r="Q21" s="75">
        <f t="shared" si="11"/>
        <v>0</v>
      </c>
      <c r="R21" s="75">
        <f t="shared" si="12"/>
        <v>0</v>
      </c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96"/>
    </row>
    <row r="22" s="1" customFormat="1" ht="14" spans="1:38">
      <c r="A22" s="33"/>
      <c r="B22" s="34"/>
      <c r="C22" s="34"/>
      <c r="D22" s="39" t="s">
        <v>88</v>
      </c>
      <c r="E22" s="48"/>
      <c r="F22" s="48"/>
      <c r="G22" s="48"/>
      <c r="H22" s="36"/>
      <c r="I22" s="36"/>
      <c r="J22" s="75"/>
      <c r="K22" s="36"/>
      <c r="L22" s="75"/>
      <c r="M22" s="36"/>
      <c r="N22" s="36"/>
      <c r="O22" s="75"/>
      <c r="P22" s="75"/>
      <c r="Q22" s="75"/>
      <c r="R22" s="75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97"/>
    </row>
    <row r="23" s="1" customFormat="1" ht="14" spans="1:38">
      <c r="A23" s="41"/>
      <c r="B23" s="42"/>
      <c r="C23" s="42"/>
      <c r="D23" s="43" t="s">
        <v>91</v>
      </c>
      <c r="E23" s="44"/>
      <c r="F23" s="44"/>
      <c r="G23" s="44"/>
      <c r="H23" s="44">
        <f t="shared" ref="H23:AK23" si="13">SUM(H19:H22)</f>
        <v>0</v>
      </c>
      <c r="I23" s="44">
        <f t="shared" si="13"/>
        <v>0</v>
      </c>
      <c r="J23" s="76">
        <f t="shared" si="13"/>
        <v>0</v>
      </c>
      <c r="K23" s="44">
        <f t="shared" si="13"/>
        <v>0</v>
      </c>
      <c r="L23" s="76">
        <f t="shared" si="13"/>
        <v>0</v>
      </c>
      <c r="M23" s="44">
        <f t="shared" si="13"/>
        <v>0</v>
      </c>
      <c r="N23" s="44">
        <f t="shared" si="13"/>
        <v>0</v>
      </c>
      <c r="O23" s="76">
        <f t="shared" si="13"/>
        <v>0</v>
      </c>
      <c r="P23" s="76">
        <f t="shared" si="13"/>
        <v>0</v>
      </c>
      <c r="Q23" s="76">
        <f t="shared" si="13"/>
        <v>0</v>
      </c>
      <c r="R23" s="76">
        <f t="shared" si="13"/>
        <v>0</v>
      </c>
      <c r="S23" s="44">
        <f t="shared" si="13"/>
        <v>0</v>
      </c>
      <c r="T23" s="44">
        <f t="shared" si="13"/>
        <v>0</v>
      </c>
      <c r="U23" s="44">
        <f t="shared" si="13"/>
        <v>0</v>
      </c>
      <c r="V23" s="44">
        <f t="shared" si="13"/>
        <v>0</v>
      </c>
      <c r="W23" s="44">
        <f t="shared" si="13"/>
        <v>0</v>
      </c>
      <c r="X23" s="44">
        <f t="shared" si="13"/>
        <v>0</v>
      </c>
      <c r="Y23" s="44">
        <f t="shared" si="13"/>
        <v>0</v>
      </c>
      <c r="Z23" s="44">
        <f t="shared" si="13"/>
        <v>0</v>
      </c>
      <c r="AA23" s="44">
        <f t="shared" si="13"/>
        <v>0</v>
      </c>
      <c r="AB23" s="44">
        <f t="shared" si="13"/>
        <v>0</v>
      </c>
      <c r="AC23" s="44">
        <f t="shared" si="13"/>
        <v>0</v>
      </c>
      <c r="AD23" s="44">
        <f t="shared" si="13"/>
        <v>0</v>
      </c>
      <c r="AE23" s="44">
        <f t="shared" si="13"/>
        <v>0</v>
      </c>
      <c r="AF23" s="44">
        <f t="shared" si="13"/>
        <v>0</v>
      </c>
      <c r="AG23" s="44">
        <f t="shared" si="13"/>
        <v>0</v>
      </c>
      <c r="AH23" s="44">
        <f t="shared" si="13"/>
        <v>0</v>
      </c>
      <c r="AI23" s="44">
        <f t="shared" si="13"/>
        <v>0</v>
      </c>
      <c r="AJ23" s="44">
        <f t="shared" si="13"/>
        <v>0</v>
      </c>
      <c r="AK23" s="44">
        <f t="shared" si="13"/>
        <v>0</v>
      </c>
      <c r="AL23" s="96"/>
    </row>
    <row r="24" s="1" customFormat="1" ht="14" spans="1:38">
      <c r="A24" s="33"/>
      <c r="B24" s="34"/>
      <c r="C24" s="34"/>
      <c r="D24" s="45" t="s">
        <v>92</v>
      </c>
      <c r="E24" s="34"/>
      <c r="F24" s="34"/>
      <c r="G24" s="34"/>
      <c r="H24" s="36"/>
      <c r="I24" s="36"/>
      <c r="J24" s="75"/>
      <c r="K24" s="36"/>
      <c r="L24" s="75"/>
      <c r="M24" s="36"/>
      <c r="N24" s="36"/>
      <c r="O24" s="75"/>
      <c r="P24" s="75"/>
      <c r="Q24" s="75"/>
      <c r="R24" s="75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98"/>
    </row>
    <row r="25" s="1" customFormat="1" ht="14" spans="1:38">
      <c r="A25" s="33"/>
      <c r="B25" s="34"/>
      <c r="C25" s="34"/>
      <c r="D25" s="36" t="s">
        <v>93</v>
      </c>
      <c r="E25" s="34"/>
      <c r="F25" s="34"/>
      <c r="G25" s="34"/>
      <c r="H25" s="36"/>
      <c r="I25" s="36"/>
      <c r="J25" s="75"/>
      <c r="K25" s="36"/>
      <c r="L25" s="75"/>
      <c r="M25" s="36"/>
      <c r="N25" s="36"/>
      <c r="O25" s="75"/>
      <c r="P25" s="75"/>
      <c r="Q25" s="75"/>
      <c r="R25" s="75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98"/>
    </row>
    <row r="26" s="1" customFormat="1" ht="14" spans="1:38">
      <c r="A26" s="33">
        <v>1</v>
      </c>
      <c r="B26" s="34"/>
      <c r="C26" s="34"/>
      <c r="D26" s="38"/>
      <c r="E26" s="47"/>
      <c r="F26" s="47"/>
      <c r="G26" s="47"/>
      <c r="H26" s="36"/>
      <c r="I26" s="36"/>
      <c r="J26" s="75">
        <f t="shared" ref="J26:J28" si="14">H26+I26</f>
        <v>0</v>
      </c>
      <c r="K26" s="36"/>
      <c r="L26" s="75">
        <f t="shared" ref="L26:L28" si="15">J26-K26</f>
        <v>0</v>
      </c>
      <c r="M26" s="36"/>
      <c r="N26" s="36"/>
      <c r="O26" s="75">
        <f t="shared" ref="O26:O28" si="16">L26-M26</f>
        <v>0</v>
      </c>
      <c r="P26" s="75">
        <f t="shared" ref="P26:P28" si="17">K26-N26</f>
        <v>0</v>
      </c>
      <c r="Q26" s="75">
        <f t="shared" ref="Q26:Q32" si="18">M26+O26</f>
        <v>0</v>
      </c>
      <c r="R26" s="75">
        <f t="shared" ref="R26:R32" si="19">M26+N26+O26+P26</f>
        <v>0</v>
      </c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98"/>
    </row>
    <row r="27" s="1" customFormat="1" ht="14" spans="1:38">
      <c r="A27" s="33">
        <v>2</v>
      </c>
      <c r="B27" s="34"/>
      <c r="C27" s="34"/>
      <c r="D27" s="38"/>
      <c r="E27" s="47"/>
      <c r="F27" s="47"/>
      <c r="G27" s="47"/>
      <c r="H27" s="36"/>
      <c r="I27" s="36"/>
      <c r="J27" s="75">
        <f t="shared" si="14"/>
        <v>0</v>
      </c>
      <c r="K27" s="36"/>
      <c r="L27" s="75">
        <f t="shared" si="15"/>
        <v>0</v>
      </c>
      <c r="M27" s="36"/>
      <c r="N27" s="36"/>
      <c r="O27" s="75">
        <f t="shared" si="16"/>
        <v>0</v>
      </c>
      <c r="P27" s="75">
        <f t="shared" si="17"/>
        <v>0</v>
      </c>
      <c r="Q27" s="75">
        <f t="shared" si="18"/>
        <v>0</v>
      </c>
      <c r="R27" s="75">
        <f t="shared" si="19"/>
        <v>0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98"/>
    </row>
    <row r="28" s="1" customFormat="1" ht="14" spans="1:38">
      <c r="A28" s="33">
        <v>3</v>
      </c>
      <c r="B28" s="34"/>
      <c r="C28" s="34"/>
      <c r="D28" s="38"/>
      <c r="E28" s="47"/>
      <c r="F28" s="47"/>
      <c r="G28" s="47"/>
      <c r="H28" s="36"/>
      <c r="I28" s="36"/>
      <c r="J28" s="75">
        <f t="shared" si="14"/>
        <v>0</v>
      </c>
      <c r="K28" s="36"/>
      <c r="L28" s="75">
        <f t="shared" si="15"/>
        <v>0</v>
      </c>
      <c r="M28" s="36"/>
      <c r="N28" s="36"/>
      <c r="O28" s="75">
        <f t="shared" si="16"/>
        <v>0</v>
      </c>
      <c r="P28" s="75">
        <f t="shared" si="17"/>
        <v>0</v>
      </c>
      <c r="Q28" s="75">
        <f t="shared" si="18"/>
        <v>0</v>
      </c>
      <c r="R28" s="75">
        <f t="shared" si="19"/>
        <v>0</v>
      </c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98"/>
    </row>
    <row r="29" s="1" customFormat="1" ht="14" spans="1:38">
      <c r="A29" s="33"/>
      <c r="B29" s="34"/>
      <c r="C29" s="34"/>
      <c r="D29" s="36" t="s">
        <v>94</v>
      </c>
      <c r="E29" s="48"/>
      <c r="F29" s="48"/>
      <c r="G29" s="48"/>
      <c r="H29" s="36"/>
      <c r="I29" s="36"/>
      <c r="J29" s="75"/>
      <c r="K29" s="36"/>
      <c r="L29" s="75"/>
      <c r="M29" s="36"/>
      <c r="N29" s="36"/>
      <c r="O29" s="75"/>
      <c r="P29" s="75"/>
      <c r="Q29" s="75">
        <f t="shared" si="18"/>
        <v>0</v>
      </c>
      <c r="R29" s="75">
        <f t="shared" si="19"/>
        <v>0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98"/>
    </row>
    <row r="30" s="1" customFormat="1" ht="14" spans="1:38">
      <c r="A30" s="33">
        <v>1</v>
      </c>
      <c r="B30" s="34"/>
      <c r="C30" s="34"/>
      <c r="D30" s="45" t="s">
        <v>95</v>
      </c>
      <c r="E30" s="34"/>
      <c r="F30" s="34"/>
      <c r="G30" s="34"/>
      <c r="H30" s="36"/>
      <c r="I30" s="36"/>
      <c r="J30" s="75">
        <f t="shared" ref="J30:J32" si="20">H30+I30</f>
        <v>0</v>
      </c>
      <c r="K30" s="36"/>
      <c r="L30" s="75">
        <f t="shared" ref="L30:L32" si="21">J30-K30</f>
        <v>0</v>
      </c>
      <c r="M30" s="36"/>
      <c r="N30" s="36"/>
      <c r="O30" s="75">
        <f t="shared" ref="O30:O32" si="22">L30-M30</f>
        <v>0</v>
      </c>
      <c r="P30" s="75">
        <f t="shared" ref="P30:P32" si="23">K30-N30</f>
        <v>0</v>
      </c>
      <c r="Q30" s="75">
        <f t="shared" si="18"/>
        <v>0</v>
      </c>
      <c r="R30" s="75">
        <f t="shared" si="19"/>
        <v>0</v>
      </c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98"/>
    </row>
    <row r="31" s="1" customFormat="1" ht="14" spans="1:38">
      <c r="A31" s="33">
        <v>2</v>
      </c>
      <c r="B31" s="34"/>
      <c r="C31" s="34"/>
      <c r="D31" s="45" t="s">
        <v>96</v>
      </c>
      <c r="E31" s="49"/>
      <c r="F31" s="49"/>
      <c r="G31" s="49"/>
      <c r="H31" s="50"/>
      <c r="I31" s="50"/>
      <c r="J31" s="75">
        <f t="shared" si="20"/>
        <v>0</v>
      </c>
      <c r="K31" s="50"/>
      <c r="L31" s="75">
        <f t="shared" si="21"/>
        <v>0</v>
      </c>
      <c r="M31" s="50"/>
      <c r="N31" s="50"/>
      <c r="O31" s="75">
        <f t="shared" si="22"/>
        <v>0</v>
      </c>
      <c r="P31" s="75">
        <f t="shared" si="23"/>
        <v>0</v>
      </c>
      <c r="Q31" s="75">
        <f t="shared" si="18"/>
        <v>0</v>
      </c>
      <c r="R31" s="75">
        <f t="shared" si="19"/>
        <v>0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99"/>
    </row>
    <row r="32" s="1" customFormat="1" ht="26" spans="1:38">
      <c r="A32" s="33">
        <v>3</v>
      </c>
      <c r="B32" s="34"/>
      <c r="C32" s="34"/>
      <c r="D32" s="45" t="s">
        <v>97</v>
      </c>
      <c r="E32" s="49"/>
      <c r="F32" s="49"/>
      <c r="G32" s="49"/>
      <c r="H32" s="50"/>
      <c r="I32" s="50"/>
      <c r="J32" s="75">
        <f t="shared" si="20"/>
        <v>0</v>
      </c>
      <c r="K32" s="50"/>
      <c r="L32" s="75">
        <f t="shared" si="21"/>
        <v>0</v>
      </c>
      <c r="M32" s="50"/>
      <c r="N32" s="50"/>
      <c r="O32" s="75">
        <f t="shared" si="22"/>
        <v>0</v>
      </c>
      <c r="P32" s="75">
        <f t="shared" si="23"/>
        <v>0</v>
      </c>
      <c r="Q32" s="75">
        <f t="shared" si="18"/>
        <v>0</v>
      </c>
      <c r="R32" s="75">
        <f t="shared" si="19"/>
        <v>0</v>
      </c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99"/>
    </row>
    <row r="33" s="1" customFormat="1" ht="14" spans="1:38">
      <c r="A33" s="33"/>
      <c r="B33" s="34"/>
      <c r="C33" s="34"/>
      <c r="D33" s="39" t="s">
        <v>88</v>
      </c>
      <c r="E33" s="48"/>
      <c r="F33" s="48"/>
      <c r="G33" s="48"/>
      <c r="H33" s="36"/>
      <c r="I33" s="36"/>
      <c r="J33" s="75"/>
      <c r="K33" s="36"/>
      <c r="L33" s="75"/>
      <c r="M33" s="36"/>
      <c r="N33" s="36"/>
      <c r="O33" s="75"/>
      <c r="P33" s="75"/>
      <c r="Q33" s="75"/>
      <c r="R33" s="75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98"/>
    </row>
    <row r="34" s="1" customFormat="1" ht="14" spans="1:38">
      <c r="A34" s="41"/>
      <c r="B34" s="42"/>
      <c r="C34" s="42"/>
      <c r="D34" s="43" t="s">
        <v>98</v>
      </c>
      <c r="E34" s="44"/>
      <c r="F34" s="44"/>
      <c r="G34" s="44"/>
      <c r="H34" s="44">
        <f t="shared" ref="H34:AK34" si="24">SUM(H25:H33)</f>
        <v>0</v>
      </c>
      <c r="I34" s="44">
        <f t="shared" si="24"/>
        <v>0</v>
      </c>
      <c r="J34" s="76">
        <f t="shared" si="24"/>
        <v>0</v>
      </c>
      <c r="K34" s="44">
        <f t="shared" si="24"/>
        <v>0</v>
      </c>
      <c r="L34" s="76">
        <f t="shared" si="24"/>
        <v>0</v>
      </c>
      <c r="M34" s="44">
        <f t="shared" si="24"/>
        <v>0</v>
      </c>
      <c r="N34" s="44">
        <f t="shared" si="24"/>
        <v>0</v>
      </c>
      <c r="O34" s="76">
        <f t="shared" si="24"/>
        <v>0</v>
      </c>
      <c r="P34" s="76">
        <f t="shared" si="24"/>
        <v>0</v>
      </c>
      <c r="Q34" s="76">
        <f t="shared" si="24"/>
        <v>0</v>
      </c>
      <c r="R34" s="76">
        <f t="shared" si="24"/>
        <v>0</v>
      </c>
      <c r="S34" s="44">
        <f t="shared" si="24"/>
        <v>0</v>
      </c>
      <c r="T34" s="44">
        <f t="shared" si="24"/>
        <v>0</v>
      </c>
      <c r="U34" s="44">
        <f t="shared" si="24"/>
        <v>0</v>
      </c>
      <c r="V34" s="44">
        <f t="shared" si="24"/>
        <v>0</v>
      </c>
      <c r="W34" s="44">
        <f t="shared" si="24"/>
        <v>0</v>
      </c>
      <c r="X34" s="44">
        <f t="shared" si="24"/>
        <v>0</v>
      </c>
      <c r="Y34" s="44">
        <f t="shared" si="24"/>
        <v>0</v>
      </c>
      <c r="Z34" s="44">
        <f t="shared" si="24"/>
        <v>0</v>
      </c>
      <c r="AA34" s="44">
        <f t="shared" si="24"/>
        <v>0</v>
      </c>
      <c r="AB34" s="44">
        <f t="shared" si="24"/>
        <v>0</v>
      </c>
      <c r="AC34" s="44">
        <f t="shared" si="24"/>
        <v>0</v>
      </c>
      <c r="AD34" s="44">
        <f t="shared" si="24"/>
        <v>0</v>
      </c>
      <c r="AE34" s="44">
        <f t="shared" si="24"/>
        <v>0</v>
      </c>
      <c r="AF34" s="44">
        <f t="shared" si="24"/>
        <v>0</v>
      </c>
      <c r="AG34" s="44">
        <f t="shared" si="24"/>
        <v>0</v>
      </c>
      <c r="AH34" s="44">
        <f t="shared" si="24"/>
        <v>0</v>
      </c>
      <c r="AI34" s="44">
        <f t="shared" si="24"/>
        <v>0</v>
      </c>
      <c r="AJ34" s="44">
        <f t="shared" si="24"/>
        <v>0</v>
      </c>
      <c r="AK34" s="44">
        <f t="shared" si="24"/>
        <v>0</v>
      </c>
      <c r="AL34" s="96"/>
    </row>
    <row r="35" s="1" customFormat="1" ht="14" spans="1:38">
      <c r="A35" s="33"/>
      <c r="B35" s="34"/>
      <c r="C35" s="34"/>
      <c r="D35" s="45" t="s">
        <v>99</v>
      </c>
      <c r="E35" s="40"/>
      <c r="F35" s="40"/>
      <c r="G35" s="40"/>
      <c r="H35" s="36"/>
      <c r="I35" s="36"/>
      <c r="J35" s="75"/>
      <c r="K35" s="36"/>
      <c r="L35" s="75"/>
      <c r="M35" s="36"/>
      <c r="N35" s="36"/>
      <c r="O35" s="75"/>
      <c r="P35" s="75"/>
      <c r="Q35" s="75"/>
      <c r="R35" s="75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96"/>
    </row>
    <row r="36" s="1" customFormat="1" ht="14" spans="1:38">
      <c r="A36" s="33">
        <v>1</v>
      </c>
      <c r="B36" s="34"/>
      <c r="C36" s="34"/>
      <c r="D36" s="51"/>
      <c r="E36" s="40"/>
      <c r="F36" s="40"/>
      <c r="G36" s="40"/>
      <c r="H36" s="36"/>
      <c r="I36" s="36"/>
      <c r="J36" s="75">
        <f t="shared" ref="J36:J44" si="25">H36+I36</f>
        <v>0</v>
      </c>
      <c r="K36" s="36"/>
      <c r="L36" s="75">
        <f t="shared" ref="L36:L44" si="26">J36-K36</f>
        <v>0</v>
      </c>
      <c r="M36" s="36"/>
      <c r="N36" s="36"/>
      <c r="O36" s="75">
        <f t="shared" ref="O36:O44" si="27">L36-M36</f>
        <v>0</v>
      </c>
      <c r="P36" s="75">
        <f t="shared" ref="P36:P44" si="28">K36-N36</f>
        <v>0</v>
      </c>
      <c r="Q36" s="75">
        <f t="shared" ref="Q36:Q44" si="29">M36+O36</f>
        <v>0</v>
      </c>
      <c r="R36" s="75">
        <f t="shared" ref="R36:R44" si="30">M36+N36+O36+P36</f>
        <v>0</v>
      </c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96"/>
    </row>
    <row r="37" s="1" customFormat="1" ht="14" spans="1:38">
      <c r="A37" s="33"/>
      <c r="B37" s="34"/>
      <c r="C37" s="34"/>
      <c r="D37" s="39" t="s">
        <v>88</v>
      </c>
      <c r="E37" s="52"/>
      <c r="F37" s="52"/>
      <c r="G37" s="52"/>
      <c r="H37" s="36"/>
      <c r="I37" s="36"/>
      <c r="J37" s="75"/>
      <c r="K37" s="36"/>
      <c r="L37" s="75"/>
      <c r="M37" s="36"/>
      <c r="N37" s="36"/>
      <c r="O37" s="75"/>
      <c r="P37" s="75"/>
      <c r="Q37" s="75"/>
      <c r="R37" s="75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97"/>
    </row>
    <row r="38" s="1" customFormat="1" ht="14" spans="1:38">
      <c r="A38" s="41"/>
      <c r="B38" s="42"/>
      <c r="C38" s="42"/>
      <c r="D38" s="53" t="s">
        <v>100</v>
      </c>
      <c r="E38" s="54"/>
      <c r="F38" s="54"/>
      <c r="G38" s="54"/>
      <c r="H38" s="44">
        <f t="shared" ref="H38:AK38" si="31">SUM(H36:H37)</f>
        <v>0</v>
      </c>
      <c r="I38" s="44">
        <f t="shared" si="31"/>
        <v>0</v>
      </c>
      <c r="J38" s="76">
        <f t="shared" si="31"/>
        <v>0</v>
      </c>
      <c r="K38" s="44">
        <f t="shared" si="31"/>
        <v>0</v>
      </c>
      <c r="L38" s="76">
        <f t="shared" si="31"/>
        <v>0</v>
      </c>
      <c r="M38" s="44">
        <f t="shared" si="31"/>
        <v>0</v>
      </c>
      <c r="N38" s="44">
        <f t="shared" si="31"/>
        <v>0</v>
      </c>
      <c r="O38" s="76">
        <f t="shared" si="31"/>
        <v>0</v>
      </c>
      <c r="P38" s="76">
        <f t="shared" si="31"/>
        <v>0</v>
      </c>
      <c r="Q38" s="76">
        <f t="shared" si="31"/>
        <v>0</v>
      </c>
      <c r="R38" s="76">
        <f t="shared" si="31"/>
        <v>0</v>
      </c>
      <c r="S38" s="44">
        <f t="shared" si="31"/>
        <v>0</v>
      </c>
      <c r="T38" s="44">
        <f t="shared" si="31"/>
        <v>0</v>
      </c>
      <c r="U38" s="44">
        <f t="shared" si="31"/>
        <v>0</v>
      </c>
      <c r="V38" s="44">
        <f t="shared" si="31"/>
        <v>0</v>
      </c>
      <c r="W38" s="44">
        <f t="shared" si="31"/>
        <v>0</v>
      </c>
      <c r="X38" s="44">
        <f t="shared" si="31"/>
        <v>0</v>
      </c>
      <c r="Y38" s="44">
        <f t="shared" si="31"/>
        <v>0</v>
      </c>
      <c r="Z38" s="44">
        <f t="shared" si="31"/>
        <v>0</v>
      </c>
      <c r="AA38" s="44">
        <f t="shared" si="31"/>
        <v>0</v>
      </c>
      <c r="AB38" s="44">
        <f t="shared" si="31"/>
        <v>0</v>
      </c>
      <c r="AC38" s="44">
        <f t="shared" si="31"/>
        <v>0</v>
      </c>
      <c r="AD38" s="44">
        <f t="shared" si="31"/>
        <v>0</v>
      </c>
      <c r="AE38" s="44">
        <f t="shared" si="31"/>
        <v>0</v>
      </c>
      <c r="AF38" s="44">
        <f t="shared" si="31"/>
        <v>0</v>
      </c>
      <c r="AG38" s="44">
        <f t="shared" si="31"/>
        <v>0</v>
      </c>
      <c r="AH38" s="44">
        <f t="shared" si="31"/>
        <v>0</v>
      </c>
      <c r="AI38" s="44">
        <f t="shared" si="31"/>
        <v>0</v>
      </c>
      <c r="AJ38" s="44">
        <f t="shared" si="31"/>
        <v>0</v>
      </c>
      <c r="AK38" s="44">
        <f t="shared" si="31"/>
        <v>0</v>
      </c>
      <c r="AL38" s="96"/>
    </row>
    <row r="39" s="1" customFormat="1" ht="14" spans="1:38">
      <c r="A39" s="33"/>
      <c r="B39" s="34"/>
      <c r="C39" s="34"/>
      <c r="D39" s="45" t="s">
        <v>101</v>
      </c>
      <c r="E39" s="40"/>
      <c r="F39" s="40"/>
      <c r="G39" s="40"/>
      <c r="H39" s="36"/>
      <c r="I39" s="36"/>
      <c r="J39" s="75"/>
      <c r="K39" s="36"/>
      <c r="L39" s="75"/>
      <c r="M39" s="36"/>
      <c r="N39" s="36"/>
      <c r="O39" s="75"/>
      <c r="P39" s="75"/>
      <c r="Q39" s="75"/>
      <c r="R39" s="75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96"/>
    </row>
    <row r="40" s="1" customFormat="1" ht="14" spans="1:38">
      <c r="A40" s="33">
        <v>1</v>
      </c>
      <c r="B40" s="34"/>
      <c r="C40" s="34"/>
      <c r="D40" s="38"/>
      <c r="E40" s="40"/>
      <c r="F40" s="40"/>
      <c r="G40" s="40"/>
      <c r="H40" s="36"/>
      <c r="I40" s="36"/>
      <c r="J40" s="75">
        <f t="shared" si="25"/>
        <v>0</v>
      </c>
      <c r="K40" s="36"/>
      <c r="L40" s="75">
        <f t="shared" si="26"/>
        <v>0</v>
      </c>
      <c r="M40" s="36"/>
      <c r="N40" s="36"/>
      <c r="O40" s="75">
        <f t="shared" si="27"/>
        <v>0</v>
      </c>
      <c r="P40" s="75">
        <f t="shared" si="28"/>
        <v>0</v>
      </c>
      <c r="Q40" s="75">
        <f t="shared" si="29"/>
        <v>0</v>
      </c>
      <c r="R40" s="75">
        <f t="shared" si="30"/>
        <v>0</v>
      </c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96"/>
    </row>
    <row r="41" s="1" customFormat="1" ht="14" spans="1:38">
      <c r="A41" s="33">
        <v>2</v>
      </c>
      <c r="B41" s="34"/>
      <c r="C41" s="34"/>
      <c r="D41" s="38"/>
      <c r="E41" s="40"/>
      <c r="F41" s="40"/>
      <c r="G41" s="40"/>
      <c r="H41" s="36"/>
      <c r="I41" s="36"/>
      <c r="J41" s="75">
        <f t="shared" si="25"/>
        <v>0</v>
      </c>
      <c r="K41" s="36"/>
      <c r="L41" s="75">
        <f t="shared" si="26"/>
        <v>0</v>
      </c>
      <c r="M41" s="36"/>
      <c r="N41" s="36"/>
      <c r="O41" s="75">
        <f t="shared" si="27"/>
        <v>0</v>
      </c>
      <c r="P41" s="75">
        <f t="shared" si="28"/>
        <v>0</v>
      </c>
      <c r="Q41" s="75">
        <f t="shared" si="29"/>
        <v>0</v>
      </c>
      <c r="R41" s="75">
        <f t="shared" si="30"/>
        <v>0</v>
      </c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96"/>
    </row>
    <row r="42" s="1" customFormat="1" ht="14" spans="1:38">
      <c r="A42" s="33">
        <v>3</v>
      </c>
      <c r="B42" s="34"/>
      <c r="C42" s="34"/>
      <c r="D42" s="38"/>
      <c r="E42" s="40"/>
      <c r="F42" s="40"/>
      <c r="G42" s="40"/>
      <c r="H42" s="36"/>
      <c r="I42" s="36"/>
      <c r="J42" s="75">
        <f t="shared" si="25"/>
        <v>0</v>
      </c>
      <c r="K42" s="36"/>
      <c r="L42" s="75">
        <f t="shared" si="26"/>
        <v>0</v>
      </c>
      <c r="M42" s="36"/>
      <c r="N42" s="36"/>
      <c r="O42" s="75">
        <f t="shared" si="27"/>
        <v>0</v>
      </c>
      <c r="P42" s="75">
        <f t="shared" si="28"/>
        <v>0</v>
      </c>
      <c r="Q42" s="75">
        <f t="shared" si="29"/>
        <v>0</v>
      </c>
      <c r="R42" s="75">
        <f t="shared" si="30"/>
        <v>0</v>
      </c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96"/>
    </row>
    <row r="43" s="1" customFormat="1" ht="14" spans="1:38">
      <c r="A43" s="33">
        <v>4</v>
      </c>
      <c r="B43" s="34"/>
      <c r="C43" s="34"/>
      <c r="D43" s="38"/>
      <c r="E43" s="40"/>
      <c r="F43" s="40"/>
      <c r="G43" s="40"/>
      <c r="H43" s="36"/>
      <c r="I43" s="36"/>
      <c r="J43" s="75">
        <f t="shared" si="25"/>
        <v>0</v>
      </c>
      <c r="K43" s="36"/>
      <c r="L43" s="75">
        <f t="shared" si="26"/>
        <v>0</v>
      </c>
      <c r="M43" s="36"/>
      <c r="N43" s="36"/>
      <c r="O43" s="75">
        <f t="shared" si="27"/>
        <v>0</v>
      </c>
      <c r="P43" s="75">
        <f t="shared" si="28"/>
        <v>0</v>
      </c>
      <c r="Q43" s="75">
        <f t="shared" si="29"/>
        <v>0</v>
      </c>
      <c r="R43" s="75">
        <f t="shared" si="30"/>
        <v>0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96"/>
    </row>
    <row r="44" s="1" customFormat="1" ht="14" spans="1:38">
      <c r="A44" s="33">
        <v>5</v>
      </c>
      <c r="B44" s="34"/>
      <c r="C44" s="34"/>
      <c r="D44" s="38"/>
      <c r="E44" s="40"/>
      <c r="F44" s="40"/>
      <c r="G44" s="40"/>
      <c r="H44" s="36"/>
      <c r="I44" s="36"/>
      <c r="J44" s="75">
        <f t="shared" si="25"/>
        <v>0</v>
      </c>
      <c r="K44" s="36"/>
      <c r="L44" s="75">
        <f t="shared" si="26"/>
        <v>0</v>
      </c>
      <c r="M44" s="36"/>
      <c r="N44" s="36"/>
      <c r="O44" s="75">
        <f t="shared" si="27"/>
        <v>0</v>
      </c>
      <c r="P44" s="75">
        <f t="shared" si="28"/>
        <v>0</v>
      </c>
      <c r="Q44" s="75">
        <f t="shared" si="29"/>
        <v>0</v>
      </c>
      <c r="R44" s="75">
        <f t="shared" si="30"/>
        <v>0</v>
      </c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96"/>
    </row>
    <row r="45" s="1" customFormat="1" ht="14" spans="1:38">
      <c r="A45" s="33"/>
      <c r="B45" s="34"/>
      <c r="C45" s="34"/>
      <c r="D45" s="39" t="s">
        <v>88</v>
      </c>
      <c r="E45" s="40"/>
      <c r="F45" s="40"/>
      <c r="G45" s="40"/>
      <c r="H45" s="36"/>
      <c r="I45" s="36"/>
      <c r="J45" s="75"/>
      <c r="K45" s="36"/>
      <c r="L45" s="75"/>
      <c r="M45" s="36"/>
      <c r="N45" s="36"/>
      <c r="O45" s="75"/>
      <c r="P45" s="75"/>
      <c r="Q45" s="75"/>
      <c r="R45" s="75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96"/>
    </row>
    <row r="46" s="1" customFormat="1" ht="14" spans="1:38">
      <c r="A46" s="55"/>
      <c r="B46" s="56"/>
      <c r="C46" s="56"/>
      <c r="D46" s="53" t="s">
        <v>102</v>
      </c>
      <c r="E46" s="57"/>
      <c r="F46" s="57"/>
      <c r="G46" s="57"/>
      <c r="H46" s="44">
        <f t="shared" ref="H46:AK46" si="32">SUM(H40:H45)</f>
        <v>0</v>
      </c>
      <c r="I46" s="44">
        <f t="shared" si="32"/>
        <v>0</v>
      </c>
      <c r="J46" s="76">
        <f t="shared" si="32"/>
        <v>0</v>
      </c>
      <c r="K46" s="44">
        <f t="shared" si="32"/>
        <v>0</v>
      </c>
      <c r="L46" s="76">
        <f t="shared" si="32"/>
        <v>0</v>
      </c>
      <c r="M46" s="44">
        <f t="shared" si="32"/>
        <v>0</v>
      </c>
      <c r="N46" s="44">
        <f t="shared" si="32"/>
        <v>0</v>
      </c>
      <c r="O46" s="76">
        <f t="shared" si="32"/>
        <v>0</v>
      </c>
      <c r="P46" s="76">
        <f t="shared" si="32"/>
        <v>0</v>
      </c>
      <c r="Q46" s="76">
        <f t="shared" si="32"/>
        <v>0</v>
      </c>
      <c r="R46" s="76">
        <f t="shared" si="32"/>
        <v>0</v>
      </c>
      <c r="S46" s="44">
        <f t="shared" si="32"/>
        <v>0</v>
      </c>
      <c r="T46" s="44">
        <f t="shared" si="32"/>
        <v>0</v>
      </c>
      <c r="U46" s="44">
        <f t="shared" si="32"/>
        <v>0</v>
      </c>
      <c r="V46" s="44">
        <f t="shared" si="32"/>
        <v>0</v>
      </c>
      <c r="W46" s="44">
        <f t="shared" si="32"/>
        <v>0</v>
      </c>
      <c r="X46" s="44">
        <f t="shared" si="32"/>
        <v>0</v>
      </c>
      <c r="Y46" s="44">
        <f t="shared" si="32"/>
        <v>0</v>
      </c>
      <c r="Z46" s="44">
        <f t="shared" si="32"/>
        <v>0</v>
      </c>
      <c r="AA46" s="44">
        <f t="shared" si="32"/>
        <v>0</v>
      </c>
      <c r="AB46" s="44">
        <f t="shared" si="32"/>
        <v>0</v>
      </c>
      <c r="AC46" s="44">
        <f t="shared" si="32"/>
        <v>0</v>
      </c>
      <c r="AD46" s="44">
        <f t="shared" si="32"/>
        <v>0</v>
      </c>
      <c r="AE46" s="44">
        <f t="shared" si="32"/>
        <v>0</v>
      </c>
      <c r="AF46" s="44">
        <f t="shared" si="32"/>
        <v>0</v>
      </c>
      <c r="AG46" s="44">
        <f t="shared" si="32"/>
        <v>0</v>
      </c>
      <c r="AH46" s="44">
        <f t="shared" si="32"/>
        <v>0</v>
      </c>
      <c r="AI46" s="44">
        <f t="shared" si="32"/>
        <v>0</v>
      </c>
      <c r="AJ46" s="44">
        <f t="shared" si="32"/>
        <v>0</v>
      </c>
      <c r="AK46" s="44">
        <f t="shared" si="32"/>
        <v>0</v>
      </c>
      <c r="AL46" s="96"/>
    </row>
    <row r="47" s="1" customFormat="1" ht="14" spans="1:38">
      <c r="A47" s="33"/>
      <c r="B47" s="34"/>
      <c r="C47" s="34"/>
      <c r="D47" s="45" t="s">
        <v>103</v>
      </c>
      <c r="E47" s="40"/>
      <c r="F47" s="40"/>
      <c r="G47" s="40"/>
      <c r="H47" s="58"/>
      <c r="I47" s="58"/>
      <c r="J47" s="76"/>
      <c r="K47" s="58"/>
      <c r="L47" s="76"/>
      <c r="M47" s="58"/>
      <c r="N47" s="58"/>
      <c r="O47" s="76"/>
      <c r="P47" s="76"/>
      <c r="Q47" s="76"/>
      <c r="R47" s="76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96"/>
    </row>
    <row r="48" s="1" customFormat="1" ht="14" spans="1:38">
      <c r="A48" s="33">
        <v>1</v>
      </c>
      <c r="B48" s="34"/>
      <c r="C48" s="34"/>
      <c r="D48" s="38"/>
      <c r="E48" s="40"/>
      <c r="F48" s="40"/>
      <c r="G48" s="40"/>
      <c r="H48" s="59"/>
      <c r="I48" s="59"/>
      <c r="J48" s="75">
        <f t="shared" ref="J48:J59" si="33">H48+I48</f>
        <v>0</v>
      </c>
      <c r="K48" s="59"/>
      <c r="L48" s="75">
        <f t="shared" ref="L48:L59" si="34">J48-K48</f>
        <v>0</v>
      </c>
      <c r="M48" s="59"/>
      <c r="N48" s="59"/>
      <c r="O48" s="75">
        <f t="shared" ref="O48:O59" si="35">L48-M48</f>
        <v>0</v>
      </c>
      <c r="P48" s="75">
        <f t="shared" ref="P48:P59" si="36">K48-N48</f>
        <v>0</v>
      </c>
      <c r="Q48" s="75">
        <f t="shared" ref="Q48:Q59" si="37">M48+O48</f>
        <v>0</v>
      </c>
      <c r="R48" s="75">
        <f t="shared" ref="R48:R59" si="38">M48+N48+O48+P48</f>
        <v>0</v>
      </c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96"/>
    </row>
    <row r="49" s="1" customFormat="1" ht="14" spans="1:38">
      <c r="A49" s="33">
        <v>2</v>
      </c>
      <c r="B49" s="34"/>
      <c r="C49" s="34"/>
      <c r="D49" s="38"/>
      <c r="E49" s="40"/>
      <c r="F49" s="40"/>
      <c r="G49" s="40"/>
      <c r="H49" s="59"/>
      <c r="I49" s="59"/>
      <c r="J49" s="75">
        <f t="shared" si="33"/>
        <v>0</v>
      </c>
      <c r="K49" s="59"/>
      <c r="L49" s="75">
        <f t="shared" si="34"/>
        <v>0</v>
      </c>
      <c r="M49" s="59"/>
      <c r="N49" s="59"/>
      <c r="O49" s="75">
        <f t="shared" si="35"/>
        <v>0</v>
      </c>
      <c r="P49" s="75">
        <f t="shared" si="36"/>
        <v>0</v>
      </c>
      <c r="Q49" s="75">
        <f t="shared" si="37"/>
        <v>0</v>
      </c>
      <c r="R49" s="75">
        <f t="shared" si="38"/>
        <v>0</v>
      </c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96"/>
    </row>
    <row r="50" s="1" customFormat="1" ht="14" spans="1:38">
      <c r="A50" s="33">
        <v>3</v>
      </c>
      <c r="B50" s="34"/>
      <c r="C50" s="34"/>
      <c r="D50" s="38"/>
      <c r="E50" s="40"/>
      <c r="F50" s="40"/>
      <c r="G50" s="40"/>
      <c r="H50" s="59"/>
      <c r="I50" s="59"/>
      <c r="J50" s="75">
        <f t="shared" si="33"/>
        <v>0</v>
      </c>
      <c r="K50" s="59"/>
      <c r="L50" s="75">
        <f t="shared" si="34"/>
        <v>0</v>
      </c>
      <c r="M50" s="59"/>
      <c r="N50" s="59"/>
      <c r="O50" s="75">
        <f t="shared" si="35"/>
        <v>0</v>
      </c>
      <c r="P50" s="75">
        <f t="shared" si="36"/>
        <v>0</v>
      </c>
      <c r="Q50" s="75">
        <f t="shared" si="37"/>
        <v>0</v>
      </c>
      <c r="R50" s="75">
        <f t="shared" si="38"/>
        <v>0</v>
      </c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96"/>
    </row>
    <row r="51" s="1" customFormat="1" ht="14" spans="1:38">
      <c r="A51" s="33">
        <v>4</v>
      </c>
      <c r="B51" s="34"/>
      <c r="C51" s="34"/>
      <c r="D51" s="38"/>
      <c r="E51" s="40"/>
      <c r="F51" s="40"/>
      <c r="G51" s="40"/>
      <c r="H51" s="59"/>
      <c r="I51" s="59"/>
      <c r="J51" s="75">
        <f t="shared" si="33"/>
        <v>0</v>
      </c>
      <c r="K51" s="59"/>
      <c r="L51" s="75">
        <f t="shared" si="34"/>
        <v>0</v>
      </c>
      <c r="M51" s="59"/>
      <c r="N51" s="59"/>
      <c r="O51" s="75">
        <f t="shared" si="35"/>
        <v>0</v>
      </c>
      <c r="P51" s="75">
        <f t="shared" si="36"/>
        <v>0</v>
      </c>
      <c r="Q51" s="75">
        <f t="shared" si="37"/>
        <v>0</v>
      </c>
      <c r="R51" s="75">
        <f t="shared" si="38"/>
        <v>0</v>
      </c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96"/>
    </row>
    <row r="52" s="1" customFormat="1" ht="14" spans="1:38">
      <c r="A52" s="33">
        <v>5</v>
      </c>
      <c r="B52" s="34"/>
      <c r="C52" s="34"/>
      <c r="D52" s="38"/>
      <c r="E52" s="40"/>
      <c r="F52" s="40"/>
      <c r="G52" s="40"/>
      <c r="H52" s="59"/>
      <c r="I52" s="59"/>
      <c r="J52" s="75">
        <f t="shared" si="33"/>
        <v>0</v>
      </c>
      <c r="K52" s="59"/>
      <c r="L52" s="75">
        <f t="shared" si="34"/>
        <v>0</v>
      </c>
      <c r="M52" s="59"/>
      <c r="N52" s="59"/>
      <c r="O52" s="75">
        <f t="shared" si="35"/>
        <v>0</v>
      </c>
      <c r="P52" s="75">
        <f t="shared" si="36"/>
        <v>0</v>
      </c>
      <c r="Q52" s="75">
        <f t="shared" si="37"/>
        <v>0</v>
      </c>
      <c r="R52" s="75">
        <f t="shared" si="38"/>
        <v>0</v>
      </c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96"/>
    </row>
    <row r="53" s="1" customFormat="1" ht="14" spans="1:38">
      <c r="A53" s="33">
        <v>6</v>
      </c>
      <c r="B53" s="34"/>
      <c r="C53" s="34"/>
      <c r="D53" s="38"/>
      <c r="E53" s="40"/>
      <c r="F53" s="40"/>
      <c r="G53" s="40"/>
      <c r="H53" s="59"/>
      <c r="I53" s="59"/>
      <c r="J53" s="75">
        <f t="shared" si="33"/>
        <v>0</v>
      </c>
      <c r="K53" s="59"/>
      <c r="L53" s="75">
        <f t="shared" si="34"/>
        <v>0</v>
      </c>
      <c r="M53" s="59"/>
      <c r="N53" s="59"/>
      <c r="O53" s="75">
        <f t="shared" si="35"/>
        <v>0</v>
      </c>
      <c r="P53" s="75">
        <f t="shared" si="36"/>
        <v>0</v>
      </c>
      <c r="Q53" s="75">
        <f t="shared" si="37"/>
        <v>0</v>
      </c>
      <c r="R53" s="75">
        <f t="shared" si="38"/>
        <v>0</v>
      </c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96"/>
    </row>
    <row r="54" s="1" customFormat="1" ht="14" spans="1:38">
      <c r="A54" s="33">
        <v>7</v>
      </c>
      <c r="B54" s="34"/>
      <c r="C54" s="34"/>
      <c r="D54" s="38"/>
      <c r="E54" s="40"/>
      <c r="F54" s="40"/>
      <c r="G54" s="40"/>
      <c r="H54" s="59"/>
      <c r="I54" s="59"/>
      <c r="J54" s="75">
        <f t="shared" si="33"/>
        <v>0</v>
      </c>
      <c r="K54" s="59"/>
      <c r="L54" s="75">
        <f t="shared" si="34"/>
        <v>0</v>
      </c>
      <c r="M54" s="59"/>
      <c r="N54" s="59"/>
      <c r="O54" s="75">
        <f t="shared" si="35"/>
        <v>0</v>
      </c>
      <c r="P54" s="75">
        <f t="shared" si="36"/>
        <v>0</v>
      </c>
      <c r="Q54" s="75">
        <f t="shared" si="37"/>
        <v>0</v>
      </c>
      <c r="R54" s="75">
        <f t="shared" si="38"/>
        <v>0</v>
      </c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96"/>
    </row>
    <row r="55" s="1" customFormat="1" ht="14" spans="1:38">
      <c r="A55" s="33">
        <v>8</v>
      </c>
      <c r="B55" s="34"/>
      <c r="C55" s="34"/>
      <c r="D55" s="38"/>
      <c r="E55" s="40"/>
      <c r="F55" s="40"/>
      <c r="G55" s="40"/>
      <c r="H55" s="59"/>
      <c r="I55" s="59"/>
      <c r="J55" s="75">
        <f t="shared" si="33"/>
        <v>0</v>
      </c>
      <c r="K55" s="59"/>
      <c r="L55" s="75">
        <f t="shared" si="34"/>
        <v>0</v>
      </c>
      <c r="M55" s="59"/>
      <c r="N55" s="59"/>
      <c r="O55" s="75">
        <f t="shared" si="35"/>
        <v>0</v>
      </c>
      <c r="P55" s="75">
        <f t="shared" si="36"/>
        <v>0</v>
      </c>
      <c r="Q55" s="75">
        <f t="shared" si="37"/>
        <v>0</v>
      </c>
      <c r="R55" s="75">
        <f t="shared" si="38"/>
        <v>0</v>
      </c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96"/>
    </row>
    <row r="56" s="1" customFormat="1" ht="14" spans="1:38">
      <c r="A56" s="33">
        <v>9</v>
      </c>
      <c r="B56" s="34"/>
      <c r="C56" s="34"/>
      <c r="D56" s="38"/>
      <c r="E56" s="40"/>
      <c r="F56" s="40"/>
      <c r="G56" s="40"/>
      <c r="H56" s="59"/>
      <c r="I56" s="59"/>
      <c r="J56" s="75">
        <f t="shared" si="33"/>
        <v>0</v>
      </c>
      <c r="K56" s="59"/>
      <c r="L56" s="75">
        <f t="shared" si="34"/>
        <v>0</v>
      </c>
      <c r="M56" s="59"/>
      <c r="N56" s="59"/>
      <c r="O56" s="75">
        <f t="shared" si="35"/>
        <v>0</v>
      </c>
      <c r="P56" s="75">
        <f t="shared" si="36"/>
        <v>0</v>
      </c>
      <c r="Q56" s="75">
        <f t="shared" si="37"/>
        <v>0</v>
      </c>
      <c r="R56" s="75">
        <f t="shared" si="38"/>
        <v>0</v>
      </c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96"/>
    </row>
    <row r="57" s="1" customFormat="1" ht="14" spans="1:38">
      <c r="A57" s="33">
        <v>10</v>
      </c>
      <c r="B57" s="34"/>
      <c r="C57" s="34"/>
      <c r="D57" s="38"/>
      <c r="E57" s="40"/>
      <c r="F57" s="40"/>
      <c r="G57" s="40"/>
      <c r="H57" s="59"/>
      <c r="I57" s="59"/>
      <c r="J57" s="75">
        <f t="shared" si="33"/>
        <v>0</v>
      </c>
      <c r="K57" s="59"/>
      <c r="L57" s="75">
        <f t="shared" si="34"/>
        <v>0</v>
      </c>
      <c r="M57" s="59"/>
      <c r="N57" s="59"/>
      <c r="O57" s="75">
        <f t="shared" si="35"/>
        <v>0</v>
      </c>
      <c r="P57" s="75">
        <f t="shared" si="36"/>
        <v>0</v>
      </c>
      <c r="Q57" s="75">
        <f t="shared" si="37"/>
        <v>0</v>
      </c>
      <c r="R57" s="75">
        <f t="shared" si="38"/>
        <v>0</v>
      </c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96"/>
    </row>
    <row r="58" s="1" customFormat="1" ht="14" spans="1:38">
      <c r="A58" s="33">
        <v>11</v>
      </c>
      <c r="B58" s="34"/>
      <c r="C58" s="34"/>
      <c r="D58" s="38"/>
      <c r="E58" s="40"/>
      <c r="F58" s="40"/>
      <c r="G58" s="40"/>
      <c r="H58" s="59"/>
      <c r="I58" s="59"/>
      <c r="J58" s="75">
        <f t="shared" si="33"/>
        <v>0</v>
      </c>
      <c r="K58" s="59"/>
      <c r="L58" s="75">
        <f t="shared" si="34"/>
        <v>0</v>
      </c>
      <c r="M58" s="59"/>
      <c r="N58" s="59"/>
      <c r="O58" s="75">
        <f t="shared" si="35"/>
        <v>0</v>
      </c>
      <c r="P58" s="75">
        <f t="shared" si="36"/>
        <v>0</v>
      </c>
      <c r="Q58" s="75">
        <f t="shared" si="37"/>
        <v>0</v>
      </c>
      <c r="R58" s="75">
        <f t="shared" si="38"/>
        <v>0</v>
      </c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96"/>
    </row>
    <row r="59" s="1" customFormat="1" ht="14" spans="1:38">
      <c r="A59" s="33">
        <v>12</v>
      </c>
      <c r="B59" s="34"/>
      <c r="C59" s="34"/>
      <c r="D59" s="38"/>
      <c r="E59" s="40"/>
      <c r="F59" s="40"/>
      <c r="G59" s="40"/>
      <c r="H59" s="59"/>
      <c r="I59" s="59"/>
      <c r="J59" s="75">
        <f t="shared" si="33"/>
        <v>0</v>
      </c>
      <c r="K59" s="59"/>
      <c r="L59" s="75">
        <f t="shared" si="34"/>
        <v>0</v>
      </c>
      <c r="M59" s="59"/>
      <c r="N59" s="59"/>
      <c r="O59" s="75">
        <f t="shared" si="35"/>
        <v>0</v>
      </c>
      <c r="P59" s="75">
        <f t="shared" si="36"/>
        <v>0</v>
      </c>
      <c r="Q59" s="75">
        <f t="shared" si="37"/>
        <v>0</v>
      </c>
      <c r="R59" s="75">
        <f t="shared" si="38"/>
        <v>0</v>
      </c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97"/>
    </row>
    <row r="60" s="1" customFormat="1" ht="14" spans="1:38">
      <c r="A60" s="33"/>
      <c r="B60" s="34"/>
      <c r="C60" s="34"/>
      <c r="D60" s="39" t="s">
        <v>88</v>
      </c>
      <c r="E60" s="40"/>
      <c r="F60" s="40"/>
      <c r="G60" s="40"/>
      <c r="H60" s="59"/>
      <c r="I60" s="59"/>
      <c r="J60" s="77"/>
      <c r="K60" s="59"/>
      <c r="L60" s="77"/>
      <c r="M60" s="59"/>
      <c r="N60" s="59"/>
      <c r="O60" s="77"/>
      <c r="P60" s="77"/>
      <c r="Q60" s="77"/>
      <c r="R60" s="77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97"/>
    </row>
    <row r="61" s="1" customFormat="1" ht="14" spans="1:38">
      <c r="A61" s="55"/>
      <c r="B61" s="56"/>
      <c r="C61" s="56"/>
      <c r="D61" s="53" t="s">
        <v>104</v>
      </c>
      <c r="E61" s="57"/>
      <c r="F61" s="57"/>
      <c r="G61" s="57"/>
      <c r="H61" s="44">
        <f t="shared" ref="H61:AK61" si="39">SUM(H48:H60)</f>
        <v>0</v>
      </c>
      <c r="I61" s="44">
        <f t="shared" si="39"/>
        <v>0</v>
      </c>
      <c r="J61" s="76">
        <f t="shared" si="39"/>
        <v>0</v>
      </c>
      <c r="K61" s="44">
        <f t="shared" si="39"/>
        <v>0</v>
      </c>
      <c r="L61" s="76">
        <f t="shared" si="39"/>
        <v>0</v>
      </c>
      <c r="M61" s="44">
        <f t="shared" si="39"/>
        <v>0</v>
      </c>
      <c r="N61" s="44">
        <f t="shared" si="39"/>
        <v>0</v>
      </c>
      <c r="O61" s="76">
        <f t="shared" si="39"/>
        <v>0</v>
      </c>
      <c r="P61" s="76">
        <f t="shared" si="39"/>
        <v>0</v>
      </c>
      <c r="Q61" s="76">
        <f t="shared" si="39"/>
        <v>0</v>
      </c>
      <c r="R61" s="76">
        <f t="shared" si="39"/>
        <v>0</v>
      </c>
      <c r="S61" s="44">
        <f t="shared" si="39"/>
        <v>0</v>
      </c>
      <c r="T61" s="44">
        <f t="shared" si="39"/>
        <v>0</v>
      </c>
      <c r="U61" s="44">
        <f t="shared" si="39"/>
        <v>0</v>
      </c>
      <c r="V61" s="44">
        <f t="shared" si="39"/>
        <v>0</v>
      </c>
      <c r="W61" s="44">
        <f t="shared" si="39"/>
        <v>0</v>
      </c>
      <c r="X61" s="44">
        <f t="shared" si="39"/>
        <v>0</v>
      </c>
      <c r="Y61" s="44">
        <f t="shared" si="39"/>
        <v>0</v>
      </c>
      <c r="Z61" s="44">
        <f t="shared" si="39"/>
        <v>0</v>
      </c>
      <c r="AA61" s="44">
        <f t="shared" si="39"/>
        <v>0</v>
      </c>
      <c r="AB61" s="44">
        <f t="shared" si="39"/>
        <v>0</v>
      </c>
      <c r="AC61" s="44">
        <f t="shared" si="39"/>
        <v>0</v>
      </c>
      <c r="AD61" s="44">
        <f t="shared" si="39"/>
        <v>0</v>
      </c>
      <c r="AE61" s="44">
        <f t="shared" si="39"/>
        <v>0</v>
      </c>
      <c r="AF61" s="44">
        <f t="shared" si="39"/>
        <v>0</v>
      </c>
      <c r="AG61" s="44">
        <f t="shared" si="39"/>
        <v>0</v>
      </c>
      <c r="AH61" s="44">
        <f t="shared" si="39"/>
        <v>0</v>
      </c>
      <c r="AI61" s="44">
        <f t="shared" si="39"/>
        <v>0</v>
      </c>
      <c r="AJ61" s="44">
        <f t="shared" si="39"/>
        <v>0</v>
      </c>
      <c r="AK61" s="44">
        <f t="shared" si="39"/>
        <v>0</v>
      </c>
      <c r="AL61" s="97"/>
    </row>
    <row r="62" s="1" customFormat="1" ht="14" spans="1:38">
      <c r="A62" s="33"/>
      <c r="B62" s="34"/>
      <c r="C62" s="34"/>
      <c r="D62" s="45" t="s">
        <v>105</v>
      </c>
      <c r="E62" s="40"/>
      <c r="F62" s="40"/>
      <c r="G62" s="40"/>
      <c r="H62" s="36"/>
      <c r="I62" s="36"/>
      <c r="J62" s="75"/>
      <c r="K62" s="36"/>
      <c r="L62" s="75"/>
      <c r="M62" s="36"/>
      <c r="N62" s="36"/>
      <c r="O62" s="75"/>
      <c r="P62" s="75"/>
      <c r="Q62" s="75"/>
      <c r="R62" s="75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97"/>
    </row>
    <row r="63" s="1" customFormat="1" ht="14" spans="1:38">
      <c r="A63" s="33">
        <v>1</v>
      </c>
      <c r="B63" s="34"/>
      <c r="C63" s="34"/>
      <c r="D63" s="45"/>
      <c r="E63" s="40"/>
      <c r="F63" s="40"/>
      <c r="G63" s="40"/>
      <c r="H63" s="36"/>
      <c r="I63" s="36"/>
      <c r="J63" s="75">
        <f t="shared" ref="J63:J66" si="40">H63+I63</f>
        <v>0</v>
      </c>
      <c r="K63" s="36"/>
      <c r="L63" s="75">
        <f t="shared" ref="L63:L66" si="41">J63-K63</f>
        <v>0</v>
      </c>
      <c r="M63" s="36"/>
      <c r="N63" s="36"/>
      <c r="O63" s="75">
        <f t="shared" ref="O63:O66" si="42">L63-M63</f>
        <v>0</v>
      </c>
      <c r="P63" s="75">
        <f t="shared" ref="P63:P66" si="43">K63-N63</f>
        <v>0</v>
      </c>
      <c r="Q63" s="75">
        <f t="shared" ref="Q63:Q66" si="44">M63+O63</f>
        <v>0</v>
      </c>
      <c r="R63" s="75">
        <f t="shared" ref="R63:R66" si="45">M63+N63+O63+P63</f>
        <v>0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97"/>
    </row>
    <row r="64" s="1" customFormat="1" ht="14" spans="1:38">
      <c r="A64" s="33">
        <v>2</v>
      </c>
      <c r="B64" s="34"/>
      <c r="C64" s="34"/>
      <c r="D64" s="45"/>
      <c r="E64" s="40"/>
      <c r="F64" s="40"/>
      <c r="G64" s="40"/>
      <c r="H64" s="36"/>
      <c r="I64" s="36"/>
      <c r="J64" s="75">
        <f t="shared" si="40"/>
        <v>0</v>
      </c>
      <c r="K64" s="36"/>
      <c r="L64" s="75">
        <f t="shared" si="41"/>
        <v>0</v>
      </c>
      <c r="M64" s="36"/>
      <c r="N64" s="36"/>
      <c r="O64" s="75">
        <f t="shared" si="42"/>
        <v>0</v>
      </c>
      <c r="P64" s="75">
        <f t="shared" si="43"/>
        <v>0</v>
      </c>
      <c r="Q64" s="75">
        <f t="shared" si="44"/>
        <v>0</v>
      </c>
      <c r="R64" s="75">
        <f t="shared" si="45"/>
        <v>0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97"/>
    </row>
    <row r="65" s="1" customFormat="1" ht="14" spans="1:38">
      <c r="A65" s="33">
        <v>3</v>
      </c>
      <c r="B65" s="34"/>
      <c r="C65" s="34"/>
      <c r="D65" s="45"/>
      <c r="E65" s="40"/>
      <c r="F65" s="40"/>
      <c r="G65" s="40"/>
      <c r="H65" s="36"/>
      <c r="I65" s="36"/>
      <c r="J65" s="75">
        <f t="shared" si="40"/>
        <v>0</v>
      </c>
      <c r="K65" s="36"/>
      <c r="L65" s="75">
        <f t="shared" si="41"/>
        <v>0</v>
      </c>
      <c r="M65" s="36"/>
      <c r="N65" s="36"/>
      <c r="O65" s="75">
        <f t="shared" si="42"/>
        <v>0</v>
      </c>
      <c r="P65" s="75">
        <f t="shared" si="43"/>
        <v>0</v>
      </c>
      <c r="Q65" s="75">
        <f t="shared" si="44"/>
        <v>0</v>
      </c>
      <c r="R65" s="75">
        <f t="shared" si="45"/>
        <v>0</v>
      </c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97"/>
    </row>
    <row r="66" s="1" customFormat="1" ht="14" spans="1:38">
      <c r="A66" s="33">
        <v>4</v>
      </c>
      <c r="B66" s="34"/>
      <c r="C66" s="34"/>
      <c r="D66" s="45"/>
      <c r="E66" s="40"/>
      <c r="F66" s="40"/>
      <c r="G66" s="40"/>
      <c r="H66" s="36"/>
      <c r="I66" s="36"/>
      <c r="J66" s="75">
        <f t="shared" si="40"/>
        <v>0</v>
      </c>
      <c r="K66" s="36"/>
      <c r="L66" s="75">
        <f t="shared" si="41"/>
        <v>0</v>
      </c>
      <c r="M66" s="36"/>
      <c r="N66" s="36"/>
      <c r="O66" s="75">
        <f t="shared" si="42"/>
        <v>0</v>
      </c>
      <c r="P66" s="75">
        <f t="shared" si="43"/>
        <v>0</v>
      </c>
      <c r="Q66" s="75">
        <f t="shared" si="44"/>
        <v>0</v>
      </c>
      <c r="R66" s="75">
        <f t="shared" si="45"/>
        <v>0</v>
      </c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97"/>
    </row>
    <row r="67" s="1" customFormat="1" ht="14" spans="1:38">
      <c r="A67" s="55"/>
      <c r="B67" s="56"/>
      <c r="C67" s="56"/>
      <c r="D67" s="53" t="s">
        <v>106</v>
      </c>
      <c r="E67" s="53"/>
      <c r="F67" s="53"/>
      <c r="G67" s="53"/>
      <c r="H67" s="44">
        <f t="shared" ref="H67:AK67" si="46">SUM(H63:H66)</f>
        <v>0</v>
      </c>
      <c r="I67" s="44">
        <f t="shared" si="46"/>
        <v>0</v>
      </c>
      <c r="J67" s="76">
        <f t="shared" si="46"/>
        <v>0</v>
      </c>
      <c r="K67" s="44">
        <f t="shared" si="46"/>
        <v>0</v>
      </c>
      <c r="L67" s="76">
        <f t="shared" si="46"/>
        <v>0</v>
      </c>
      <c r="M67" s="44">
        <f t="shared" si="46"/>
        <v>0</v>
      </c>
      <c r="N67" s="44">
        <f t="shared" si="46"/>
        <v>0</v>
      </c>
      <c r="O67" s="76">
        <f t="shared" si="46"/>
        <v>0</v>
      </c>
      <c r="P67" s="76">
        <f t="shared" si="46"/>
        <v>0</v>
      </c>
      <c r="Q67" s="76">
        <f t="shared" si="46"/>
        <v>0</v>
      </c>
      <c r="R67" s="76">
        <f t="shared" si="46"/>
        <v>0</v>
      </c>
      <c r="S67" s="44">
        <f t="shared" si="46"/>
        <v>0</v>
      </c>
      <c r="T67" s="44">
        <f t="shared" si="46"/>
        <v>0</v>
      </c>
      <c r="U67" s="44">
        <f t="shared" si="46"/>
        <v>0</v>
      </c>
      <c r="V67" s="44">
        <f t="shared" si="46"/>
        <v>0</v>
      </c>
      <c r="W67" s="44">
        <f t="shared" si="46"/>
        <v>0</v>
      </c>
      <c r="X67" s="44">
        <f t="shared" si="46"/>
        <v>0</v>
      </c>
      <c r="Y67" s="44">
        <f t="shared" si="46"/>
        <v>0</v>
      </c>
      <c r="Z67" s="44">
        <f t="shared" si="46"/>
        <v>0</v>
      </c>
      <c r="AA67" s="44">
        <f t="shared" si="46"/>
        <v>0</v>
      </c>
      <c r="AB67" s="44">
        <f t="shared" si="46"/>
        <v>0</v>
      </c>
      <c r="AC67" s="44">
        <f t="shared" si="46"/>
        <v>0</v>
      </c>
      <c r="AD67" s="44">
        <f t="shared" si="46"/>
        <v>0</v>
      </c>
      <c r="AE67" s="44">
        <f t="shared" si="46"/>
        <v>0</v>
      </c>
      <c r="AF67" s="44">
        <f t="shared" si="46"/>
        <v>0</v>
      </c>
      <c r="AG67" s="44">
        <f t="shared" si="46"/>
        <v>0</v>
      </c>
      <c r="AH67" s="44">
        <f t="shared" si="46"/>
        <v>0</v>
      </c>
      <c r="AI67" s="44">
        <f t="shared" si="46"/>
        <v>0</v>
      </c>
      <c r="AJ67" s="44">
        <f t="shared" si="46"/>
        <v>0</v>
      </c>
      <c r="AK67" s="44">
        <f t="shared" si="46"/>
        <v>0</v>
      </c>
      <c r="AL67" s="151"/>
    </row>
    <row r="68" s="1" customFormat="1" ht="14" spans="1:38">
      <c r="A68" s="55"/>
      <c r="B68" s="56"/>
      <c r="C68" s="56"/>
      <c r="D68" s="53" t="s">
        <v>107</v>
      </c>
      <c r="E68" s="57"/>
      <c r="F68" s="57"/>
      <c r="G68" s="57"/>
      <c r="H68" s="44">
        <f t="shared" ref="H68:AK68" si="47">H17+H23+H34+H38+H46+H61+H67</f>
        <v>0</v>
      </c>
      <c r="I68" s="44">
        <f t="shared" si="47"/>
        <v>0</v>
      </c>
      <c r="J68" s="76">
        <f t="shared" si="47"/>
        <v>0</v>
      </c>
      <c r="K68" s="44">
        <f t="shared" si="47"/>
        <v>0</v>
      </c>
      <c r="L68" s="76">
        <f t="shared" si="47"/>
        <v>0</v>
      </c>
      <c r="M68" s="44">
        <f t="shared" si="47"/>
        <v>0</v>
      </c>
      <c r="N68" s="44">
        <f t="shared" si="47"/>
        <v>0</v>
      </c>
      <c r="O68" s="76">
        <f t="shared" si="47"/>
        <v>0</v>
      </c>
      <c r="P68" s="76">
        <f t="shared" si="47"/>
        <v>0</v>
      </c>
      <c r="Q68" s="76">
        <f t="shared" si="47"/>
        <v>0</v>
      </c>
      <c r="R68" s="76">
        <f t="shared" si="47"/>
        <v>0</v>
      </c>
      <c r="S68" s="44">
        <f t="shared" si="47"/>
        <v>0</v>
      </c>
      <c r="T68" s="44">
        <f t="shared" si="47"/>
        <v>0</v>
      </c>
      <c r="U68" s="44">
        <f t="shared" si="47"/>
        <v>0</v>
      </c>
      <c r="V68" s="44">
        <f t="shared" si="47"/>
        <v>0</v>
      </c>
      <c r="W68" s="44">
        <f t="shared" si="47"/>
        <v>0</v>
      </c>
      <c r="X68" s="44">
        <f t="shared" si="47"/>
        <v>0</v>
      </c>
      <c r="Y68" s="44">
        <f t="shared" si="47"/>
        <v>0</v>
      </c>
      <c r="Z68" s="44">
        <f t="shared" si="47"/>
        <v>0</v>
      </c>
      <c r="AA68" s="44">
        <f t="shared" si="47"/>
        <v>0</v>
      </c>
      <c r="AB68" s="44">
        <f t="shared" si="47"/>
        <v>0</v>
      </c>
      <c r="AC68" s="44">
        <f t="shared" si="47"/>
        <v>0</v>
      </c>
      <c r="AD68" s="44">
        <f t="shared" si="47"/>
        <v>0</v>
      </c>
      <c r="AE68" s="44">
        <f t="shared" si="47"/>
        <v>0</v>
      </c>
      <c r="AF68" s="44">
        <f t="shared" si="47"/>
        <v>0</v>
      </c>
      <c r="AG68" s="44">
        <f t="shared" si="47"/>
        <v>0</v>
      </c>
      <c r="AH68" s="44">
        <f t="shared" si="47"/>
        <v>0</v>
      </c>
      <c r="AI68" s="44">
        <f t="shared" si="47"/>
        <v>0</v>
      </c>
      <c r="AJ68" s="44">
        <f t="shared" si="47"/>
        <v>0</v>
      </c>
      <c r="AK68" s="44">
        <f t="shared" si="47"/>
        <v>0</v>
      </c>
      <c r="AL68" s="151"/>
    </row>
    <row r="69" s="1" customFormat="1" ht="39" spans="1:38">
      <c r="A69" s="33"/>
      <c r="B69" s="34"/>
      <c r="C69" s="34"/>
      <c r="D69" s="45" t="s">
        <v>108</v>
      </c>
      <c r="E69" s="100" t="s">
        <v>109</v>
      </c>
      <c r="F69" s="100"/>
      <c r="G69" s="100"/>
      <c r="H69" s="58"/>
      <c r="I69" s="58"/>
      <c r="J69" s="76">
        <f t="shared" ref="J69:J76" si="48">H69+I69</f>
        <v>0</v>
      </c>
      <c r="K69" s="58"/>
      <c r="L69" s="120">
        <f t="shared" ref="L69:L75" si="49">J69-K69</f>
        <v>0</v>
      </c>
      <c r="M69" s="36"/>
      <c r="N69" s="36"/>
      <c r="O69" s="75">
        <f>L69-M69</f>
        <v>0</v>
      </c>
      <c r="P69" s="75">
        <f t="shared" ref="P69:P72" si="50">K69-N69</f>
        <v>0</v>
      </c>
      <c r="Q69" s="75">
        <f t="shared" ref="Q69:Q72" si="51">M69+O69</f>
        <v>0</v>
      </c>
      <c r="R69" s="75">
        <f t="shared" ref="R69:R72" si="52">M69+N69+O69+P69</f>
        <v>0</v>
      </c>
      <c r="S69" s="141">
        <f t="shared" ref="S69:S72" si="53">SUM(T69:V69)</f>
        <v>0</v>
      </c>
      <c r="T69" s="141"/>
      <c r="U69" s="141"/>
      <c r="V69" s="141"/>
      <c r="W69" s="141"/>
      <c r="X69" s="141"/>
      <c r="Y69" s="141"/>
      <c r="Z69" s="141"/>
      <c r="AA69" s="141">
        <f>Q69-S69</f>
        <v>0</v>
      </c>
      <c r="AB69" s="144"/>
      <c r="AC69" s="144"/>
      <c r="AD69" s="144"/>
      <c r="AE69" s="144"/>
      <c r="AF69" s="144"/>
      <c r="AG69" s="144"/>
      <c r="AH69" s="144"/>
      <c r="AI69" s="144"/>
      <c r="AJ69" s="144"/>
      <c r="AK69" s="83"/>
      <c r="AL69" s="151"/>
    </row>
    <row r="70" s="1" customFormat="1" ht="14" spans="1:38">
      <c r="A70" s="33"/>
      <c r="B70" s="34"/>
      <c r="C70" s="34"/>
      <c r="D70" s="45" t="s">
        <v>110</v>
      </c>
      <c r="E70" s="40"/>
      <c r="F70" s="40"/>
      <c r="G70" s="40"/>
      <c r="H70" s="58"/>
      <c r="I70" s="58"/>
      <c r="J70" s="76">
        <f t="shared" si="48"/>
        <v>0</v>
      </c>
      <c r="K70" s="58"/>
      <c r="L70" s="120">
        <f t="shared" si="49"/>
        <v>0</v>
      </c>
      <c r="M70" s="36"/>
      <c r="N70" s="36"/>
      <c r="O70" s="75">
        <f t="shared" ref="O69:O72" si="54">L70-M70</f>
        <v>0</v>
      </c>
      <c r="P70" s="75">
        <f t="shared" si="50"/>
        <v>0</v>
      </c>
      <c r="Q70" s="75">
        <f t="shared" si="51"/>
        <v>0</v>
      </c>
      <c r="R70" s="75">
        <f t="shared" si="52"/>
        <v>0</v>
      </c>
      <c r="S70" s="141">
        <f t="shared" si="53"/>
        <v>0</v>
      </c>
      <c r="T70" s="141"/>
      <c r="U70" s="141"/>
      <c r="V70" s="141"/>
      <c r="W70" s="141"/>
      <c r="X70" s="141"/>
      <c r="Y70" s="141"/>
      <c r="Z70" s="141"/>
      <c r="AA70" s="141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97"/>
    </row>
    <row r="71" s="1" customFormat="1" ht="14" spans="1:38">
      <c r="A71" s="33"/>
      <c r="B71" s="34"/>
      <c r="C71" s="34"/>
      <c r="D71" s="45" t="s">
        <v>111</v>
      </c>
      <c r="E71" s="40"/>
      <c r="F71" s="40"/>
      <c r="G71" s="40"/>
      <c r="H71" s="36"/>
      <c r="I71" s="36"/>
      <c r="J71" s="76">
        <f t="shared" si="48"/>
        <v>0</v>
      </c>
      <c r="K71" s="36"/>
      <c r="L71" s="120">
        <f t="shared" si="49"/>
        <v>0</v>
      </c>
      <c r="M71" s="36"/>
      <c r="N71" s="36"/>
      <c r="O71" s="75">
        <f t="shared" si="54"/>
        <v>0</v>
      </c>
      <c r="P71" s="75">
        <f t="shared" si="50"/>
        <v>0</v>
      </c>
      <c r="Q71" s="75">
        <f t="shared" si="51"/>
        <v>0</v>
      </c>
      <c r="R71" s="75">
        <f t="shared" si="52"/>
        <v>0</v>
      </c>
      <c r="S71" s="141">
        <f t="shared" si="53"/>
        <v>0</v>
      </c>
      <c r="T71" s="141"/>
      <c r="U71" s="141"/>
      <c r="V71" s="141"/>
      <c r="W71" s="141"/>
      <c r="X71" s="141"/>
      <c r="Y71" s="141"/>
      <c r="Z71" s="141"/>
      <c r="AA71" s="141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97"/>
    </row>
    <row r="72" s="1" customFormat="1" ht="14" spans="1:38">
      <c r="A72" s="33"/>
      <c r="B72" s="34"/>
      <c r="C72" s="34"/>
      <c r="D72" s="45" t="s">
        <v>112</v>
      </c>
      <c r="E72" s="40"/>
      <c r="F72" s="40"/>
      <c r="G72" s="40"/>
      <c r="H72" s="36"/>
      <c r="I72" s="36"/>
      <c r="J72" s="76">
        <f t="shared" si="48"/>
        <v>0</v>
      </c>
      <c r="K72" s="36"/>
      <c r="L72" s="120">
        <f t="shared" si="49"/>
        <v>0</v>
      </c>
      <c r="M72" s="36"/>
      <c r="N72" s="36"/>
      <c r="O72" s="75">
        <f t="shared" si="54"/>
        <v>0</v>
      </c>
      <c r="P72" s="75">
        <f t="shared" si="50"/>
        <v>0</v>
      </c>
      <c r="Q72" s="75">
        <f t="shared" si="51"/>
        <v>0</v>
      </c>
      <c r="R72" s="75">
        <f t="shared" si="52"/>
        <v>0</v>
      </c>
      <c r="S72" s="141">
        <f t="shared" si="53"/>
        <v>0</v>
      </c>
      <c r="T72" s="141"/>
      <c r="U72" s="141"/>
      <c r="V72" s="141"/>
      <c r="W72" s="141"/>
      <c r="X72" s="141"/>
      <c r="Y72" s="141"/>
      <c r="Z72" s="141"/>
      <c r="AA72" s="141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97"/>
    </row>
    <row r="73" s="1" customFormat="1" ht="14" spans="1:38">
      <c r="A73" s="55"/>
      <c r="B73" s="56"/>
      <c r="C73" s="56"/>
      <c r="D73" s="53" t="s">
        <v>113</v>
      </c>
      <c r="E73" s="57"/>
      <c r="F73" s="57"/>
      <c r="G73" s="57"/>
      <c r="H73" s="44"/>
      <c r="I73" s="44"/>
      <c r="J73" s="76">
        <f t="shared" si="48"/>
        <v>0</v>
      </c>
      <c r="K73" s="44"/>
      <c r="L73" s="121">
        <f t="shared" si="49"/>
        <v>0</v>
      </c>
      <c r="M73" s="122">
        <f t="shared" ref="M73:AK73" si="55">SUM(M74:M76)</f>
        <v>0</v>
      </c>
      <c r="N73" s="122">
        <f t="shared" si="55"/>
        <v>0</v>
      </c>
      <c r="O73" s="76">
        <f t="shared" si="55"/>
        <v>0</v>
      </c>
      <c r="P73" s="76">
        <f t="shared" si="55"/>
        <v>0</v>
      </c>
      <c r="Q73" s="76">
        <f t="shared" si="55"/>
        <v>0</v>
      </c>
      <c r="R73" s="76">
        <f t="shared" si="55"/>
        <v>0</v>
      </c>
      <c r="S73" s="122">
        <f t="shared" si="55"/>
        <v>0</v>
      </c>
      <c r="T73" s="122">
        <f t="shared" si="55"/>
        <v>0</v>
      </c>
      <c r="U73" s="122">
        <f t="shared" si="55"/>
        <v>0</v>
      </c>
      <c r="V73" s="122">
        <f t="shared" si="55"/>
        <v>0</v>
      </c>
      <c r="W73" s="122">
        <f t="shared" si="55"/>
        <v>0</v>
      </c>
      <c r="X73" s="122">
        <f t="shared" si="55"/>
        <v>0</v>
      </c>
      <c r="Y73" s="122">
        <f t="shared" si="55"/>
        <v>0</v>
      </c>
      <c r="Z73" s="122">
        <f t="shared" si="55"/>
        <v>0</v>
      </c>
      <c r="AA73" s="122">
        <f t="shared" si="55"/>
        <v>0</v>
      </c>
      <c r="AB73" s="122">
        <f t="shared" si="55"/>
        <v>0</v>
      </c>
      <c r="AC73" s="122">
        <f t="shared" si="55"/>
        <v>0</v>
      </c>
      <c r="AD73" s="122">
        <f t="shared" si="55"/>
        <v>0</v>
      </c>
      <c r="AE73" s="122">
        <f t="shared" si="55"/>
        <v>0</v>
      </c>
      <c r="AF73" s="122">
        <f t="shared" si="55"/>
        <v>0</v>
      </c>
      <c r="AG73" s="122">
        <f t="shared" si="55"/>
        <v>0</v>
      </c>
      <c r="AH73" s="122">
        <f t="shared" si="55"/>
        <v>0</v>
      </c>
      <c r="AI73" s="122">
        <f t="shared" si="55"/>
        <v>0</v>
      </c>
      <c r="AJ73" s="122">
        <f t="shared" si="55"/>
        <v>0</v>
      </c>
      <c r="AK73" s="122">
        <f t="shared" si="55"/>
        <v>0</v>
      </c>
      <c r="AL73" s="151"/>
    </row>
    <row r="74" s="1" customFormat="1" ht="14" spans="1:38">
      <c r="A74" s="33">
        <v>1</v>
      </c>
      <c r="B74" s="34"/>
      <c r="C74" s="34"/>
      <c r="D74" s="45"/>
      <c r="E74" s="40"/>
      <c r="F74" s="40"/>
      <c r="G74" s="40"/>
      <c r="H74" s="36"/>
      <c r="I74" s="36"/>
      <c r="J74" s="76">
        <f t="shared" si="48"/>
        <v>0</v>
      </c>
      <c r="K74" s="36"/>
      <c r="L74" s="120">
        <f t="shared" si="49"/>
        <v>0</v>
      </c>
      <c r="M74" s="36"/>
      <c r="N74" s="36"/>
      <c r="O74" s="75">
        <f t="shared" ref="O74:O76" si="56">L74-M74</f>
        <v>0</v>
      </c>
      <c r="P74" s="75">
        <f t="shared" ref="P74:P76" si="57">K74-N74</f>
        <v>0</v>
      </c>
      <c r="Q74" s="75">
        <f t="shared" ref="Q74:Q76" si="58">M74+O74</f>
        <v>0</v>
      </c>
      <c r="R74" s="75">
        <f t="shared" ref="R74:R76" si="59">M74+N74+O74+P74</f>
        <v>0</v>
      </c>
      <c r="S74" s="141">
        <f t="shared" ref="S74:S76" si="60">SUM(T74:V74)</f>
        <v>0</v>
      </c>
      <c r="T74" s="141"/>
      <c r="U74" s="141"/>
      <c r="V74" s="141"/>
      <c r="W74" s="141"/>
      <c r="X74" s="141"/>
      <c r="Y74" s="141"/>
      <c r="Z74" s="141"/>
      <c r="AA74" s="141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97"/>
    </row>
    <row r="75" s="1" customFormat="1" ht="14" spans="1:38">
      <c r="A75" s="33">
        <v>2</v>
      </c>
      <c r="B75" s="34"/>
      <c r="C75" s="34"/>
      <c r="D75" s="45"/>
      <c r="E75" s="40"/>
      <c r="F75" s="40"/>
      <c r="G75" s="40"/>
      <c r="H75" s="36"/>
      <c r="I75" s="36"/>
      <c r="J75" s="76">
        <f t="shared" si="48"/>
        <v>0</v>
      </c>
      <c r="K75" s="36"/>
      <c r="L75" s="120"/>
      <c r="M75" s="36"/>
      <c r="N75" s="36"/>
      <c r="O75" s="75">
        <f t="shared" si="56"/>
        <v>0</v>
      </c>
      <c r="P75" s="75">
        <f t="shared" si="57"/>
        <v>0</v>
      </c>
      <c r="Q75" s="75">
        <f t="shared" si="58"/>
        <v>0</v>
      </c>
      <c r="R75" s="75">
        <f t="shared" si="59"/>
        <v>0</v>
      </c>
      <c r="S75" s="141">
        <f t="shared" si="60"/>
        <v>0</v>
      </c>
      <c r="T75" s="141"/>
      <c r="U75" s="141"/>
      <c r="V75" s="141"/>
      <c r="W75" s="141"/>
      <c r="X75" s="141"/>
      <c r="Y75" s="141"/>
      <c r="Z75" s="141"/>
      <c r="AA75" s="141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97"/>
    </row>
    <row r="76" s="1" customFormat="1" ht="14" spans="1:38">
      <c r="A76" s="33">
        <v>3</v>
      </c>
      <c r="B76" s="34"/>
      <c r="C76" s="34"/>
      <c r="D76" s="45"/>
      <c r="E76" s="40"/>
      <c r="F76" s="40"/>
      <c r="G76" s="40"/>
      <c r="H76" s="36"/>
      <c r="I76" s="36"/>
      <c r="J76" s="76">
        <f t="shared" si="48"/>
        <v>0</v>
      </c>
      <c r="K76" s="36"/>
      <c r="L76" s="120"/>
      <c r="M76" s="36"/>
      <c r="N76" s="36"/>
      <c r="O76" s="75">
        <f t="shared" si="56"/>
        <v>0</v>
      </c>
      <c r="P76" s="75">
        <f t="shared" si="57"/>
        <v>0</v>
      </c>
      <c r="Q76" s="75">
        <f t="shared" si="58"/>
        <v>0</v>
      </c>
      <c r="R76" s="75">
        <f t="shared" si="59"/>
        <v>0</v>
      </c>
      <c r="S76" s="141">
        <f t="shared" si="60"/>
        <v>0</v>
      </c>
      <c r="T76" s="141"/>
      <c r="U76" s="141"/>
      <c r="V76" s="141"/>
      <c r="W76" s="141"/>
      <c r="X76" s="141"/>
      <c r="Y76" s="141"/>
      <c r="Z76" s="141"/>
      <c r="AA76" s="141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97"/>
    </row>
    <row r="77" s="1" customFormat="1" ht="14" spans="1:38">
      <c r="A77" s="41"/>
      <c r="B77" s="42"/>
      <c r="C77" s="42"/>
      <c r="D77" s="53" t="s">
        <v>114</v>
      </c>
      <c r="E77" s="54"/>
      <c r="F77" s="54"/>
      <c r="G77" s="54"/>
      <c r="H77" s="44" t="e">
        <f>H68+H69+H70+H71+#REF!</f>
        <v>#REF!</v>
      </c>
      <c r="I77" s="44" t="e">
        <f>I68+I69+I70+I71+#REF!</f>
        <v>#REF!</v>
      </c>
      <c r="J77" s="123" t="e">
        <f>J68+J69+J70+J71+#REF!</f>
        <v>#REF!</v>
      </c>
      <c r="K77" s="44" t="e">
        <f>K68+K69+K70+K71+#REF!</f>
        <v>#REF!</v>
      </c>
      <c r="L77" s="124" t="e">
        <f>L68+L69+L70+L71+#REF!</f>
        <v>#REF!</v>
      </c>
      <c r="M77" s="124">
        <f>M68+M69+M70+M71</f>
        <v>0</v>
      </c>
      <c r="N77" s="124">
        <f t="shared" ref="M77:S77" si="61">N68+N69+N70+N71</f>
        <v>0</v>
      </c>
      <c r="O77" s="125">
        <f t="shared" si="61"/>
        <v>0</v>
      </c>
      <c r="P77" s="124">
        <f t="shared" si="61"/>
        <v>0</v>
      </c>
      <c r="Q77" s="124">
        <f t="shared" si="61"/>
        <v>0</v>
      </c>
      <c r="R77" s="124">
        <f t="shared" si="61"/>
        <v>0</v>
      </c>
      <c r="S77" s="122">
        <f t="shared" si="61"/>
        <v>0</v>
      </c>
      <c r="T77" s="122"/>
      <c r="U77" s="122"/>
      <c r="V77" s="122"/>
      <c r="W77" s="122"/>
      <c r="X77" s="122"/>
      <c r="Y77" s="122"/>
      <c r="Z77" s="122">
        <f>Z68+Z69+Z70+Z71</f>
        <v>0</v>
      </c>
      <c r="AA77" s="122">
        <f>AA68+AA69+AA70+AA71</f>
        <v>0</v>
      </c>
      <c r="AB77" s="145"/>
      <c r="AC77" s="145"/>
      <c r="AD77" s="145"/>
      <c r="AE77" s="145"/>
      <c r="AF77" s="145"/>
      <c r="AG77" s="145"/>
      <c r="AH77" s="145"/>
      <c r="AI77" s="145"/>
      <c r="AJ77" s="145"/>
      <c r="AK77" s="152"/>
      <c r="AL77" s="153"/>
    </row>
    <row r="78" s="1" customFormat="1" ht="26" spans="1:38">
      <c r="A78" s="41"/>
      <c r="B78" s="42"/>
      <c r="C78" s="42"/>
      <c r="D78" s="53" t="s">
        <v>115</v>
      </c>
      <c r="E78" s="54" t="s">
        <v>116</v>
      </c>
      <c r="F78" s="54"/>
      <c r="G78" s="54"/>
      <c r="H78" s="44"/>
      <c r="I78" s="44"/>
      <c r="J78" s="123">
        <f>H78+I78</f>
        <v>0</v>
      </c>
      <c r="K78" s="44" t="s">
        <v>117</v>
      </c>
      <c r="L78" s="124" t="s">
        <v>117</v>
      </c>
      <c r="M78" s="124"/>
      <c r="N78" s="124">
        <f>N6-N77</f>
        <v>0</v>
      </c>
      <c r="O78" s="125"/>
      <c r="P78" s="124"/>
      <c r="Q78" s="124" t="s">
        <v>117</v>
      </c>
      <c r="R78" s="124">
        <f>N78+P78</f>
        <v>0</v>
      </c>
      <c r="S78" s="122"/>
      <c r="T78" s="122"/>
      <c r="U78" s="122"/>
      <c r="V78" s="122"/>
      <c r="W78" s="122"/>
      <c r="X78" s="122"/>
      <c r="Y78" s="122"/>
      <c r="Z78" s="122"/>
      <c r="AA78" s="122"/>
      <c r="AB78" s="145"/>
      <c r="AC78" s="145"/>
      <c r="AD78" s="145"/>
      <c r="AE78" s="145"/>
      <c r="AF78" s="145"/>
      <c r="AG78" s="145"/>
      <c r="AH78" s="145"/>
      <c r="AI78" s="145"/>
      <c r="AJ78" s="145"/>
      <c r="AK78" s="152"/>
      <c r="AL78" s="153"/>
    </row>
    <row r="79" s="1" customFormat="1" ht="26" spans="1:38">
      <c r="A79" s="41"/>
      <c r="B79" s="42"/>
      <c r="C79" s="42"/>
      <c r="D79" s="53" t="s">
        <v>118</v>
      </c>
      <c r="E79" s="54" t="s">
        <v>119</v>
      </c>
      <c r="F79" s="54"/>
      <c r="G79" s="54"/>
      <c r="H79" s="44"/>
      <c r="I79" s="44"/>
      <c r="J79" s="123">
        <f>H79+I79</f>
        <v>0</v>
      </c>
      <c r="K79" s="44"/>
      <c r="L79" s="124">
        <f>J79</f>
        <v>0</v>
      </c>
      <c r="M79" s="124"/>
      <c r="N79" s="124"/>
      <c r="O79" s="125">
        <f>L79-M79</f>
        <v>0</v>
      </c>
      <c r="P79" s="124"/>
      <c r="Q79" s="124">
        <f>M79+O79</f>
        <v>0</v>
      </c>
      <c r="R79" s="124">
        <f>Q79</f>
        <v>0</v>
      </c>
      <c r="S79" s="122"/>
      <c r="T79" s="122"/>
      <c r="U79" s="122"/>
      <c r="V79" s="122"/>
      <c r="W79" s="122"/>
      <c r="X79" s="122"/>
      <c r="Y79" s="122"/>
      <c r="Z79" s="122"/>
      <c r="AA79" s="122"/>
      <c r="AB79" s="145"/>
      <c r="AC79" s="145"/>
      <c r="AD79" s="145"/>
      <c r="AE79" s="145"/>
      <c r="AF79" s="145"/>
      <c r="AG79" s="145"/>
      <c r="AH79" s="145"/>
      <c r="AI79" s="145"/>
      <c r="AJ79" s="145"/>
      <c r="AK79" s="152"/>
      <c r="AL79" s="153"/>
    </row>
    <row r="80" s="1" customFormat="1" ht="14" spans="1:38">
      <c r="A80" s="41"/>
      <c r="B80" s="42"/>
      <c r="C80" s="42"/>
      <c r="D80" s="53" t="s">
        <v>120</v>
      </c>
      <c r="E80" s="54"/>
      <c r="F80" s="54"/>
      <c r="G80" s="54"/>
      <c r="H80" s="44"/>
      <c r="I80" s="44"/>
      <c r="J80" s="123" t="e">
        <f>J6-J77-J78-J79</f>
        <v>#REF!</v>
      </c>
      <c r="K80" s="44"/>
      <c r="L80" s="124"/>
      <c r="M80" s="124"/>
      <c r="N80" s="124"/>
      <c r="O80" s="125"/>
      <c r="P80" s="124"/>
      <c r="Q80" s="124"/>
      <c r="R80" s="124"/>
      <c r="S80" s="122"/>
      <c r="T80" s="122"/>
      <c r="U80" s="122"/>
      <c r="V80" s="122"/>
      <c r="W80" s="122"/>
      <c r="X80" s="122"/>
      <c r="Y80" s="122"/>
      <c r="Z80" s="122"/>
      <c r="AA80" s="122"/>
      <c r="AB80" s="145"/>
      <c r="AC80" s="145"/>
      <c r="AD80" s="145"/>
      <c r="AE80" s="145"/>
      <c r="AF80" s="145"/>
      <c r="AG80" s="145"/>
      <c r="AH80" s="145"/>
      <c r="AI80" s="145"/>
      <c r="AJ80" s="145"/>
      <c r="AK80" s="152"/>
      <c r="AL80" s="153"/>
    </row>
    <row r="81" s="3" customFormat="1" ht="14" spans="1:38">
      <c r="A81" s="101"/>
      <c r="B81" s="102"/>
      <c r="C81" s="102"/>
      <c r="D81" s="103" t="s">
        <v>121</v>
      </c>
      <c r="E81" s="104"/>
      <c r="F81" s="104"/>
      <c r="G81" s="104"/>
      <c r="H81" s="105"/>
      <c r="I81" s="105"/>
      <c r="J81" s="105" t="e">
        <f t="shared" ref="J81:M81" si="62">J80/J6</f>
        <v>#REF!</v>
      </c>
      <c r="K81" s="105"/>
      <c r="L81" s="126" t="e">
        <f t="shared" si="62"/>
        <v>#DIV/0!</v>
      </c>
      <c r="M81" s="126" t="e">
        <f t="shared" si="62"/>
        <v>#DIV/0!</v>
      </c>
      <c r="N81" s="126"/>
      <c r="O81" s="126"/>
      <c r="P81" s="126"/>
      <c r="Q81" s="126" t="e">
        <f>Q80/Q6</f>
        <v>#DIV/0!</v>
      </c>
      <c r="R81" s="126" t="e">
        <f>R80/R6</f>
        <v>#DIV/0!</v>
      </c>
      <c r="S81" s="142"/>
      <c r="T81" s="142"/>
      <c r="U81" s="142"/>
      <c r="V81" s="142"/>
      <c r="W81" s="142"/>
      <c r="X81" s="142"/>
      <c r="Y81" s="142"/>
      <c r="Z81" s="142"/>
      <c r="AA81" s="142"/>
      <c r="AB81" s="146"/>
      <c r="AC81" s="146"/>
      <c r="AD81" s="146"/>
      <c r="AE81" s="146"/>
      <c r="AF81" s="146"/>
      <c r="AG81" s="146"/>
      <c r="AH81" s="146"/>
      <c r="AI81" s="146"/>
      <c r="AJ81" s="146"/>
      <c r="AK81" s="154"/>
      <c r="AL81" s="155"/>
    </row>
    <row r="82" ht="14" spans="1:38">
      <c r="A82" s="106"/>
      <c r="B82" s="107"/>
      <c r="C82" s="107"/>
      <c r="D82" s="108"/>
      <c r="E82" s="109"/>
      <c r="F82" s="109"/>
      <c r="G82" s="109"/>
      <c r="H82" s="110"/>
      <c r="I82" s="110"/>
      <c r="J82" s="127" t="s">
        <v>122</v>
      </c>
      <c r="K82" s="128"/>
      <c r="L82" s="129" t="s">
        <v>123</v>
      </c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47"/>
      <c r="AA82" s="86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56"/>
    </row>
    <row r="83" ht="14" spans="1:38">
      <c r="A83" s="106"/>
      <c r="B83" s="107"/>
      <c r="C83" s="107"/>
      <c r="D83" s="108"/>
      <c r="E83" s="109"/>
      <c r="F83" s="109"/>
      <c r="G83" s="109"/>
      <c r="H83" s="110"/>
      <c r="I83" s="110"/>
      <c r="J83" s="131"/>
      <c r="K83" s="110"/>
      <c r="L83" s="132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47"/>
      <c r="AA83" s="86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56"/>
    </row>
    <row r="84" spans="1:38">
      <c r="A84" s="111"/>
      <c r="B84" s="112"/>
      <c r="C84" s="112"/>
      <c r="D84" s="113"/>
      <c r="E84" s="114"/>
      <c r="F84" s="114"/>
      <c r="G84" s="114"/>
      <c r="H84" s="115"/>
      <c r="I84" s="115"/>
      <c r="J84" s="133"/>
      <c r="K84" s="134"/>
      <c r="L84" s="134"/>
      <c r="M84" s="135"/>
      <c r="N84" s="136"/>
      <c r="O84" s="136"/>
      <c r="P84" s="137"/>
      <c r="Q84" s="137"/>
      <c r="R84" s="136"/>
      <c r="S84" s="143"/>
      <c r="T84" s="143"/>
      <c r="U84" s="143"/>
      <c r="V84" s="143"/>
      <c r="W84" s="143"/>
      <c r="X84" s="143"/>
      <c r="Y84" s="143"/>
      <c r="Z84" s="140"/>
      <c r="AA84" s="149"/>
      <c r="AD84" s="150"/>
      <c r="AE84" s="150"/>
      <c r="AF84" s="150"/>
      <c r="AG84" s="150"/>
      <c r="AH84" s="150"/>
      <c r="AI84" s="150"/>
      <c r="AJ84" s="150"/>
      <c r="AK84" s="150"/>
      <c r="AL84" s="117"/>
    </row>
    <row r="85" spans="1:38">
      <c r="A85" s="116"/>
      <c r="B85" s="117"/>
      <c r="C85" s="117"/>
      <c r="D85" s="117"/>
      <c r="E85" s="118"/>
      <c r="F85" s="118"/>
      <c r="G85" s="118"/>
      <c r="H85" s="118"/>
      <c r="I85" s="118"/>
      <c r="J85" s="118"/>
      <c r="K85" s="138"/>
      <c r="L85" s="118"/>
      <c r="M85" s="139"/>
      <c r="N85" s="139"/>
      <c r="O85" s="139"/>
      <c r="P85" s="139"/>
      <c r="Q85" s="139"/>
      <c r="R85" s="139"/>
      <c r="S85" s="143"/>
      <c r="T85" s="143"/>
      <c r="U85" s="143"/>
      <c r="V85" s="143"/>
      <c r="W85" s="143"/>
      <c r="X85" s="143"/>
      <c r="Y85" s="143"/>
      <c r="Z85" s="139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17"/>
    </row>
    <row r="86" spans="1:38">
      <c r="A86" s="116"/>
      <c r="B86" s="117"/>
      <c r="C86" s="117"/>
      <c r="D86" s="117"/>
      <c r="E86" s="118"/>
      <c r="F86" s="118"/>
      <c r="G86" s="118"/>
      <c r="H86" s="118"/>
      <c r="I86" s="118"/>
      <c r="J86" s="118"/>
      <c r="K86" s="138"/>
      <c r="L86" s="118"/>
      <c r="M86" s="139"/>
      <c r="N86" s="139"/>
      <c r="O86" s="139"/>
      <c r="P86" s="139"/>
      <c r="Q86" s="139"/>
      <c r="R86" s="139"/>
      <c r="S86" s="143"/>
      <c r="T86" s="143"/>
      <c r="U86" s="143"/>
      <c r="V86" s="143"/>
      <c r="W86" s="143"/>
      <c r="X86" s="143"/>
      <c r="Y86" s="143"/>
      <c r="Z86" s="139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17"/>
    </row>
    <row r="87" spans="1:38">
      <c r="A87" s="116"/>
      <c r="B87" s="117"/>
      <c r="C87" s="117"/>
      <c r="D87" s="117"/>
      <c r="E87" s="119"/>
      <c r="F87" s="119"/>
      <c r="G87" s="119"/>
      <c r="H87" s="118"/>
      <c r="I87" s="118"/>
      <c r="J87" s="118"/>
      <c r="K87" s="119"/>
      <c r="L87" s="118"/>
      <c r="M87" s="139"/>
      <c r="N87" s="140"/>
      <c r="O87" s="139"/>
      <c r="P87" s="139"/>
      <c r="Q87" s="139"/>
      <c r="R87" s="136"/>
      <c r="S87" s="143"/>
      <c r="T87" s="143"/>
      <c r="U87" s="143"/>
      <c r="V87" s="143"/>
      <c r="W87" s="143"/>
      <c r="X87" s="143"/>
      <c r="Y87" s="143"/>
      <c r="Z87" s="139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17"/>
    </row>
  </sheetData>
  <mergeCells count="58">
    <mergeCell ref="B3:D3"/>
    <mergeCell ref="E3:F3"/>
    <mergeCell ref="G3:I3"/>
    <mergeCell ref="J3:K3"/>
    <mergeCell ref="L3:M3"/>
    <mergeCell ref="H4:L4"/>
    <mergeCell ref="M4:R4"/>
    <mergeCell ref="S4:Y4"/>
    <mergeCell ref="Z4:AK4"/>
    <mergeCell ref="H7:L7"/>
    <mergeCell ref="M7:R7"/>
    <mergeCell ref="S7:Y7"/>
    <mergeCell ref="Z7:AK7"/>
    <mergeCell ref="A3:A9"/>
    <mergeCell ref="B4:B5"/>
    <mergeCell ref="B7:B9"/>
    <mergeCell ref="C4:C5"/>
    <mergeCell ref="C7:C9"/>
    <mergeCell ref="D4:D5"/>
    <mergeCell ref="D7:D9"/>
    <mergeCell ref="E4:E5"/>
    <mergeCell ref="E7:E9"/>
    <mergeCell ref="F4:F5"/>
    <mergeCell ref="F7:F9"/>
    <mergeCell ref="G4:G5"/>
    <mergeCell ref="G7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4:AL10"/>
    <mergeCell ref="A1:S2"/>
  </mergeCells>
  <dataValidations count="1">
    <dataValidation type="list" allowBlank="1" showInputMessage="1" showErrorMessage="1" sqref="E6:G6">
      <formula1>"进场准备,在施,完工未验收,竣工已结,竣工未结,其它（停工）"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</dc:creator>
  <cp:lastModifiedBy>梁朝人</cp:lastModifiedBy>
  <dcterms:created xsi:type="dcterms:W3CDTF">2026-04-17T07:37:00Z</dcterms:created>
  <dcterms:modified xsi:type="dcterms:W3CDTF">2026-04-29T00:49:19Z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65000348E8CA400EBA747A1A2C8A20F2_11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